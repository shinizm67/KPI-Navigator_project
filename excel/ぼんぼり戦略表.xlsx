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hinmatsushita/Desktop/kpi-navigator/excel/"/>
    </mc:Choice>
  </mc:AlternateContent>
  <xr:revisionPtr revIDLastSave="0" documentId="13_ncr:1_{4A71844B-B3F6-0E46-A1E5-7752A0C626C5}" xr6:coauthVersionLast="47" xr6:coauthVersionMax="47" xr10:uidLastSave="{00000000-0000-0000-0000-000000000000}"/>
  <bookViews>
    <workbookView xWindow="440" yWindow="620" windowWidth="17500" windowHeight="15340" xr2:uid="{0DAB7804-CCFA-0C4C-8197-4EA4CECCC57F}"/>
  </bookViews>
  <sheets>
    <sheet name="★ぼんぼり戦略表" sheetId="1" r:id="rId1"/>
    <sheet name="2024(¥)" sheetId="2" r:id="rId2"/>
    <sheet name="2024($)" sheetId="5" r:id="rId3"/>
    <sheet name="2025(¥)" sheetId="3" r:id="rId4"/>
    <sheet name="2025 ($)" sheetId="4" r:id="rId5"/>
    <sheet name="Sheet3" sheetId="6" r:id="rId6"/>
    <sheet name="2026 ($)" sheetId="7" r:id="rId7"/>
  </sheets>
  <definedNames>
    <definedName name="_xlnm._FilterDatabase" localSheetId="4" hidden="1">'2025 ($)'!$P$20:$S$385</definedName>
    <definedName name="_xlnm._FilterDatabase" localSheetId="6" hidden="1">'2026 ($)'!$E$20:$X$385</definedName>
    <definedName name="_xlnm.Print_Area" localSheetId="4">'2025 ($)'!$A$1:$T$386</definedName>
    <definedName name="_xlnm.Print_Area" localSheetId="3">'2025(¥)'!$A$1:$T$386</definedName>
    <definedName name="_xlnm.Print_Area" localSheetId="6">'2026 ($)'!$A$1:$T$386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7" l="1"/>
  <c r="J29" i="7"/>
  <c r="J28" i="7"/>
  <c r="J27" i="7"/>
  <c r="J26" i="7"/>
  <c r="J25" i="7"/>
  <c r="J382" i="7"/>
  <c r="J375" i="7"/>
  <c r="J368" i="7"/>
  <c r="J361" i="7"/>
  <c r="J354" i="7"/>
  <c r="J347" i="7"/>
  <c r="J340" i="7"/>
  <c r="J333" i="7"/>
  <c r="J326" i="7"/>
  <c r="J319" i="7"/>
  <c r="J312" i="7"/>
  <c r="J305" i="7"/>
  <c r="J298" i="7"/>
  <c r="J291" i="7"/>
  <c r="J284" i="7"/>
  <c r="J277" i="7"/>
  <c r="J270" i="7"/>
  <c r="J263" i="7"/>
  <c r="J249" i="7"/>
  <c r="J256" i="7"/>
  <c r="J242" i="7"/>
  <c r="J235" i="7"/>
  <c r="J228" i="7"/>
  <c r="J221" i="7"/>
  <c r="J214" i="7"/>
  <c r="J207" i="7"/>
  <c r="J200" i="7"/>
  <c r="J179" i="7"/>
  <c r="J130" i="7"/>
  <c r="J123" i="7"/>
  <c r="J116" i="7"/>
  <c r="J109" i="7"/>
  <c r="J102" i="7"/>
  <c r="J33" i="7"/>
  <c r="J53" i="7"/>
  <c r="J60" i="7"/>
  <c r="J67" i="7"/>
  <c r="J75" i="7"/>
  <c r="J81" i="7"/>
  <c r="J88" i="7"/>
  <c r="J137" i="7"/>
  <c r="J151" i="7"/>
  <c r="J158" i="7"/>
  <c r="J165" i="7"/>
  <c r="J172" i="7"/>
  <c r="J46" i="7"/>
  <c r="J39" i="7"/>
  <c r="J95" i="7"/>
  <c r="X385" i="7"/>
  <c r="W385" i="7"/>
  <c r="V385" i="7"/>
  <c r="U385" i="7"/>
  <c r="S385" i="7"/>
  <c r="R385" i="7"/>
  <c r="Q385" i="7"/>
  <c r="P385" i="7"/>
  <c r="M385" i="7"/>
  <c r="L385" i="7"/>
  <c r="X384" i="7"/>
  <c r="W384" i="7"/>
  <c r="V384" i="7"/>
  <c r="U384" i="7"/>
  <c r="S384" i="7"/>
  <c r="R384" i="7"/>
  <c r="Q384" i="7"/>
  <c r="P384" i="7"/>
  <c r="M384" i="7"/>
  <c r="L384" i="7"/>
  <c r="X383" i="7"/>
  <c r="W383" i="7"/>
  <c r="V383" i="7"/>
  <c r="U383" i="7"/>
  <c r="S383" i="7"/>
  <c r="R383" i="7"/>
  <c r="Q383" i="7"/>
  <c r="P383" i="7"/>
  <c r="M383" i="7"/>
  <c r="L383" i="7"/>
  <c r="Q382" i="7"/>
  <c r="Q381" i="7"/>
  <c r="Q380" i="7"/>
  <c r="J380" i="7"/>
  <c r="Q379" i="7"/>
  <c r="J379" i="7"/>
  <c r="Q378" i="7"/>
  <c r="J378" i="7"/>
  <c r="Q377" i="7"/>
  <c r="J377" i="7"/>
  <c r="Q376" i="7"/>
  <c r="J376" i="7"/>
  <c r="Q375" i="7"/>
  <c r="Q374" i="7"/>
  <c r="Q373" i="7"/>
  <c r="J373" i="7"/>
  <c r="Q372" i="7"/>
  <c r="J372" i="7"/>
  <c r="Q371" i="7"/>
  <c r="J371" i="7"/>
  <c r="Q370" i="7"/>
  <c r="J370" i="7"/>
  <c r="Q369" i="7"/>
  <c r="J369" i="7"/>
  <c r="Q368" i="7"/>
  <c r="Q367" i="7"/>
  <c r="Q366" i="7"/>
  <c r="J366" i="7"/>
  <c r="Q365" i="7"/>
  <c r="J365" i="7"/>
  <c r="Q364" i="7"/>
  <c r="J364" i="7"/>
  <c r="Q363" i="7"/>
  <c r="J363" i="7"/>
  <c r="Q362" i="7"/>
  <c r="J362" i="7"/>
  <c r="Q361" i="7"/>
  <c r="Q360" i="7"/>
  <c r="Q359" i="7"/>
  <c r="J359" i="7"/>
  <c r="Q358" i="7"/>
  <c r="J358" i="7"/>
  <c r="Q357" i="7"/>
  <c r="J357" i="7"/>
  <c r="Q356" i="7"/>
  <c r="J356" i="7"/>
  <c r="J355" i="7"/>
  <c r="Q354" i="7"/>
  <c r="Q353" i="7"/>
  <c r="Q352" i="7"/>
  <c r="J352" i="7"/>
  <c r="Q351" i="7"/>
  <c r="J351" i="7"/>
  <c r="Q350" i="7"/>
  <c r="J350" i="7"/>
  <c r="Q349" i="7"/>
  <c r="J349" i="7"/>
  <c r="X348" i="7"/>
  <c r="W348" i="7"/>
  <c r="V348" i="7"/>
  <c r="U348" i="7"/>
  <c r="S348" i="7"/>
  <c r="R348" i="7"/>
  <c r="Q348" i="7"/>
  <c r="P348" i="7"/>
  <c r="M348" i="7"/>
  <c r="L348" i="7"/>
  <c r="Q347" i="7"/>
  <c r="Q346" i="7"/>
  <c r="Q345" i="7"/>
  <c r="J345" i="7"/>
  <c r="Q344" i="7"/>
  <c r="J344" i="7"/>
  <c r="Q343" i="7"/>
  <c r="J343" i="7"/>
  <c r="Q342" i="7"/>
  <c r="J342" i="7"/>
  <c r="Q341" i="7"/>
  <c r="J341" i="7"/>
  <c r="Q340" i="7"/>
  <c r="Q339" i="7"/>
  <c r="Q338" i="7"/>
  <c r="J338" i="7"/>
  <c r="Q337" i="7"/>
  <c r="J337" i="7"/>
  <c r="Q336" i="7"/>
  <c r="J336" i="7"/>
  <c r="Q335" i="7"/>
  <c r="J335" i="7"/>
  <c r="Q334" i="7"/>
  <c r="J334" i="7"/>
  <c r="Q333" i="7"/>
  <c r="Q332" i="7"/>
  <c r="Q331" i="7"/>
  <c r="J331" i="7"/>
  <c r="Q330" i="7"/>
  <c r="J330" i="7"/>
  <c r="Q329" i="7"/>
  <c r="J329" i="7"/>
  <c r="Q328" i="7"/>
  <c r="J328" i="7"/>
  <c r="X327" i="7"/>
  <c r="W327" i="7"/>
  <c r="V327" i="7"/>
  <c r="U327" i="7"/>
  <c r="S327" i="7"/>
  <c r="R327" i="7"/>
  <c r="Q327" i="7"/>
  <c r="P327" i="7"/>
  <c r="M327" i="7"/>
  <c r="L327" i="7"/>
  <c r="Q326" i="7"/>
  <c r="Q324" i="7"/>
  <c r="J324" i="7"/>
  <c r="Q323" i="7"/>
  <c r="J323" i="7"/>
  <c r="Q322" i="7"/>
  <c r="J322" i="7"/>
  <c r="Q321" i="7"/>
  <c r="J321" i="7"/>
  <c r="Q320" i="7"/>
  <c r="J320" i="7"/>
  <c r="Q319" i="7"/>
  <c r="Q318" i="7"/>
  <c r="Q317" i="7"/>
  <c r="J317" i="7"/>
  <c r="Q316" i="7"/>
  <c r="J316" i="7"/>
  <c r="Q315" i="7"/>
  <c r="J315" i="7"/>
  <c r="Q314" i="7"/>
  <c r="J314" i="7"/>
  <c r="Q313" i="7"/>
  <c r="J313" i="7"/>
  <c r="Q312" i="7"/>
  <c r="Q311" i="7"/>
  <c r="Q310" i="7"/>
  <c r="J310" i="7"/>
  <c r="Q309" i="7"/>
  <c r="J309" i="7"/>
  <c r="Q308" i="7"/>
  <c r="J308" i="7"/>
  <c r="Q307" i="7"/>
  <c r="J307" i="7"/>
  <c r="X306" i="7"/>
  <c r="W306" i="7"/>
  <c r="V306" i="7"/>
  <c r="U306" i="7"/>
  <c r="S306" i="7"/>
  <c r="R306" i="7"/>
  <c r="Q306" i="7"/>
  <c r="P306" i="7"/>
  <c r="M306" i="7"/>
  <c r="L306" i="7"/>
  <c r="Q305" i="7"/>
  <c r="Q304" i="7"/>
  <c r="Q303" i="7"/>
  <c r="J303" i="7"/>
  <c r="Q302" i="7"/>
  <c r="J302" i="7"/>
  <c r="Q301" i="7"/>
  <c r="J301" i="7"/>
  <c r="Q300" i="7"/>
  <c r="J300" i="7"/>
  <c r="Q299" i="7"/>
  <c r="J299" i="7"/>
  <c r="Q298" i="7"/>
  <c r="Q297" i="7"/>
  <c r="Q296" i="7"/>
  <c r="J296" i="7"/>
  <c r="Q295" i="7"/>
  <c r="J295" i="7"/>
  <c r="J294" i="7"/>
  <c r="J293" i="7"/>
  <c r="J292" i="7"/>
  <c r="J289" i="7"/>
  <c r="J288" i="7"/>
  <c r="J287" i="7"/>
  <c r="X286" i="7"/>
  <c r="W286" i="7"/>
  <c r="V286" i="7"/>
  <c r="U286" i="7"/>
  <c r="S286" i="7"/>
  <c r="R286" i="7"/>
  <c r="Q286" i="7"/>
  <c r="P286" i="7"/>
  <c r="M286" i="7"/>
  <c r="L286" i="7"/>
  <c r="J285" i="7"/>
  <c r="J282" i="7"/>
  <c r="J281" i="7"/>
  <c r="J280" i="7"/>
  <c r="J279" i="7"/>
  <c r="X278" i="7"/>
  <c r="W278" i="7"/>
  <c r="V278" i="7"/>
  <c r="U278" i="7"/>
  <c r="S278" i="7"/>
  <c r="R278" i="7"/>
  <c r="Q278" i="7"/>
  <c r="P278" i="7"/>
  <c r="M278" i="7"/>
  <c r="L278" i="7"/>
  <c r="J275" i="7"/>
  <c r="J274" i="7"/>
  <c r="J273" i="7"/>
  <c r="J272" i="7"/>
  <c r="J271" i="7"/>
  <c r="J268" i="7"/>
  <c r="J267" i="7"/>
  <c r="J266" i="7"/>
  <c r="J265" i="7"/>
  <c r="J264" i="7"/>
  <c r="J261" i="7"/>
  <c r="J260" i="7"/>
  <c r="J259" i="7"/>
  <c r="J258" i="7"/>
  <c r="J257" i="7"/>
  <c r="J254" i="7"/>
  <c r="J253" i="7"/>
  <c r="J252" i="7"/>
  <c r="J251" i="7"/>
  <c r="J250" i="7"/>
  <c r="X248" i="7"/>
  <c r="W248" i="7"/>
  <c r="V248" i="7"/>
  <c r="U248" i="7"/>
  <c r="S248" i="7"/>
  <c r="R248" i="7"/>
  <c r="Q248" i="7"/>
  <c r="P248" i="7"/>
  <c r="M248" i="7"/>
  <c r="L248" i="7"/>
  <c r="X247" i="7"/>
  <c r="W247" i="7"/>
  <c r="V247" i="7"/>
  <c r="U247" i="7"/>
  <c r="S247" i="7"/>
  <c r="R247" i="7"/>
  <c r="Q247" i="7"/>
  <c r="P247" i="7"/>
  <c r="M247" i="7"/>
  <c r="L247" i="7"/>
  <c r="X246" i="7"/>
  <c r="W246" i="7"/>
  <c r="V246" i="7"/>
  <c r="U246" i="7"/>
  <c r="S246" i="7"/>
  <c r="R246" i="7"/>
  <c r="Q246" i="7"/>
  <c r="P246" i="7"/>
  <c r="M246" i="7"/>
  <c r="L246" i="7"/>
  <c r="X245" i="7"/>
  <c r="W245" i="7"/>
  <c r="V245" i="7"/>
  <c r="U245" i="7"/>
  <c r="S245" i="7"/>
  <c r="R245" i="7"/>
  <c r="Q245" i="7"/>
  <c r="P245" i="7"/>
  <c r="M245" i="7"/>
  <c r="L245" i="7"/>
  <c r="X244" i="7"/>
  <c r="W244" i="7"/>
  <c r="V244" i="7"/>
  <c r="U244" i="7"/>
  <c r="S244" i="7"/>
  <c r="R244" i="7"/>
  <c r="Q244" i="7"/>
  <c r="P244" i="7"/>
  <c r="M244" i="7"/>
  <c r="L244" i="7"/>
  <c r="X243" i="7"/>
  <c r="W243" i="7"/>
  <c r="V243" i="7"/>
  <c r="U243" i="7"/>
  <c r="S243" i="7"/>
  <c r="R243" i="7"/>
  <c r="Q243" i="7"/>
  <c r="P243" i="7"/>
  <c r="M243" i="7"/>
  <c r="L243" i="7"/>
  <c r="J240" i="7"/>
  <c r="J239" i="7"/>
  <c r="J238" i="7"/>
  <c r="J237" i="7"/>
  <c r="J236" i="7"/>
  <c r="Q235" i="7"/>
  <c r="J233" i="7"/>
  <c r="J232" i="7"/>
  <c r="J231" i="7"/>
  <c r="J230" i="7"/>
  <c r="J229" i="7"/>
  <c r="J226" i="7"/>
  <c r="J225" i="7"/>
  <c r="J224" i="7"/>
  <c r="J223" i="7"/>
  <c r="X222" i="7"/>
  <c r="W222" i="7"/>
  <c r="V222" i="7"/>
  <c r="U222" i="7"/>
  <c r="S222" i="7"/>
  <c r="R222" i="7"/>
  <c r="Q222" i="7"/>
  <c r="P222" i="7"/>
  <c r="M222" i="7"/>
  <c r="L222" i="7"/>
  <c r="J219" i="7"/>
  <c r="J218" i="7"/>
  <c r="J217" i="7"/>
  <c r="J216" i="7"/>
  <c r="J215" i="7"/>
  <c r="J212" i="7"/>
  <c r="J211" i="7"/>
  <c r="J210" i="7"/>
  <c r="J209" i="7"/>
  <c r="J208" i="7"/>
  <c r="J205" i="7"/>
  <c r="J204" i="7"/>
  <c r="J203" i="7"/>
  <c r="J202" i="7"/>
  <c r="J201" i="7"/>
  <c r="J198" i="7"/>
  <c r="J197" i="7"/>
  <c r="J196" i="7"/>
  <c r="J195" i="7"/>
  <c r="J194" i="7"/>
  <c r="J192" i="7"/>
  <c r="J191" i="7"/>
  <c r="J190" i="7"/>
  <c r="J189" i="7"/>
  <c r="J188" i="7"/>
  <c r="J187" i="7"/>
  <c r="J185" i="7"/>
  <c r="J184" i="7"/>
  <c r="J183" i="7"/>
  <c r="J182" i="7"/>
  <c r="J181" i="7"/>
  <c r="J180" i="7"/>
  <c r="J177" i="7"/>
  <c r="J176" i="7"/>
  <c r="J175" i="7"/>
  <c r="J174" i="7"/>
  <c r="J173" i="7"/>
  <c r="J170" i="7"/>
  <c r="J169" i="7"/>
  <c r="J168" i="7"/>
  <c r="J167" i="7"/>
  <c r="J166" i="7"/>
  <c r="J163" i="7"/>
  <c r="J162" i="7"/>
  <c r="J161" i="7"/>
  <c r="J160" i="7"/>
  <c r="J159" i="7"/>
  <c r="J156" i="7"/>
  <c r="J155" i="7"/>
  <c r="J154" i="7"/>
  <c r="J153" i="7"/>
  <c r="J152" i="7"/>
  <c r="J149" i="7"/>
  <c r="J148" i="7"/>
  <c r="J147" i="7"/>
  <c r="X146" i="7"/>
  <c r="W146" i="7"/>
  <c r="V146" i="7"/>
  <c r="U146" i="7"/>
  <c r="S146" i="7"/>
  <c r="R146" i="7"/>
  <c r="Q146" i="7"/>
  <c r="M146" i="7"/>
  <c r="L146" i="7"/>
  <c r="X145" i="7"/>
  <c r="W145" i="7"/>
  <c r="V145" i="7"/>
  <c r="U145" i="7"/>
  <c r="S145" i="7"/>
  <c r="R145" i="7"/>
  <c r="Q145" i="7"/>
  <c r="M145" i="7"/>
  <c r="L145" i="7"/>
  <c r="Q144" i="7"/>
  <c r="X143" i="7"/>
  <c r="W143" i="7"/>
  <c r="V143" i="7"/>
  <c r="U143" i="7"/>
  <c r="S143" i="7"/>
  <c r="R143" i="7"/>
  <c r="Q143" i="7"/>
  <c r="M143" i="7"/>
  <c r="L143" i="7"/>
  <c r="J142" i="7"/>
  <c r="J141" i="7"/>
  <c r="J140" i="7"/>
  <c r="X139" i="7"/>
  <c r="W139" i="7"/>
  <c r="V139" i="7"/>
  <c r="U139" i="7"/>
  <c r="S139" i="7"/>
  <c r="R139" i="7"/>
  <c r="Q139" i="7"/>
  <c r="M139" i="7"/>
  <c r="L139" i="7"/>
  <c r="J138" i="7"/>
  <c r="J135" i="7"/>
  <c r="J134" i="7"/>
  <c r="J133" i="7"/>
  <c r="J132" i="7"/>
  <c r="J131" i="7"/>
  <c r="J128" i="7"/>
  <c r="J127" i="7"/>
  <c r="J126" i="7"/>
  <c r="J125" i="7"/>
  <c r="J124" i="7"/>
  <c r="J121" i="7"/>
  <c r="J120" i="7"/>
  <c r="J119" i="7"/>
  <c r="J118" i="7"/>
  <c r="J117" i="7"/>
  <c r="J114" i="7"/>
  <c r="J113" i="7"/>
  <c r="J112" i="7"/>
  <c r="J111" i="7"/>
  <c r="J110" i="7"/>
  <c r="J107" i="7"/>
  <c r="J106" i="7"/>
  <c r="J105" i="7"/>
  <c r="J104" i="7"/>
  <c r="J103" i="7"/>
  <c r="J100" i="7"/>
  <c r="V99" i="7"/>
  <c r="Q99" i="7"/>
  <c r="J98" i="7"/>
  <c r="J97" i="7"/>
  <c r="J96" i="7"/>
  <c r="J93" i="7"/>
  <c r="J92" i="7"/>
  <c r="J91" i="7"/>
  <c r="J90" i="7"/>
  <c r="J89" i="7"/>
  <c r="J86" i="7"/>
  <c r="J85" i="7"/>
  <c r="J84" i="7"/>
  <c r="J83" i="7"/>
  <c r="J82" i="7"/>
  <c r="J79" i="7"/>
  <c r="J78" i="7"/>
  <c r="J77" i="7"/>
  <c r="J76" i="7"/>
  <c r="X74" i="7"/>
  <c r="W74" i="7"/>
  <c r="V74" i="7"/>
  <c r="U74" i="7"/>
  <c r="S74" i="7"/>
  <c r="R74" i="7"/>
  <c r="Q74" i="7"/>
  <c r="P74" i="7"/>
  <c r="M74" i="7"/>
  <c r="L74" i="7"/>
  <c r="J72" i="7"/>
  <c r="J71" i="7"/>
  <c r="J70" i="7"/>
  <c r="J69" i="7"/>
  <c r="J68" i="7"/>
  <c r="J65" i="7"/>
  <c r="J64" i="7"/>
  <c r="J63" i="7"/>
  <c r="X62" i="7"/>
  <c r="W62" i="7"/>
  <c r="V62" i="7"/>
  <c r="U62" i="7"/>
  <c r="S62" i="7"/>
  <c r="R62" i="7"/>
  <c r="Q62" i="7"/>
  <c r="P62" i="7"/>
  <c r="M62" i="7"/>
  <c r="L62" i="7"/>
  <c r="J61" i="7"/>
  <c r="J58" i="7"/>
  <c r="J57" i="7"/>
  <c r="J56" i="7"/>
  <c r="J55" i="7"/>
  <c r="J54" i="7"/>
  <c r="Q53" i="7"/>
  <c r="J51" i="7"/>
  <c r="J50" i="7"/>
  <c r="J49" i="7"/>
  <c r="J48" i="7"/>
  <c r="J47" i="7"/>
  <c r="J44" i="7"/>
  <c r="J43" i="7"/>
  <c r="J42" i="7"/>
  <c r="J41" i="7"/>
  <c r="J40" i="7"/>
  <c r="J37" i="7"/>
  <c r="J36" i="7"/>
  <c r="J35" i="7"/>
  <c r="J34" i="7"/>
  <c r="V25" i="7"/>
  <c r="Q25" i="7"/>
  <c r="X24" i="7"/>
  <c r="W24" i="7"/>
  <c r="V24" i="7"/>
  <c r="U24" i="7"/>
  <c r="S24" i="7"/>
  <c r="R24" i="7"/>
  <c r="Q24" i="7"/>
  <c r="P24" i="7"/>
  <c r="M24" i="7"/>
  <c r="L24" i="7"/>
  <c r="X23" i="7"/>
  <c r="W23" i="7"/>
  <c r="V23" i="7"/>
  <c r="U23" i="7"/>
  <c r="S23" i="7"/>
  <c r="R23" i="7"/>
  <c r="Q23" i="7"/>
  <c r="P23" i="7"/>
  <c r="M23" i="7"/>
  <c r="L23" i="7"/>
  <c r="X22" i="7"/>
  <c r="W22" i="7"/>
  <c r="V22" i="7"/>
  <c r="U22" i="7"/>
  <c r="S22" i="7"/>
  <c r="R22" i="7"/>
  <c r="Q22" i="7"/>
  <c r="P22" i="7"/>
  <c r="M22" i="7"/>
  <c r="L22" i="7"/>
  <c r="Z21" i="7"/>
  <c r="Y21" i="7"/>
  <c r="X21" i="7"/>
  <c r="W21" i="7"/>
  <c r="V21" i="7"/>
  <c r="U21" i="7"/>
  <c r="S21" i="7"/>
  <c r="R21" i="7"/>
  <c r="Q21" i="7"/>
  <c r="P21" i="7"/>
  <c r="M21" i="7"/>
  <c r="L21" i="7"/>
  <c r="G21" i="7"/>
  <c r="F21" i="7"/>
  <c r="E21" i="7"/>
  <c r="AK18" i="7"/>
  <c r="M18" i="7"/>
  <c r="F18" i="7"/>
  <c r="AK17" i="7"/>
  <c r="F17" i="7"/>
  <c r="AK16" i="7"/>
  <c r="F16" i="7"/>
  <c r="AK15" i="7"/>
  <c r="F15" i="7"/>
  <c r="AK14" i="7"/>
  <c r="F14" i="7"/>
  <c r="AK13" i="7"/>
  <c r="F13" i="7"/>
  <c r="AK12" i="7"/>
  <c r="F12" i="7"/>
  <c r="AK11" i="7"/>
  <c r="M11" i="7"/>
  <c r="F11" i="7"/>
  <c r="AK10" i="7"/>
  <c r="M10" i="7"/>
  <c r="F10" i="7"/>
  <c r="AK9" i="7"/>
  <c r="F9" i="7"/>
  <c r="AK8" i="7"/>
  <c r="F8" i="7"/>
  <c r="AK7" i="7"/>
  <c r="F7" i="7"/>
  <c r="H3" i="7"/>
  <c r="G3" i="7"/>
  <c r="F3" i="6"/>
  <c r="F4" i="6"/>
  <c r="F5" i="6"/>
  <c r="F6" i="6"/>
  <c r="F7" i="6"/>
  <c r="F8" i="6"/>
  <c r="F9" i="6"/>
  <c r="F10" i="6"/>
  <c r="F11" i="6"/>
  <c r="F12" i="6"/>
  <c r="F13" i="6"/>
  <c r="F2" i="6"/>
  <c r="J382" i="5"/>
  <c r="J381" i="5"/>
  <c r="J380" i="5"/>
  <c r="J379" i="5"/>
  <c r="J378" i="5"/>
  <c r="J377" i="5"/>
  <c r="J375" i="5"/>
  <c r="J374" i="5"/>
  <c r="J373" i="5"/>
  <c r="J372" i="5"/>
  <c r="J371" i="5"/>
  <c r="J370" i="5"/>
  <c r="J368" i="5"/>
  <c r="J367" i="5"/>
  <c r="J366" i="5"/>
  <c r="J365" i="5"/>
  <c r="J364" i="5"/>
  <c r="J363" i="5"/>
  <c r="J361" i="5"/>
  <c r="J360" i="5"/>
  <c r="J359" i="5"/>
  <c r="J358" i="5"/>
  <c r="J357" i="5"/>
  <c r="J356" i="5"/>
  <c r="Q361" i="5" s="1"/>
  <c r="J354" i="5"/>
  <c r="J353" i="5"/>
  <c r="J352" i="5"/>
  <c r="J351" i="5"/>
  <c r="J350" i="5"/>
  <c r="J349" i="5"/>
  <c r="J346" i="5"/>
  <c r="J345" i="5"/>
  <c r="J344" i="5"/>
  <c r="J343" i="5"/>
  <c r="J342" i="5"/>
  <c r="J340" i="5"/>
  <c r="J339" i="5"/>
  <c r="J338" i="5"/>
  <c r="J337" i="5"/>
  <c r="J336" i="5"/>
  <c r="J335" i="5"/>
  <c r="J333" i="5"/>
  <c r="J332" i="5"/>
  <c r="J331" i="5"/>
  <c r="J330" i="5"/>
  <c r="J329" i="5"/>
  <c r="J326" i="5"/>
  <c r="J325" i="5"/>
  <c r="J324" i="5"/>
  <c r="J323" i="5"/>
  <c r="J322" i="5"/>
  <c r="J321" i="5"/>
  <c r="J319" i="5"/>
  <c r="J318" i="5"/>
  <c r="J317" i="5"/>
  <c r="J316" i="5"/>
  <c r="J315" i="5"/>
  <c r="J314" i="5"/>
  <c r="J312" i="5"/>
  <c r="J311" i="5"/>
  <c r="J310" i="5"/>
  <c r="J309" i="5"/>
  <c r="J308" i="5"/>
  <c r="J305" i="5"/>
  <c r="J304" i="5"/>
  <c r="J303" i="5"/>
  <c r="J302" i="5"/>
  <c r="J301" i="5"/>
  <c r="J300" i="5"/>
  <c r="J298" i="5"/>
  <c r="J297" i="5"/>
  <c r="J296" i="5"/>
  <c r="J295" i="5"/>
  <c r="J294" i="5"/>
  <c r="J293" i="5"/>
  <c r="J291" i="5"/>
  <c r="J290" i="5"/>
  <c r="J289" i="5"/>
  <c r="J288" i="5"/>
  <c r="J287" i="5"/>
  <c r="J284" i="5"/>
  <c r="J283" i="5"/>
  <c r="J282" i="5"/>
  <c r="J281" i="5"/>
  <c r="J280" i="5"/>
  <c r="J277" i="5"/>
  <c r="J276" i="5"/>
  <c r="J275" i="5"/>
  <c r="J274" i="5"/>
  <c r="J273" i="5"/>
  <c r="J272" i="5"/>
  <c r="J270" i="5"/>
  <c r="J269" i="5"/>
  <c r="J268" i="5"/>
  <c r="J267" i="5"/>
  <c r="J266" i="5"/>
  <c r="Q287" i="5" s="1"/>
  <c r="J265" i="5"/>
  <c r="J263" i="5"/>
  <c r="J262" i="5"/>
  <c r="J261" i="5"/>
  <c r="J260" i="5"/>
  <c r="J259" i="5"/>
  <c r="J258" i="5"/>
  <c r="J256" i="5"/>
  <c r="J255" i="5"/>
  <c r="J254" i="5"/>
  <c r="J253" i="5"/>
  <c r="J252" i="5"/>
  <c r="J251" i="5"/>
  <c r="J249" i="5"/>
  <c r="J242" i="5"/>
  <c r="J241" i="5"/>
  <c r="Q255" i="5" s="1"/>
  <c r="J240" i="5"/>
  <c r="J239" i="5"/>
  <c r="J238" i="5"/>
  <c r="J237" i="5"/>
  <c r="J235" i="5"/>
  <c r="J234" i="5"/>
  <c r="J233" i="5"/>
  <c r="Q237" i="5" s="1"/>
  <c r="J232" i="5"/>
  <c r="J231" i="5"/>
  <c r="J230" i="5"/>
  <c r="J228" i="5"/>
  <c r="J227" i="5"/>
  <c r="J226" i="5"/>
  <c r="J225" i="5"/>
  <c r="J224" i="5"/>
  <c r="J223" i="5"/>
  <c r="J221" i="5"/>
  <c r="J220" i="5"/>
  <c r="J219" i="5"/>
  <c r="J218" i="5"/>
  <c r="J217" i="5"/>
  <c r="J214" i="5"/>
  <c r="J213" i="5"/>
  <c r="J212" i="5"/>
  <c r="J211" i="5"/>
  <c r="J210" i="5"/>
  <c r="J209" i="5"/>
  <c r="J207" i="5"/>
  <c r="J206" i="5"/>
  <c r="J205" i="5"/>
  <c r="J204" i="5"/>
  <c r="J203" i="5"/>
  <c r="J202" i="5"/>
  <c r="J200" i="5"/>
  <c r="J199" i="5"/>
  <c r="J198" i="5"/>
  <c r="J197" i="5"/>
  <c r="J196" i="5"/>
  <c r="J195" i="5"/>
  <c r="J193" i="5"/>
  <c r="J192" i="5"/>
  <c r="J191" i="5"/>
  <c r="J190" i="5"/>
  <c r="J189" i="5"/>
  <c r="J188" i="5"/>
  <c r="J186" i="5"/>
  <c r="J185" i="5"/>
  <c r="J184" i="5"/>
  <c r="J183" i="5"/>
  <c r="J182" i="5"/>
  <c r="J181" i="5"/>
  <c r="J179" i="5"/>
  <c r="J178" i="5"/>
  <c r="J177" i="5"/>
  <c r="J176" i="5"/>
  <c r="J175" i="5"/>
  <c r="J174" i="5"/>
  <c r="J172" i="5"/>
  <c r="Q181" i="5" s="1"/>
  <c r="J171" i="5"/>
  <c r="J170" i="5"/>
  <c r="J169" i="5"/>
  <c r="J168" i="5"/>
  <c r="J167" i="5"/>
  <c r="J165" i="5"/>
  <c r="J164" i="5"/>
  <c r="J163" i="5"/>
  <c r="J162" i="5"/>
  <c r="J161" i="5"/>
  <c r="J160" i="5"/>
  <c r="J158" i="5"/>
  <c r="J157" i="5"/>
  <c r="J156" i="5"/>
  <c r="J155" i="5"/>
  <c r="J154" i="5"/>
  <c r="J153" i="5"/>
  <c r="J151" i="5"/>
  <c r="J150" i="5"/>
  <c r="J149" i="5"/>
  <c r="J148" i="5"/>
  <c r="J147" i="5"/>
  <c r="J142" i="5"/>
  <c r="J141" i="5"/>
  <c r="J140" i="5"/>
  <c r="J137" i="5"/>
  <c r="J136" i="5"/>
  <c r="J135" i="5"/>
  <c r="J134" i="5"/>
  <c r="J133" i="5"/>
  <c r="J132" i="5"/>
  <c r="J130" i="5"/>
  <c r="J129" i="5"/>
  <c r="J128" i="5"/>
  <c r="J127" i="5"/>
  <c r="J126" i="5"/>
  <c r="J125" i="5"/>
  <c r="J123" i="5"/>
  <c r="J122" i="5"/>
  <c r="J121" i="5"/>
  <c r="J120" i="5"/>
  <c r="J119" i="5"/>
  <c r="J118" i="5"/>
  <c r="J116" i="5"/>
  <c r="J115" i="5"/>
  <c r="J114" i="5"/>
  <c r="J113" i="5"/>
  <c r="J112" i="5"/>
  <c r="J111" i="5"/>
  <c r="Q121" i="5" s="1"/>
  <c r="J109" i="5"/>
  <c r="J108" i="5"/>
  <c r="J107" i="5"/>
  <c r="J106" i="5"/>
  <c r="J105" i="5"/>
  <c r="J104" i="5"/>
  <c r="J102" i="5"/>
  <c r="J101" i="5"/>
  <c r="J100" i="5"/>
  <c r="J98" i="5"/>
  <c r="J97" i="5"/>
  <c r="J95" i="5"/>
  <c r="J94" i="5"/>
  <c r="J93" i="5"/>
  <c r="J92" i="5"/>
  <c r="J91" i="5"/>
  <c r="J90" i="5"/>
  <c r="J88" i="5"/>
  <c r="J87" i="5"/>
  <c r="J86" i="5"/>
  <c r="J85" i="5"/>
  <c r="J84" i="5"/>
  <c r="J83" i="5"/>
  <c r="J81" i="5"/>
  <c r="J80" i="5"/>
  <c r="J79" i="5"/>
  <c r="J78" i="5"/>
  <c r="J77" i="5"/>
  <c r="J76" i="5"/>
  <c r="J74" i="5"/>
  <c r="J72" i="5"/>
  <c r="J71" i="5"/>
  <c r="J70" i="5"/>
  <c r="J69" i="5"/>
  <c r="J67" i="5"/>
  <c r="J66" i="5"/>
  <c r="J65" i="5"/>
  <c r="J64" i="5"/>
  <c r="J63" i="5"/>
  <c r="J60" i="5"/>
  <c r="J59" i="5"/>
  <c r="J58" i="5"/>
  <c r="J57" i="5"/>
  <c r="J56" i="5"/>
  <c r="J55" i="5"/>
  <c r="J53" i="5"/>
  <c r="J52" i="5"/>
  <c r="J51" i="5"/>
  <c r="Q55" i="5" s="1"/>
  <c r="J50" i="5"/>
  <c r="J49" i="5"/>
  <c r="J48" i="5"/>
  <c r="J46" i="5"/>
  <c r="J45" i="5"/>
  <c r="J44" i="5"/>
  <c r="J43" i="5"/>
  <c r="J42" i="5"/>
  <c r="J41" i="5"/>
  <c r="J39" i="5"/>
  <c r="J38" i="5"/>
  <c r="J37" i="5"/>
  <c r="J36" i="5"/>
  <c r="J35" i="5"/>
  <c r="J34" i="5"/>
  <c r="J32" i="5"/>
  <c r="J31" i="5"/>
  <c r="J30" i="5"/>
  <c r="J29" i="5"/>
  <c r="J28" i="5"/>
  <c r="J27" i="5"/>
  <c r="J24" i="5"/>
  <c r="G3" i="5"/>
  <c r="W385" i="5"/>
  <c r="V385" i="5"/>
  <c r="U385" i="5"/>
  <c r="R385" i="5"/>
  <c r="Q385" i="5"/>
  <c r="P385" i="5"/>
  <c r="M385" i="5"/>
  <c r="L385" i="5"/>
  <c r="N385" i="5" s="1"/>
  <c r="W384" i="5"/>
  <c r="V384" i="5"/>
  <c r="U384" i="5"/>
  <c r="R384" i="5"/>
  <c r="Q384" i="5"/>
  <c r="P384" i="5"/>
  <c r="M384" i="5"/>
  <c r="L384" i="5"/>
  <c r="N384" i="5" s="1"/>
  <c r="W383" i="5"/>
  <c r="V383" i="5"/>
  <c r="U383" i="5"/>
  <c r="R383" i="5"/>
  <c r="Q383" i="5"/>
  <c r="P383" i="5"/>
  <c r="M383" i="5"/>
  <c r="L383" i="5"/>
  <c r="N383" i="5" s="1"/>
  <c r="W376" i="5"/>
  <c r="V376" i="5"/>
  <c r="U376" i="5"/>
  <c r="R376" i="5"/>
  <c r="Q376" i="5"/>
  <c r="P376" i="5"/>
  <c r="M376" i="5"/>
  <c r="L376" i="5"/>
  <c r="N376" i="5" s="1"/>
  <c r="W369" i="5"/>
  <c r="V369" i="5"/>
  <c r="U369" i="5"/>
  <c r="R369" i="5"/>
  <c r="Q369" i="5"/>
  <c r="P369" i="5"/>
  <c r="M369" i="5"/>
  <c r="L369" i="5"/>
  <c r="N369" i="5" s="1"/>
  <c r="W362" i="5"/>
  <c r="V362" i="5"/>
  <c r="U362" i="5"/>
  <c r="R362" i="5"/>
  <c r="Q362" i="5"/>
  <c r="P362" i="5"/>
  <c r="M362" i="5"/>
  <c r="L362" i="5"/>
  <c r="N362" i="5" s="1"/>
  <c r="W355" i="5"/>
  <c r="V355" i="5"/>
  <c r="U355" i="5"/>
  <c r="R355" i="5"/>
  <c r="Q355" i="5"/>
  <c r="P355" i="5"/>
  <c r="M355" i="5"/>
  <c r="L355" i="5"/>
  <c r="W348" i="5"/>
  <c r="V348" i="5"/>
  <c r="U348" i="5"/>
  <c r="R348" i="5"/>
  <c r="Q348" i="5"/>
  <c r="P348" i="5"/>
  <c r="M348" i="5"/>
  <c r="L348" i="5"/>
  <c r="N348" i="5" s="1"/>
  <c r="W347" i="5"/>
  <c r="V347" i="5"/>
  <c r="U347" i="5"/>
  <c r="R347" i="5"/>
  <c r="Q347" i="5"/>
  <c r="P347" i="5"/>
  <c r="M347" i="5"/>
  <c r="L347" i="5"/>
  <c r="N347" i="5" s="1"/>
  <c r="W341" i="5"/>
  <c r="V341" i="5"/>
  <c r="U341" i="5"/>
  <c r="R341" i="5"/>
  <c r="Q341" i="5"/>
  <c r="P341" i="5"/>
  <c r="M341" i="5"/>
  <c r="L341" i="5"/>
  <c r="N341" i="5" s="1"/>
  <c r="W334" i="5"/>
  <c r="V334" i="5"/>
  <c r="U334" i="5"/>
  <c r="R334" i="5"/>
  <c r="Q334" i="5"/>
  <c r="P334" i="5"/>
  <c r="M334" i="5"/>
  <c r="L334" i="5"/>
  <c r="N334" i="5" s="1"/>
  <c r="W328" i="5"/>
  <c r="V328" i="5"/>
  <c r="U328" i="5"/>
  <c r="R328" i="5"/>
  <c r="Q328" i="5"/>
  <c r="P328" i="5"/>
  <c r="M328" i="5"/>
  <c r="L328" i="5"/>
  <c r="N328" i="5" s="1"/>
  <c r="W327" i="5"/>
  <c r="V327" i="5"/>
  <c r="U327" i="5"/>
  <c r="R327" i="5"/>
  <c r="Q327" i="5"/>
  <c r="P327" i="5"/>
  <c r="M327" i="5"/>
  <c r="L327" i="5"/>
  <c r="N327" i="5" s="1"/>
  <c r="W320" i="5"/>
  <c r="V320" i="5"/>
  <c r="U320" i="5"/>
  <c r="R320" i="5"/>
  <c r="Q320" i="5"/>
  <c r="P320" i="5"/>
  <c r="M320" i="5"/>
  <c r="L320" i="5"/>
  <c r="N320" i="5" s="1"/>
  <c r="W313" i="5"/>
  <c r="V313" i="5"/>
  <c r="U313" i="5"/>
  <c r="R313" i="5"/>
  <c r="Q313" i="5"/>
  <c r="P313" i="5"/>
  <c r="M313" i="5"/>
  <c r="L313" i="5"/>
  <c r="N313" i="5" s="1"/>
  <c r="W307" i="5"/>
  <c r="V307" i="5"/>
  <c r="U307" i="5"/>
  <c r="R307" i="5"/>
  <c r="Q307" i="5"/>
  <c r="P307" i="5"/>
  <c r="M307" i="5"/>
  <c r="L307" i="5"/>
  <c r="N307" i="5" s="1"/>
  <c r="W306" i="5"/>
  <c r="V306" i="5"/>
  <c r="U306" i="5"/>
  <c r="R306" i="5"/>
  <c r="Q306" i="5"/>
  <c r="P306" i="5"/>
  <c r="M306" i="5"/>
  <c r="L306" i="5"/>
  <c r="N306" i="5" s="1"/>
  <c r="Q300" i="5"/>
  <c r="W299" i="5"/>
  <c r="V299" i="5"/>
  <c r="U299" i="5"/>
  <c r="R299" i="5"/>
  <c r="Q299" i="5"/>
  <c r="P299" i="5"/>
  <c r="M299" i="5"/>
  <c r="L299" i="5"/>
  <c r="N299" i="5" s="1"/>
  <c r="Q298" i="5"/>
  <c r="Q297" i="5"/>
  <c r="Q296" i="5"/>
  <c r="W292" i="5"/>
  <c r="V292" i="5"/>
  <c r="U292" i="5"/>
  <c r="R292" i="5"/>
  <c r="Q292" i="5"/>
  <c r="P292" i="5"/>
  <c r="M292" i="5"/>
  <c r="L292" i="5"/>
  <c r="N292" i="5" s="1"/>
  <c r="W286" i="5"/>
  <c r="V286" i="5"/>
  <c r="U286" i="5"/>
  <c r="R286" i="5"/>
  <c r="Q286" i="5"/>
  <c r="P286" i="5"/>
  <c r="M286" i="5"/>
  <c r="L286" i="5"/>
  <c r="N286" i="5" s="1"/>
  <c r="W285" i="5"/>
  <c r="V285" i="5"/>
  <c r="U285" i="5"/>
  <c r="R285" i="5"/>
  <c r="Q285" i="5"/>
  <c r="P285" i="5"/>
  <c r="M285" i="5"/>
  <c r="L285" i="5"/>
  <c r="N285" i="5" s="1"/>
  <c r="W279" i="5"/>
  <c r="V279" i="5"/>
  <c r="U279" i="5"/>
  <c r="R279" i="5"/>
  <c r="Q279" i="5"/>
  <c r="P279" i="5"/>
  <c r="M279" i="5"/>
  <c r="L279" i="5"/>
  <c r="N279" i="5" s="1"/>
  <c r="W278" i="5"/>
  <c r="V278" i="5"/>
  <c r="U278" i="5"/>
  <c r="R278" i="5"/>
  <c r="Q278" i="5"/>
  <c r="P278" i="5"/>
  <c r="M278" i="5"/>
  <c r="L278" i="5"/>
  <c r="N278" i="5" s="1"/>
  <c r="W271" i="5"/>
  <c r="V271" i="5"/>
  <c r="U271" i="5"/>
  <c r="R271" i="5"/>
  <c r="Q271" i="5"/>
  <c r="P271" i="5"/>
  <c r="M271" i="5"/>
  <c r="L271" i="5"/>
  <c r="N271" i="5" s="1"/>
  <c r="Q265" i="5"/>
  <c r="W264" i="5"/>
  <c r="V264" i="5"/>
  <c r="U264" i="5"/>
  <c r="R264" i="5"/>
  <c r="Q264" i="5"/>
  <c r="P264" i="5"/>
  <c r="M264" i="5"/>
  <c r="L264" i="5"/>
  <c r="W257" i="5"/>
  <c r="V257" i="5"/>
  <c r="U257" i="5"/>
  <c r="R257" i="5"/>
  <c r="Q257" i="5"/>
  <c r="P257" i="5"/>
  <c r="M257" i="5"/>
  <c r="L257" i="5"/>
  <c r="N257" i="5" s="1"/>
  <c r="W250" i="5"/>
  <c r="V250" i="5"/>
  <c r="U250" i="5"/>
  <c r="R250" i="5"/>
  <c r="Q250" i="5"/>
  <c r="P250" i="5"/>
  <c r="M250" i="5"/>
  <c r="L250" i="5"/>
  <c r="N250" i="5" s="1"/>
  <c r="W248" i="5"/>
  <c r="V248" i="5"/>
  <c r="U248" i="5"/>
  <c r="R248" i="5"/>
  <c r="Q248" i="5"/>
  <c r="P248" i="5"/>
  <c r="M248" i="5"/>
  <c r="L248" i="5"/>
  <c r="N248" i="5" s="1"/>
  <c r="W247" i="5"/>
  <c r="V247" i="5"/>
  <c r="U247" i="5"/>
  <c r="R247" i="5"/>
  <c r="Q247" i="5"/>
  <c r="P247" i="5"/>
  <c r="M247" i="5"/>
  <c r="L247" i="5"/>
  <c r="N247" i="5" s="1"/>
  <c r="W246" i="5"/>
  <c r="V246" i="5"/>
  <c r="U246" i="5"/>
  <c r="R246" i="5"/>
  <c r="Q246" i="5"/>
  <c r="P246" i="5"/>
  <c r="M246" i="5"/>
  <c r="L246" i="5"/>
  <c r="N246" i="5" s="1"/>
  <c r="W245" i="5"/>
  <c r="V245" i="5"/>
  <c r="U245" i="5"/>
  <c r="R245" i="5"/>
  <c r="Q245" i="5"/>
  <c r="P245" i="5"/>
  <c r="M245" i="5"/>
  <c r="L245" i="5"/>
  <c r="N245" i="5" s="1"/>
  <c r="W244" i="5"/>
  <c r="V244" i="5"/>
  <c r="U244" i="5"/>
  <c r="R244" i="5"/>
  <c r="Q244" i="5"/>
  <c r="P244" i="5"/>
  <c r="M244" i="5"/>
  <c r="L244" i="5"/>
  <c r="N244" i="5" s="1"/>
  <c r="W243" i="5"/>
  <c r="V243" i="5"/>
  <c r="U243" i="5"/>
  <c r="R243" i="5"/>
  <c r="Q243" i="5"/>
  <c r="P243" i="5"/>
  <c r="M243" i="5"/>
  <c r="L243" i="5"/>
  <c r="N243" i="5" s="1"/>
  <c r="W236" i="5"/>
  <c r="V236" i="5"/>
  <c r="U236" i="5"/>
  <c r="R236" i="5"/>
  <c r="Q236" i="5"/>
  <c r="P236" i="5"/>
  <c r="M236" i="5"/>
  <c r="L236" i="5"/>
  <c r="N236" i="5" s="1"/>
  <c r="Q234" i="5"/>
  <c r="Q233" i="5"/>
  <c r="W229" i="5"/>
  <c r="V229" i="5"/>
  <c r="U229" i="5"/>
  <c r="R229" i="5"/>
  <c r="Q229" i="5"/>
  <c r="P229" i="5"/>
  <c r="M229" i="5"/>
  <c r="L229" i="5"/>
  <c r="N229" i="5" s="1"/>
  <c r="W222" i="5"/>
  <c r="V222" i="5"/>
  <c r="U222" i="5"/>
  <c r="R222" i="5"/>
  <c r="Q222" i="5"/>
  <c r="P222" i="5"/>
  <c r="M222" i="5"/>
  <c r="L222" i="5"/>
  <c r="N222" i="5" s="1"/>
  <c r="W216" i="5"/>
  <c r="V216" i="5"/>
  <c r="U216" i="5"/>
  <c r="R216" i="5"/>
  <c r="Q216" i="5"/>
  <c r="P216" i="5"/>
  <c r="M216" i="5"/>
  <c r="L216" i="5"/>
  <c r="N216" i="5" s="1"/>
  <c r="W215" i="5"/>
  <c r="V215" i="5"/>
  <c r="U215" i="5"/>
  <c r="R215" i="5"/>
  <c r="Q215" i="5"/>
  <c r="P215" i="5"/>
  <c r="M215" i="5"/>
  <c r="L215" i="5"/>
  <c r="N215" i="5" s="1"/>
  <c r="W208" i="5"/>
  <c r="V208" i="5"/>
  <c r="U208" i="5"/>
  <c r="R208" i="5"/>
  <c r="Q208" i="5"/>
  <c r="P208" i="5"/>
  <c r="M208" i="5"/>
  <c r="L208" i="5"/>
  <c r="N208" i="5" s="1"/>
  <c r="Q202" i="5"/>
  <c r="W201" i="5"/>
  <c r="V201" i="5"/>
  <c r="U201" i="5"/>
  <c r="R201" i="5"/>
  <c r="Q201" i="5"/>
  <c r="P201" i="5"/>
  <c r="M201" i="5"/>
  <c r="L201" i="5"/>
  <c r="N201" i="5" s="1"/>
  <c r="W194" i="5"/>
  <c r="V194" i="5"/>
  <c r="U194" i="5"/>
  <c r="R194" i="5"/>
  <c r="Q194" i="5"/>
  <c r="P194" i="5"/>
  <c r="M194" i="5"/>
  <c r="L194" i="5"/>
  <c r="N194" i="5" s="1"/>
  <c r="W187" i="5"/>
  <c r="V187" i="5"/>
  <c r="U187" i="5"/>
  <c r="R187" i="5"/>
  <c r="Q187" i="5"/>
  <c r="P187" i="5"/>
  <c r="M187" i="5"/>
  <c r="L187" i="5"/>
  <c r="N187" i="5" s="1"/>
  <c r="W180" i="5"/>
  <c r="V180" i="5"/>
  <c r="U180" i="5"/>
  <c r="R180" i="5"/>
  <c r="Q180" i="5"/>
  <c r="P180" i="5"/>
  <c r="M180" i="5"/>
  <c r="L180" i="5"/>
  <c r="N180" i="5" s="1"/>
  <c r="Q179" i="5"/>
  <c r="Q178" i="5"/>
  <c r="Q177" i="5"/>
  <c r="Q176" i="5"/>
  <c r="Q175" i="5"/>
  <c r="Q174" i="5"/>
  <c r="W173" i="5"/>
  <c r="V173" i="5"/>
  <c r="U173" i="5"/>
  <c r="R173" i="5"/>
  <c r="Q173" i="5"/>
  <c r="P173" i="5"/>
  <c r="M173" i="5"/>
  <c r="L173" i="5"/>
  <c r="N173" i="5" s="1"/>
  <c r="W166" i="5"/>
  <c r="V166" i="5"/>
  <c r="U166" i="5"/>
  <c r="R166" i="5"/>
  <c r="Q166" i="5"/>
  <c r="P166" i="5"/>
  <c r="M166" i="5"/>
  <c r="L166" i="5"/>
  <c r="N166" i="5" s="1"/>
  <c r="W159" i="5"/>
  <c r="V159" i="5"/>
  <c r="U159" i="5"/>
  <c r="R159" i="5"/>
  <c r="Q159" i="5"/>
  <c r="P159" i="5"/>
  <c r="M159" i="5"/>
  <c r="L159" i="5"/>
  <c r="N159" i="5" s="1"/>
  <c r="W152" i="5"/>
  <c r="V152" i="5"/>
  <c r="U152" i="5"/>
  <c r="R152" i="5"/>
  <c r="Q152" i="5"/>
  <c r="P152" i="5"/>
  <c r="M152" i="5"/>
  <c r="L152" i="5"/>
  <c r="N152" i="5" s="1"/>
  <c r="W146" i="5"/>
  <c r="V146" i="5"/>
  <c r="U146" i="5"/>
  <c r="R146" i="5"/>
  <c r="Q146" i="5"/>
  <c r="P146" i="5"/>
  <c r="M146" i="5"/>
  <c r="L146" i="5"/>
  <c r="N146" i="5" s="1"/>
  <c r="W145" i="5"/>
  <c r="V145" i="5"/>
  <c r="U145" i="5"/>
  <c r="R145" i="5"/>
  <c r="Q145" i="5"/>
  <c r="P145" i="5"/>
  <c r="M145" i="5"/>
  <c r="L145" i="5"/>
  <c r="N145" i="5" s="1"/>
  <c r="W144" i="5"/>
  <c r="V144" i="5"/>
  <c r="U144" i="5"/>
  <c r="R144" i="5"/>
  <c r="Q144" i="5"/>
  <c r="P144" i="5"/>
  <c r="M144" i="5"/>
  <c r="L144" i="5"/>
  <c r="N144" i="5" s="1"/>
  <c r="W143" i="5"/>
  <c r="V143" i="5"/>
  <c r="U143" i="5"/>
  <c r="R143" i="5"/>
  <c r="Q143" i="5"/>
  <c r="P143" i="5"/>
  <c r="M143" i="5"/>
  <c r="L143" i="5"/>
  <c r="N143" i="5" s="1"/>
  <c r="Q141" i="5"/>
  <c r="W139" i="5"/>
  <c r="V139" i="5"/>
  <c r="U139" i="5"/>
  <c r="R139" i="5"/>
  <c r="Q139" i="5"/>
  <c r="P139" i="5"/>
  <c r="M139" i="5"/>
  <c r="L139" i="5"/>
  <c r="N139" i="5" s="1"/>
  <c r="W138" i="5"/>
  <c r="V138" i="5"/>
  <c r="U138" i="5"/>
  <c r="R138" i="5"/>
  <c r="Q138" i="5"/>
  <c r="P138" i="5"/>
  <c r="M138" i="5"/>
  <c r="L138" i="5"/>
  <c r="N138" i="5" s="1"/>
  <c r="W131" i="5"/>
  <c r="V131" i="5"/>
  <c r="U131" i="5"/>
  <c r="R131" i="5"/>
  <c r="Q131" i="5"/>
  <c r="P131" i="5"/>
  <c r="M131" i="5"/>
  <c r="L131" i="5"/>
  <c r="N131" i="5" s="1"/>
  <c r="W124" i="5"/>
  <c r="V124" i="5"/>
  <c r="U124" i="5"/>
  <c r="R124" i="5"/>
  <c r="Q124" i="5"/>
  <c r="P124" i="5"/>
  <c r="M124" i="5"/>
  <c r="L124" i="5"/>
  <c r="N124" i="5" s="1"/>
  <c r="W117" i="5"/>
  <c r="V117" i="5"/>
  <c r="U117" i="5"/>
  <c r="R117" i="5"/>
  <c r="Q117" i="5"/>
  <c r="P117" i="5"/>
  <c r="M117" i="5"/>
  <c r="L117" i="5"/>
  <c r="N117" i="5" s="1"/>
  <c r="Q116" i="5"/>
  <c r="Q115" i="5"/>
  <c r="Q114" i="5"/>
  <c r="Q113" i="5"/>
  <c r="W110" i="5"/>
  <c r="V110" i="5"/>
  <c r="U110" i="5"/>
  <c r="R110" i="5"/>
  <c r="Q110" i="5"/>
  <c r="P110" i="5"/>
  <c r="M110" i="5"/>
  <c r="L110" i="5"/>
  <c r="N110" i="5" s="1"/>
  <c r="W103" i="5"/>
  <c r="V103" i="5"/>
  <c r="U103" i="5"/>
  <c r="R103" i="5"/>
  <c r="Q103" i="5"/>
  <c r="P103" i="5"/>
  <c r="M103" i="5"/>
  <c r="L103" i="5"/>
  <c r="N103" i="5" s="1"/>
  <c r="W99" i="5"/>
  <c r="V99" i="5"/>
  <c r="U99" i="5"/>
  <c r="R99" i="5"/>
  <c r="Q99" i="5"/>
  <c r="P99" i="5"/>
  <c r="M99" i="5"/>
  <c r="L99" i="5"/>
  <c r="N99" i="5" s="1"/>
  <c r="W96" i="5"/>
  <c r="V96" i="5"/>
  <c r="U96" i="5"/>
  <c r="R96" i="5"/>
  <c r="Q96" i="5"/>
  <c r="P96" i="5"/>
  <c r="M96" i="5"/>
  <c r="L96" i="5"/>
  <c r="N96" i="5" s="1"/>
  <c r="W89" i="5"/>
  <c r="V89" i="5"/>
  <c r="U89" i="5"/>
  <c r="R89" i="5"/>
  <c r="Q89" i="5"/>
  <c r="P89" i="5"/>
  <c r="M89" i="5"/>
  <c r="L89" i="5"/>
  <c r="N89" i="5" s="1"/>
  <c r="W82" i="5"/>
  <c r="V82" i="5"/>
  <c r="U82" i="5"/>
  <c r="R82" i="5"/>
  <c r="Q82" i="5"/>
  <c r="P82" i="5"/>
  <c r="M82" i="5"/>
  <c r="L82" i="5"/>
  <c r="N82" i="5" s="1"/>
  <c r="Q80" i="5"/>
  <c r="W75" i="5"/>
  <c r="V75" i="5"/>
  <c r="U75" i="5"/>
  <c r="R75" i="5"/>
  <c r="Q75" i="5"/>
  <c r="P75" i="5"/>
  <c r="M75" i="5"/>
  <c r="L75" i="5"/>
  <c r="N75" i="5" s="1"/>
  <c r="W73" i="5"/>
  <c r="V73" i="5"/>
  <c r="U73" i="5"/>
  <c r="R73" i="5"/>
  <c r="Q73" i="5"/>
  <c r="P73" i="5"/>
  <c r="M73" i="5"/>
  <c r="L73" i="5"/>
  <c r="N73" i="5" s="1"/>
  <c r="W68" i="5"/>
  <c r="V68" i="5"/>
  <c r="U68" i="5"/>
  <c r="R68" i="5"/>
  <c r="Q68" i="5"/>
  <c r="P68" i="5"/>
  <c r="M68" i="5"/>
  <c r="L68" i="5"/>
  <c r="N68" i="5" s="1"/>
  <c r="W62" i="5"/>
  <c r="V62" i="5"/>
  <c r="U62" i="5"/>
  <c r="R62" i="5"/>
  <c r="Q62" i="5"/>
  <c r="P62" i="5"/>
  <c r="M62" i="5"/>
  <c r="L62" i="5"/>
  <c r="N62" i="5" s="1"/>
  <c r="W61" i="5"/>
  <c r="V61" i="5"/>
  <c r="U61" i="5"/>
  <c r="R61" i="5"/>
  <c r="Q61" i="5"/>
  <c r="P61" i="5"/>
  <c r="M61" i="5"/>
  <c r="L61" i="5"/>
  <c r="N61" i="5" s="1"/>
  <c r="Q60" i="5"/>
  <c r="Q59" i="5"/>
  <c r="Q58" i="5"/>
  <c r="Q57" i="5"/>
  <c r="Q56" i="5"/>
  <c r="W54" i="5"/>
  <c r="V54" i="5"/>
  <c r="U54" i="5"/>
  <c r="R54" i="5"/>
  <c r="Q54" i="5"/>
  <c r="P54" i="5"/>
  <c r="M54" i="5"/>
  <c r="L54" i="5"/>
  <c r="N54" i="5" s="1"/>
  <c r="Q53" i="5"/>
  <c r="Q52" i="5"/>
  <c r="Q51" i="5"/>
  <c r="W47" i="5"/>
  <c r="V47" i="5"/>
  <c r="U47" i="5"/>
  <c r="R47" i="5"/>
  <c r="Q47" i="5"/>
  <c r="P47" i="5"/>
  <c r="M47" i="5"/>
  <c r="L47" i="5"/>
  <c r="N47" i="5" s="1"/>
  <c r="AE40" i="5"/>
  <c r="W40" i="5"/>
  <c r="V40" i="5"/>
  <c r="U40" i="5"/>
  <c r="R40" i="5"/>
  <c r="Q40" i="5"/>
  <c r="P40" i="5"/>
  <c r="M40" i="5"/>
  <c r="L40" i="5"/>
  <c r="N40" i="5" s="1"/>
  <c r="W33" i="5"/>
  <c r="V33" i="5"/>
  <c r="U33" i="5"/>
  <c r="R33" i="5"/>
  <c r="Q33" i="5"/>
  <c r="P33" i="5"/>
  <c r="M33" i="5"/>
  <c r="L33" i="5"/>
  <c r="N33" i="5" s="1"/>
  <c r="W26" i="5"/>
  <c r="V26" i="5"/>
  <c r="U26" i="5"/>
  <c r="R26" i="5"/>
  <c r="Q26" i="5"/>
  <c r="P26" i="5"/>
  <c r="M26" i="5"/>
  <c r="L26" i="5"/>
  <c r="N26" i="5" s="1"/>
  <c r="W25" i="5"/>
  <c r="V25" i="5"/>
  <c r="U25" i="5"/>
  <c r="R25" i="5"/>
  <c r="Q25" i="5"/>
  <c r="P25" i="5"/>
  <c r="M25" i="5"/>
  <c r="L25" i="5"/>
  <c r="N25" i="5" s="1"/>
  <c r="V24" i="5"/>
  <c r="Q24" i="5"/>
  <c r="W23" i="5"/>
  <c r="V23" i="5"/>
  <c r="U23" i="5"/>
  <c r="R23" i="5"/>
  <c r="Q23" i="5"/>
  <c r="P23" i="5"/>
  <c r="M23" i="5"/>
  <c r="L23" i="5"/>
  <c r="N23" i="5" s="1"/>
  <c r="F23" i="5"/>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F46" i="5" s="1"/>
  <c r="F47" i="5" s="1"/>
  <c r="F48" i="5" s="1"/>
  <c r="F49" i="5" s="1"/>
  <c r="F50" i="5" s="1"/>
  <c r="F51" i="5" s="1"/>
  <c r="F52" i="5" s="1"/>
  <c r="F53" i="5" s="1"/>
  <c r="F54" i="5" s="1"/>
  <c r="F55" i="5" s="1"/>
  <c r="F56" i="5" s="1"/>
  <c r="F57" i="5" s="1"/>
  <c r="F58" i="5" s="1"/>
  <c r="F59" i="5" s="1"/>
  <c r="F60" i="5" s="1"/>
  <c r="F61" i="5" s="1"/>
  <c r="F62" i="5" s="1"/>
  <c r="F63" i="5" s="1"/>
  <c r="F64" i="5" s="1"/>
  <c r="F65" i="5" s="1"/>
  <c r="F66" i="5" s="1"/>
  <c r="F67" i="5" s="1"/>
  <c r="F68" i="5" s="1"/>
  <c r="F69" i="5" s="1"/>
  <c r="F70" i="5" s="1"/>
  <c r="F71" i="5" s="1"/>
  <c r="F72" i="5" s="1"/>
  <c r="F73" i="5" s="1"/>
  <c r="F74" i="5" s="1"/>
  <c r="F75" i="5" s="1"/>
  <c r="F76" i="5" s="1"/>
  <c r="F77" i="5" s="1"/>
  <c r="F78" i="5" s="1"/>
  <c r="F79" i="5" s="1"/>
  <c r="F80" i="5" s="1"/>
  <c r="F81" i="5" s="1"/>
  <c r="F82" i="5" s="1"/>
  <c r="F83" i="5" s="1"/>
  <c r="F84" i="5" s="1"/>
  <c r="F85" i="5" s="1"/>
  <c r="F86" i="5" s="1"/>
  <c r="F87" i="5" s="1"/>
  <c r="F88" i="5" s="1"/>
  <c r="F89" i="5" s="1"/>
  <c r="F90" i="5" s="1"/>
  <c r="F91" i="5" s="1"/>
  <c r="F92" i="5" s="1"/>
  <c r="F93" i="5" s="1"/>
  <c r="F94" i="5" s="1"/>
  <c r="F95" i="5" s="1"/>
  <c r="F96" i="5" s="1"/>
  <c r="F97" i="5" s="1"/>
  <c r="F98" i="5" s="1"/>
  <c r="F99" i="5" s="1"/>
  <c r="F100" i="5" s="1"/>
  <c r="F101" i="5" s="1"/>
  <c r="F102" i="5" s="1"/>
  <c r="F103" i="5" s="1"/>
  <c r="F104" i="5" s="1"/>
  <c r="F105" i="5" s="1"/>
  <c r="F106" i="5" s="1"/>
  <c r="F107" i="5" s="1"/>
  <c r="F108" i="5" s="1"/>
  <c r="F109" i="5" s="1"/>
  <c r="F110" i="5" s="1"/>
  <c r="F111" i="5" s="1"/>
  <c r="F112" i="5" s="1"/>
  <c r="F113" i="5" s="1"/>
  <c r="F114" i="5" s="1"/>
  <c r="F115" i="5" s="1"/>
  <c r="F116" i="5" s="1"/>
  <c r="F117" i="5" s="1"/>
  <c r="F118" i="5" s="1"/>
  <c r="F119" i="5" s="1"/>
  <c r="F120" i="5" s="1"/>
  <c r="F121" i="5" s="1"/>
  <c r="F122" i="5" s="1"/>
  <c r="F123" i="5" s="1"/>
  <c r="F124" i="5" s="1"/>
  <c r="F125" i="5" s="1"/>
  <c r="F126" i="5" s="1"/>
  <c r="F127" i="5" s="1"/>
  <c r="F128" i="5" s="1"/>
  <c r="F129" i="5" s="1"/>
  <c r="F130" i="5" s="1"/>
  <c r="F131" i="5" s="1"/>
  <c r="F132" i="5" s="1"/>
  <c r="F133" i="5" s="1"/>
  <c r="F134" i="5" s="1"/>
  <c r="F135" i="5" s="1"/>
  <c r="F136" i="5" s="1"/>
  <c r="F137" i="5" s="1"/>
  <c r="F138" i="5" s="1"/>
  <c r="F139" i="5" s="1"/>
  <c r="F140" i="5" s="1"/>
  <c r="F141" i="5" s="1"/>
  <c r="F142" i="5" s="1"/>
  <c r="F143" i="5" s="1"/>
  <c r="F144" i="5" s="1"/>
  <c r="F145" i="5" s="1"/>
  <c r="F146" i="5" s="1"/>
  <c r="F147" i="5" s="1"/>
  <c r="F148" i="5" s="1"/>
  <c r="F149" i="5" s="1"/>
  <c r="F150" i="5" s="1"/>
  <c r="F151" i="5" s="1"/>
  <c r="F152" i="5" s="1"/>
  <c r="F153" i="5" s="1"/>
  <c r="F154" i="5" s="1"/>
  <c r="F155" i="5" s="1"/>
  <c r="F156" i="5" s="1"/>
  <c r="F157" i="5" s="1"/>
  <c r="F158" i="5" s="1"/>
  <c r="F159" i="5" s="1"/>
  <c r="F160" i="5" s="1"/>
  <c r="F161" i="5" s="1"/>
  <c r="F162" i="5" s="1"/>
  <c r="F163" i="5" s="1"/>
  <c r="F164" i="5" s="1"/>
  <c r="F165" i="5" s="1"/>
  <c r="F166" i="5" s="1"/>
  <c r="F167" i="5" s="1"/>
  <c r="F168" i="5" s="1"/>
  <c r="F169" i="5" s="1"/>
  <c r="F170" i="5" s="1"/>
  <c r="F171" i="5" s="1"/>
  <c r="F172" i="5" s="1"/>
  <c r="F173" i="5" s="1"/>
  <c r="F174" i="5" s="1"/>
  <c r="F175" i="5" s="1"/>
  <c r="F176" i="5" s="1"/>
  <c r="F177" i="5" s="1"/>
  <c r="F178" i="5" s="1"/>
  <c r="F179" i="5" s="1"/>
  <c r="F180" i="5" s="1"/>
  <c r="F181" i="5" s="1"/>
  <c r="F182" i="5" s="1"/>
  <c r="F183" i="5" s="1"/>
  <c r="F184" i="5" s="1"/>
  <c r="F185" i="5" s="1"/>
  <c r="F186" i="5" s="1"/>
  <c r="F187" i="5" s="1"/>
  <c r="F188" i="5" s="1"/>
  <c r="F189" i="5" s="1"/>
  <c r="F190" i="5" s="1"/>
  <c r="F191" i="5" s="1"/>
  <c r="F192" i="5" s="1"/>
  <c r="F193" i="5" s="1"/>
  <c r="F194" i="5" s="1"/>
  <c r="F195" i="5" s="1"/>
  <c r="F196" i="5" s="1"/>
  <c r="F197" i="5" s="1"/>
  <c r="F198" i="5" s="1"/>
  <c r="F199" i="5" s="1"/>
  <c r="F200" i="5" s="1"/>
  <c r="F201" i="5" s="1"/>
  <c r="F202" i="5" s="1"/>
  <c r="F203" i="5" s="1"/>
  <c r="F204" i="5" s="1"/>
  <c r="F205" i="5" s="1"/>
  <c r="F206" i="5" s="1"/>
  <c r="F207" i="5" s="1"/>
  <c r="F208" i="5" s="1"/>
  <c r="F209" i="5" s="1"/>
  <c r="F210" i="5" s="1"/>
  <c r="F211" i="5" s="1"/>
  <c r="F212" i="5" s="1"/>
  <c r="F213" i="5" s="1"/>
  <c r="F214" i="5" s="1"/>
  <c r="F215" i="5" s="1"/>
  <c r="F216" i="5" s="1"/>
  <c r="F217" i="5" s="1"/>
  <c r="F218" i="5" s="1"/>
  <c r="F219" i="5" s="1"/>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F240" i="5" s="1"/>
  <c r="F241" i="5" s="1"/>
  <c r="F242" i="5" s="1"/>
  <c r="F243" i="5" s="1"/>
  <c r="F244" i="5" s="1"/>
  <c r="F245" i="5" s="1"/>
  <c r="F246" i="5" s="1"/>
  <c r="F247" i="5" s="1"/>
  <c r="F248" i="5" s="1"/>
  <c r="F249" i="5" s="1"/>
  <c r="F250" i="5" s="1"/>
  <c r="F251" i="5" s="1"/>
  <c r="F252" i="5" s="1"/>
  <c r="F253" i="5" s="1"/>
  <c r="F254" i="5" s="1"/>
  <c r="F255" i="5" s="1"/>
  <c r="F256" i="5" s="1"/>
  <c r="F257" i="5" s="1"/>
  <c r="F258" i="5" s="1"/>
  <c r="F259" i="5" s="1"/>
  <c r="F260" i="5" s="1"/>
  <c r="F261" i="5" s="1"/>
  <c r="F262" i="5" s="1"/>
  <c r="F263" i="5" s="1"/>
  <c r="F264" i="5" s="1"/>
  <c r="F265" i="5" s="1"/>
  <c r="F266" i="5" s="1"/>
  <c r="F267" i="5" s="1"/>
  <c r="F268" i="5" s="1"/>
  <c r="F269" i="5" s="1"/>
  <c r="F270" i="5" s="1"/>
  <c r="F271" i="5" s="1"/>
  <c r="F272" i="5" s="1"/>
  <c r="F273" i="5" s="1"/>
  <c r="F274" i="5" s="1"/>
  <c r="F275" i="5" s="1"/>
  <c r="F276" i="5" s="1"/>
  <c r="F277" i="5" s="1"/>
  <c r="F278" i="5" s="1"/>
  <c r="F279" i="5" s="1"/>
  <c r="F280" i="5" s="1"/>
  <c r="F281" i="5" s="1"/>
  <c r="F282" i="5" s="1"/>
  <c r="F283" i="5" s="1"/>
  <c r="F284" i="5" s="1"/>
  <c r="F285" i="5" s="1"/>
  <c r="F286" i="5" s="1"/>
  <c r="F287" i="5" s="1"/>
  <c r="F288" i="5" s="1"/>
  <c r="F289" i="5" s="1"/>
  <c r="F290" i="5" s="1"/>
  <c r="F291" i="5" s="1"/>
  <c r="F292" i="5" s="1"/>
  <c r="F293" i="5" s="1"/>
  <c r="F294" i="5" s="1"/>
  <c r="F295" i="5" s="1"/>
  <c r="F296" i="5" s="1"/>
  <c r="F297" i="5" s="1"/>
  <c r="F298" i="5" s="1"/>
  <c r="F299" i="5" s="1"/>
  <c r="F300" i="5" s="1"/>
  <c r="F301" i="5" s="1"/>
  <c r="F302" i="5" s="1"/>
  <c r="F303" i="5" s="1"/>
  <c r="F304" i="5" s="1"/>
  <c r="F305" i="5" s="1"/>
  <c r="F306" i="5" s="1"/>
  <c r="F307" i="5" s="1"/>
  <c r="F308" i="5" s="1"/>
  <c r="F309" i="5" s="1"/>
  <c r="F310" i="5" s="1"/>
  <c r="F311" i="5" s="1"/>
  <c r="F312" i="5" s="1"/>
  <c r="F313" i="5" s="1"/>
  <c r="F314" i="5" s="1"/>
  <c r="F315" i="5" s="1"/>
  <c r="F316" i="5" s="1"/>
  <c r="F317" i="5" s="1"/>
  <c r="F318" i="5" s="1"/>
  <c r="F319" i="5" s="1"/>
  <c r="F320" i="5" s="1"/>
  <c r="F321" i="5" s="1"/>
  <c r="F322" i="5" s="1"/>
  <c r="F323" i="5" s="1"/>
  <c r="F324" i="5" s="1"/>
  <c r="F325" i="5" s="1"/>
  <c r="F326" i="5" s="1"/>
  <c r="F327" i="5" s="1"/>
  <c r="F328" i="5" s="1"/>
  <c r="F329" i="5" s="1"/>
  <c r="F330" i="5" s="1"/>
  <c r="F331" i="5" s="1"/>
  <c r="F332" i="5" s="1"/>
  <c r="F333" i="5" s="1"/>
  <c r="F334" i="5" s="1"/>
  <c r="F335" i="5" s="1"/>
  <c r="F336" i="5" s="1"/>
  <c r="F337" i="5" s="1"/>
  <c r="F338" i="5" s="1"/>
  <c r="F339" i="5" s="1"/>
  <c r="F340" i="5" s="1"/>
  <c r="F341" i="5" s="1"/>
  <c r="F342" i="5" s="1"/>
  <c r="F343" i="5" s="1"/>
  <c r="F344" i="5" s="1"/>
  <c r="F345" i="5" s="1"/>
  <c r="F346" i="5" s="1"/>
  <c r="F347" i="5" s="1"/>
  <c r="F348" i="5" s="1"/>
  <c r="F349" i="5" s="1"/>
  <c r="F350" i="5" s="1"/>
  <c r="F351" i="5" s="1"/>
  <c r="F352" i="5" s="1"/>
  <c r="F353" i="5" s="1"/>
  <c r="F354" i="5" s="1"/>
  <c r="F355" i="5" s="1"/>
  <c r="F356" i="5" s="1"/>
  <c r="F357" i="5" s="1"/>
  <c r="F358" i="5" s="1"/>
  <c r="F359" i="5" s="1"/>
  <c r="F360" i="5" s="1"/>
  <c r="F361" i="5" s="1"/>
  <c r="F362" i="5" s="1"/>
  <c r="F363" i="5" s="1"/>
  <c r="F364" i="5" s="1"/>
  <c r="F365" i="5" s="1"/>
  <c r="F366" i="5" s="1"/>
  <c r="F367" i="5" s="1"/>
  <c r="F368" i="5" s="1"/>
  <c r="F369" i="5" s="1"/>
  <c r="F370" i="5" s="1"/>
  <c r="F371" i="5" s="1"/>
  <c r="F372" i="5" s="1"/>
  <c r="F373" i="5" s="1"/>
  <c r="F374" i="5" s="1"/>
  <c r="F375" i="5" s="1"/>
  <c r="F376" i="5" s="1"/>
  <c r="F377" i="5" s="1"/>
  <c r="F378" i="5" s="1"/>
  <c r="F379" i="5" s="1"/>
  <c r="F380" i="5" s="1"/>
  <c r="F381" i="5" s="1"/>
  <c r="F382" i="5" s="1"/>
  <c r="F383" i="5" s="1"/>
  <c r="F384" i="5" s="1"/>
  <c r="F385" i="5" s="1"/>
  <c r="AA22" i="5"/>
  <c r="E22" i="5" s="1"/>
  <c r="W22" i="5"/>
  <c r="V22" i="5"/>
  <c r="U22" i="5"/>
  <c r="R22" i="5"/>
  <c r="Q22" i="5"/>
  <c r="P22" i="5"/>
  <c r="M22" i="5"/>
  <c r="L22" i="5"/>
  <c r="N22" i="5" s="1"/>
  <c r="AA21" i="5"/>
  <c r="E21" i="5" s="1"/>
  <c r="Z21" i="5"/>
  <c r="Z22" i="5" s="1"/>
  <c r="Z23" i="5" s="1"/>
  <c r="Z24" i="5" s="1"/>
  <c r="Z25" i="5" s="1"/>
  <c r="Z26" i="5" s="1"/>
  <c r="Z27" i="5" s="1"/>
  <c r="Z28" i="5" s="1"/>
  <c r="Z29" i="5" s="1"/>
  <c r="Z30" i="5" s="1"/>
  <c r="Z31" i="5" s="1"/>
  <c r="Z32" i="5" s="1"/>
  <c r="Z33" i="5" s="1"/>
  <c r="Z34" i="5" s="1"/>
  <c r="Z35" i="5" s="1"/>
  <c r="Z36" i="5" s="1"/>
  <c r="Z37" i="5" s="1"/>
  <c r="Z38" i="5" s="1"/>
  <c r="Z39" i="5" s="1"/>
  <c r="Z40" i="5" s="1"/>
  <c r="Z41" i="5" s="1"/>
  <c r="Z42" i="5" s="1"/>
  <c r="Z43" i="5" s="1"/>
  <c r="Z44" i="5" s="1"/>
  <c r="Z45" i="5" s="1"/>
  <c r="Z46" i="5" s="1"/>
  <c r="Z47" i="5" s="1"/>
  <c r="Z48" i="5" s="1"/>
  <c r="Z49" i="5" s="1"/>
  <c r="Z50" i="5" s="1"/>
  <c r="Z51" i="5" s="1"/>
  <c r="Z52" i="5" s="1"/>
  <c r="Z53" i="5" s="1"/>
  <c r="Z54" i="5" s="1"/>
  <c r="Z55" i="5" s="1"/>
  <c r="Z56" i="5" s="1"/>
  <c r="Z57" i="5" s="1"/>
  <c r="Z58" i="5" s="1"/>
  <c r="Z59" i="5" s="1"/>
  <c r="Z60" i="5" s="1"/>
  <c r="Z61" i="5" s="1"/>
  <c r="Z62" i="5" s="1"/>
  <c r="Z63" i="5" s="1"/>
  <c r="Z64" i="5" s="1"/>
  <c r="Z65" i="5" s="1"/>
  <c r="Z66" i="5" s="1"/>
  <c r="Z67" i="5" s="1"/>
  <c r="Z68" i="5" s="1"/>
  <c r="Z69" i="5" s="1"/>
  <c r="Z70" i="5" s="1"/>
  <c r="Z71" i="5" s="1"/>
  <c r="Z72" i="5" s="1"/>
  <c r="Z73" i="5" s="1"/>
  <c r="Z74" i="5" s="1"/>
  <c r="Z75" i="5" s="1"/>
  <c r="Z76" i="5" s="1"/>
  <c r="Z77" i="5" s="1"/>
  <c r="Z78" i="5" s="1"/>
  <c r="Z79" i="5" s="1"/>
  <c r="Z80" i="5" s="1"/>
  <c r="Z81" i="5" s="1"/>
  <c r="Z82" i="5" s="1"/>
  <c r="Z83" i="5" s="1"/>
  <c r="Z84" i="5" s="1"/>
  <c r="Z85" i="5" s="1"/>
  <c r="Z86" i="5" s="1"/>
  <c r="Z87" i="5" s="1"/>
  <c r="Z88" i="5" s="1"/>
  <c r="Z89" i="5" s="1"/>
  <c r="Z90" i="5" s="1"/>
  <c r="Z91" i="5" s="1"/>
  <c r="Z92" i="5" s="1"/>
  <c r="Z93" i="5" s="1"/>
  <c r="Z94" i="5" s="1"/>
  <c r="Z95" i="5" s="1"/>
  <c r="Z96" i="5" s="1"/>
  <c r="Z97" i="5" s="1"/>
  <c r="Z98" i="5" s="1"/>
  <c r="Z99" i="5" s="1"/>
  <c r="Z100" i="5" s="1"/>
  <c r="Z101" i="5" s="1"/>
  <c r="Z102" i="5" s="1"/>
  <c r="Z103" i="5" s="1"/>
  <c r="Z104" i="5" s="1"/>
  <c r="Z105" i="5" s="1"/>
  <c r="Z106" i="5" s="1"/>
  <c r="Z107" i="5" s="1"/>
  <c r="Z108" i="5" s="1"/>
  <c r="Z109" i="5" s="1"/>
  <c r="Z110" i="5" s="1"/>
  <c r="Z111" i="5" s="1"/>
  <c r="Z112" i="5" s="1"/>
  <c r="Z113" i="5" s="1"/>
  <c r="Z114" i="5" s="1"/>
  <c r="Z115" i="5" s="1"/>
  <c r="Z116" i="5" s="1"/>
  <c r="Z117" i="5" s="1"/>
  <c r="Z118" i="5" s="1"/>
  <c r="Z119" i="5" s="1"/>
  <c r="Z120" i="5" s="1"/>
  <c r="Z121" i="5" s="1"/>
  <c r="Z122" i="5" s="1"/>
  <c r="Z123" i="5" s="1"/>
  <c r="Z124" i="5" s="1"/>
  <c r="Z125" i="5" s="1"/>
  <c r="Z126" i="5" s="1"/>
  <c r="Z127" i="5" s="1"/>
  <c r="Z128" i="5" s="1"/>
  <c r="Z129" i="5" s="1"/>
  <c r="Z130" i="5" s="1"/>
  <c r="Z131" i="5" s="1"/>
  <c r="Z132" i="5" s="1"/>
  <c r="Z133" i="5" s="1"/>
  <c r="Z134" i="5" s="1"/>
  <c r="Z135" i="5" s="1"/>
  <c r="Z136" i="5" s="1"/>
  <c r="Z137" i="5" s="1"/>
  <c r="Z138" i="5" s="1"/>
  <c r="Z139" i="5" s="1"/>
  <c r="Z140" i="5" s="1"/>
  <c r="Z141" i="5" s="1"/>
  <c r="Z142" i="5" s="1"/>
  <c r="Z143" i="5" s="1"/>
  <c r="Z144" i="5" s="1"/>
  <c r="Z145" i="5" s="1"/>
  <c r="Z146" i="5" s="1"/>
  <c r="Z147" i="5" s="1"/>
  <c r="Z148" i="5" s="1"/>
  <c r="Z149" i="5" s="1"/>
  <c r="Z150" i="5" s="1"/>
  <c r="Z151" i="5" s="1"/>
  <c r="Z152" i="5" s="1"/>
  <c r="Z153" i="5" s="1"/>
  <c r="Z154" i="5" s="1"/>
  <c r="Z155" i="5" s="1"/>
  <c r="Z156" i="5" s="1"/>
  <c r="Z157" i="5" s="1"/>
  <c r="Z158" i="5" s="1"/>
  <c r="Z159" i="5" s="1"/>
  <c r="Z160" i="5" s="1"/>
  <c r="Z161" i="5" s="1"/>
  <c r="Z162" i="5" s="1"/>
  <c r="Z163" i="5" s="1"/>
  <c r="Z164" i="5" s="1"/>
  <c r="Z165" i="5" s="1"/>
  <c r="Z166" i="5" s="1"/>
  <c r="Z167" i="5" s="1"/>
  <c r="Z168" i="5" s="1"/>
  <c r="Z169" i="5" s="1"/>
  <c r="Z170" i="5" s="1"/>
  <c r="Z171" i="5" s="1"/>
  <c r="Z172" i="5" s="1"/>
  <c r="Z173" i="5" s="1"/>
  <c r="Z174" i="5" s="1"/>
  <c r="Z175" i="5" s="1"/>
  <c r="Z176" i="5" s="1"/>
  <c r="Z177" i="5" s="1"/>
  <c r="Z178" i="5" s="1"/>
  <c r="Z179" i="5" s="1"/>
  <c r="Z180" i="5" s="1"/>
  <c r="Z181" i="5" s="1"/>
  <c r="Z182" i="5" s="1"/>
  <c r="Z183" i="5" s="1"/>
  <c r="Z184" i="5" s="1"/>
  <c r="Z185" i="5" s="1"/>
  <c r="Z186" i="5" s="1"/>
  <c r="Z187" i="5" s="1"/>
  <c r="Z188" i="5" s="1"/>
  <c r="Z189" i="5" s="1"/>
  <c r="Z190" i="5" s="1"/>
  <c r="Z191" i="5" s="1"/>
  <c r="Z192" i="5" s="1"/>
  <c r="Z193" i="5" s="1"/>
  <c r="Z194" i="5" s="1"/>
  <c r="Z195" i="5" s="1"/>
  <c r="Z196" i="5" s="1"/>
  <c r="Z197" i="5" s="1"/>
  <c r="Z198" i="5" s="1"/>
  <c r="Z199" i="5" s="1"/>
  <c r="Z200" i="5" s="1"/>
  <c r="Z201" i="5" s="1"/>
  <c r="Z202" i="5" s="1"/>
  <c r="Z203" i="5" s="1"/>
  <c r="Z204" i="5" s="1"/>
  <c r="Z205" i="5" s="1"/>
  <c r="Z206" i="5" s="1"/>
  <c r="Z207" i="5" s="1"/>
  <c r="Z208" i="5" s="1"/>
  <c r="Z209" i="5" s="1"/>
  <c r="Z210" i="5" s="1"/>
  <c r="Z211" i="5" s="1"/>
  <c r="Z212" i="5" s="1"/>
  <c r="Z213" i="5" s="1"/>
  <c r="Z214" i="5" s="1"/>
  <c r="Z215" i="5" s="1"/>
  <c r="Z216" i="5" s="1"/>
  <c r="Z217" i="5" s="1"/>
  <c r="Z218" i="5" s="1"/>
  <c r="Z219" i="5" s="1"/>
  <c r="Z220" i="5" s="1"/>
  <c r="Z221" i="5" s="1"/>
  <c r="Z222" i="5" s="1"/>
  <c r="Z223" i="5" s="1"/>
  <c r="Z224" i="5" s="1"/>
  <c r="Z225" i="5" s="1"/>
  <c r="Z226" i="5" s="1"/>
  <c r="Z227" i="5" s="1"/>
  <c r="Z228" i="5" s="1"/>
  <c r="Z229" i="5" s="1"/>
  <c r="Z230" i="5" s="1"/>
  <c r="Z231" i="5" s="1"/>
  <c r="Z232" i="5" s="1"/>
  <c r="Z233" i="5" s="1"/>
  <c r="Z234" i="5" s="1"/>
  <c r="Z235" i="5" s="1"/>
  <c r="Z236" i="5" s="1"/>
  <c r="Z237" i="5" s="1"/>
  <c r="Z238" i="5" s="1"/>
  <c r="Z239" i="5" s="1"/>
  <c r="Z240" i="5" s="1"/>
  <c r="Z241" i="5" s="1"/>
  <c r="Z242" i="5" s="1"/>
  <c r="Z243" i="5" s="1"/>
  <c r="Z244" i="5" s="1"/>
  <c r="Z245" i="5" s="1"/>
  <c r="Z246" i="5" s="1"/>
  <c r="Z247" i="5" s="1"/>
  <c r="Z248" i="5" s="1"/>
  <c r="Z249" i="5" s="1"/>
  <c r="Z250" i="5" s="1"/>
  <c r="Z251" i="5" s="1"/>
  <c r="Z252" i="5" s="1"/>
  <c r="Z253" i="5" s="1"/>
  <c r="Z254" i="5" s="1"/>
  <c r="Z255" i="5" s="1"/>
  <c r="Z256" i="5" s="1"/>
  <c r="Z257" i="5" s="1"/>
  <c r="Z258" i="5" s="1"/>
  <c r="Z259" i="5" s="1"/>
  <c r="Z260" i="5" s="1"/>
  <c r="Z261" i="5" s="1"/>
  <c r="Z262" i="5" s="1"/>
  <c r="Z263" i="5" s="1"/>
  <c r="Z264" i="5" s="1"/>
  <c r="Z265" i="5" s="1"/>
  <c r="Z266" i="5" s="1"/>
  <c r="Z267" i="5" s="1"/>
  <c r="Z268" i="5" s="1"/>
  <c r="Z269" i="5" s="1"/>
  <c r="Z270" i="5" s="1"/>
  <c r="Z271" i="5" s="1"/>
  <c r="Z272" i="5" s="1"/>
  <c r="Z273" i="5" s="1"/>
  <c r="Z274" i="5" s="1"/>
  <c r="Z275" i="5" s="1"/>
  <c r="Z276" i="5" s="1"/>
  <c r="Z277" i="5" s="1"/>
  <c r="Z278" i="5" s="1"/>
  <c r="Z279" i="5" s="1"/>
  <c r="Z280" i="5" s="1"/>
  <c r="Z281" i="5" s="1"/>
  <c r="Z282" i="5" s="1"/>
  <c r="Z283" i="5" s="1"/>
  <c r="Z284" i="5" s="1"/>
  <c r="Z285" i="5" s="1"/>
  <c r="Z286" i="5" s="1"/>
  <c r="Z287" i="5" s="1"/>
  <c r="Z288" i="5" s="1"/>
  <c r="Z289" i="5" s="1"/>
  <c r="Z290" i="5" s="1"/>
  <c r="Z291" i="5" s="1"/>
  <c r="Z292" i="5" s="1"/>
  <c r="Z293" i="5" s="1"/>
  <c r="Z294" i="5" s="1"/>
  <c r="Z295" i="5" s="1"/>
  <c r="Z296" i="5" s="1"/>
  <c r="Z297" i="5" s="1"/>
  <c r="Z298" i="5" s="1"/>
  <c r="Z299" i="5" s="1"/>
  <c r="Z300" i="5" s="1"/>
  <c r="Z301" i="5" s="1"/>
  <c r="Z302" i="5" s="1"/>
  <c r="Z303" i="5" s="1"/>
  <c r="Z304" i="5" s="1"/>
  <c r="Z305" i="5" s="1"/>
  <c r="Z306" i="5" s="1"/>
  <c r="Z307" i="5" s="1"/>
  <c r="Z308" i="5" s="1"/>
  <c r="Z309" i="5" s="1"/>
  <c r="Z310" i="5" s="1"/>
  <c r="Z311" i="5" s="1"/>
  <c r="Z312" i="5" s="1"/>
  <c r="Z313" i="5" s="1"/>
  <c r="Z314" i="5" s="1"/>
  <c r="Z315" i="5" s="1"/>
  <c r="Z316" i="5" s="1"/>
  <c r="Z317" i="5" s="1"/>
  <c r="Z318" i="5" s="1"/>
  <c r="Z319" i="5" s="1"/>
  <c r="Z320" i="5" s="1"/>
  <c r="Z321" i="5" s="1"/>
  <c r="Z322" i="5" s="1"/>
  <c r="Z323" i="5" s="1"/>
  <c r="Z324" i="5" s="1"/>
  <c r="Z325" i="5" s="1"/>
  <c r="Z326" i="5" s="1"/>
  <c r="Z327" i="5" s="1"/>
  <c r="Z328" i="5" s="1"/>
  <c r="Z329" i="5" s="1"/>
  <c r="Z330" i="5" s="1"/>
  <c r="Z331" i="5" s="1"/>
  <c r="Z332" i="5" s="1"/>
  <c r="Z333" i="5" s="1"/>
  <c r="Z334" i="5" s="1"/>
  <c r="Z335" i="5" s="1"/>
  <c r="Z336" i="5" s="1"/>
  <c r="Z337" i="5" s="1"/>
  <c r="Z338" i="5" s="1"/>
  <c r="Z339" i="5" s="1"/>
  <c r="Z340" i="5" s="1"/>
  <c r="Z341" i="5" s="1"/>
  <c r="Z342" i="5" s="1"/>
  <c r="Z343" i="5" s="1"/>
  <c r="Z344" i="5" s="1"/>
  <c r="Z345" i="5" s="1"/>
  <c r="Z346" i="5" s="1"/>
  <c r="Z347" i="5" s="1"/>
  <c r="Z348" i="5" s="1"/>
  <c r="Z349" i="5" s="1"/>
  <c r="Z350" i="5" s="1"/>
  <c r="Z351" i="5" s="1"/>
  <c r="Z352" i="5" s="1"/>
  <c r="Z353" i="5" s="1"/>
  <c r="Z354" i="5" s="1"/>
  <c r="Z355" i="5" s="1"/>
  <c r="Z356" i="5" s="1"/>
  <c r="Z357" i="5" s="1"/>
  <c r="Z358" i="5" s="1"/>
  <c r="Z359" i="5" s="1"/>
  <c r="Z360" i="5" s="1"/>
  <c r="Z361" i="5" s="1"/>
  <c r="Z362" i="5" s="1"/>
  <c r="Z363" i="5" s="1"/>
  <c r="Z364" i="5" s="1"/>
  <c r="Z365" i="5" s="1"/>
  <c r="Z366" i="5" s="1"/>
  <c r="Z367" i="5" s="1"/>
  <c r="Z368" i="5" s="1"/>
  <c r="Z369" i="5" s="1"/>
  <c r="Z370" i="5" s="1"/>
  <c r="Z371" i="5" s="1"/>
  <c r="Z372" i="5" s="1"/>
  <c r="Z373" i="5" s="1"/>
  <c r="Z374" i="5" s="1"/>
  <c r="Z375" i="5" s="1"/>
  <c r="Z376" i="5" s="1"/>
  <c r="Z377" i="5" s="1"/>
  <c r="Z378" i="5" s="1"/>
  <c r="Z379" i="5" s="1"/>
  <c r="Z380" i="5" s="1"/>
  <c r="Z381" i="5" s="1"/>
  <c r="Z382" i="5" s="1"/>
  <c r="Z383" i="5" s="1"/>
  <c r="Z384" i="5" s="1"/>
  <c r="Z385" i="5" s="1"/>
  <c r="W21" i="5"/>
  <c r="V21" i="5"/>
  <c r="U21" i="5"/>
  <c r="R21" i="5"/>
  <c r="Q21" i="5"/>
  <c r="P21" i="5"/>
  <c r="M21" i="5"/>
  <c r="L21" i="5"/>
  <c r="N21" i="5" s="1"/>
  <c r="F21" i="5"/>
  <c r="F22" i="5" s="1"/>
  <c r="C21" i="5"/>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C138" i="5" s="1"/>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C174" i="5" s="1"/>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C196" i="5" s="1"/>
  <c r="C197" i="5" s="1"/>
  <c r="C198" i="5" s="1"/>
  <c r="C199" i="5" s="1"/>
  <c r="C200" i="5" s="1"/>
  <c r="C201" i="5" s="1"/>
  <c r="C202" i="5" s="1"/>
  <c r="C203" i="5" s="1"/>
  <c r="C204" i="5" s="1"/>
  <c r="C205" i="5" s="1"/>
  <c r="C206" i="5" s="1"/>
  <c r="C207" i="5" s="1"/>
  <c r="C208" i="5" s="1"/>
  <c r="C209" i="5" s="1"/>
  <c r="C210" i="5" s="1"/>
  <c r="C211" i="5" s="1"/>
  <c r="C212" i="5" s="1"/>
  <c r="C213" i="5" s="1"/>
  <c r="C214" i="5" s="1"/>
  <c r="C215" i="5" s="1"/>
  <c r="C216" i="5" s="1"/>
  <c r="C217" i="5" s="1"/>
  <c r="C218" i="5" s="1"/>
  <c r="C219" i="5" s="1"/>
  <c r="C220" i="5" s="1"/>
  <c r="C221" i="5" s="1"/>
  <c r="C222" i="5" s="1"/>
  <c r="C223" i="5" s="1"/>
  <c r="C224" i="5" s="1"/>
  <c r="C225" i="5" s="1"/>
  <c r="C226" i="5" s="1"/>
  <c r="C227" i="5" s="1"/>
  <c r="C228" i="5" s="1"/>
  <c r="C229" i="5" s="1"/>
  <c r="C230" i="5" s="1"/>
  <c r="C231" i="5" s="1"/>
  <c r="C232" i="5" s="1"/>
  <c r="C233" i="5" s="1"/>
  <c r="C234" i="5" s="1"/>
  <c r="C235" i="5" s="1"/>
  <c r="C236" i="5" s="1"/>
  <c r="C237" i="5" s="1"/>
  <c r="C238" i="5" s="1"/>
  <c r="C239" i="5" s="1"/>
  <c r="C240" i="5" s="1"/>
  <c r="C241" i="5" s="1"/>
  <c r="C242" i="5" s="1"/>
  <c r="C243" i="5" s="1"/>
  <c r="C244" i="5" s="1"/>
  <c r="C245" i="5" s="1"/>
  <c r="C246" i="5" s="1"/>
  <c r="C247" i="5" s="1"/>
  <c r="C248" i="5" s="1"/>
  <c r="C249" i="5" s="1"/>
  <c r="C250" i="5" s="1"/>
  <c r="C251" i="5" s="1"/>
  <c r="C252" i="5" s="1"/>
  <c r="C253" i="5" s="1"/>
  <c r="C254" i="5" s="1"/>
  <c r="C255" i="5" s="1"/>
  <c r="C256" i="5" s="1"/>
  <c r="C257" i="5" s="1"/>
  <c r="C258" i="5" s="1"/>
  <c r="C259" i="5" s="1"/>
  <c r="C260" i="5" s="1"/>
  <c r="C261" i="5" s="1"/>
  <c r="C262" i="5" s="1"/>
  <c r="C263" i="5" s="1"/>
  <c r="C264" i="5" s="1"/>
  <c r="C265" i="5" s="1"/>
  <c r="C266" i="5" s="1"/>
  <c r="C267" i="5" s="1"/>
  <c r="C268" i="5" s="1"/>
  <c r="C269" i="5" s="1"/>
  <c r="C270" i="5" s="1"/>
  <c r="C271" i="5" s="1"/>
  <c r="C272" i="5" s="1"/>
  <c r="C273" i="5" s="1"/>
  <c r="C274" i="5" s="1"/>
  <c r="C275" i="5" s="1"/>
  <c r="C276" i="5" s="1"/>
  <c r="C277" i="5" s="1"/>
  <c r="C278" i="5" s="1"/>
  <c r="C279" i="5" s="1"/>
  <c r="C280" i="5" s="1"/>
  <c r="C281" i="5" s="1"/>
  <c r="C282" i="5" s="1"/>
  <c r="C283" i="5" s="1"/>
  <c r="C284" i="5" s="1"/>
  <c r="C285" i="5" s="1"/>
  <c r="C286" i="5" s="1"/>
  <c r="C287" i="5" s="1"/>
  <c r="C288" i="5" s="1"/>
  <c r="C289" i="5" s="1"/>
  <c r="C290" i="5" s="1"/>
  <c r="C291" i="5" s="1"/>
  <c r="C292" i="5" s="1"/>
  <c r="C293" i="5" s="1"/>
  <c r="C294" i="5" s="1"/>
  <c r="C295" i="5" s="1"/>
  <c r="C296" i="5" s="1"/>
  <c r="C297" i="5" s="1"/>
  <c r="C298" i="5" s="1"/>
  <c r="C299" i="5" s="1"/>
  <c r="C300" i="5" s="1"/>
  <c r="C301" i="5" s="1"/>
  <c r="C302" i="5" s="1"/>
  <c r="C303" i="5" s="1"/>
  <c r="C304" i="5" s="1"/>
  <c r="C305" i="5" s="1"/>
  <c r="C306" i="5" s="1"/>
  <c r="C307" i="5" s="1"/>
  <c r="C308" i="5" s="1"/>
  <c r="C309" i="5" s="1"/>
  <c r="C310" i="5" s="1"/>
  <c r="C311" i="5" s="1"/>
  <c r="C312" i="5" s="1"/>
  <c r="C313" i="5" s="1"/>
  <c r="C314" i="5" s="1"/>
  <c r="C315" i="5" s="1"/>
  <c r="C316" i="5" s="1"/>
  <c r="C317" i="5" s="1"/>
  <c r="C318" i="5" s="1"/>
  <c r="C319" i="5" s="1"/>
  <c r="C320" i="5" s="1"/>
  <c r="C321" i="5" s="1"/>
  <c r="C322" i="5" s="1"/>
  <c r="C323" i="5" s="1"/>
  <c r="C324" i="5" s="1"/>
  <c r="C325" i="5" s="1"/>
  <c r="C326" i="5" s="1"/>
  <c r="C327" i="5" s="1"/>
  <c r="C328" i="5" s="1"/>
  <c r="C329" i="5" s="1"/>
  <c r="C330" i="5" s="1"/>
  <c r="C331" i="5" s="1"/>
  <c r="C332" i="5" s="1"/>
  <c r="C333" i="5" s="1"/>
  <c r="C334" i="5" s="1"/>
  <c r="C335" i="5" s="1"/>
  <c r="C336" i="5" s="1"/>
  <c r="C337" i="5" s="1"/>
  <c r="C338" i="5" s="1"/>
  <c r="C339" i="5" s="1"/>
  <c r="C340" i="5" s="1"/>
  <c r="C341" i="5" s="1"/>
  <c r="C342" i="5" s="1"/>
  <c r="C343" i="5" s="1"/>
  <c r="C344" i="5" s="1"/>
  <c r="C345" i="5" s="1"/>
  <c r="C346" i="5" s="1"/>
  <c r="C347" i="5" s="1"/>
  <c r="C348" i="5" s="1"/>
  <c r="C349" i="5" s="1"/>
  <c r="C350" i="5" s="1"/>
  <c r="C351" i="5" s="1"/>
  <c r="C352" i="5" s="1"/>
  <c r="C353" i="5" s="1"/>
  <c r="C354" i="5" s="1"/>
  <c r="C355" i="5" s="1"/>
  <c r="C356" i="5" s="1"/>
  <c r="C357" i="5" s="1"/>
  <c r="C358" i="5" s="1"/>
  <c r="C359" i="5" s="1"/>
  <c r="C360" i="5" s="1"/>
  <c r="C361" i="5" s="1"/>
  <c r="C362" i="5" s="1"/>
  <c r="C363" i="5" s="1"/>
  <c r="C364" i="5" s="1"/>
  <c r="C365" i="5" s="1"/>
  <c r="C366" i="5" s="1"/>
  <c r="C367" i="5" s="1"/>
  <c r="C368" i="5" s="1"/>
  <c r="C369" i="5" s="1"/>
  <c r="C370" i="5" s="1"/>
  <c r="C371" i="5" s="1"/>
  <c r="C372" i="5" s="1"/>
  <c r="C373" i="5" s="1"/>
  <c r="C374" i="5" s="1"/>
  <c r="C375" i="5" s="1"/>
  <c r="C376" i="5" s="1"/>
  <c r="C377" i="5" s="1"/>
  <c r="C378" i="5" s="1"/>
  <c r="C379" i="5" s="1"/>
  <c r="C380" i="5" s="1"/>
  <c r="C381" i="5" s="1"/>
  <c r="C382" i="5" s="1"/>
  <c r="C383" i="5" s="1"/>
  <c r="C384" i="5" s="1"/>
  <c r="C385" i="5" s="1"/>
  <c r="AS20" i="5"/>
  <c r="AA20" i="5"/>
  <c r="E20" i="5" s="1"/>
  <c r="Z20" i="5"/>
  <c r="W20" i="5"/>
  <c r="V20" i="5"/>
  <c r="U20" i="5"/>
  <c r="R20" i="5"/>
  <c r="Q20" i="5"/>
  <c r="P20" i="5"/>
  <c r="M20" i="5"/>
  <c r="L20" i="5"/>
  <c r="N20" i="5" s="1"/>
  <c r="F20" i="5"/>
  <c r="AP17" i="5"/>
  <c r="F17" i="5"/>
  <c r="AP16" i="5"/>
  <c r="V16" i="5"/>
  <c r="F16" i="5"/>
  <c r="AP15" i="5"/>
  <c r="V15" i="5"/>
  <c r="F15" i="5"/>
  <c r="AP14" i="5"/>
  <c r="V14" i="5"/>
  <c r="F14" i="5"/>
  <c r="AP13" i="5"/>
  <c r="V13" i="5"/>
  <c r="F13" i="5"/>
  <c r="AP12" i="5"/>
  <c r="V12" i="5"/>
  <c r="F12" i="5"/>
  <c r="AP11" i="5"/>
  <c r="V11" i="5"/>
  <c r="F11" i="5"/>
  <c r="AP10" i="5"/>
  <c r="F10" i="5"/>
  <c r="AP9" i="5"/>
  <c r="F9" i="5"/>
  <c r="AP8" i="5"/>
  <c r="F8" i="5"/>
  <c r="AP7" i="5"/>
  <c r="T7" i="5"/>
  <c r="F7" i="5"/>
  <c r="AP6" i="5"/>
  <c r="F6" i="5"/>
  <c r="E3" i="5"/>
  <c r="G3" i="4"/>
  <c r="J381" i="4"/>
  <c r="J380" i="4"/>
  <c r="J379" i="4"/>
  <c r="J378" i="4"/>
  <c r="J377" i="4"/>
  <c r="J376" i="4"/>
  <c r="J374" i="4"/>
  <c r="J373" i="4"/>
  <c r="J372" i="4"/>
  <c r="J371" i="4"/>
  <c r="J370" i="4"/>
  <c r="J369" i="4"/>
  <c r="J367" i="4"/>
  <c r="J366" i="4"/>
  <c r="J365" i="4"/>
  <c r="J364" i="4"/>
  <c r="J363" i="4"/>
  <c r="J362" i="4"/>
  <c r="J360" i="4"/>
  <c r="J359" i="4"/>
  <c r="J358" i="4"/>
  <c r="J357" i="4"/>
  <c r="J356" i="4"/>
  <c r="J355" i="4"/>
  <c r="Q355" i="4" s="1"/>
  <c r="J353" i="4"/>
  <c r="J352" i="4"/>
  <c r="J351" i="4"/>
  <c r="J350" i="4"/>
  <c r="J349" i="4"/>
  <c r="J346" i="4"/>
  <c r="J345" i="4"/>
  <c r="J344" i="4"/>
  <c r="J343" i="4"/>
  <c r="J342" i="4"/>
  <c r="J341" i="4"/>
  <c r="J339" i="4"/>
  <c r="J338" i="4"/>
  <c r="J337" i="4"/>
  <c r="J336" i="4"/>
  <c r="J335" i="4"/>
  <c r="J334" i="4"/>
  <c r="J332" i="4"/>
  <c r="J331" i="4"/>
  <c r="J330" i="4"/>
  <c r="J329" i="4"/>
  <c r="J328" i="4"/>
  <c r="J325" i="4"/>
  <c r="J324" i="4"/>
  <c r="J323" i="4"/>
  <c r="J322" i="4"/>
  <c r="J321" i="4"/>
  <c r="J320" i="4"/>
  <c r="J318" i="4"/>
  <c r="J317" i="4"/>
  <c r="J316" i="4"/>
  <c r="J315" i="4"/>
  <c r="J314" i="4"/>
  <c r="J313" i="4"/>
  <c r="J311" i="4"/>
  <c r="J310" i="4"/>
  <c r="J309" i="4"/>
  <c r="J308" i="4"/>
  <c r="J307" i="4"/>
  <c r="J304" i="4"/>
  <c r="J303" i="4"/>
  <c r="J302" i="4"/>
  <c r="J301" i="4"/>
  <c r="J300" i="4"/>
  <c r="J299" i="4"/>
  <c r="J297" i="4"/>
  <c r="J296" i="4"/>
  <c r="J295" i="4"/>
  <c r="J294" i="4"/>
  <c r="Q294" i="4" s="1"/>
  <c r="J293" i="4"/>
  <c r="J292" i="4"/>
  <c r="J290" i="4"/>
  <c r="J289" i="4"/>
  <c r="J288" i="4"/>
  <c r="J287" i="4"/>
  <c r="J285" i="4"/>
  <c r="J283" i="4"/>
  <c r="J282" i="4"/>
  <c r="J281" i="4"/>
  <c r="J280" i="4"/>
  <c r="J279" i="4"/>
  <c r="J276" i="4"/>
  <c r="J275" i="4"/>
  <c r="J274" i="4"/>
  <c r="J273" i="4"/>
  <c r="J272" i="4"/>
  <c r="J271" i="4"/>
  <c r="J269" i="4"/>
  <c r="J268" i="4"/>
  <c r="J267" i="4"/>
  <c r="J266" i="4"/>
  <c r="J265" i="4"/>
  <c r="J264" i="4"/>
  <c r="Q264" i="4" s="1"/>
  <c r="J262" i="4"/>
  <c r="J261" i="4"/>
  <c r="J260" i="4"/>
  <c r="J259" i="4"/>
  <c r="J258" i="4"/>
  <c r="J257" i="4"/>
  <c r="J255" i="4"/>
  <c r="J254" i="4"/>
  <c r="J253" i="4"/>
  <c r="J252" i="4"/>
  <c r="J251" i="4"/>
  <c r="J250" i="4"/>
  <c r="J241" i="4"/>
  <c r="J240" i="4"/>
  <c r="J239" i="4"/>
  <c r="J238" i="4"/>
  <c r="J237" i="4"/>
  <c r="J236" i="4"/>
  <c r="J234" i="4"/>
  <c r="J233" i="4"/>
  <c r="Q234" i="4" s="1"/>
  <c r="J232" i="4"/>
  <c r="J231" i="4"/>
  <c r="J230" i="4"/>
  <c r="J229" i="4"/>
  <c r="J227" i="4"/>
  <c r="J226" i="4"/>
  <c r="J225" i="4"/>
  <c r="J224" i="4"/>
  <c r="J223" i="4"/>
  <c r="J220" i="4"/>
  <c r="J219" i="4"/>
  <c r="J218" i="4"/>
  <c r="J217" i="4"/>
  <c r="J216" i="4"/>
  <c r="J215" i="4"/>
  <c r="J213" i="4"/>
  <c r="J212" i="4"/>
  <c r="J211" i="4"/>
  <c r="J210" i="4"/>
  <c r="J209" i="4"/>
  <c r="J208" i="4"/>
  <c r="J206" i="4"/>
  <c r="J205" i="4"/>
  <c r="J204" i="4"/>
  <c r="J203" i="4"/>
  <c r="J202" i="4"/>
  <c r="J201" i="4"/>
  <c r="J199" i="4"/>
  <c r="J198" i="4"/>
  <c r="J197" i="4"/>
  <c r="J196" i="4"/>
  <c r="J195" i="4"/>
  <c r="J194" i="4"/>
  <c r="J192" i="4"/>
  <c r="J191" i="4"/>
  <c r="J190" i="4"/>
  <c r="J189" i="4"/>
  <c r="J188" i="4"/>
  <c r="J187" i="4"/>
  <c r="J185" i="4"/>
  <c r="J184" i="4"/>
  <c r="J183" i="4"/>
  <c r="J182" i="4"/>
  <c r="J181" i="4"/>
  <c r="J180" i="4"/>
  <c r="J178" i="4"/>
  <c r="J177" i="4"/>
  <c r="J176" i="4"/>
  <c r="J175" i="4"/>
  <c r="J174" i="4"/>
  <c r="J173" i="4"/>
  <c r="J171" i="4"/>
  <c r="J170" i="4"/>
  <c r="J169" i="4"/>
  <c r="J168" i="4"/>
  <c r="J167" i="4"/>
  <c r="J166" i="4"/>
  <c r="J164" i="4"/>
  <c r="J163" i="4"/>
  <c r="J162" i="4"/>
  <c r="J161" i="4"/>
  <c r="J160" i="4"/>
  <c r="J159" i="4"/>
  <c r="J157" i="4"/>
  <c r="J156" i="4"/>
  <c r="J155" i="4"/>
  <c r="J154" i="4"/>
  <c r="J153" i="4"/>
  <c r="J152" i="4"/>
  <c r="J150" i="4"/>
  <c r="J149" i="4"/>
  <c r="J148" i="4"/>
  <c r="J147" i="4"/>
  <c r="J142" i="4"/>
  <c r="J141" i="4"/>
  <c r="J140" i="4"/>
  <c r="J138" i="4"/>
  <c r="J136" i="4"/>
  <c r="J135" i="4"/>
  <c r="J134" i="4"/>
  <c r="J133" i="4"/>
  <c r="J132" i="4"/>
  <c r="J131" i="4"/>
  <c r="J129" i="4"/>
  <c r="J128" i="4"/>
  <c r="J127" i="4"/>
  <c r="J126" i="4"/>
  <c r="J125" i="4"/>
  <c r="J124" i="4"/>
  <c r="J122" i="4"/>
  <c r="J121" i="4"/>
  <c r="J120" i="4"/>
  <c r="J119" i="4"/>
  <c r="J118" i="4"/>
  <c r="J117" i="4"/>
  <c r="J115" i="4"/>
  <c r="J114" i="4"/>
  <c r="J113" i="4"/>
  <c r="J112" i="4"/>
  <c r="J111" i="4"/>
  <c r="Q111" i="4" s="1"/>
  <c r="J110" i="4"/>
  <c r="J108" i="4"/>
  <c r="J107" i="4"/>
  <c r="J106" i="4"/>
  <c r="J105" i="4"/>
  <c r="J104" i="4"/>
  <c r="J103" i="4"/>
  <c r="J101" i="4"/>
  <c r="J100" i="4"/>
  <c r="J98" i="4"/>
  <c r="J97" i="4"/>
  <c r="J96" i="4"/>
  <c r="J94" i="4"/>
  <c r="J93" i="4"/>
  <c r="J92" i="4"/>
  <c r="J91" i="4"/>
  <c r="J90" i="4"/>
  <c r="J89" i="4"/>
  <c r="J87" i="4"/>
  <c r="J86" i="4"/>
  <c r="J85" i="4"/>
  <c r="J84" i="4"/>
  <c r="J83" i="4"/>
  <c r="J82" i="4"/>
  <c r="J80" i="4"/>
  <c r="J79" i="4"/>
  <c r="J78" i="4"/>
  <c r="J77" i="4"/>
  <c r="J76" i="4"/>
  <c r="J73" i="4"/>
  <c r="J72" i="4"/>
  <c r="J71" i="4"/>
  <c r="J70" i="4"/>
  <c r="J69" i="4"/>
  <c r="J68" i="4"/>
  <c r="J66" i="4"/>
  <c r="J65" i="4"/>
  <c r="J64" i="4"/>
  <c r="J63" i="4"/>
  <c r="J61" i="4"/>
  <c r="J59" i="4"/>
  <c r="J58" i="4"/>
  <c r="J57" i="4"/>
  <c r="J56" i="4"/>
  <c r="J55" i="4"/>
  <c r="J54" i="4"/>
  <c r="J52" i="4"/>
  <c r="Q52" i="4" s="1"/>
  <c r="J51" i="4"/>
  <c r="J50" i="4"/>
  <c r="J49" i="4"/>
  <c r="J48" i="4"/>
  <c r="J47" i="4"/>
  <c r="J45" i="4"/>
  <c r="J44" i="4"/>
  <c r="J43" i="4"/>
  <c r="J42" i="4"/>
  <c r="J41" i="4"/>
  <c r="J40" i="4"/>
  <c r="J38" i="4"/>
  <c r="J37" i="4"/>
  <c r="J36" i="4"/>
  <c r="J35" i="4"/>
  <c r="J34" i="4"/>
  <c r="J31" i="4"/>
  <c r="J30" i="4"/>
  <c r="J29" i="4"/>
  <c r="J28" i="4"/>
  <c r="J27" i="4"/>
  <c r="J26" i="4"/>
  <c r="X385" i="4"/>
  <c r="W385" i="4"/>
  <c r="V385" i="4"/>
  <c r="U385" i="4"/>
  <c r="S385" i="4"/>
  <c r="R385" i="4"/>
  <c r="Q385" i="4"/>
  <c r="P385" i="4"/>
  <c r="M385" i="4"/>
  <c r="L385" i="4"/>
  <c r="N385" i="4" s="1"/>
  <c r="X384" i="4"/>
  <c r="W384" i="4"/>
  <c r="V384" i="4"/>
  <c r="U384" i="4"/>
  <c r="S384" i="4"/>
  <c r="R384" i="4"/>
  <c r="Q384" i="4"/>
  <c r="P384" i="4"/>
  <c r="M384" i="4"/>
  <c r="L384" i="4"/>
  <c r="N384" i="4" s="1"/>
  <c r="X383" i="4"/>
  <c r="W383" i="4"/>
  <c r="V383" i="4"/>
  <c r="U383" i="4"/>
  <c r="S383" i="4"/>
  <c r="R383" i="4"/>
  <c r="Q383" i="4"/>
  <c r="P383" i="4"/>
  <c r="M383" i="4"/>
  <c r="L383" i="4"/>
  <c r="N383" i="4" s="1"/>
  <c r="X382" i="4"/>
  <c r="W382" i="4"/>
  <c r="V382" i="4"/>
  <c r="U382" i="4"/>
  <c r="S382" i="4"/>
  <c r="R382" i="4"/>
  <c r="Q382" i="4"/>
  <c r="P382" i="4"/>
  <c r="M382" i="4"/>
  <c r="L382" i="4"/>
  <c r="N382" i="4" s="1"/>
  <c r="Q381" i="4"/>
  <c r="Q380" i="4"/>
  <c r="Q379" i="4"/>
  <c r="Q378" i="4"/>
  <c r="Q377" i="4"/>
  <c r="Q376" i="4"/>
  <c r="X375" i="4"/>
  <c r="W375" i="4"/>
  <c r="V375" i="4"/>
  <c r="U375" i="4"/>
  <c r="S375" i="4"/>
  <c r="R375" i="4"/>
  <c r="Q375" i="4"/>
  <c r="P375" i="4"/>
  <c r="M375" i="4"/>
  <c r="L375" i="4"/>
  <c r="N375" i="4" s="1"/>
  <c r="Q374" i="4"/>
  <c r="Q373" i="4"/>
  <c r="Q372" i="4"/>
  <c r="Q371" i="4"/>
  <c r="Q370" i="4"/>
  <c r="Q369" i="4"/>
  <c r="X368" i="4"/>
  <c r="W368" i="4"/>
  <c r="V368" i="4"/>
  <c r="U368" i="4"/>
  <c r="S368" i="4"/>
  <c r="R368" i="4"/>
  <c r="Q368" i="4"/>
  <c r="P368" i="4"/>
  <c r="M368" i="4"/>
  <c r="L368" i="4"/>
  <c r="N368" i="4" s="1"/>
  <c r="Q367" i="4"/>
  <c r="Q366" i="4"/>
  <c r="Q365" i="4"/>
  <c r="Q364" i="4"/>
  <c r="Q363" i="4"/>
  <c r="Q362" i="4"/>
  <c r="X361" i="4"/>
  <c r="W361" i="4"/>
  <c r="V361" i="4"/>
  <c r="U361" i="4"/>
  <c r="S361" i="4"/>
  <c r="R361" i="4"/>
  <c r="Q361" i="4"/>
  <c r="P361" i="4"/>
  <c r="M361" i="4"/>
  <c r="L361" i="4"/>
  <c r="N361" i="4" s="1"/>
  <c r="Q360" i="4"/>
  <c r="Q359" i="4"/>
  <c r="Q358" i="4"/>
  <c r="Q357" i="4"/>
  <c r="Q356" i="4"/>
  <c r="X354" i="4"/>
  <c r="W354" i="4"/>
  <c r="V354" i="4"/>
  <c r="U354" i="4"/>
  <c r="S354" i="4"/>
  <c r="R354" i="4"/>
  <c r="Q354" i="4"/>
  <c r="P354" i="4"/>
  <c r="M354" i="4"/>
  <c r="L354" i="4"/>
  <c r="N354" i="4" s="1"/>
  <c r="Q353" i="4"/>
  <c r="Q352" i="4"/>
  <c r="Q351" i="4"/>
  <c r="Q350" i="4"/>
  <c r="Q349" i="4"/>
  <c r="X348" i="4"/>
  <c r="W348" i="4"/>
  <c r="V348" i="4"/>
  <c r="U348" i="4"/>
  <c r="S348" i="4"/>
  <c r="R348" i="4"/>
  <c r="Q348" i="4"/>
  <c r="P348" i="4"/>
  <c r="M348" i="4"/>
  <c r="L348" i="4"/>
  <c r="N348" i="4" s="1"/>
  <c r="X347" i="4"/>
  <c r="W347" i="4"/>
  <c r="V347" i="4"/>
  <c r="U347" i="4"/>
  <c r="S347" i="4"/>
  <c r="R347" i="4"/>
  <c r="Q347" i="4"/>
  <c r="P347" i="4"/>
  <c r="M347" i="4"/>
  <c r="L347" i="4"/>
  <c r="N347" i="4" s="1"/>
  <c r="Q346" i="4"/>
  <c r="Q345" i="4"/>
  <c r="Q344" i="4"/>
  <c r="Q343" i="4"/>
  <c r="Q342" i="4"/>
  <c r="Q341" i="4"/>
  <c r="X340" i="4"/>
  <c r="W340" i="4"/>
  <c r="V340" i="4"/>
  <c r="U340" i="4"/>
  <c r="S340" i="4"/>
  <c r="R340" i="4"/>
  <c r="Q340" i="4"/>
  <c r="P340" i="4"/>
  <c r="M340" i="4"/>
  <c r="L340" i="4"/>
  <c r="N340" i="4" s="1"/>
  <c r="Q339" i="4"/>
  <c r="Q338" i="4"/>
  <c r="Q337" i="4"/>
  <c r="Q336" i="4"/>
  <c r="Q335" i="4"/>
  <c r="Q334" i="4"/>
  <c r="X333" i="4"/>
  <c r="W333" i="4"/>
  <c r="V333" i="4"/>
  <c r="U333" i="4"/>
  <c r="S333" i="4"/>
  <c r="R333" i="4"/>
  <c r="Q333" i="4"/>
  <c r="P333" i="4"/>
  <c r="M333" i="4"/>
  <c r="L333" i="4"/>
  <c r="N333" i="4" s="1"/>
  <c r="Q332" i="4"/>
  <c r="Q331" i="4"/>
  <c r="Q330" i="4"/>
  <c r="Q329" i="4"/>
  <c r="Q328" i="4"/>
  <c r="X327" i="4"/>
  <c r="W327" i="4"/>
  <c r="V327" i="4"/>
  <c r="U327" i="4"/>
  <c r="S327" i="4"/>
  <c r="R327" i="4"/>
  <c r="Q327" i="4"/>
  <c r="P327" i="4"/>
  <c r="M327" i="4"/>
  <c r="L327" i="4"/>
  <c r="N327" i="4" s="1"/>
  <c r="X326" i="4"/>
  <c r="W326" i="4"/>
  <c r="V326" i="4"/>
  <c r="U326" i="4"/>
  <c r="S326" i="4"/>
  <c r="R326" i="4"/>
  <c r="Q326" i="4"/>
  <c r="P326" i="4"/>
  <c r="M326" i="4"/>
  <c r="L326" i="4"/>
  <c r="N326" i="4" s="1"/>
  <c r="Q324" i="4"/>
  <c r="Q323" i="4"/>
  <c r="Q322" i="4"/>
  <c r="Q321" i="4"/>
  <c r="Q320" i="4"/>
  <c r="X319" i="4"/>
  <c r="W319" i="4"/>
  <c r="V319" i="4"/>
  <c r="U319" i="4"/>
  <c r="S319" i="4"/>
  <c r="R319" i="4"/>
  <c r="Q319" i="4"/>
  <c r="P319" i="4"/>
  <c r="M319" i="4"/>
  <c r="L319" i="4"/>
  <c r="N319" i="4" s="1"/>
  <c r="Q318" i="4"/>
  <c r="Q317" i="4"/>
  <c r="Q316" i="4"/>
  <c r="Q315" i="4"/>
  <c r="Q314" i="4"/>
  <c r="Q313" i="4"/>
  <c r="X312" i="4"/>
  <c r="W312" i="4"/>
  <c r="V312" i="4"/>
  <c r="U312" i="4"/>
  <c r="S312" i="4"/>
  <c r="R312" i="4"/>
  <c r="Q312" i="4"/>
  <c r="P312" i="4"/>
  <c r="M312" i="4"/>
  <c r="L312" i="4"/>
  <c r="N312" i="4" s="1"/>
  <c r="Q311" i="4"/>
  <c r="Q310" i="4"/>
  <c r="Q309" i="4"/>
  <c r="Q308" i="4"/>
  <c r="Q307" i="4"/>
  <c r="X306" i="4"/>
  <c r="W306" i="4"/>
  <c r="V306" i="4"/>
  <c r="U306" i="4"/>
  <c r="S306" i="4"/>
  <c r="R306" i="4"/>
  <c r="Q306" i="4"/>
  <c r="P306" i="4"/>
  <c r="M306" i="4"/>
  <c r="L306" i="4"/>
  <c r="N306" i="4" s="1"/>
  <c r="X305" i="4"/>
  <c r="W305" i="4"/>
  <c r="V305" i="4"/>
  <c r="U305" i="4"/>
  <c r="S305" i="4"/>
  <c r="R305" i="4"/>
  <c r="Q305" i="4"/>
  <c r="P305" i="4"/>
  <c r="M305" i="4"/>
  <c r="L305" i="4"/>
  <c r="N305" i="4" s="1"/>
  <c r="Q304" i="4"/>
  <c r="Q303" i="4"/>
  <c r="Q302" i="4"/>
  <c r="Q301" i="4"/>
  <c r="Q300" i="4"/>
  <c r="Q299" i="4"/>
  <c r="X298" i="4"/>
  <c r="W298" i="4"/>
  <c r="V298" i="4"/>
  <c r="U298" i="4"/>
  <c r="S298" i="4"/>
  <c r="R298" i="4"/>
  <c r="Q298" i="4"/>
  <c r="P298" i="4"/>
  <c r="M298" i="4"/>
  <c r="L298" i="4"/>
  <c r="N298" i="4" s="1"/>
  <c r="Q297" i="4"/>
  <c r="Q296" i="4"/>
  <c r="Q295" i="4"/>
  <c r="X291" i="4"/>
  <c r="W291" i="4"/>
  <c r="V291" i="4"/>
  <c r="U291" i="4"/>
  <c r="S291" i="4"/>
  <c r="R291" i="4"/>
  <c r="Q291" i="4"/>
  <c r="P291" i="4"/>
  <c r="M291" i="4"/>
  <c r="L291" i="4"/>
  <c r="N291" i="4" s="1"/>
  <c r="X286" i="4"/>
  <c r="W286" i="4"/>
  <c r="V286" i="4"/>
  <c r="U286" i="4"/>
  <c r="S286" i="4"/>
  <c r="R286" i="4"/>
  <c r="Q286" i="4"/>
  <c r="P286" i="4"/>
  <c r="M286" i="4"/>
  <c r="L286" i="4"/>
  <c r="N286" i="4" s="1"/>
  <c r="X284" i="4"/>
  <c r="W284" i="4"/>
  <c r="V284" i="4"/>
  <c r="U284" i="4"/>
  <c r="S284" i="4"/>
  <c r="R284" i="4"/>
  <c r="Q284" i="4"/>
  <c r="P284" i="4"/>
  <c r="M284" i="4"/>
  <c r="L284" i="4"/>
  <c r="N284" i="4" s="1"/>
  <c r="X278" i="4"/>
  <c r="W278" i="4"/>
  <c r="V278" i="4"/>
  <c r="U278" i="4"/>
  <c r="S278" i="4"/>
  <c r="R278" i="4"/>
  <c r="Q278" i="4"/>
  <c r="P278" i="4"/>
  <c r="M278" i="4"/>
  <c r="L278" i="4"/>
  <c r="N278" i="4" s="1"/>
  <c r="X277" i="4"/>
  <c r="W277" i="4"/>
  <c r="V277" i="4"/>
  <c r="U277" i="4"/>
  <c r="S277" i="4"/>
  <c r="R277" i="4"/>
  <c r="Q277" i="4"/>
  <c r="P277" i="4"/>
  <c r="M277" i="4"/>
  <c r="L277" i="4"/>
  <c r="N277" i="4" s="1"/>
  <c r="X270" i="4"/>
  <c r="W270" i="4"/>
  <c r="V270" i="4"/>
  <c r="U270" i="4"/>
  <c r="S270" i="4"/>
  <c r="R270" i="4"/>
  <c r="Q270" i="4"/>
  <c r="P270" i="4"/>
  <c r="M270" i="4"/>
  <c r="L270" i="4"/>
  <c r="N270" i="4" s="1"/>
  <c r="X263" i="4"/>
  <c r="W263" i="4"/>
  <c r="V263" i="4"/>
  <c r="U263" i="4"/>
  <c r="S263" i="4"/>
  <c r="R263" i="4"/>
  <c r="Q263" i="4"/>
  <c r="P263" i="4"/>
  <c r="M263" i="4"/>
  <c r="L263" i="4"/>
  <c r="N263" i="4" s="1"/>
  <c r="X256" i="4"/>
  <c r="W256" i="4"/>
  <c r="V256" i="4"/>
  <c r="U256" i="4"/>
  <c r="S256" i="4"/>
  <c r="R256" i="4"/>
  <c r="Q256" i="4"/>
  <c r="P256" i="4"/>
  <c r="M256" i="4"/>
  <c r="L256" i="4"/>
  <c r="N256" i="4" s="1"/>
  <c r="X249" i="4"/>
  <c r="W249" i="4"/>
  <c r="V249" i="4"/>
  <c r="U249" i="4"/>
  <c r="S249" i="4"/>
  <c r="R249" i="4"/>
  <c r="Q249" i="4"/>
  <c r="P249" i="4"/>
  <c r="M249" i="4"/>
  <c r="L249" i="4"/>
  <c r="N249" i="4" s="1"/>
  <c r="X248" i="4"/>
  <c r="W248" i="4"/>
  <c r="V248" i="4"/>
  <c r="U248" i="4"/>
  <c r="S248" i="4"/>
  <c r="R248" i="4"/>
  <c r="Q248" i="4"/>
  <c r="P248" i="4"/>
  <c r="M248" i="4"/>
  <c r="L248" i="4"/>
  <c r="N248" i="4" s="1"/>
  <c r="X247" i="4"/>
  <c r="W247" i="4"/>
  <c r="V247" i="4"/>
  <c r="U247" i="4"/>
  <c r="S247" i="4"/>
  <c r="R247" i="4"/>
  <c r="Q247" i="4"/>
  <c r="P247" i="4"/>
  <c r="M247" i="4"/>
  <c r="L247" i="4"/>
  <c r="N247" i="4" s="1"/>
  <c r="X246" i="4"/>
  <c r="W246" i="4"/>
  <c r="V246" i="4"/>
  <c r="U246" i="4"/>
  <c r="S246" i="4"/>
  <c r="R246" i="4"/>
  <c r="Q246" i="4"/>
  <c r="P246" i="4"/>
  <c r="M246" i="4"/>
  <c r="L246" i="4"/>
  <c r="N246" i="4" s="1"/>
  <c r="X245" i="4"/>
  <c r="W245" i="4"/>
  <c r="V245" i="4"/>
  <c r="U245" i="4"/>
  <c r="S245" i="4"/>
  <c r="R245" i="4"/>
  <c r="Q245" i="4"/>
  <c r="P245" i="4"/>
  <c r="M245" i="4"/>
  <c r="L245" i="4"/>
  <c r="N245" i="4" s="1"/>
  <c r="X244" i="4"/>
  <c r="W244" i="4"/>
  <c r="V244" i="4"/>
  <c r="U244" i="4"/>
  <c r="S244" i="4"/>
  <c r="R244" i="4"/>
  <c r="Q244" i="4"/>
  <c r="P244" i="4"/>
  <c r="M244" i="4"/>
  <c r="L244" i="4"/>
  <c r="N244" i="4" s="1"/>
  <c r="X243" i="4"/>
  <c r="W243" i="4"/>
  <c r="V243" i="4"/>
  <c r="U243" i="4"/>
  <c r="S243" i="4"/>
  <c r="R243" i="4"/>
  <c r="Q243" i="4"/>
  <c r="P243" i="4"/>
  <c r="M243" i="4"/>
  <c r="L243" i="4"/>
  <c r="N243" i="4" s="1"/>
  <c r="X242" i="4"/>
  <c r="W242" i="4"/>
  <c r="V242" i="4"/>
  <c r="U242" i="4"/>
  <c r="S242" i="4"/>
  <c r="R242" i="4"/>
  <c r="Q242" i="4"/>
  <c r="P242" i="4"/>
  <c r="M242" i="4"/>
  <c r="L242" i="4"/>
  <c r="N242" i="4" s="1"/>
  <c r="X235" i="4"/>
  <c r="W235" i="4"/>
  <c r="V235" i="4"/>
  <c r="U235" i="4"/>
  <c r="S235" i="4"/>
  <c r="R235" i="4"/>
  <c r="Q235" i="4"/>
  <c r="P235" i="4"/>
  <c r="M235" i="4"/>
  <c r="L235" i="4"/>
  <c r="N235" i="4" s="1"/>
  <c r="X228" i="4"/>
  <c r="W228" i="4"/>
  <c r="V228" i="4"/>
  <c r="U228" i="4"/>
  <c r="S228" i="4"/>
  <c r="R228" i="4"/>
  <c r="Q228" i="4"/>
  <c r="P228" i="4"/>
  <c r="M228" i="4"/>
  <c r="L228" i="4"/>
  <c r="N228" i="4" s="1"/>
  <c r="X222" i="4"/>
  <c r="W222" i="4"/>
  <c r="V222" i="4"/>
  <c r="U222" i="4"/>
  <c r="S222" i="4"/>
  <c r="R222" i="4"/>
  <c r="Q222" i="4"/>
  <c r="P222" i="4"/>
  <c r="M222" i="4"/>
  <c r="L222" i="4"/>
  <c r="N222" i="4" s="1"/>
  <c r="X221" i="4"/>
  <c r="W221" i="4"/>
  <c r="V221" i="4"/>
  <c r="U221" i="4"/>
  <c r="S221" i="4"/>
  <c r="R221" i="4"/>
  <c r="Q221" i="4"/>
  <c r="P221" i="4"/>
  <c r="M221" i="4"/>
  <c r="L221" i="4"/>
  <c r="N221" i="4" s="1"/>
  <c r="X214" i="4"/>
  <c r="W214" i="4"/>
  <c r="V214" i="4"/>
  <c r="U214" i="4"/>
  <c r="S214" i="4"/>
  <c r="R214" i="4"/>
  <c r="Q214" i="4"/>
  <c r="P214" i="4"/>
  <c r="M214" i="4"/>
  <c r="L214" i="4"/>
  <c r="N214" i="4" s="1"/>
  <c r="X207" i="4"/>
  <c r="W207" i="4"/>
  <c r="V207" i="4"/>
  <c r="U207" i="4"/>
  <c r="S207" i="4"/>
  <c r="R207" i="4"/>
  <c r="Q207" i="4"/>
  <c r="P207" i="4"/>
  <c r="M207" i="4"/>
  <c r="L207" i="4"/>
  <c r="N207" i="4" s="1"/>
  <c r="X200" i="4"/>
  <c r="W200" i="4"/>
  <c r="V200" i="4"/>
  <c r="U200" i="4"/>
  <c r="S200" i="4"/>
  <c r="R200" i="4"/>
  <c r="Q200" i="4"/>
  <c r="P200" i="4"/>
  <c r="M200" i="4"/>
  <c r="L200" i="4"/>
  <c r="N200" i="4" s="1"/>
  <c r="X193" i="4"/>
  <c r="W193" i="4"/>
  <c r="V193" i="4"/>
  <c r="U193" i="4"/>
  <c r="S193" i="4"/>
  <c r="R193" i="4"/>
  <c r="Q193" i="4"/>
  <c r="P193" i="4"/>
  <c r="M193" i="4"/>
  <c r="L193" i="4"/>
  <c r="N193" i="4" s="1"/>
  <c r="X186" i="4"/>
  <c r="W186" i="4"/>
  <c r="V186" i="4"/>
  <c r="U186" i="4"/>
  <c r="S186" i="4"/>
  <c r="R186" i="4"/>
  <c r="Q186" i="4"/>
  <c r="P186" i="4"/>
  <c r="M186" i="4"/>
  <c r="L186" i="4"/>
  <c r="N186" i="4" s="1"/>
  <c r="X179" i="4"/>
  <c r="W179" i="4"/>
  <c r="V179" i="4"/>
  <c r="U179" i="4"/>
  <c r="S179" i="4"/>
  <c r="R179" i="4"/>
  <c r="Q179" i="4"/>
  <c r="P179" i="4"/>
  <c r="M179" i="4"/>
  <c r="L179" i="4"/>
  <c r="N179" i="4" s="1"/>
  <c r="X172" i="4"/>
  <c r="W172" i="4"/>
  <c r="V172" i="4"/>
  <c r="U172" i="4"/>
  <c r="S172" i="4"/>
  <c r="R172" i="4"/>
  <c r="Q172" i="4"/>
  <c r="P172" i="4"/>
  <c r="M172" i="4"/>
  <c r="L172" i="4"/>
  <c r="X165" i="4"/>
  <c r="W165" i="4"/>
  <c r="V165" i="4"/>
  <c r="U165" i="4"/>
  <c r="S165" i="4"/>
  <c r="R165" i="4"/>
  <c r="Q165" i="4"/>
  <c r="M165" i="4"/>
  <c r="L165" i="4"/>
  <c r="N165" i="4" s="1"/>
  <c r="X158" i="4"/>
  <c r="W158" i="4"/>
  <c r="V158" i="4"/>
  <c r="U158" i="4"/>
  <c r="S158" i="4"/>
  <c r="R158" i="4"/>
  <c r="Q158" i="4"/>
  <c r="M158" i="4"/>
  <c r="L158" i="4"/>
  <c r="N158" i="4" s="1"/>
  <c r="X151" i="4"/>
  <c r="W151" i="4"/>
  <c r="V151" i="4"/>
  <c r="U151" i="4"/>
  <c r="S151" i="4"/>
  <c r="R151" i="4"/>
  <c r="Q151" i="4"/>
  <c r="M151" i="4"/>
  <c r="L151" i="4"/>
  <c r="N151" i="4" s="1"/>
  <c r="X146" i="4"/>
  <c r="W146" i="4"/>
  <c r="V146" i="4"/>
  <c r="U146" i="4"/>
  <c r="S146" i="4"/>
  <c r="R146" i="4"/>
  <c r="Q146" i="4"/>
  <c r="M146" i="4"/>
  <c r="L146" i="4"/>
  <c r="N146" i="4" s="1"/>
  <c r="X145" i="4"/>
  <c r="W145" i="4"/>
  <c r="V145" i="4"/>
  <c r="U145" i="4"/>
  <c r="S145" i="4"/>
  <c r="R145" i="4"/>
  <c r="Q145" i="4"/>
  <c r="M145" i="4"/>
  <c r="L145" i="4"/>
  <c r="N145" i="4" s="1"/>
  <c r="X144" i="4"/>
  <c r="W144" i="4"/>
  <c r="V144" i="4"/>
  <c r="U144" i="4"/>
  <c r="S144" i="4"/>
  <c r="R144" i="4"/>
  <c r="Q144" i="4"/>
  <c r="M144" i="4"/>
  <c r="L144" i="4"/>
  <c r="N144" i="4" s="1"/>
  <c r="X143" i="4"/>
  <c r="W143" i="4"/>
  <c r="V143" i="4"/>
  <c r="U143" i="4"/>
  <c r="S143" i="4"/>
  <c r="R143" i="4"/>
  <c r="Q143" i="4"/>
  <c r="M143" i="4"/>
  <c r="L143" i="4"/>
  <c r="N143" i="4" s="1"/>
  <c r="X139" i="4"/>
  <c r="W139" i="4"/>
  <c r="V139" i="4"/>
  <c r="U139" i="4"/>
  <c r="S139" i="4"/>
  <c r="R139" i="4"/>
  <c r="Q139" i="4"/>
  <c r="M139" i="4"/>
  <c r="L139" i="4"/>
  <c r="N139" i="4" s="1"/>
  <c r="X137" i="4"/>
  <c r="W137" i="4"/>
  <c r="V137" i="4"/>
  <c r="U137" i="4"/>
  <c r="S137" i="4"/>
  <c r="R137" i="4"/>
  <c r="Q137" i="4"/>
  <c r="M137" i="4"/>
  <c r="L137" i="4"/>
  <c r="N137" i="4" s="1"/>
  <c r="X130" i="4"/>
  <c r="W130" i="4"/>
  <c r="V130" i="4"/>
  <c r="U130" i="4"/>
  <c r="S130" i="4"/>
  <c r="R130" i="4"/>
  <c r="Q130" i="4"/>
  <c r="P130" i="4"/>
  <c r="M130" i="4"/>
  <c r="L130" i="4"/>
  <c r="N130" i="4" s="1"/>
  <c r="X123" i="4"/>
  <c r="W123" i="4"/>
  <c r="V123" i="4"/>
  <c r="U123" i="4"/>
  <c r="S123" i="4"/>
  <c r="R123" i="4"/>
  <c r="Q123" i="4"/>
  <c r="P123" i="4"/>
  <c r="M123" i="4"/>
  <c r="L123" i="4"/>
  <c r="N123" i="4" s="1"/>
  <c r="X116" i="4"/>
  <c r="W116" i="4"/>
  <c r="V116" i="4"/>
  <c r="U116" i="4"/>
  <c r="S116" i="4"/>
  <c r="R116" i="4"/>
  <c r="Q116" i="4"/>
  <c r="P116" i="4"/>
  <c r="M116" i="4"/>
  <c r="L116" i="4"/>
  <c r="N116" i="4" s="1"/>
  <c r="X109" i="4"/>
  <c r="W109" i="4"/>
  <c r="V109" i="4"/>
  <c r="U109" i="4"/>
  <c r="S109" i="4"/>
  <c r="R109" i="4"/>
  <c r="Q109" i="4"/>
  <c r="P109" i="4"/>
  <c r="M109" i="4"/>
  <c r="L109" i="4"/>
  <c r="N109" i="4" s="1"/>
  <c r="X102" i="4"/>
  <c r="W102" i="4"/>
  <c r="V102" i="4"/>
  <c r="U102" i="4"/>
  <c r="S102" i="4"/>
  <c r="R102" i="4"/>
  <c r="Q102" i="4"/>
  <c r="P102" i="4"/>
  <c r="M102" i="4"/>
  <c r="L102" i="4"/>
  <c r="N102" i="4" s="1"/>
  <c r="X99" i="4"/>
  <c r="W99" i="4"/>
  <c r="V99" i="4"/>
  <c r="U99" i="4"/>
  <c r="S99" i="4"/>
  <c r="R99" i="4"/>
  <c r="Q99" i="4"/>
  <c r="P99" i="4"/>
  <c r="M99" i="4"/>
  <c r="L99" i="4"/>
  <c r="N99" i="4" s="1"/>
  <c r="X95" i="4"/>
  <c r="W95" i="4"/>
  <c r="V95" i="4"/>
  <c r="U95" i="4"/>
  <c r="S95" i="4"/>
  <c r="R95" i="4"/>
  <c r="Q95" i="4"/>
  <c r="P95" i="4"/>
  <c r="M95" i="4"/>
  <c r="L95" i="4"/>
  <c r="N95" i="4" s="1"/>
  <c r="X88" i="4"/>
  <c r="W88" i="4"/>
  <c r="V88" i="4"/>
  <c r="U88" i="4"/>
  <c r="S88" i="4"/>
  <c r="R88" i="4"/>
  <c r="Q88" i="4"/>
  <c r="P88" i="4"/>
  <c r="M88" i="4"/>
  <c r="L88" i="4"/>
  <c r="N88" i="4" s="1"/>
  <c r="X81" i="4"/>
  <c r="W81" i="4"/>
  <c r="V81" i="4"/>
  <c r="U81" i="4"/>
  <c r="S81" i="4"/>
  <c r="R81" i="4"/>
  <c r="Q81" i="4"/>
  <c r="P81" i="4"/>
  <c r="M81" i="4"/>
  <c r="L81" i="4"/>
  <c r="N81" i="4" s="1"/>
  <c r="X75" i="4"/>
  <c r="W75" i="4"/>
  <c r="V75" i="4"/>
  <c r="U75" i="4"/>
  <c r="S75" i="4"/>
  <c r="R75" i="4"/>
  <c r="Q75" i="4"/>
  <c r="P75" i="4"/>
  <c r="M75" i="4"/>
  <c r="L75" i="4"/>
  <c r="N75" i="4" s="1"/>
  <c r="X74" i="4"/>
  <c r="W74" i="4"/>
  <c r="V74" i="4"/>
  <c r="U74" i="4"/>
  <c r="S74" i="4"/>
  <c r="R74" i="4"/>
  <c r="Q74" i="4"/>
  <c r="P74" i="4"/>
  <c r="M74" i="4"/>
  <c r="L74" i="4"/>
  <c r="N74" i="4" s="1"/>
  <c r="X67" i="4"/>
  <c r="W67" i="4"/>
  <c r="V67" i="4"/>
  <c r="U67" i="4"/>
  <c r="S67" i="4"/>
  <c r="R67" i="4"/>
  <c r="Q67" i="4"/>
  <c r="P67" i="4"/>
  <c r="M67" i="4"/>
  <c r="L67" i="4"/>
  <c r="N67" i="4" s="1"/>
  <c r="X62" i="4"/>
  <c r="W62" i="4"/>
  <c r="V62" i="4"/>
  <c r="U62" i="4"/>
  <c r="S62" i="4"/>
  <c r="R62" i="4"/>
  <c r="Q62" i="4"/>
  <c r="P62" i="4"/>
  <c r="M62" i="4"/>
  <c r="L62" i="4"/>
  <c r="N62" i="4" s="1"/>
  <c r="X60" i="4"/>
  <c r="W60" i="4"/>
  <c r="V60" i="4"/>
  <c r="U60" i="4"/>
  <c r="S60" i="4"/>
  <c r="R60" i="4"/>
  <c r="Q60" i="4"/>
  <c r="P60" i="4"/>
  <c r="M60" i="4"/>
  <c r="L60" i="4"/>
  <c r="N60" i="4" s="1"/>
  <c r="X53" i="4"/>
  <c r="W53" i="4"/>
  <c r="V53" i="4"/>
  <c r="U53" i="4"/>
  <c r="S53" i="4"/>
  <c r="R53" i="4"/>
  <c r="Q53" i="4"/>
  <c r="P53" i="4"/>
  <c r="M53" i="4"/>
  <c r="L53" i="4"/>
  <c r="N53" i="4" s="1"/>
  <c r="X46" i="4"/>
  <c r="W46" i="4"/>
  <c r="V46" i="4"/>
  <c r="U46" i="4"/>
  <c r="S46" i="4"/>
  <c r="R46" i="4"/>
  <c r="Q46" i="4"/>
  <c r="P46" i="4"/>
  <c r="M46" i="4"/>
  <c r="L46" i="4"/>
  <c r="N46" i="4" s="1"/>
  <c r="X39" i="4"/>
  <c r="W39" i="4"/>
  <c r="V39" i="4"/>
  <c r="U39" i="4"/>
  <c r="S39" i="4"/>
  <c r="R39" i="4"/>
  <c r="Q39" i="4"/>
  <c r="P39" i="4"/>
  <c r="M39" i="4"/>
  <c r="L39" i="4"/>
  <c r="N39" i="4" s="1"/>
  <c r="X33" i="4"/>
  <c r="W33" i="4"/>
  <c r="V33" i="4"/>
  <c r="U33" i="4"/>
  <c r="S33" i="4"/>
  <c r="R33" i="4"/>
  <c r="Q33" i="4"/>
  <c r="P33" i="4"/>
  <c r="M33" i="4"/>
  <c r="L33" i="4"/>
  <c r="N33" i="4" s="1"/>
  <c r="X32" i="4"/>
  <c r="W32" i="4"/>
  <c r="V32" i="4"/>
  <c r="U32" i="4"/>
  <c r="S32" i="4"/>
  <c r="R32" i="4"/>
  <c r="Q32" i="4"/>
  <c r="P32" i="4"/>
  <c r="M32" i="4"/>
  <c r="L32" i="4"/>
  <c r="N32" i="4" s="1"/>
  <c r="X25" i="4"/>
  <c r="W25" i="4"/>
  <c r="V25" i="4"/>
  <c r="U25" i="4"/>
  <c r="S25" i="4"/>
  <c r="R25" i="4"/>
  <c r="Q25" i="4"/>
  <c r="P25" i="4"/>
  <c r="M25" i="4"/>
  <c r="L25" i="4"/>
  <c r="N25" i="4" s="1"/>
  <c r="X24" i="4"/>
  <c r="W24" i="4"/>
  <c r="V24" i="4"/>
  <c r="U24" i="4"/>
  <c r="S24" i="4"/>
  <c r="R24" i="4"/>
  <c r="Q24" i="4"/>
  <c r="P24" i="4"/>
  <c r="M24" i="4"/>
  <c r="L24" i="4"/>
  <c r="N24" i="4" s="1"/>
  <c r="X23" i="4"/>
  <c r="W23" i="4"/>
  <c r="V23" i="4"/>
  <c r="U23" i="4"/>
  <c r="S23" i="4"/>
  <c r="R23" i="4"/>
  <c r="Q23" i="4"/>
  <c r="P23" i="4"/>
  <c r="M23" i="4"/>
  <c r="L23" i="4"/>
  <c r="N23" i="4" s="1"/>
  <c r="Y22" i="4"/>
  <c r="Y23" i="4" s="1"/>
  <c r="X22" i="4"/>
  <c r="W22" i="4"/>
  <c r="V22" i="4"/>
  <c r="U22" i="4"/>
  <c r="S22" i="4"/>
  <c r="R22" i="4"/>
  <c r="Q22" i="4"/>
  <c r="P22" i="4"/>
  <c r="M22" i="4"/>
  <c r="L22" i="4"/>
  <c r="Z21" i="4"/>
  <c r="G21" i="4" s="1"/>
  <c r="Y21" i="4"/>
  <c r="X21" i="4"/>
  <c r="W21" i="4"/>
  <c r="V21" i="4"/>
  <c r="U21" i="4"/>
  <c r="S21" i="4"/>
  <c r="R21" i="4"/>
  <c r="Q21" i="4"/>
  <c r="P21" i="4"/>
  <c r="M21" i="4"/>
  <c r="L21" i="4"/>
  <c r="F21" i="4"/>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F47" i="4" s="1"/>
  <c r="F48" i="4" s="1"/>
  <c r="F49" i="4" s="1"/>
  <c r="F50" i="4" s="1"/>
  <c r="F51" i="4" s="1"/>
  <c r="F52" i="4" s="1"/>
  <c r="F53" i="4" s="1"/>
  <c r="F54" i="4" s="1"/>
  <c r="F55" i="4" s="1"/>
  <c r="F56" i="4" s="1"/>
  <c r="F57" i="4" s="1"/>
  <c r="F58" i="4" s="1"/>
  <c r="F59" i="4" s="1"/>
  <c r="F60" i="4" s="1"/>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F89" i="4" s="1"/>
  <c r="F90" i="4" s="1"/>
  <c r="F91" i="4" s="1"/>
  <c r="F92" i="4" s="1"/>
  <c r="F93" i="4" s="1"/>
  <c r="F94" i="4" s="1"/>
  <c r="F95" i="4" s="1"/>
  <c r="F96" i="4" s="1"/>
  <c r="F97" i="4" s="1"/>
  <c r="F98" i="4" s="1"/>
  <c r="F99" i="4" s="1"/>
  <c r="F100" i="4" s="1"/>
  <c r="F101" i="4" s="1"/>
  <c r="F102" i="4" s="1"/>
  <c r="F103" i="4" s="1"/>
  <c r="F104" i="4" s="1"/>
  <c r="F105" i="4" s="1"/>
  <c r="F106" i="4" s="1"/>
  <c r="F107" i="4" s="1"/>
  <c r="F108" i="4" s="1"/>
  <c r="F109" i="4" s="1"/>
  <c r="F110" i="4" s="1"/>
  <c r="F111" i="4" s="1"/>
  <c r="F112" i="4" s="1"/>
  <c r="F113" i="4" s="1"/>
  <c r="F114" i="4" s="1"/>
  <c r="F115" i="4" s="1"/>
  <c r="F116" i="4" s="1"/>
  <c r="F117" i="4" s="1"/>
  <c r="F118" i="4" s="1"/>
  <c r="F119" i="4" s="1"/>
  <c r="F120" i="4" s="1"/>
  <c r="F121" i="4" s="1"/>
  <c r="F122" i="4" s="1"/>
  <c r="F123" i="4" s="1"/>
  <c r="F124" i="4" s="1"/>
  <c r="F125" i="4" s="1"/>
  <c r="F126" i="4" s="1"/>
  <c r="F127" i="4" s="1"/>
  <c r="F128" i="4" s="1"/>
  <c r="F129" i="4" s="1"/>
  <c r="F130" i="4" s="1"/>
  <c r="F131" i="4" s="1"/>
  <c r="F132" i="4" s="1"/>
  <c r="F133" i="4" s="1"/>
  <c r="F134" i="4" s="1"/>
  <c r="F135" i="4" s="1"/>
  <c r="F136" i="4" s="1"/>
  <c r="F137" i="4" s="1"/>
  <c r="F138" i="4" s="1"/>
  <c r="F139" i="4" s="1"/>
  <c r="F140" i="4" s="1"/>
  <c r="F141" i="4" s="1"/>
  <c r="F142" i="4" s="1"/>
  <c r="F143" i="4" s="1"/>
  <c r="F144" i="4" s="1"/>
  <c r="F145" i="4" s="1"/>
  <c r="F146" i="4" s="1"/>
  <c r="F147" i="4" s="1"/>
  <c r="F148" i="4" s="1"/>
  <c r="F149" i="4" s="1"/>
  <c r="F150" i="4" s="1"/>
  <c r="F151" i="4" s="1"/>
  <c r="F152" i="4" s="1"/>
  <c r="F153" i="4" s="1"/>
  <c r="F154" i="4" s="1"/>
  <c r="F155" i="4" s="1"/>
  <c r="F156" i="4" s="1"/>
  <c r="F157" i="4" s="1"/>
  <c r="F158" i="4" s="1"/>
  <c r="F159" i="4" s="1"/>
  <c r="F160" i="4" s="1"/>
  <c r="F161" i="4" s="1"/>
  <c r="F162" i="4" s="1"/>
  <c r="F163" i="4" s="1"/>
  <c r="F164" i="4" s="1"/>
  <c r="F165" i="4" s="1"/>
  <c r="F166" i="4" s="1"/>
  <c r="F167" i="4" s="1"/>
  <c r="F168" i="4" s="1"/>
  <c r="F169" i="4" s="1"/>
  <c r="F170" i="4" s="1"/>
  <c r="F171" i="4" s="1"/>
  <c r="F172" i="4" s="1"/>
  <c r="F173" i="4" s="1"/>
  <c r="F174" i="4" s="1"/>
  <c r="F175" i="4" s="1"/>
  <c r="F176" i="4" s="1"/>
  <c r="F177" i="4" s="1"/>
  <c r="F178" i="4" s="1"/>
  <c r="F179" i="4" s="1"/>
  <c r="F180" i="4" s="1"/>
  <c r="F181" i="4" s="1"/>
  <c r="F182" i="4" s="1"/>
  <c r="F183" i="4" s="1"/>
  <c r="F184" i="4" s="1"/>
  <c r="F185" i="4" s="1"/>
  <c r="F186" i="4" s="1"/>
  <c r="F187" i="4" s="1"/>
  <c r="F188" i="4" s="1"/>
  <c r="F189" i="4" s="1"/>
  <c r="F190" i="4" s="1"/>
  <c r="F191" i="4" s="1"/>
  <c r="F192" i="4" s="1"/>
  <c r="F193" i="4" s="1"/>
  <c r="F194" i="4" s="1"/>
  <c r="F195" i="4" s="1"/>
  <c r="F196" i="4" s="1"/>
  <c r="F197" i="4" s="1"/>
  <c r="F198" i="4" s="1"/>
  <c r="F199" i="4" s="1"/>
  <c r="F200" i="4" s="1"/>
  <c r="F201" i="4" s="1"/>
  <c r="F202" i="4" s="1"/>
  <c r="F203" i="4" s="1"/>
  <c r="F204" i="4" s="1"/>
  <c r="F205" i="4" s="1"/>
  <c r="F206" i="4" s="1"/>
  <c r="F207" i="4" s="1"/>
  <c r="F208" i="4" s="1"/>
  <c r="F209" i="4" s="1"/>
  <c r="F210" i="4" s="1"/>
  <c r="F211" i="4" s="1"/>
  <c r="F212" i="4" s="1"/>
  <c r="F213" i="4" s="1"/>
  <c r="F214" i="4" s="1"/>
  <c r="F215" i="4" s="1"/>
  <c r="F216" i="4" s="1"/>
  <c r="F217" i="4" s="1"/>
  <c r="F218" i="4" s="1"/>
  <c r="F219" i="4" s="1"/>
  <c r="F220" i="4" s="1"/>
  <c r="F221" i="4" s="1"/>
  <c r="F222" i="4" s="1"/>
  <c r="F223" i="4" s="1"/>
  <c r="F224" i="4" s="1"/>
  <c r="F225" i="4" s="1"/>
  <c r="F226" i="4" s="1"/>
  <c r="F227" i="4" s="1"/>
  <c r="F228" i="4" s="1"/>
  <c r="F229" i="4" s="1"/>
  <c r="F230" i="4" s="1"/>
  <c r="F231" i="4" s="1"/>
  <c r="F232" i="4" s="1"/>
  <c r="F233" i="4" s="1"/>
  <c r="F234" i="4" s="1"/>
  <c r="F235" i="4" s="1"/>
  <c r="F236" i="4" s="1"/>
  <c r="F237" i="4" s="1"/>
  <c r="F238" i="4" s="1"/>
  <c r="F239" i="4" s="1"/>
  <c r="F240" i="4" s="1"/>
  <c r="F241" i="4" s="1"/>
  <c r="F242" i="4" s="1"/>
  <c r="F243" i="4" s="1"/>
  <c r="F244" i="4" s="1"/>
  <c r="F245" i="4" s="1"/>
  <c r="F246" i="4" s="1"/>
  <c r="F247" i="4" s="1"/>
  <c r="F248" i="4" s="1"/>
  <c r="F249" i="4" s="1"/>
  <c r="F250" i="4" s="1"/>
  <c r="F251" i="4" s="1"/>
  <c r="F252" i="4" s="1"/>
  <c r="F253" i="4" s="1"/>
  <c r="F254" i="4" s="1"/>
  <c r="F255" i="4" s="1"/>
  <c r="F256" i="4" s="1"/>
  <c r="F257" i="4" s="1"/>
  <c r="F258" i="4" s="1"/>
  <c r="F259" i="4" s="1"/>
  <c r="F260" i="4" s="1"/>
  <c r="F261" i="4" s="1"/>
  <c r="F262" i="4" s="1"/>
  <c r="F263" i="4" s="1"/>
  <c r="F264" i="4" s="1"/>
  <c r="F265" i="4" s="1"/>
  <c r="F266" i="4" s="1"/>
  <c r="F267" i="4" s="1"/>
  <c r="F268" i="4" s="1"/>
  <c r="F269" i="4" s="1"/>
  <c r="F270" i="4" s="1"/>
  <c r="F271" i="4" s="1"/>
  <c r="F272" i="4" s="1"/>
  <c r="F273" i="4" s="1"/>
  <c r="F274" i="4" s="1"/>
  <c r="F275" i="4" s="1"/>
  <c r="F276" i="4" s="1"/>
  <c r="F277" i="4" s="1"/>
  <c r="F278" i="4" s="1"/>
  <c r="F279" i="4" s="1"/>
  <c r="F280" i="4" s="1"/>
  <c r="F281" i="4" s="1"/>
  <c r="F282" i="4" s="1"/>
  <c r="F283" i="4" s="1"/>
  <c r="F284" i="4" s="1"/>
  <c r="F285" i="4" s="1"/>
  <c r="F286" i="4" s="1"/>
  <c r="F287" i="4" s="1"/>
  <c r="F288" i="4" s="1"/>
  <c r="F289" i="4" s="1"/>
  <c r="F290" i="4" s="1"/>
  <c r="F291" i="4" s="1"/>
  <c r="F292" i="4" s="1"/>
  <c r="F293" i="4" s="1"/>
  <c r="F294" i="4" s="1"/>
  <c r="F295" i="4" s="1"/>
  <c r="F296" i="4" s="1"/>
  <c r="F297" i="4" s="1"/>
  <c r="F298" i="4" s="1"/>
  <c r="F299" i="4" s="1"/>
  <c r="F300" i="4" s="1"/>
  <c r="F301" i="4" s="1"/>
  <c r="F302" i="4" s="1"/>
  <c r="F303" i="4" s="1"/>
  <c r="F304" i="4" s="1"/>
  <c r="F305" i="4" s="1"/>
  <c r="F306" i="4" s="1"/>
  <c r="F307" i="4" s="1"/>
  <c r="F308" i="4" s="1"/>
  <c r="F309" i="4" s="1"/>
  <c r="F310" i="4" s="1"/>
  <c r="F311" i="4" s="1"/>
  <c r="F312" i="4" s="1"/>
  <c r="F313" i="4" s="1"/>
  <c r="F314" i="4" s="1"/>
  <c r="F315" i="4" s="1"/>
  <c r="F316" i="4" s="1"/>
  <c r="F317" i="4" s="1"/>
  <c r="F318" i="4" s="1"/>
  <c r="F319" i="4" s="1"/>
  <c r="F320" i="4" s="1"/>
  <c r="F321" i="4" s="1"/>
  <c r="F322" i="4" s="1"/>
  <c r="F323" i="4" s="1"/>
  <c r="F324" i="4" s="1"/>
  <c r="F325" i="4" s="1"/>
  <c r="F326" i="4" s="1"/>
  <c r="F327" i="4" s="1"/>
  <c r="F328" i="4" s="1"/>
  <c r="F329" i="4" s="1"/>
  <c r="F330" i="4" s="1"/>
  <c r="F331" i="4" s="1"/>
  <c r="F332" i="4" s="1"/>
  <c r="F333" i="4" s="1"/>
  <c r="F334" i="4" s="1"/>
  <c r="F335" i="4" s="1"/>
  <c r="F336" i="4" s="1"/>
  <c r="F337" i="4" s="1"/>
  <c r="F338" i="4" s="1"/>
  <c r="F339" i="4" s="1"/>
  <c r="F340" i="4" s="1"/>
  <c r="F341" i="4" s="1"/>
  <c r="F342" i="4" s="1"/>
  <c r="F343" i="4" s="1"/>
  <c r="F344" i="4" s="1"/>
  <c r="F345" i="4" s="1"/>
  <c r="F346" i="4" s="1"/>
  <c r="F347" i="4" s="1"/>
  <c r="F348" i="4" s="1"/>
  <c r="F349" i="4" s="1"/>
  <c r="F350" i="4" s="1"/>
  <c r="F351" i="4" s="1"/>
  <c r="F352" i="4" s="1"/>
  <c r="F353" i="4" s="1"/>
  <c r="F354" i="4" s="1"/>
  <c r="F355" i="4" s="1"/>
  <c r="F356" i="4" s="1"/>
  <c r="F357" i="4" s="1"/>
  <c r="F358" i="4" s="1"/>
  <c r="F359" i="4" s="1"/>
  <c r="F360" i="4" s="1"/>
  <c r="F361" i="4" s="1"/>
  <c r="F362" i="4" s="1"/>
  <c r="F363" i="4" s="1"/>
  <c r="F364" i="4" s="1"/>
  <c r="F365" i="4" s="1"/>
  <c r="F366" i="4" s="1"/>
  <c r="F367" i="4" s="1"/>
  <c r="F368" i="4" s="1"/>
  <c r="F369" i="4" s="1"/>
  <c r="F370" i="4" s="1"/>
  <c r="F371" i="4" s="1"/>
  <c r="F372" i="4" s="1"/>
  <c r="F373" i="4" s="1"/>
  <c r="F374" i="4" s="1"/>
  <c r="F375" i="4" s="1"/>
  <c r="F376" i="4" s="1"/>
  <c r="F377" i="4" s="1"/>
  <c r="F378" i="4" s="1"/>
  <c r="F379" i="4" s="1"/>
  <c r="F380" i="4" s="1"/>
  <c r="F381" i="4" s="1"/>
  <c r="F382" i="4" s="1"/>
  <c r="F383" i="4" s="1"/>
  <c r="F384" i="4" s="1"/>
  <c r="F385" i="4" s="1"/>
  <c r="E21" i="4"/>
  <c r="AK18" i="4"/>
  <c r="F18" i="4"/>
  <c r="AK17" i="4"/>
  <c r="F17" i="4"/>
  <c r="AK16" i="4"/>
  <c r="F16" i="4"/>
  <c r="AK15" i="4"/>
  <c r="F15" i="4"/>
  <c r="AK14" i="4"/>
  <c r="F14" i="4"/>
  <c r="AK13" i="4"/>
  <c r="F13" i="4"/>
  <c r="AK12" i="4"/>
  <c r="F12" i="4"/>
  <c r="AK11" i="4"/>
  <c r="F11" i="4"/>
  <c r="AK10" i="4"/>
  <c r="F10" i="4"/>
  <c r="AK9" i="4"/>
  <c r="F9" i="4"/>
  <c r="AK8" i="4"/>
  <c r="F8" i="4"/>
  <c r="AK7" i="4"/>
  <c r="F7" i="4"/>
  <c r="L32" i="3"/>
  <c r="L33" i="3"/>
  <c r="L39" i="3"/>
  <c r="L46" i="3"/>
  <c r="L53" i="3"/>
  <c r="L60" i="3"/>
  <c r="L62" i="3"/>
  <c r="L67" i="3"/>
  <c r="L74" i="3"/>
  <c r="L75" i="3"/>
  <c r="L81" i="3"/>
  <c r="L88" i="3"/>
  <c r="L95" i="3"/>
  <c r="L99" i="3"/>
  <c r="L102" i="3"/>
  <c r="L109" i="3"/>
  <c r="L116" i="3"/>
  <c r="L123" i="3"/>
  <c r="L130" i="3"/>
  <c r="L137" i="3"/>
  <c r="L139" i="3"/>
  <c r="L143" i="3"/>
  <c r="L144" i="3"/>
  <c r="L145" i="3"/>
  <c r="L146" i="3"/>
  <c r="L151" i="3"/>
  <c r="L158" i="3"/>
  <c r="L165" i="3"/>
  <c r="L172" i="3"/>
  <c r="L179" i="3"/>
  <c r="L186" i="3"/>
  <c r="L193" i="3"/>
  <c r="L200" i="3"/>
  <c r="L207" i="3"/>
  <c r="L214" i="3"/>
  <c r="L221" i="3"/>
  <c r="L222" i="3"/>
  <c r="L228" i="3"/>
  <c r="L235" i="3"/>
  <c r="L242" i="3"/>
  <c r="L243" i="3"/>
  <c r="L244" i="3"/>
  <c r="L245" i="3"/>
  <c r="L246" i="3"/>
  <c r="L247" i="3"/>
  <c r="L248" i="3"/>
  <c r="L249" i="3"/>
  <c r="L256" i="3"/>
  <c r="L263" i="3"/>
  <c r="L270" i="3"/>
  <c r="L277" i="3"/>
  <c r="L278" i="3"/>
  <c r="L284" i="3"/>
  <c r="L286" i="3"/>
  <c r="L291" i="3"/>
  <c r="L298" i="3"/>
  <c r="L305" i="3"/>
  <c r="L306" i="3"/>
  <c r="L312" i="3"/>
  <c r="L319" i="3"/>
  <c r="L326" i="3"/>
  <c r="L327" i="3"/>
  <c r="L333" i="3"/>
  <c r="L340" i="3"/>
  <c r="L347" i="3"/>
  <c r="L348" i="3"/>
  <c r="L354" i="3"/>
  <c r="L361" i="3"/>
  <c r="L368" i="3"/>
  <c r="L375" i="3"/>
  <c r="L382" i="3"/>
  <c r="L383" i="3"/>
  <c r="L384" i="3"/>
  <c r="L385" i="3"/>
  <c r="L22" i="3"/>
  <c r="L23" i="3"/>
  <c r="L24" i="3"/>
  <c r="L25" i="3"/>
  <c r="L21" i="3"/>
  <c r="B3" i="1"/>
  <c r="C2" i="1"/>
  <c r="C34" i="1" a="1"/>
  <c r="C34" i="1" s="1"/>
  <c r="C32" i="1"/>
  <c r="M17" i="7" l="1"/>
  <c r="M16" i="7"/>
  <c r="M15" i="7"/>
  <c r="M14" i="7"/>
  <c r="M13" i="7"/>
  <c r="M12" i="7"/>
  <c r="M8" i="7"/>
  <c r="Q242" i="7"/>
  <c r="Q214" i="7"/>
  <c r="Q165" i="7"/>
  <c r="Q130" i="7"/>
  <c r="Q123" i="7"/>
  <c r="Q116" i="7"/>
  <c r="Q109" i="7"/>
  <c r="Q102" i="7"/>
  <c r="Q88" i="7"/>
  <c r="Q81" i="7"/>
  <c r="Q67" i="7"/>
  <c r="Q291" i="7"/>
  <c r="Q256" i="7"/>
  <c r="Q207" i="7"/>
  <c r="Q200" i="7"/>
  <c r="Q186" i="7"/>
  <c r="Q151" i="7"/>
  <c r="Q60" i="7"/>
  <c r="Q221" i="7"/>
  <c r="Q179" i="7"/>
  <c r="Q158" i="7"/>
  <c r="Q137" i="7"/>
  <c r="Q284" i="7"/>
  <c r="Q277" i="7"/>
  <c r="Q270" i="7"/>
  <c r="Q263" i="7"/>
  <c r="Q249" i="7"/>
  <c r="Q228" i="7"/>
  <c r="Q193" i="7"/>
  <c r="Q95" i="7"/>
  <c r="Q75" i="7"/>
  <c r="Q172" i="7"/>
  <c r="V53" i="7"/>
  <c r="V46" i="7"/>
  <c r="Q46" i="7"/>
  <c r="V39" i="7"/>
  <c r="Q39" i="7"/>
  <c r="V33" i="7"/>
  <c r="Q33" i="7"/>
  <c r="V32" i="7"/>
  <c r="Q32" i="7"/>
  <c r="M7" i="7"/>
  <c r="K3" i="7"/>
  <c r="V200" i="7"/>
  <c r="V172" i="7"/>
  <c r="V158" i="7"/>
  <c r="V151" i="7"/>
  <c r="V137" i="7"/>
  <c r="V116" i="7"/>
  <c r="V102" i="7"/>
  <c r="V88" i="7"/>
  <c r="V75" i="7"/>
  <c r="V67" i="7"/>
  <c r="V284" i="7"/>
  <c r="V207" i="7"/>
  <c r="V179" i="7"/>
  <c r="V123" i="7"/>
  <c r="V186" i="7"/>
  <c r="V165" i="7"/>
  <c r="V144" i="7"/>
  <c r="V130" i="7"/>
  <c r="V109" i="7"/>
  <c r="V95" i="7"/>
  <c r="V81" i="7"/>
  <c r="V60" i="7"/>
  <c r="V193" i="7"/>
  <c r="M9" i="7"/>
  <c r="V361" i="7"/>
  <c r="V382" i="7"/>
  <c r="V375" i="7"/>
  <c r="V228" i="7"/>
  <c r="V347" i="7"/>
  <c r="V270" i="7"/>
  <c r="V256" i="7"/>
  <c r="V249" i="7"/>
  <c r="V242" i="7"/>
  <c r="V221" i="7"/>
  <c r="V354" i="7"/>
  <c r="V277" i="7"/>
  <c r="V263" i="7"/>
  <c r="V235" i="7"/>
  <c r="V214" i="7"/>
  <c r="V368" i="7"/>
  <c r="V340" i="7"/>
  <c r="V333" i="7"/>
  <c r="V326" i="7"/>
  <c r="V319" i="7"/>
  <c r="V312" i="7"/>
  <c r="V305" i="7"/>
  <c r="V298" i="7"/>
  <c r="V291" i="7"/>
  <c r="S165" i="7"/>
  <c r="R165" i="7"/>
  <c r="S158" i="7"/>
  <c r="R158" i="7"/>
  <c r="S151" i="7"/>
  <c r="R151" i="7"/>
  <c r="S144" i="7"/>
  <c r="R144" i="7"/>
  <c r="S137" i="7"/>
  <c r="R137" i="7"/>
  <c r="N385" i="7"/>
  <c r="N384" i="7"/>
  <c r="V380" i="7"/>
  <c r="V379" i="7"/>
  <c r="V378" i="7"/>
  <c r="V377" i="7"/>
  <c r="V376" i="7"/>
  <c r="V374" i="7"/>
  <c r="V373" i="7"/>
  <c r="V372" i="7"/>
  <c r="V371" i="7"/>
  <c r="V370" i="7"/>
  <c r="V351" i="7"/>
  <c r="V350" i="7"/>
  <c r="V316" i="7"/>
  <c r="V314" i="7"/>
  <c r="V311" i="7"/>
  <c r="V310" i="7"/>
  <c r="V309" i="7"/>
  <c r="V308" i="7"/>
  <c r="V307" i="7"/>
  <c r="N306" i="7"/>
  <c r="V103" i="7"/>
  <c r="Q103" i="7"/>
  <c r="V85" i="7"/>
  <c r="Q85" i="7"/>
  <c r="V79" i="7"/>
  <c r="Q79" i="7"/>
  <c r="V304" i="7"/>
  <c r="V303" i="7"/>
  <c r="V302" i="7"/>
  <c r="V301" i="7"/>
  <c r="V300" i="7"/>
  <c r="V299" i="7"/>
  <c r="V297" i="7"/>
  <c r="V296" i="7"/>
  <c r="V295" i="7"/>
  <c r="V294" i="7"/>
  <c r="Q294" i="7"/>
  <c r="V293" i="7"/>
  <c r="Q293" i="7"/>
  <c r="V292" i="7"/>
  <c r="Q292" i="7"/>
  <c r="V290" i="7"/>
  <c r="Q290" i="7"/>
  <c r="V289" i="7"/>
  <c r="Q289" i="7"/>
  <c r="V288" i="7"/>
  <c r="Q288" i="7"/>
  <c r="V287" i="7"/>
  <c r="Q287" i="7"/>
  <c r="N286" i="7"/>
  <c r="V285" i="7"/>
  <c r="Q285" i="7"/>
  <c r="V283" i="7"/>
  <c r="Q283" i="7"/>
  <c r="V282" i="7"/>
  <c r="Q282" i="7"/>
  <c r="V281" i="7"/>
  <c r="Q281" i="7"/>
  <c r="V280" i="7"/>
  <c r="Q280" i="7"/>
  <c r="V279" i="7"/>
  <c r="Q279" i="7"/>
  <c r="N278" i="7"/>
  <c r="V276" i="7"/>
  <c r="Q276" i="7"/>
  <c r="V275" i="7"/>
  <c r="Q275" i="7"/>
  <c r="V274" i="7"/>
  <c r="Q274" i="7"/>
  <c r="V273" i="7"/>
  <c r="Q273" i="7"/>
  <c r="V272" i="7"/>
  <c r="Q272" i="7"/>
  <c r="V271" i="7"/>
  <c r="Q271" i="7"/>
  <c r="V269" i="7"/>
  <c r="Q269" i="7"/>
  <c r="V268" i="7"/>
  <c r="Q268" i="7"/>
  <c r="V267" i="7"/>
  <c r="Q267" i="7"/>
  <c r="V266" i="7"/>
  <c r="Q266" i="7"/>
  <c r="V265" i="7"/>
  <c r="Q265" i="7"/>
  <c r="V264" i="7"/>
  <c r="Q264" i="7"/>
  <c r="V262" i="7"/>
  <c r="Q262" i="7"/>
  <c r="V261" i="7"/>
  <c r="Q261" i="7"/>
  <c r="V260" i="7"/>
  <c r="Q260" i="7"/>
  <c r="V259" i="7"/>
  <c r="Q259" i="7"/>
  <c r="V258" i="7"/>
  <c r="Q258" i="7"/>
  <c r="V257" i="7"/>
  <c r="Q257" i="7"/>
  <c r="V255" i="7"/>
  <c r="Q255" i="7"/>
  <c r="V254" i="7"/>
  <c r="Q254" i="7"/>
  <c r="V253" i="7"/>
  <c r="Q253" i="7"/>
  <c r="V252" i="7"/>
  <c r="Q252" i="7"/>
  <c r="V251" i="7"/>
  <c r="Q251" i="7"/>
  <c r="V250" i="7"/>
  <c r="Q250" i="7"/>
  <c r="N248" i="7"/>
  <c r="N247" i="7"/>
  <c r="N246" i="7"/>
  <c r="N245" i="7"/>
  <c r="N244" i="7"/>
  <c r="N243" i="7"/>
  <c r="V241" i="7"/>
  <c r="Q241" i="7"/>
  <c r="V240" i="7"/>
  <c r="Q240" i="7"/>
  <c r="V239" i="7"/>
  <c r="Q239" i="7"/>
  <c r="V238" i="7"/>
  <c r="Q238" i="7"/>
  <c r="V237" i="7"/>
  <c r="Q237" i="7"/>
  <c r="V236" i="7"/>
  <c r="Q236" i="7"/>
  <c r="V234" i="7"/>
  <c r="Q234" i="7"/>
  <c r="V233" i="7"/>
  <c r="Q233" i="7"/>
  <c r="V232" i="7"/>
  <c r="Q232" i="7"/>
  <c r="V231" i="7"/>
  <c r="Q231" i="7"/>
  <c r="V230" i="7"/>
  <c r="Q230" i="7"/>
  <c r="V229" i="7"/>
  <c r="Q229" i="7"/>
  <c r="V227" i="7"/>
  <c r="Q227" i="7"/>
  <c r="V226" i="7"/>
  <c r="Q226" i="7"/>
  <c r="Q219" i="7"/>
  <c r="V218" i="7"/>
  <c r="Q218" i="7"/>
  <c r="V217" i="7"/>
  <c r="Q217" i="7"/>
  <c r="V216" i="7"/>
  <c r="Q216" i="7"/>
  <c r="V215" i="7"/>
  <c r="Q215" i="7"/>
  <c r="V213" i="7"/>
  <c r="Q213" i="7"/>
  <c r="V212" i="7"/>
  <c r="Q212" i="7"/>
  <c r="V211" i="7"/>
  <c r="Q211" i="7"/>
  <c r="V210" i="7"/>
  <c r="Q210" i="7"/>
  <c r="V209" i="7"/>
  <c r="Q209" i="7"/>
  <c r="V208" i="7"/>
  <c r="Q208" i="7"/>
  <c r="V206" i="7"/>
  <c r="Q206" i="7"/>
  <c r="V205" i="7"/>
  <c r="Q205" i="7"/>
  <c r="V204" i="7"/>
  <c r="Q204" i="7"/>
  <c r="V203" i="7"/>
  <c r="Q203" i="7"/>
  <c r="V202" i="7"/>
  <c r="Q202" i="7"/>
  <c r="V201" i="7"/>
  <c r="Q201" i="7"/>
  <c r="V199" i="7"/>
  <c r="Q199" i="7"/>
  <c r="V198" i="7"/>
  <c r="Q198" i="7"/>
  <c r="V197" i="7"/>
  <c r="Q197" i="7"/>
  <c r="V196" i="7"/>
  <c r="Q196" i="7"/>
  <c r="V195" i="7"/>
  <c r="Q195" i="7"/>
  <c r="V194" i="7"/>
  <c r="Q194" i="7"/>
  <c r="V192" i="7"/>
  <c r="Q192" i="7"/>
  <c r="V191" i="7"/>
  <c r="Q191" i="7"/>
  <c r="V190" i="7"/>
  <c r="Q190" i="7"/>
  <c r="V189" i="7"/>
  <c r="Q189" i="7"/>
  <c r="V188" i="7"/>
  <c r="Q188" i="7"/>
  <c r="V187" i="7"/>
  <c r="Q187" i="7"/>
  <c r="V185" i="7"/>
  <c r="Q185" i="7"/>
  <c r="V184" i="7"/>
  <c r="Q184" i="7"/>
  <c r="V183" i="7"/>
  <c r="Q183" i="7"/>
  <c r="V182" i="7"/>
  <c r="Q182" i="7"/>
  <c r="V181" i="7"/>
  <c r="Q181" i="7"/>
  <c r="V180" i="7"/>
  <c r="Q180" i="7"/>
  <c r="V178" i="7"/>
  <c r="Q178" i="7"/>
  <c r="V177" i="7"/>
  <c r="Q177" i="7"/>
  <c r="V176" i="7"/>
  <c r="Q176" i="7"/>
  <c r="V175" i="7"/>
  <c r="Q175" i="7"/>
  <c r="V174" i="7"/>
  <c r="Q174" i="7"/>
  <c r="V173" i="7"/>
  <c r="Q173" i="7"/>
  <c r="V171" i="7"/>
  <c r="Q171" i="7"/>
  <c r="V170" i="7"/>
  <c r="Q170" i="7"/>
  <c r="V169" i="7"/>
  <c r="Q169" i="7"/>
  <c r="V168" i="7"/>
  <c r="Q168" i="7"/>
  <c r="V167" i="7"/>
  <c r="Q167" i="7"/>
  <c r="V166" i="7"/>
  <c r="Q166" i="7"/>
  <c r="V164" i="7"/>
  <c r="Q164" i="7"/>
  <c r="V163" i="7"/>
  <c r="Q163" i="7"/>
  <c r="V162" i="7"/>
  <c r="Q162" i="7"/>
  <c r="V161" i="7"/>
  <c r="Q161" i="7"/>
  <c r="V160" i="7"/>
  <c r="Q160" i="7"/>
  <c r="V159" i="7"/>
  <c r="Q159" i="7"/>
  <c r="V157" i="7"/>
  <c r="Q157" i="7"/>
  <c r="V156" i="7"/>
  <c r="Q156" i="7"/>
  <c r="V155" i="7"/>
  <c r="Q155" i="7"/>
  <c r="V154" i="7"/>
  <c r="Q154" i="7"/>
  <c r="V153" i="7"/>
  <c r="Q153" i="7"/>
  <c r="V152" i="7"/>
  <c r="Q152" i="7"/>
  <c r="V150" i="7"/>
  <c r="Q150" i="7"/>
  <c r="V149" i="7"/>
  <c r="Q149" i="7"/>
  <c r="V148" i="7"/>
  <c r="Q148" i="7"/>
  <c r="V147" i="7"/>
  <c r="Q147" i="7"/>
  <c r="N146" i="7"/>
  <c r="N145" i="7"/>
  <c r="Q131" i="7"/>
  <c r="V129" i="7"/>
  <c r="Q129" i="7"/>
  <c r="V128" i="7"/>
  <c r="Q128" i="7"/>
  <c r="V127" i="7"/>
  <c r="Q127" i="7"/>
  <c r="V126" i="7"/>
  <c r="Q126" i="7"/>
  <c r="V125" i="7"/>
  <c r="Q125" i="7"/>
  <c r="V124" i="7"/>
  <c r="Q124" i="7"/>
  <c r="V122" i="7"/>
  <c r="Q122" i="7"/>
  <c r="V121" i="7"/>
  <c r="Q121" i="7"/>
  <c r="V120" i="7"/>
  <c r="Q120" i="7"/>
  <c r="V119" i="7"/>
  <c r="Q119" i="7"/>
  <c r="V118" i="7"/>
  <c r="Q118" i="7"/>
  <c r="V117" i="7"/>
  <c r="Q117" i="7"/>
  <c r="V115" i="7"/>
  <c r="Q115" i="7"/>
  <c r="V114" i="7"/>
  <c r="Q114" i="7"/>
  <c r="V113" i="7"/>
  <c r="Q113" i="7"/>
  <c r="Q112" i="7"/>
  <c r="V110" i="7"/>
  <c r="Q110" i="7"/>
  <c r="V108" i="7"/>
  <c r="Q108" i="7"/>
  <c r="V107" i="7"/>
  <c r="Q107" i="7"/>
  <c r="V106" i="7"/>
  <c r="Q106" i="7"/>
  <c r="V105" i="7"/>
  <c r="Q105" i="7"/>
  <c r="V92" i="7"/>
  <c r="Q92" i="7"/>
  <c r="V90" i="7"/>
  <c r="Q90" i="7"/>
  <c r="V89" i="7"/>
  <c r="Q89" i="7"/>
  <c r="V87" i="7"/>
  <c r="Q87" i="7"/>
  <c r="V80" i="7"/>
  <c r="Q80" i="7"/>
  <c r="V73" i="7"/>
  <c r="Q73" i="7"/>
  <c r="V65" i="7"/>
  <c r="Q65" i="7"/>
  <c r="N62" i="7"/>
  <c r="V54" i="7"/>
  <c r="Q54" i="7"/>
  <c r="V51" i="7"/>
  <c r="Q45" i="7"/>
  <c r="V37" i="7"/>
  <c r="Q37" i="7"/>
  <c r="V29" i="7"/>
  <c r="Q29" i="7"/>
  <c r="V28" i="7"/>
  <c r="Q28" i="7"/>
  <c r="V27" i="7"/>
  <c r="Q27" i="7"/>
  <c r="V26" i="7"/>
  <c r="Q26" i="7"/>
  <c r="V225" i="7"/>
  <c r="Q225" i="7"/>
  <c r="V224" i="7"/>
  <c r="Q224" i="7"/>
  <c r="V223" i="7"/>
  <c r="Q223" i="7"/>
  <c r="N222" i="7"/>
  <c r="V220" i="7"/>
  <c r="Q220" i="7"/>
  <c r="V219" i="7"/>
  <c r="V112" i="7"/>
  <c r="V111" i="7"/>
  <c r="Q111" i="7"/>
  <c r="V101" i="7"/>
  <c r="Q101" i="7"/>
  <c r="V100" i="7"/>
  <c r="Q100" i="7"/>
  <c r="V61" i="7"/>
  <c r="V55" i="7"/>
  <c r="Q55" i="7"/>
  <c r="V52" i="7"/>
  <c r="Q52" i="7"/>
  <c r="Q51" i="7"/>
  <c r="V48" i="7"/>
  <c r="Q48" i="7"/>
  <c r="V38" i="7"/>
  <c r="Q38" i="7"/>
  <c r="V34" i="7"/>
  <c r="Q34" i="7"/>
  <c r="V31" i="7"/>
  <c r="Q31" i="7"/>
  <c r="N143" i="7"/>
  <c r="V142" i="7"/>
  <c r="Q142" i="7"/>
  <c r="V141" i="7"/>
  <c r="Q141" i="7"/>
  <c r="V140" i="7"/>
  <c r="Q140" i="7"/>
  <c r="N139" i="7"/>
  <c r="V138" i="7"/>
  <c r="Q138" i="7"/>
  <c r="V136" i="7"/>
  <c r="Q136" i="7"/>
  <c r="V135" i="7"/>
  <c r="Q135" i="7"/>
  <c r="V134" i="7"/>
  <c r="Q134" i="7"/>
  <c r="V133" i="7"/>
  <c r="Q133" i="7"/>
  <c r="V132" i="7"/>
  <c r="Q132" i="7"/>
  <c r="V131" i="7"/>
  <c r="V104" i="7"/>
  <c r="Q104" i="7"/>
  <c r="V98" i="7"/>
  <c r="Q98" i="7"/>
  <c r="V94" i="7"/>
  <c r="Q94" i="7"/>
  <c r="V86" i="7"/>
  <c r="Q86" i="7"/>
  <c r="V83" i="7"/>
  <c r="Q83" i="7"/>
  <c r="V63" i="7"/>
  <c r="Q63" i="7"/>
  <c r="Q61" i="7"/>
  <c r="V56" i="7"/>
  <c r="Q56" i="7"/>
  <c r="N24" i="7"/>
  <c r="I3" i="7"/>
  <c r="E3" i="7"/>
  <c r="V72" i="7"/>
  <c r="Q72" i="7"/>
  <c r="V71" i="7"/>
  <c r="Q71" i="7"/>
  <c r="V70" i="7"/>
  <c r="Q70" i="7"/>
  <c r="V69" i="7"/>
  <c r="Q69" i="7"/>
  <c r="V68" i="7"/>
  <c r="Q68" i="7"/>
  <c r="V35" i="7"/>
  <c r="Q35" i="7"/>
  <c r="V30" i="7"/>
  <c r="Q30" i="7"/>
  <c r="N23" i="7"/>
  <c r="Z22" i="7"/>
  <c r="Y22" i="7"/>
  <c r="N22" i="7"/>
  <c r="F22" i="7"/>
  <c r="F23" i="7" s="1"/>
  <c r="F24" i="7" s="1"/>
  <c r="F25" i="7" s="1"/>
  <c r="F26" i="7" s="1"/>
  <c r="F27" i="7" s="1"/>
  <c r="F28" i="7" s="1"/>
  <c r="F29" i="7" s="1"/>
  <c r="F30" i="7" s="1"/>
  <c r="F31" i="7" s="1"/>
  <c r="F32" i="7" s="1"/>
  <c r="F33" i="7" s="1"/>
  <c r="F34" i="7" s="1"/>
  <c r="F35" i="7" s="1"/>
  <c r="F36" i="7" s="1"/>
  <c r="F37" i="7" s="1"/>
  <c r="F38" i="7" s="1"/>
  <c r="F39" i="7" s="1"/>
  <c r="F40" i="7" s="1"/>
  <c r="N383" i="7"/>
  <c r="V381" i="7"/>
  <c r="V369" i="7"/>
  <c r="V357" i="7"/>
  <c r="V356" i="7"/>
  <c r="V353" i="7"/>
  <c r="V339" i="7"/>
  <c r="V337" i="7"/>
  <c r="V334" i="7"/>
  <c r="V331" i="7"/>
  <c r="V328" i="7"/>
  <c r="V84" i="7"/>
  <c r="Q84" i="7"/>
  <c r="V77" i="7"/>
  <c r="Q77" i="7"/>
  <c r="Q59" i="7"/>
  <c r="V57" i="7"/>
  <c r="Q57" i="7"/>
  <c r="V50" i="7"/>
  <c r="Q50" i="7"/>
  <c r="V49" i="7"/>
  <c r="Q49" i="7"/>
  <c r="V47" i="7"/>
  <c r="Q47" i="7"/>
  <c r="V45" i="7"/>
  <c r="V36" i="7"/>
  <c r="Q36" i="7"/>
  <c r="V366" i="7"/>
  <c r="V364" i="7"/>
  <c r="V363" i="7"/>
  <c r="V362" i="7"/>
  <c r="V359" i="7"/>
  <c r="Q355" i="7"/>
  <c r="Q325" i="7"/>
  <c r="V322" i="7"/>
  <c r="V321" i="7"/>
  <c r="V320" i="7"/>
  <c r="V318" i="7"/>
  <c r="V315" i="7"/>
  <c r="V313" i="7"/>
  <c r="V97" i="7"/>
  <c r="Q97" i="7"/>
  <c r="V93" i="7"/>
  <c r="Q93" i="7"/>
  <c r="V91" i="7"/>
  <c r="Q91" i="7"/>
  <c r="V82" i="7"/>
  <c r="Q82" i="7"/>
  <c r="V78" i="7"/>
  <c r="Q78" i="7"/>
  <c r="V76" i="7"/>
  <c r="Q76" i="7"/>
  <c r="V66" i="7"/>
  <c r="Q66" i="7"/>
  <c r="V64" i="7"/>
  <c r="Q64" i="7"/>
  <c r="V59" i="7"/>
  <c r="V58" i="7"/>
  <c r="Q58" i="7"/>
  <c r="V44" i="7"/>
  <c r="Q44" i="7"/>
  <c r="V43" i="7"/>
  <c r="Q43" i="7"/>
  <c r="V42" i="7"/>
  <c r="Q42" i="7"/>
  <c r="V41" i="7"/>
  <c r="Q41" i="7"/>
  <c r="F41" i="7"/>
  <c r="F42" i="7" s="1"/>
  <c r="F43" i="7" s="1"/>
  <c r="F44" i="7" s="1"/>
  <c r="F45" i="7" s="1"/>
  <c r="F46" i="7" s="1"/>
  <c r="F47" i="7" s="1"/>
  <c r="F48" i="7" s="1"/>
  <c r="F49" i="7" s="1"/>
  <c r="F50" i="7" s="1"/>
  <c r="F51" i="7" s="1"/>
  <c r="F52" i="7" s="1"/>
  <c r="F53" i="7" s="1"/>
  <c r="F54" i="7" s="1"/>
  <c r="F55" i="7" s="1"/>
  <c r="F56" i="7" s="1"/>
  <c r="F57" i="7" s="1"/>
  <c r="F58" i="7" s="1"/>
  <c r="F59" i="7" s="1"/>
  <c r="F60" i="7" s="1"/>
  <c r="F61" i="7" s="1"/>
  <c r="F62" i="7" s="1"/>
  <c r="F63" i="7" s="1"/>
  <c r="F64" i="7" s="1"/>
  <c r="F65" i="7" s="1"/>
  <c r="F66" i="7" s="1"/>
  <c r="F67" i="7" s="1"/>
  <c r="F68" i="7" s="1"/>
  <c r="F69" i="7" s="1"/>
  <c r="F70" i="7" s="1"/>
  <c r="F71" i="7" s="1"/>
  <c r="F72" i="7" s="1"/>
  <c r="F73" i="7" s="1"/>
  <c r="F74" i="7" s="1"/>
  <c r="F75" i="7" s="1"/>
  <c r="F76" i="7" s="1"/>
  <c r="F77" i="7" s="1"/>
  <c r="F78" i="7" s="1"/>
  <c r="F79" i="7" s="1"/>
  <c r="F80" i="7" s="1"/>
  <c r="F81" i="7" s="1"/>
  <c r="F82" i="7" s="1"/>
  <c r="F83" i="7" s="1"/>
  <c r="F84" i="7" s="1"/>
  <c r="F85" i="7" s="1"/>
  <c r="F86" i="7" s="1"/>
  <c r="F87" i="7" s="1"/>
  <c r="F88" i="7" s="1"/>
  <c r="F89" i="7" s="1"/>
  <c r="F90" i="7" s="1"/>
  <c r="F91" i="7" s="1"/>
  <c r="F92" i="7" s="1"/>
  <c r="F93" i="7" s="1"/>
  <c r="F94" i="7" s="1"/>
  <c r="F95" i="7" s="1"/>
  <c r="N21" i="7"/>
  <c r="V367" i="7"/>
  <c r="V365" i="7"/>
  <c r="V360" i="7"/>
  <c r="V358" i="7"/>
  <c r="V355" i="7"/>
  <c r="V352" i="7"/>
  <c r="V349" i="7"/>
  <c r="N348" i="7"/>
  <c r="V346" i="7"/>
  <c r="V345" i="7"/>
  <c r="V344" i="7"/>
  <c r="V343" i="7"/>
  <c r="V342" i="7"/>
  <c r="V341" i="7"/>
  <c r="V338" i="7"/>
  <c r="V336" i="7"/>
  <c r="V335" i="7"/>
  <c r="V332" i="7"/>
  <c r="V330" i="7"/>
  <c r="V329" i="7"/>
  <c r="N327" i="7"/>
  <c r="V325" i="7"/>
  <c r="V324" i="7"/>
  <c r="V323" i="7"/>
  <c r="V317" i="7"/>
  <c r="V96" i="7"/>
  <c r="Q96" i="7"/>
  <c r="N74" i="7"/>
  <c r="V40" i="7"/>
  <c r="Q40" i="7"/>
  <c r="Q224" i="5"/>
  <c r="Q142" i="5"/>
  <c r="B7" i="5"/>
  <c r="Q151" i="5"/>
  <c r="Q205" i="5"/>
  <c r="V81" i="5"/>
  <c r="Q235" i="5"/>
  <c r="Q119" i="5"/>
  <c r="X194" i="5"/>
  <c r="Q64" i="5"/>
  <c r="Q81" i="5"/>
  <c r="Q122" i="5"/>
  <c r="Q196" i="5"/>
  <c r="Q238" i="5"/>
  <c r="Q305" i="5"/>
  <c r="Q214" i="5"/>
  <c r="Q111" i="5"/>
  <c r="Q112" i="5"/>
  <c r="Q74" i="5"/>
  <c r="V51" i="5"/>
  <c r="Q79" i="5"/>
  <c r="Q97" i="5"/>
  <c r="M9" i="5"/>
  <c r="Q150" i="5"/>
  <c r="M11" i="5"/>
  <c r="Q232" i="5"/>
  <c r="Q263" i="5"/>
  <c r="Q284" i="5"/>
  <c r="M15" i="5"/>
  <c r="Q333" i="5"/>
  <c r="Q374" i="5"/>
  <c r="X180" i="5"/>
  <c r="X250" i="5"/>
  <c r="Q83" i="5"/>
  <c r="Q182" i="5"/>
  <c r="Q84" i="5"/>
  <c r="Q183" i="5"/>
  <c r="X68" i="5"/>
  <c r="Q195" i="5"/>
  <c r="Q304" i="5"/>
  <c r="S347" i="5"/>
  <c r="Q359" i="5"/>
  <c r="Q239" i="5"/>
  <c r="Q254" i="5"/>
  <c r="V57" i="5"/>
  <c r="Q241" i="5"/>
  <c r="X62" i="5"/>
  <c r="Q118" i="5"/>
  <c r="Q172" i="5"/>
  <c r="Q360" i="5"/>
  <c r="Q63" i="5"/>
  <c r="Q120" i="5"/>
  <c r="Q188" i="5"/>
  <c r="S328" i="5"/>
  <c r="V52" i="5"/>
  <c r="Q125" i="5"/>
  <c r="Q132" i="5"/>
  <c r="X145" i="5"/>
  <c r="Q189" i="5"/>
  <c r="Q197" i="5"/>
  <c r="Q206" i="5"/>
  <c r="V214" i="5"/>
  <c r="Q225" i="5"/>
  <c r="Q242" i="5"/>
  <c r="Q256" i="5"/>
  <c r="Q288" i="5"/>
  <c r="Q308" i="5"/>
  <c r="Q377" i="5"/>
  <c r="Q312" i="5"/>
  <c r="I3" i="5"/>
  <c r="K3" i="5" s="1"/>
  <c r="V45" i="5"/>
  <c r="Q69" i="5"/>
  <c r="Q126" i="5"/>
  <c r="Q133" i="5"/>
  <c r="Q190" i="5"/>
  <c r="Q198" i="5"/>
  <c r="Q207" i="5"/>
  <c r="Q217" i="5"/>
  <c r="Q226" i="5"/>
  <c r="Q289" i="5"/>
  <c r="Q309" i="5"/>
  <c r="Q378" i="5"/>
  <c r="Q34" i="5"/>
  <c r="Q46" i="5"/>
  <c r="Q70" i="5"/>
  <c r="Q127" i="5"/>
  <c r="Q134" i="5"/>
  <c r="Q191" i="5"/>
  <c r="Q199" i="5"/>
  <c r="Q218" i="5"/>
  <c r="Q227" i="5"/>
  <c r="Q249" i="5"/>
  <c r="Q290" i="5"/>
  <c r="Q310" i="5"/>
  <c r="S334" i="5"/>
  <c r="Q379" i="5"/>
  <c r="X33" i="5"/>
  <c r="M7" i="5"/>
  <c r="V34" i="5"/>
  <c r="V46" i="5"/>
  <c r="V70" i="5"/>
  <c r="V104" i="5"/>
  <c r="Q128" i="5"/>
  <c r="V134" i="5"/>
  <c r="Q184" i="5"/>
  <c r="V191" i="5"/>
  <c r="Q200" i="5"/>
  <c r="Q219" i="5"/>
  <c r="Q228" i="5"/>
  <c r="Q272" i="5"/>
  <c r="Q291" i="5"/>
  <c r="Q380" i="5"/>
  <c r="M12" i="5"/>
  <c r="Q35" i="5"/>
  <c r="Q71" i="5"/>
  <c r="V90" i="5"/>
  <c r="Q105" i="5"/>
  <c r="V128" i="5"/>
  <c r="Q135" i="5"/>
  <c r="Q167" i="5"/>
  <c r="Q185" i="5"/>
  <c r="Q192" i="5"/>
  <c r="Q220" i="5"/>
  <c r="Q273" i="5"/>
  <c r="Q370" i="5"/>
  <c r="Q381" i="5"/>
  <c r="M6" i="5"/>
  <c r="V35" i="5"/>
  <c r="Q65" i="5"/>
  <c r="Q72" i="5"/>
  <c r="Q95" i="5"/>
  <c r="Q106" i="5"/>
  <c r="V122" i="5"/>
  <c r="Q129" i="5"/>
  <c r="Q136" i="5"/>
  <c r="S144" i="5"/>
  <c r="Q168" i="5"/>
  <c r="Q186" i="5"/>
  <c r="Q193" i="5"/>
  <c r="Q221" i="5"/>
  <c r="S236" i="5"/>
  <c r="Q274" i="5"/>
  <c r="Q371" i="5"/>
  <c r="Q36" i="5"/>
  <c r="S61" i="5"/>
  <c r="Q66" i="5"/>
  <c r="V72" i="5"/>
  <c r="X75" i="5"/>
  <c r="V106" i="5"/>
  <c r="Q123" i="5"/>
  <c r="V129" i="5"/>
  <c r="Q137" i="5"/>
  <c r="S146" i="5"/>
  <c r="Q160" i="5"/>
  <c r="Q169" i="5"/>
  <c r="Q266" i="5"/>
  <c r="Q275" i="5"/>
  <c r="Q372" i="5"/>
  <c r="Q317" i="5"/>
  <c r="M8" i="5"/>
  <c r="M17" i="5"/>
  <c r="V28" i="5"/>
  <c r="Q67" i="5"/>
  <c r="Q100" i="5"/>
  <c r="Q107" i="5"/>
  <c r="V123" i="5"/>
  <c r="Q130" i="5"/>
  <c r="Q140" i="5"/>
  <c r="Q161" i="5"/>
  <c r="Q170" i="5"/>
  <c r="Q267" i="5"/>
  <c r="Q276" i="5"/>
  <c r="Q321" i="5"/>
  <c r="Q335" i="5"/>
  <c r="M13" i="5"/>
  <c r="Q29" i="5"/>
  <c r="V67" i="5"/>
  <c r="Q76" i="5"/>
  <c r="Q101" i="5"/>
  <c r="Q108" i="5"/>
  <c r="Q153" i="5"/>
  <c r="Q162" i="5"/>
  <c r="Q171" i="5"/>
  <c r="Q268" i="5"/>
  <c r="Q277" i="5"/>
  <c r="Q325" i="5"/>
  <c r="Q336" i="5"/>
  <c r="V29" i="5"/>
  <c r="Q77" i="5"/>
  <c r="V101" i="5"/>
  <c r="Q109" i="5"/>
  <c r="Q154" i="5"/>
  <c r="Q163" i="5"/>
  <c r="Q260" i="5"/>
  <c r="Q269" i="5"/>
  <c r="Q280" i="5"/>
  <c r="Q326" i="5"/>
  <c r="Q337" i="5"/>
  <c r="Q363" i="5"/>
  <c r="Q367" i="5"/>
  <c r="X20" i="5"/>
  <c r="S25" i="5"/>
  <c r="Q78" i="5"/>
  <c r="Q85" i="5"/>
  <c r="Q102" i="5"/>
  <c r="Q155" i="5"/>
  <c r="Q164" i="5"/>
  <c r="Q209" i="5"/>
  <c r="Q261" i="5"/>
  <c r="Q270" i="5"/>
  <c r="Q281" i="5"/>
  <c r="Q329" i="5"/>
  <c r="Q338" i="5"/>
  <c r="Q365" i="5"/>
  <c r="V55" i="5"/>
  <c r="V85" i="5"/>
  <c r="Q147" i="5"/>
  <c r="Q156" i="5"/>
  <c r="Q165" i="5"/>
  <c r="Q210" i="5"/>
  <c r="Q251" i="5"/>
  <c r="Q262" i="5"/>
  <c r="Q282" i="5"/>
  <c r="Q301" i="5"/>
  <c r="S307" i="5"/>
  <c r="Q314" i="5"/>
  <c r="Q330" i="5"/>
  <c r="Q339" i="5"/>
  <c r="Q368" i="5"/>
  <c r="Q352" i="5"/>
  <c r="M14" i="5"/>
  <c r="V50" i="5"/>
  <c r="X96" i="5"/>
  <c r="Q148" i="5"/>
  <c r="Q157" i="5"/>
  <c r="Q211" i="5"/>
  <c r="Q230" i="5"/>
  <c r="Q252" i="5"/>
  <c r="Q283" i="5"/>
  <c r="Q293" i="5"/>
  <c r="Q302" i="5"/>
  <c r="Q318" i="5"/>
  <c r="Q331" i="5"/>
  <c r="Q356" i="5"/>
  <c r="Q259" i="5"/>
  <c r="M10" i="5"/>
  <c r="V56" i="5"/>
  <c r="V80" i="5"/>
  <c r="S110" i="5"/>
  <c r="Q149" i="5"/>
  <c r="Q158" i="5"/>
  <c r="Q203" i="5"/>
  <c r="Q212" i="5"/>
  <c r="Q231" i="5"/>
  <c r="V239" i="5"/>
  <c r="S244" i="5"/>
  <c r="S246" i="5"/>
  <c r="S248" i="5"/>
  <c r="Q253" i="5"/>
  <c r="V283" i="5"/>
  <c r="Q294" i="5"/>
  <c r="Q303" i="5"/>
  <c r="Q319" i="5"/>
  <c r="Q332" i="5"/>
  <c r="Q357" i="5"/>
  <c r="Q204" i="5"/>
  <c r="Q213" i="5"/>
  <c r="Q223" i="5"/>
  <c r="Q240" i="5"/>
  <c r="Q295" i="5"/>
  <c r="X307" i="5"/>
  <c r="S384" i="5"/>
  <c r="Q364" i="5"/>
  <c r="Q373" i="5"/>
  <c r="Q382" i="5"/>
  <c r="Q366" i="5"/>
  <c r="Q375" i="5"/>
  <c r="Q358" i="5"/>
  <c r="S362" i="5"/>
  <c r="M16" i="5"/>
  <c r="Q342" i="5"/>
  <c r="Q354" i="5"/>
  <c r="Q343" i="5"/>
  <c r="Q353" i="5"/>
  <c r="Q344" i="5"/>
  <c r="Q346" i="5"/>
  <c r="Q349" i="5"/>
  <c r="Q345" i="5"/>
  <c r="Q350" i="5"/>
  <c r="Q340" i="5"/>
  <c r="Q351" i="5"/>
  <c r="S348" i="5"/>
  <c r="Q322" i="5"/>
  <c r="Q315" i="5"/>
  <c r="Q323" i="5"/>
  <c r="Q316" i="5"/>
  <c r="Q324" i="5"/>
  <c r="Q311" i="5"/>
  <c r="S313" i="5"/>
  <c r="S306" i="5"/>
  <c r="S279" i="5"/>
  <c r="S271" i="5"/>
  <c r="S285" i="5"/>
  <c r="S278" i="5"/>
  <c r="S286" i="5"/>
  <c r="V315" i="5"/>
  <c r="V374" i="5"/>
  <c r="Q258" i="5"/>
  <c r="V350" i="5"/>
  <c r="S243" i="5"/>
  <c r="S245" i="5"/>
  <c r="S247" i="5"/>
  <c r="S208" i="5"/>
  <c r="S215" i="5"/>
  <c r="S216" i="5"/>
  <c r="S187" i="5"/>
  <c r="S166" i="5"/>
  <c r="S152" i="5"/>
  <c r="V375" i="5"/>
  <c r="V352" i="5"/>
  <c r="S138" i="5"/>
  <c r="S131" i="5"/>
  <c r="V272" i="5"/>
  <c r="V380" i="5"/>
  <c r="V368" i="5"/>
  <c r="V321" i="5"/>
  <c r="V219" i="5"/>
  <c r="V301" i="5"/>
  <c r="V142" i="5"/>
  <c r="V174" i="5"/>
  <c r="V213" i="5"/>
  <c r="V238" i="5"/>
  <c r="Q90" i="5"/>
  <c r="V168" i="5"/>
  <c r="V197" i="5"/>
  <c r="V310" i="5"/>
  <c r="V316" i="5"/>
  <c r="V322" i="5"/>
  <c r="Q91" i="5"/>
  <c r="Q98" i="5"/>
  <c r="V233" i="5"/>
  <c r="V311" i="5"/>
  <c r="Q86" i="5"/>
  <c r="V91" i="5"/>
  <c r="V170" i="5"/>
  <c r="V186" i="5"/>
  <c r="V192" i="5"/>
  <c r="V217" i="5"/>
  <c r="V335" i="5"/>
  <c r="V86" i="5"/>
  <c r="Q92" i="5"/>
  <c r="V262" i="5"/>
  <c r="V377" i="5"/>
  <c r="M3" i="5"/>
  <c r="R3" i="5" s="1"/>
  <c r="Q87" i="5"/>
  <c r="V92" i="5"/>
  <c r="V165" i="5"/>
  <c r="V281" i="5"/>
  <c r="V87" i="5"/>
  <c r="Q93" i="5"/>
  <c r="V158" i="5"/>
  <c r="V379" i="5"/>
  <c r="V331" i="5"/>
  <c r="Q88" i="5"/>
  <c r="Q94" i="5"/>
  <c r="Q104" i="5"/>
  <c r="S89" i="5"/>
  <c r="S82" i="5"/>
  <c r="S103" i="5"/>
  <c r="V381" i="5"/>
  <c r="V282" i="5"/>
  <c r="V317" i="5"/>
  <c r="V312" i="5"/>
  <c r="V296" i="5"/>
  <c r="V302" i="5"/>
  <c r="V234" i="5"/>
  <c r="V266" i="5"/>
  <c r="V337" i="5"/>
  <c r="V228" i="5"/>
  <c r="V240" i="5"/>
  <c r="V273" i="5"/>
  <c r="V297" i="5"/>
  <c r="V235" i="5"/>
  <c r="V261" i="5"/>
  <c r="V267" i="5"/>
  <c r="V332" i="5"/>
  <c r="V356" i="5"/>
  <c r="V378" i="5"/>
  <c r="V318" i="5"/>
  <c r="V351" i="5"/>
  <c r="V357" i="5"/>
  <c r="V373" i="5"/>
  <c r="S54" i="5"/>
  <c r="S73" i="5"/>
  <c r="Q30" i="5"/>
  <c r="V65" i="5"/>
  <c r="V132" i="5"/>
  <c r="V163" i="5"/>
  <c r="V268" i="5"/>
  <c r="V330" i="5"/>
  <c r="V30" i="5"/>
  <c r="V71" i="5"/>
  <c r="V105" i="5"/>
  <c r="V127" i="5"/>
  <c r="V169" i="5"/>
  <c r="V175" i="5"/>
  <c r="V190" i="5"/>
  <c r="V202" i="5"/>
  <c r="V263" i="5"/>
  <c r="V298" i="5"/>
  <c r="V336" i="5"/>
  <c r="V111" i="5"/>
  <c r="V147" i="5"/>
  <c r="V195" i="5"/>
  <c r="V256" i="5"/>
  <c r="V291" i="5"/>
  <c r="V303" i="5"/>
  <c r="V342" i="5"/>
  <c r="Q31" i="5"/>
  <c r="V66" i="5"/>
  <c r="V100" i="5"/>
  <c r="V133" i="5"/>
  <c r="V164" i="5"/>
  <c r="V196" i="5"/>
  <c r="X229" i="5"/>
  <c r="X286" i="5"/>
  <c r="X328" i="5"/>
  <c r="X110" i="5"/>
  <c r="V270" i="5"/>
  <c r="V260" i="5"/>
  <c r="X376" i="5"/>
  <c r="X47" i="5"/>
  <c r="X348" i="5"/>
  <c r="V38" i="5"/>
  <c r="V42" i="5"/>
  <c r="V60" i="5"/>
  <c r="V109" i="5"/>
  <c r="V114" i="5"/>
  <c r="V119" i="5"/>
  <c r="V137" i="5"/>
  <c r="V200" i="5"/>
  <c r="V205" i="5"/>
  <c r="V210" i="5"/>
  <c r="V220" i="5"/>
  <c r="V225" i="5"/>
  <c r="V230" i="5"/>
  <c r="V363" i="5"/>
  <c r="V32" i="5"/>
  <c r="Q38" i="5"/>
  <c r="V149" i="5"/>
  <c r="Q39" i="5"/>
  <c r="Q43" i="5"/>
  <c r="Q48" i="5"/>
  <c r="V77" i="5"/>
  <c r="V95" i="5"/>
  <c r="V150" i="5"/>
  <c r="V155" i="5"/>
  <c r="V160" i="5"/>
  <c r="V178" i="5"/>
  <c r="V183" i="5"/>
  <c r="V253" i="5"/>
  <c r="V258" i="5"/>
  <c r="V276" i="5"/>
  <c r="V288" i="5"/>
  <c r="V293" i="5"/>
  <c r="V325" i="5"/>
  <c r="V340" i="5"/>
  <c r="V345" i="5"/>
  <c r="V360" i="5"/>
  <c r="V365" i="5"/>
  <c r="V370" i="5"/>
  <c r="V58" i="5"/>
  <c r="V107" i="5"/>
  <c r="V135" i="5"/>
  <c r="V203" i="5"/>
  <c r="Q37" i="5"/>
  <c r="V88" i="5"/>
  <c r="V148" i="5"/>
  <c r="V181" i="5"/>
  <c r="V274" i="5"/>
  <c r="V304" i="5"/>
  <c r="V338" i="5"/>
  <c r="V59" i="5"/>
  <c r="V98" i="5"/>
  <c r="V118" i="5"/>
  <c r="V209" i="5"/>
  <c r="V242" i="5"/>
  <c r="V319" i="5"/>
  <c r="Q42" i="5"/>
  <c r="V76" i="5"/>
  <c r="V172" i="5"/>
  <c r="V182" i="5"/>
  <c r="V252" i="5"/>
  <c r="V287" i="5"/>
  <c r="V305" i="5"/>
  <c r="V339" i="5"/>
  <c r="V354" i="5"/>
  <c r="V382" i="5"/>
  <c r="V39" i="5"/>
  <c r="V43" i="5"/>
  <c r="V48" i="5"/>
  <c r="V115" i="5"/>
  <c r="V120" i="5"/>
  <c r="V125" i="5"/>
  <c r="V140" i="5"/>
  <c r="V188" i="5"/>
  <c r="V206" i="5"/>
  <c r="V211" i="5"/>
  <c r="V221" i="5"/>
  <c r="V226" i="5"/>
  <c r="V231" i="5"/>
  <c r="V308" i="5"/>
  <c r="V97" i="5"/>
  <c r="V130" i="5"/>
  <c r="V223" i="5"/>
  <c r="Q41" i="5"/>
  <c r="V93" i="5"/>
  <c r="V176" i="5"/>
  <c r="V269" i="5"/>
  <c r="V323" i="5"/>
  <c r="V353" i="5"/>
  <c r="V108" i="5"/>
  <c r="V136" i="5"/>
  <c r="V224" i="5"/>
  <c r="V364" i="5"/>
  <c r="Q27" i="5"/>
  <c r="Q44" i="5"/>
  <c r="Q49" i="5"/>
  <c r="V63" i="5"/>
  <c r="V78" i="5"/>
  <c r="V83" i="5"/>
  <c r="V151" i="5"/>
  <c r="V156" i="5"/>
  <c r="V161" i="5"/>
  <c r="V179" i="5"/>
  <c r="V184" i="5"/>
  <c r="V249" i="5"/>
  <c r="V254" i="5"/>
  <c r="V259" i="5"/>
  <c r="V277" i="5"/>
  <c r="V289" i="5"/>
  <c r="V294" i="5"/>
  <c r="V326" i="5"/>
  <c r="V346" i="5"/>
  <c r="V361" i="5"/>
  <c r="V366" i="5"/>
  <c r="V371" i="5"/>
  <c r="V36" i="5"/>
  <c r="V53" i="5"/>
  <c r="V112" i="5"/>
  <c r="V193" i="5"/>
  <c r="V218" i="5"/>
  <c r="Q32" i="5"/>
  <c r="V171" i="5"/>
  <c r="V284" i="5"/>
  <c r="V343" i="5"/>
  <c r="V358" i="5"/>
  <c r="V37" i="5"/>
  <c r="V113" i="5"/>
  <c r="V204" i="5"/>
  <c r="V154" i="5"/>
  <c r="V177" i="5"/>
  <c r="V275" i="5"/>
  <c r="V324" i="5"/>
  <c r="V344" i="5"/>
  <c r="V359" i="5"/>
  <c r="V27" i="5"/>
  <c r="V44" i="5"/>
  <c r="V49" i="5"/>
  <c r="V116" i="5"/>
  <c r="V121" i="5"/>
  <c r="V126" i="5"/>
  <c r="V141" i="5"/>
  <c r="V189" i="5"/>
  <c r="V207" i="5"/>
  <c r="V212" i="5"/>
  <c r="V227" i="5"/>
  <c r="V232" i="5"/>
  <c r="V237" i="5"/>
  <c r="V309" i="5"/>
  <c r="V314" i="5"/>
  <c r="V31" i="5"/>
  <c r="V102" i="5"/>
  <c r="V198" i="5"/>
  <c r="V241" i="5"/>
  <c r="V153" i="5"/>
  <c r="V251" i="5"/>
  <c r="V333" i="5"/>
  <c r="V41" i="5"/>
  <c r="V199" i="5"/>
  <c r="V94" i="5"/>
  <c r="Q28" i="5"/>
  <c r="Q45" i="5"/>
  <c r="Q50" i="5"/>
  <c r="V64" i="5"/>
  <c r="V69" i="5"/>
  <c r="V74" i="5"/>
  <c r="V79" i="5"/>
  <c r="V84" i="5"/>
  <c r="V157" i="5"/>
  <c r="V162" i="5"/>
  <c r="V167" i="5"/>
  <c r="V185" i="5"/>
  <c r="V255" i="5"/>
  <c r="V265" i="5"/>
  <c r="V280" i="5"/>
  <c r="V290" i="5"/>
  <c r="V295" i="5"/>
  <c r="V300" i="5"/>
  <c r="V329" i="5"/>
  <c r="V349" i="5"/>
  <c r="X355" i="5"/>
  <c r="V367" i="5"/>
  <c r="V372" i="5"/>
  <c r="X187" i="5"/>
  <c r="S40" i="5"/>
  <c r="X99" i="5"/>
  <c r="X166" i="5"/>
  <c r="X21" i="5"/>
  <c r="X25" i="5"/>
  <c r="X292" i="5"/>
  <c r="S23" i="5"/>
  <c r="X138" i="5"/>
  <c r="S201" i="5"/>
  <c r="X248" i="5"/>
  <c r="S62" i="5"/>
  <c r="X201" i="5"/>
  <c r="S355" i="5"/>
  <c r="S68" i="5"/>
  <c r="X285" i="5"/>
  <c r="X334" i="5"/>
  <c r="X73" i="5"/>
  <c r="X82" i="5"/>
  <c r="S159" i="5"/>
  <c r="X271" i="5"/>
  <c r="X320" i="5"/>
  <c r="S33" i="5"/>
  <c r="X341" i="5"/>
  <c r="S99" i="5"/>
  <c r="X159" i="5"/>
  <c r="X347" i="5"/>
  <c r="X362" i="5"/>
  <c r="X152" i="5"/>
  <c r="X264" i="5"/>
  <c r="X245" i="5"/>
  <c r="X299" i="5"/>
  <c r="S47" i="5"/>
  <c r="X144" i="5"/>
  <c r="X26" i="5"/>
  <c r="X236" i="5"/>
  <c r="X257" i="5"/>
  <c r="S117" i="5"/>
  <c r="S257" i="5"/>
  <c r="S341" i="5"/>
  <c r="X54" i="5"/>
  <c r="S222" i="5"/>
  <c r="X246" i="5"/>
  <c r="X327" i="5"/>
  <c r="S376" i="5"/>
  <c r="X23" i="5"/>
  <c r="X222" i="5"/>
  <c r="X243" i="5"/>
  <c r="X384" i="5"/>
  <c r="S22" i="5"/>
  <c r="S26" i="5"/>
  <c r="S124" i="5"/>
  <c r="S264" i="5"/>
  <c r="X61" i="5"/>
  <c r="X146" i="5"/>
  <c r="S173" i="5"/>
  <c r="S229" i="5"/>
  <c r="X124" i="5"/>
  <c r="S139" i="5"/>
  <c r="X215" i="5"/>
  <c r="X306" i="5"/>
  <c r="S21" i="5"/>
  <c r="X89" i="5"/>
  <c r="S145" i="5"/>
  <c r="X173" i="5"/>
  <c r="S320" i="5"/>
  <c r="S385" i="5"/>
  <c r="S20" i="5"/>
  <c r="S96" i="5"/>
  <c r="X247" i="5"/>
  <c r="S250" i="5"/>
  <c r="X103" i="5"/>
  <c r="X139" i="5"/>
  <c r="S292" i="5"/>
  <c r="X383" i="5"/>
  <c r="X131" i="5"/>
  <c r="X244" i="5"/>
  <c r="X279" i="5"/>
  <c r="S327" i="5"/>
  <c r="G8" i="5"/>
  <c r="J8" i="5" s="1"/>
  <c r="K8" i="5" s="1"/>
  <c r="G13" i="5"/>
  <c r="J13" i="5" s="1"/>
  <c r="K13" i="5" s="1"/>
  <c r="G16" i="5"/>
  <c r="G6" i="5"/>
  <c r="J6" i="5" s="1"/>
  <c r="K6" i="5" s="1"/>
  <c r="G14" i="5"/>
  <c r="J14" i="5" s="1"/>
  <c r="K14" i="5" s="1"/>
  <c r="G9" i="5"/>
  <c r="J9" i="5" s="1"/>
  <c r="K9" i="5" s="1"/>
  <c r="G17" i="5"/>
  <c r="G10" i="5"/>
  <c r="J10" i="5" s="1"/>
  <c r="K10" i="5" s="1"/>
  <c r="G12" i="5"/>
  <c r="J12" i="5" s="1"/>
  <c r="K12" i="5" s="1"/>
  <c r="G7" i="5"/>
  <c r="J7" i="5" s="1"/>
  <c r="K7" i="5" s="1"/>
  <c r="G11" i="5"/>
  <c r="J11" i="5" s="1"/>
  <c r="K11" i="5" s="1"/>
  <c r="G15" i="5"/>
  <c r="J15" i="5" s="1"/>
  <c r="K15" i="5" s="1"/>
  <c r="AA23" i="5"/>
  <c r="G20" i="5"/>
  <c r="AS21" i="5"/>
  <c r="T9" i="5"/>
  <c r="T8" i="5" s="1"/>
  <c r="X40" i="5"/>
  <c r="X22" i="5"/>
  <c r="S75" i="5"/>
  <c r="X117" i="5"/>
  <c r="S143" i="5"/>
  <c r="X143" i="5"/>
  <c r="S180" i="5"/>
  <c r="X216" i="5"/>
  <c r="N264" i="5"/>
  <c r="S194" i="5"/>
  <c r="X208" i="5"/>
  <c r="X278" i="5"/>
  <c r="S299" i="5"/>
  <c r="X313" i="5"/>
  <c r="S383" i="5"/>
  <c r="N355" i="5"/>
  <c r="S369" i="5"/>
  <c r="X369" i="5"/>
  <c r="X385" i="5"/>
  <c r="Q236" i="4"/>
  <c r="Q233" i="4"/>
  <c r="Q117" i="4"/>
  <c r="Q82" i="4"/>
  <c r="E3" i="4"/>
  <c r="B8" i="4" s="1"/>
  <c r="G7" i="4" s="1"/>
  <c r="Q238" i="4"/>
  <c r="Q80" i="4"/>
  <c r="Q237" i="4"/>
  <c r="Q56" i="4"/>
  <c r="Q178" i="4"/>
  <c r="Q174" i="4"/>
  <c r="Q34" i="4"/>
  <c r="Q54" i="4"/>
  <c r="Q55" i="4"/>
  <c r="Q57" i="4"/>
  <c r="M15" i="4"/>
  <c r="Q58" i="4"/>
  <c r="Q49" i="4"/>
  <c r="Q73" i="4"/>
  <c r="Q133" i="4"/>
  <c r="Q229" i="4"/>
  <c r="Q45" i="4"/>
  <c r="Q26" i="4"/>
  <c r="Q59" i="4"/>
  <c r="Q129" i="4"/>
  <c r="Q181" i="4"/>
  <c r="Q223" i="4"/>
  <c r="M14" i="4"/>
  <c r="Q285" i="4"/>
  <c r="M18" i="4"/>
  <c r="V113" i="4"/>
  <c r="Q72" i="4"/>
  <c r="M9" i="4"/>
  <c r="Q132" i="4"/>
  <c r="Q199" i="4"/>
  <c r="Q224" i="4"/>
  <c r="M17" i="4"/>
  <c r="Q118" i="4"/>
  <c r="Q112" i="4"/>
  <c r="Q119" i="4"/>
  <c r="Q113" i="4"/>
  <c r="Q120" i="4"/>
  <c r="Q114" i="4"/>
  <c r="Q115" i="4"/>
  <c r="Q173" i="4"/>
  <c r="Q180" i="4"/>
  <c r="Q61" i="4"/>
  <c r="Q175" i="4"/>
  <c r="V132" i="4"/>
  <c r="Q89" i="4"/>
  <c r="Q176" i="4"/>
  <c r="Q177" i="4"/>
  <c r="Q279" i="4"/>
  <c r="Q85" i="4"/>
  <c r="V49" i="4"/>
  <c r="Q230" i="4"/>
  <c r="V54" i="4"/>
  <c r="V86" i="4"/>
  <c r="V114" i="4"/>
  <c r="V118" i="4"/>
  <c r="V134" i="4"/>
  <c r="Q225" i="4"/>
  <c r="Q232" i="4"/>
  <c r="Q239" i="4"/>
  <c r="Q282" i="4"/>
  <c r="V133" i="4"/>
  <c r="V26" i="4"/>
  <c r="V34" i="4"/>
  <c r="V50" i="4"/>
  <c r="V90" i="4"/>
  <c r="Q27" i="4"/>
  <c r="Q35" i="4"/>
  <c r="Q51" i="4"/>
  <c r="Q63" i="4"/>
  <c r="Q87" i="4"/>
  <c r="Q91" i="4"/>
  <c r="Q103" i="4"/>
  <c r="Q135" i="4"/>
  <c r="Q226" i="4"/>
  <c r="Q240" i="4"/>
  <c r="Q283" i="4"/>
  <c r="Q50" i="4"/>
  <c r="Q231" i="4"/>
  <c r="V87" i="4"/>
  <c r="Q40" i="4"/>
  <c r="Q64" i="4"/>
  <c r="Q76" i="4"/>
  <c r="Q92" i="4"/>
  <c r="Q96" i="4"/>
  <c r="Q100" i="4"/>
  <c r="Q104" i="4"/>
  <c r="Q124" i="4"/>
  <c r="Q136" i="4"/>
  <c r="R136" i="4" s="1"/>
  <c r="Q250" i="4"/>
  <c r="Q257" i="4"/>
  <c r="Q271" i="4"/>
  <c r="Q325" i="4"/>
  <c r="V85" i="4"/>
  <c r="V27" i="4"/>
  <c r="Q36" i="4"/>
  <c r="M12" i="4"/>
  <c r="V36" i="4"/>
  <c r="V40" i="4"/>
  <c r="V52" i="4"/>
  <c r="V56" i="4"/>
  <c r="V64" i="4"/>
  <c r="V68" i="4"/>
  <c r="V76" i="4"/>
  <c r="V92" i="4"/>
  <c r="V96" i="4"/>
  <c r="V100" i="4"/>
  <c r="V104" i="4"/>
  <c r="V120" i="4"/>
  <c r="V124" i="4"/>
  <c r="V136" i="4"/>
  <c r="Q187" i="4"/>
  <c r="Q194" i="4"/>
  <c r="Q201" i="4"/>
  <c r="Q208" i="4"/>
  <c r="Q215" i="4"/>
  <c r="Q251" i="4"/>
  <c r="Q258" i="4"/>
  <c r="Q265" i="4"/>
  <c r="Q272" i="4"/>
  <c r="Q138" i="4"/>
  <c r="S138" i="4" s="1"/>
  <c r="V135" i="4"/>
  <c r="Q37" i="4"/>
  <c r="Q65" i="4"/>
  <c r="Q69" i="4"/>
  <c r="Q77" i="4"/>
  <c r="Q93" i="4"/>
  <c r="Q97" i="4"/>
  <c r="Q101" i="4"/>
  <c r="Q105" i="4"/>
  <c r="Q121" i="4"/>
  <c r="Q125" i="4"/>
  <c r="Q188" i="4"/>
  <c r="Q195" i="4"/>
  <c r="Q202" i="4"/>
  <c r="Q209" i="4"/>
  <c r="Q216" i="4"/>
  <c r="Q252" i="4"/>
  <c r="Q259" i="4"/>
  <c r="Q266" i="4"/>
  <c r="Q273" i="4"/>
  <c r="Q292" i="4"/>
  <c r="V138" i="4"/>
  <c r="V29" i="4"/>
  <c r="V37" i="4"/>
  <c r="V41" i="4"/>
  <c r="V57" i="4"/>
  <c r="V61" i="4"/>
  <c r="V65" i="4"/>
  <c r="V69" i="4"/>
  <c r="V77" i="4"/>
  <c r="V93" i="4"/>
  <c r="V97" i="4"/>
  <c r="V101" i="4"/>
  <c r="V105" i="4"/>
  <c r="V121" i="4"/>
  <c r="V125" i="4"/>
  <c r="Q182" i="4"/>
  <c r="Q189" i="4"/>
  <c r="Q196" i="4"/>
  <c r="Q203" i="4"/>
  <c r="Q210" i="4"/>
  <c r="Q217" i="4"/>
  <c r="Q253" i="4"/>
  <c r="Q260" i="4"/>
  <c r="Q267" i="4"/>
  <c r="Q274" i="4"/>
  <c r="Q293" i="4"/>
  <c r="V117" i="4"/>
  <c r="Q90" i="4"/>
  <c r="V55" i="4"/>
  <c r="Q241" i="4"/>
  <c r="Q68" i="4"/>
  <c r="Q29" i="4"/>
  <c r="Q30" i="4"/>
  <c r="Q38" i="4"/>
  <c r="Q42" i="4"/>
  <c r="Q66" i="4"/>
  <c r="Q70" i="4"/>
  <c r="Q78" i="4"/>
  <c r="Q94" i="4"/>
  <c r="Q98" i="4"/>
  <c r="Q106" i="4"/>
  <c r="Q110" i="4"/>
  <c r="Q122" i="4"/>
  <c r="Q126" i="4"/>
  <c r="Q183" i="4"/>
  <c r="Q190" i="4"/>
  <c r="Q197" i="4"/>
  <c r="Q204" i="4"/>
  <c r="Q211" i="4"/>
  <c r="Q218" i="4"/>
  <c r="Q254" i="4"/>
  <c r="Q261" i="4"/>
  <c r="Q268" i="4"/>
  <c r="Q275" i="4"/>
  <c r="Q287" i="4"/>
  <c r="V129" i="4"/>
  <c r="M10" i="4"/>
  <c r="Q281" i="4"/>
  <c r="V51" i="4"/>
  <c r="V115" i="4"/>
  <c r="Q28" i="4"/>
  <c r="Q41" i="4"/>
  <c r="V30" i="4"/>
  <c r="V38" i="4"/>
  <c r="V42" i="4"/>
  <c r="V58" i="4"/>
  <c r="V66" i="4"/>
  <c r="V70" i="4"/>
  <c r="V78" i="4"/>
  <c r="V82" i="4"/>
  <c r="V94" i="4"/>
  <c r="V98" i="4"/>
  <c r="V106" i="4"/>
  <c r="V110" i="4"/>
  <c r="V122" i="4"/>
  <c r="V126" i="4"/>
  <c r="Q184" i="4"/>
  <c r="Q191" i="4"/>
  <c r="Q198" i="4"/>
  <c r="Q205" i="4"/>
  <c r="Q212" i="4"/>
  <c r="Q219" i="4"/>
  <c r="Q255" i="4"/>
  <c r="Q262" i="4"/>
  <c r="Q269" i="4"/>
  <c r="Q276" i="4"/>
  <c r="Q288" i="4"/>
  <c r="V45" i="4"/>
  <c r="Q280" i="4"/>
  <c r="M7" i="4"/>
  <c r="M8" i="4"/>
  <c r="Q31" i="4"/>
  <c r="Q43" i="4"/>
  <c r="Q47" i="4"/>
  <c r="Q71" i="4"/>
  <c r="Q79" i="4"/>
  <c r="Q83" i="4"/>
  <c r="Q107" i="4"/>
  <c r="Q127" i="4"/>
  <c r="Q131" i="4"/>
  <c r="Q140" i="4"/>
  <c r="R140" i="4" s="1"/>
  <c r="Q185" i="4"/>
  <c r="Q192" i="4"/>
  <c r="Q206" i="4"/>
  <c r="Q213" i="4"/>
  <c r="Q220" i="4"/>
  <c r="Q289" i="4"/>
  <c r="V89" i="4"/>
  <c r="Q86" i="4"/>
  <c r="Q134" i="4"/>
  <c r="V35" i="4"/>
  <c r="Q227" i="4"/>
  <c r="V28" i="4"/>
  <c r="M13" i="4"/>
  <c r="V31" i="4"/>
  <c r="V43" i="4"/>
  <c r="V47" i="4"/>
  <c r="V59" i="4"/>
  <c r="V71" i="4"/>
  <c r="V79" i="4"/>
  <c r="V83" i="4"/>
  <c r="V107" i="4"/>
  <c r="V111" i="4"/>
  <c r="V127" i="4"/>
  <c r="V131" i="4"/>
  <c r="V140" i="4"/>
  <c r="Q290" i="4"/>
  <c r="V73" i="4"/>
  <c r="V91" i="4"/>
  <c r="V119" i="4"/>
  <c r="Q44" i="4"/>
  <c r="Q48" i="4"/>
  <c r="Q84" i="4"/>
  <c r="Q108" i="4"/>
  <c r="Q128" i="4"/>
  <c r="V63" i="4"/>
  <c r="V103" i="4"/>
  <c r="V44" i="4"/>
  <c r="V48" i="4"/>
  <c r="V72" i="4"/>
  <c r="V80" i="4"/>
  <c r="V84" i="4"/>
  <c r="V108" i="4"/>
  <c r="V112" i="4"/>
  <c r="V128" i="4"/>
  <c r="M16" i="4"/>
  <c r="H3" i="4"/>
  <c r="I3" i="4" s="1"/>
  <c r="G13" i="4"/>
  <c r="I13" i="4" s="1"/>
  <c r="G18" i="4"/>
  <c r="G12" i="4"/>
  <c r="I7" i="4"/>
  <c r="G14" i="4"/>
  <c r="I14" i="4" s="1"/>
  <c r="G11" i="4"/>
  <c r="I11" i="4" s="1"/>
  <c r="G9" i="4"/>
  <c r="I9" i="4" s="1"/>
  <c r="G17" i="4"/>
  <c r="G16" i="4"/>
  <c r="I16" i="4" s="1"/>
  <c r="G10" i="4"/>
  <c r="I10" i="4" s="1"/>
  <c r="G8" i="4"/>
  <c r="Y24" i="4"/>
  <c r="E23" i="4"/>
  <c r="N21" i="4"/>
  <c r="E22" i="4"/>
  <c r="Z22" i="4"/>
  <c r="N22" i="4"/>
  <c r="N172" i="4"/>
  <c r="F19" i="1" a="1"/>
  <c r="F19" i="1" s="1"/>
  <c r="C22" i="1"/>
  <c r="C16" i="1"/>
  <c r="C15" i="1"/>
  <c r="Q7" i="4" l="1"/>
  <c r="P7" i="4"/>
  <c r="N3" i="7"/>
  <c r="M3" i="7"/>
  <c r="B8" i="7"/>
  <c r="R166" i="7"/>
  <c r="S166" i="7"/>
  <c r="R164" i="7"/>
  <c r="S164" i="7"/>
  <c r="R163" i="7"/>
  <c r="S163" i="7"/>
  <c r="R162" i="7"/>
  <c r="S162" i="7"/>
  <c r="R161" i="7"/>
  <c r="S161" i="7"/>
  <c r="R160" i="7"/>
  <c r="S160" i="7"/>
  <c r="R159" i="7"/>
  <c r="S159" i="7"/>
  <c r="R157" i="7"/>
  <c r="S157" i="7"/>
  <c r="R156" i="7"/>
  <c r="S156" i="7"/>
  <c r="R155" i="7"/>
  <c r="S155" i="7"/>
  <c r="R154" i="7"/>
  <c r="S154" i="7"/>
  <c r="R153" i="7"/>
  <c r="S153" i="7"/>
  <c r="R152" i="7"/>
  <c r="S152" i="7"/>
  <c r="R150" i="7"/>
  <c r="S150" i="7"/>
  <c r="R149" i="7"/>
  <c r="S149" i="7"/>
  <c r="R148" i="7"/>
  <c r="S148" i="7"/>
  <c r="R147" i="7"/>
  <c r="S147" i="7"/>
  <c r="R142" i="7"/>
  <c r="S142" i="7"/>
  <c r="R141" i="7"/>
  <c r="S141" i="7"/>
  <c r="R140" i="7"/>
  <c r="S140" i="7"/>
  <c r="R138" i="7"/>
  <c r="S138" i="7"/>
  <c r="R136" i="7"/>
  <c r="S136" i="7"/>
  <c r="Z23" i="7"/>
  <c r="G22" i="7"/>
  <c r="Y23" i="7"/>
  <c r="E22" i="7"/>
  <c r="F96" i="7"/>
  <c r="F97" i="7" s="1"/>
  <c r="F98" i="7" s="1"/>
  <c r="F99" i="7" s="1"/>
  <c r="F100" i="7" s="1"/>
  <c r="F101" i="7" s="1"/>
  <c r="F102" i="7" s="1"/>
  <c r="F103" i="7" s="1"/>
  <c r="F104" i="7" s="1"/>
  <c r="F105" i="7" s="1"/>
  <c r="F106" i="7" s="1"/>
  <c r="F107" i="7" s="1"/>
  <c r="F108" i="7" s="1"/>
  <c r="F109" i="7" s="1"/>
  <c r="F110" i="7" s="1"/>
  <c r="F111" i="7" s="1"/>
  <c r="F112" i="7" s="1"/>
  <c r="F113" i="7" s="1"/>
  <c r="F114" i="7" s="1"/>
  <c r="F115" i="7" s="1"/>
  <c r="F116" i="7" s="1"/>
  <c r="F117" i="7" s="1"/>
  <c r="F118" i="7" s="1"/>
  <c r="F119" i="7" s="1"/>
  <c r="F120" i="7" s="1"/>
  <c r="F121" i="7" s="1"/>
  <c r="F122" i="7" s="1"/>
  <c r="F123" i="7" s="1"/>
  <c r="F124" i="7" s="1"/>
  <c r="F125" i="7" s="1"/>
  <c r="F126" i="7" s="1"/>
  <c r="F127" i="7" s="1"/>
  <c r="F128" i="7" s="1"/>
  <c r="F129" i="7" s="1"/>
  <c r="F130" i="7" s="1"/>
  <c r="F131" i="7" s="1"/>
  <c r="F132" i="7" s="1"/>
  <c r="F133" i="7" s="1"/>
  <c r="F134" i="7" s="1"/>
  <c r="F135" i="7" s="1"/>
  <c r="F136" i="7" s="1"/>
  <c r="F137" i="7" s="1"/>
  <c r="F138" i="7" s="1"/>
  <c r="F139" i="7" s="1"/>
  <c r="F140" i="7" s="1"/>
  <c r="F141" i="7" s="1"/>
  <c r="F142" i="7" s="1"/>
  <c r="F143" i="7" s="1"/>
  <c r="F144" i="7" s="1"/>
  <c r="F145" i="7" s="1"/>
  <c r="F146" i="7" s="1"/>
  <c r="F147" i="7" s="1"/>
  <c r="F148" i="7" s="1"/>
  <c r="F149" i="7" s="1"/>
  <c r="F150" i="7" s="1"/>
  <c r="F151" i="7" s="1"/>
  <c r="F152" i="7" s="1"/>
  <c r="F153" i="7" s="1"/>
  <c r="F154" i="7" s="1"/>
  <c r="F155" i="7" s="1"/>
  <c r="F156" i="7" s="1"/>
  <c r="F157" i="7" s="1"/>
  <c r="F158" i="7" s="1"/>
  <c r="F159" i="7" s="1"/>
  <c r="F160" i="7" s="1"/>
  <c r="F161" i="7" s="1"/>
  <c r="F162" i="7" s="1"/>
  <c r="F163" i="7" s="1"/>
  <c r="F164" i="7" s="1"/>
  <c r="F165" i="7" s="1"/>
  <c r="F166" i="7" s="1"/>
  <c r="F167" i="7" s="1"/>
  <c r="F168" i="7" s="1"/>
  <c r="F169" i="7" s="1"/>
  <c r="F170" i="7" s="1"/>
  <c r="F171" i="7" s="1"/>
  <c r="F172" i="7" s="1"/>
  <c r="F173" i="7" s="1"/>
  <c r="F174" i="7" s="1"/>
  <c r="F175" i="7" s="1"/>
  <c r="F176" i="7" s="1"/>
  <c r="F177" i="7" s="1"/>
  <c r="F178" i="7" s="1"/>
  <c r="F179" i="7" s="1"/>
  <c r="F180" i="7" s="1"/>
  <c r="F181" i="7" s="1"/>
  <c r="F182" i="7" s="1"/>
  <c r="F183" i="7" s="1"/>
  <c r="F184" i="7" s="1"/>
  <c r="F185" i="7" s="1"/>
  <c r="F186" i="7" s="1"/>
  <c r="F187" i="7" s="1"/>
  <c r="F188" i="7" s="1"/>
  <c r="F189" i="7" s="1"/>
  <c r="F190" i="7" s="1"/>
  <c r="F191" i="7" s="1"/>
  <c r="F192" i="7" s="1"/>
  <c r="F193" i="7" s="1"/>
  <c r="F194" i="7" s="1"/>
  <c r="F195" i="7" s="1"/>
  <c r="F196" i="7" s="1"/>
  <c r="F197" i="7" s="1"/>
  <c r="F198" i="7" s="1"/>
  <c r="F199" i="7" s="1"/>
  <c r="F200" i="7" s="1"/>
  <c r="F201" i="7" s="1"/>
  <c r="F202" i="7" s="1"/>
  <c r="F203" i="7" s="1"/>
  <c r="F204" i="7" s="1"/>
  <c r="F205" i="7" s="1"/>
  <c r="F206" i="7" s="1"/>
  <c r="F207" i="7" s="1"/>
  <c r="F208" i="7" s="1"/>
  <c r="F209" i="7" s="1"/>
  <c r="F210" i="7" s="1"/>
  <c r="F211" i="7" s="1"/>
  <c r="F212" i="7" s="1"/>
  <c r="F213" i="7" s="1"/>
  <c r="F214" i="7" s="1"/>
  <c r="F215" i="7" s="1"/>
  <c r="F216" i="7" s="1"/>
  <c r="F217" i="7" s="1"/>
  <c r="F218" i="7" s="1"/>
  <c r="F219" i="7" s="1"/>
  <c r="F220" i="7" s="1"/>
  <c r="F221" i="7" s="1"/>
  <c r="F222" i="7" s="1"/>
  <c r="F223" i="7" s="1"/>
  <c r="F224" i="7" s="1"/>
  <c r="F225" i="7" s="1"/>
  <c r="F226" i="7" s="1"/>
  <c r="F227" i="7" s="1"/>
  <c r="F228" i="7" s="1"/>
  <c r="F229" i="7" s="1"/>
  <c r="F230" i="7" s="1"/>
  <c r="F231" i="7" s="1"/>
  <c r="F232" i="7" s="1"/>
  <c r="F233" i="7" s="1"/>
  <c r="F234" i="7" s="1"/>
  <c r="F235" i="7" s="1"/>
  <c r="F236" i="7" s="1"/>
  <c r="F237" i="7" s="1"/>
  <c r="F238" i="7" s="1"/>
  <c r="F239" i="7" s="1"/>
  <c r="F240" i="7" s="1"/>
  <c r="F241" i="7" s="1"/>
  <c r="F242" i="7" s="1"/>
  <c r="F243" i="7" s="1"/>
  <c r="F244" i="7" s="1"/>
  <c r="F245" i="7" s="1"/>
  <c r="F246" i="7" s="1"/>
  <c r="F247" i="7" s="1"/>
  <c r="F248" i="7" s="1"/>
  <c r="F249" i="7" s="1"/>
  <c r="F250" i="7" s="1"/>
  <c r="F251" i="7" s="1"/>
  <c r="F252" i="7" s="1"/>
  <c r="F253" i="7" s="1"/>
  <c r="F254" i="7" s="1"/>
  <c r="F255" i="7" s="1"/>
  <c r="F256" i="7" s="1"/>
  <c r="F257" i="7" s="1"/>
  <c r="F258" i="7" s="1"/>
  <c r="F259" i="7" s="1"/>
  <c r="F260" i="7" s="1"/>
  <c r="F261" i="7" s="1"/>
  <c r="F262" i="7" s="1"/>
  <c r="F263" i="7" s="1"/>
  <c r="F264" i="7" s="1"/>
  <c r="F265" i="7" s="1"/>
  <c r="F266" i="7" s="1"/>
  <c r="F267" i="7" s="1"/>
  <c r="F268" i="7" s="1"/>
  <c r="F269" i="7" s="1"/>
  <c r="F270" i="7" s="1"/>
  <c r="F271" i="7" s="1"/>
  <c r="F272" i="7" s="1"/>
  <c r="F273" i="7" s="1"/>
  <c r="F274" i="7" s="1"/>
  <c r="F275" i="7" s="1"/>
  <c r="F276" i="7" s="1"/>
  <c r="F277" i="7" s="1"/>
  <c r="F278" i="7" s="1"/>
  <c r="F279" i="7" s="1"/>
  <c r="F280" i="7" s="1"/>
  <c r="F281" i="7" s="1"/>
  <c r="F282" i="7" s="1"/>
  <c r="F283" i="7" s="1"/>
  <c r="F284" i="7" s="1"/>
  <c r="F285" i="7" s="1"/>
  <c r="F286" i="7" s="1"/>
  <c r="F287" i="7" s="1"/>
  <c r="F288" i="7" s="1"/>
  <c r="F289" i="7" s="1"/>
  <c r="F290" i="7" s="1"/>
  <c r="F291" i="7" s="1"/>
  <c r="F292" i="7" s="1"/>
  <c r="F293" i="7" s="1"/>
  <c r="F294" i="7" s="1"/>
  <c r="F295" i="7" s="1"/>
  <c r="F296" i="7" s="1"/>
  <c r="F297" i="7" s="1"/>
  <c r="F298" i="7" s="1"/>
  <c r="F299" i="7" s="1"/>
  <c r="F300" i="7" s="1"/>
  <c r="F301" i="7" s="1"/>
  <c r="F302" i="7" s="1"/>
  <c r="F303" i="7" s="1"/>
  <c r="F304" i="7" s="1"/>
  <c r="F305" i="7" s="1"/>
  <c r="F306" i="7" s="1"/>
  <c r="F307" i="7" s="1"/>
  <c r="F308" i="7" s="1"/>
  <c r="F309" i="7" s="1"/>
  <c r="F310" i="7" s="1"/>
  <c r="F311" i="7" s="1"/>
  <c r="F312" i="7" s="1"/>
  <c r="F313" i="7" s="1"/>
  <c r="F314" i="7" s="1"/>
  <c r="F315" i="7" s="1"/>
  <c r="F316" i="7" s="1"/>
  <c r="F317" i="7" s="1"/>
  <c r="F318" i="7" s="1"/>
  <c r="F319" i="7" s="1"/>
  <c r="F320" i="7" s="1"/>
  <c r="F321" i="7" s="1"/>
  <c r="F322" i="7" s="1"/>
  <c r="F323" i="7" s="1"/>
  <c r="F324" i="7" s="1"/>
  <c r="F325" i="7" s="1"/>
  <c r="F326" i="7" s="1"/>
  <c r="F327" i="7" s="1"/>
  <c r="F328" i="7" s="1"/>
  <c r="F329" i="7" s="1"/>
  <c r="F330" i="7" s="1"/>
  <c r="F331" i="7" s="1"/>
  <c r="F332" i="7" s="1"/>
  <c r="F333" i="7" s="1"/>
  <c r="F334" i="7" s="1"/>
  <c r="F335" i="7" s="1"/>
  <c r="F336" i="7" s="1"/>
  <c r="F337" i="7" s="1"/>
  <c r="F338" i="7" s="1"/>
  <c r="F339" i="7" s="1"/>
  <c r="F340" i="7" s="1"/>
  <c r="F341" i="7" s="1"/>
  <c r="F342" i="7" s="1"/>
  <c r="F343" i="7" s="1"/>
  <c r="F344" i="7" s="1"/>
  <c r="F345" i="7" s="1"/>
  <c r="F346" i="7" s="1"/>
  <c r="F347" i="7" s="1"/>
  <c r="F348" i="7" s="1"/>
  <c r="F349" i="7" s="1"/>
  <c r="F350" i="7" s="1"/>
  <c r="F351" i="7" s="1"/>
  <c r="F352" i="7" s="1"/>
  <c r="F353" i="7" s="1"/>
  <c r="F354" i="7" s="1"/>
  <c r="F355" i="7" s="1"/>
  <c r="F356" i="7" s="1"/>
  <c r="F357" i="7" s="1"/>
  <c r="F358" i="7" s="1"/>
  <c r="F359" i="7" s="1"/>
  <c r="F360" i="7" s="1"/>
  <c r="F361" i="7" s="1"/>
  <c r="F362" i="7" s="1"/>
  <c r="F363" i="7" s="1"/>
  <c r="F364" i="7" s="1"/>
  <c r="F365" i="7" s="1"/>
  <c r="F366" i="7" s="1"/>
  <c r="F367" i="7" s="1"/>
  <c r="F368" i="7" s="1"/>
  <c r="F369" i="7" s="1"/>
  <c r="F370" i="7" s="1"/>
  <c r="F371" i="7" s="1"/>
  <c r="F372" i="7" s="1"/>
  <c r="F373" i="7" s="1"/>
  <c r="F374" i="7" s="1"/>
  <c r="F375" i="7" s="1"/>
  <c r="F376" i="7" s="1"/>
  <c r="F377" i="7" s="1"/>
  <c r="F378" i="7" s="1"/>
  <c r="F379" i="7" s="1"/>
  <c r="F380" i="7" s="1"/>
  <c r="F381" i="7" s="1"/>
  <c r="F382" i="7" s="1"/>
  <c r="F383" i="7" s="1"/>
  <c r="F384" i="7" s="1"/>
  <c r="F385" i="7" s="1"/>
  <c r="N12" i="5"/>
  <c r="P10" i="5"/>
  <c r="N10" i="5"/>
  <c r="O3" i="5"/>
  <c r="N11" i="5"/>
  <c r="P7" i="5"/>
  <c r="P12" i="5"/>
  <c r="N7" i="5"/>
  <c r="P8" i="5"/>
  <c r="N6" i="5"/>
  <c r="P6" i="5"/>
  <c r="N14" i="5"/>
  <c r="P13" i="5"/>
  <c r="N8" i="5"/>
  <c r="P15" i="5"/>
  <c r="P14" i="5"/>
  <c r="P9" i="5"/>
  <c r="L296" i="5"/>
  <c r="L314" i="5"/>
  <c r="L321" i="5"/>
  <c r="L303" i="5"/>
  <c r="L295" i="5"/>
  <c r="L315" i="5"/>
  <c r="L322" i="5"/>
  <c r="L308" i="5"/>
  <c r="L305" i="5"/>
  <c r="L302" i="5"/>
  <c r="L294" i="5"/>
  <c r="L323" i="5"/>
  <c r="L316" i="5"/>
  <c r="L309" i="5"/>
  <c r="L317" i="5"/>
  <c r="L318" i="5"/>
  <c r="L301" i="5"/>
  <c r="L311" i="5"/>
  <c r="L324" i="5"/>
  <c r="L310" i="5"/>
  <c r="L319" i="5"/>
  <c r="L297" i="5"/>
  <c r="L312" i="5"/>
  <c r="L304" i="5"/>
  <c r="L298" i="5"/>
  <c r="L300" i="5"/>
  <c r="AO14" i="5"/>
  <c r="L193" i="5"/>
  <c r="L200" i="5"/>
  <c r="L197" i="5"/>
  <c r="L189" i="5"/>
  <c r="L192" i="5"/>
  <c r="L172" i="5"/>
  <c r="L198" i="5"/>
  <c r="L179" i="5"/>
  <c r="L178" i="5"/>
  <c r="L199" i="5"/>
  <c r="L195" i="5"/>
  <c r="L188" i="5"/>
  <c r="L186" i="5"/>
  <c r="L176" i="5"/>
  <c r="L185" i="5"/>
  <c r="L196" i="5"/>
  <c r="L184" i="5"/>
  <c r="L183" i="5"/>
  <c r="L175" i="5"/>
  <c r="L190" i="5"/>
  <c r="L182" i="5"/>
  <c r="L174" i="5"/>
  <c r="L177" i="5"/>
  <c r="L191" i="5"/>
  <c r="L181" i="5"/>
  <c r="AO10" i="5"/>
  <c r="L77" i="5"/>
  <c r="L64" i="5"/>
  <c r="L51" i="5"/>
  <c r="L56" i="5"/>
  <c r="L71" i="5"/>
  <c r="L76" i="5"/>
  <c r="L79" i="5"/>
  <c r="L67" i="5"/>
  <c r="L58" i="5"/>
  <c r="L66" i="5"/>
  <c r="L57" i="5"/>
  <c r="AO6" i="5"/>
  <c r="L53" i="5"/>
  <c r="L74" i="5"/>
  <c r="L65" i="5"/>
  <c r="L72" i="5"/>
  <c r="L70" i="5"/>
  <c r="L69" i="5"/>
  <c r="L60" i="5"/>
  <c r="L52" i="5"/>
  <c r="L78" i="5"/>
  <c r="L63" i="5"/>
  <c r="L55" i="5"/>
  <c r="L59" i="5"/>
  <c r="L228" i="5"/>
  <c r="L217" i="5"/>
  <c r="L209" i="5"/>
  <c r="L232" i="5"/>
  <c r="L227" i="5"/>
  <c r="L226" i="5"/>
  <c r="L225" i="5"/>
  <c r="L224" i="5"/>
  <c r="L223" i="5"/>
  <c r="L214" i="5"/>
  <c r="L206" i="5"/>
  <c r="L221" i="5"/>
  <c r="L213" i="5"/>
  <c r="L205" i="5"/>
  <c r="L218" i="5"/>
  <c r="L204" i="5"/>
  <c r="L207" i="5"/>
  <c r="L210" i="5"/>
  <c r="L219" i="5"/>
  <c r="L231" i="5"/>
  <c r="L211" i="5"/>
  <c r="L220" i="5"/>
  <c r="L203" i="5"/>
  <c r="L230" i="5"/>
  <c r="L202" i="5"/>
  <c r="L212" i="5"/>
  <c r="AO11" i="5"/>
  <c r="L164" i="5"/>
  <c r="L156" i="5"/>
  <c r="L148" i="5"/>
  <c r="L171" i="5"/>
  <c r="L163" i="5"/>
  <c r="L155" i="5"/>
  <c r="L147" i="5"/>
  <c r="L170" i="5"/>
  <c r="L162" i="5"/>
  <c r="L154" i="5"/>
  <c r="L168" i="5"/>
  <c r="L160" i="5"/>
  <c r="L167" i="5"/>
  <c r="L151" i="5"/>
  <c r="L158" i="5"/>
  <c r="L153" i="5"/>
  <c r="L161" i="5"/>
  <c r="L149" i="5"/>
  <c r="L141" i="5"/>
  <c r="L169" i="5"/>
  <c r="L157" i="5"/>
  <c r="L142" i="5"/>
  <c r="L165" i="5"/>
  <c r="L150" i="5"/>
  <c r="AO9" i="5"/>
  <c r="P17" i="5"/>
  <c r="J17" i="5"/>
  <c r="L140" i="5"/>
  <c r="L132" i="5"/>
  <c r="L116" i="5"/>
  <c r="L130" i="5"/>
  <c r="L122" i="5"/>
  <c r="L114" i="5"/>
  <c r="L113" i="5"/>
  <c r="L115" i="5"/>
  <c r="L112" i="5"/>
  <c r="L111" i="5"/>
  <c r="L121" i="5"/>
  <c r="L119" i="5"/>
  <c r="L118" i="5"/>
  <c r="L133" i="5"/>
  <c r="L120" i="5"/>
  <c r="L123" i="5"/>
  <c r="L134" i="5"/>
  <c r="L135" i="5"/>
  <c r="L125" i="5"/>
  <c r="L137" i="5"/>
  <c r="L136" i="5"/>
  <c r="L127" i="5"/>
  <c r="L126" i="5"/>
  <c r="L129" i="5"/>
  <c r="L128" i="5"/>
  <c r="AO8" i="5"/>
  <c r="L288" i="5"/>
  <c r="L280" i="5"/>
  <c r="L287" i="5"/>
  <c r="L273" i="5"/>
  <c r="L269" i="5"/>
  <c r="L274" i="5"/>
  <c r="L276" i="5"/>
  <c r="L275" i="5"/>
  <c r="L268" i="5"/>
  <c r="L277" i="5"/>
  <c r="L267" i="5"/>
  <c r="L290" i="5"/>
  <c r="L281" i="5"/>
  <c r="L291" i="5"/>
  <c r="L293" i="5"/>
  <c r="L282" i="5"/>
  <c r="L289" i="5"/>
  <c r="L266" i="5"/>
  <c r="L284" i="5"/>
  <c r="L272" i="5"/>
  <c r="L270" i="5"/>
  <c r="L283" i="5"/>
  <c r="L265" i="5"/>
  <c r="AO13" i="5"/>
  <c r="L38" i="5"/>
  <c r="L41" i="5"/>
  <c r="L31" i="5"/>
  <c r="L28" i="5"/>
  <c r="L34" i="5"/>
  <c r="L50" i="5"/>
  <c r="L37" i="5"/>
  <c r="L30" i="5"/>
  <c r="L43" i="5"/>
  <c r="L36" i="5"/>
  <c r="L27" i="5"/>
  <c r="L49" i="5"/>
  <c r="L46" i="5"/>
  <c r="L42" i="5"/>
  <c r="L39" i="5"/>
  <c r="L29" i="5"/>
  <c r="L32" i="5"/>
  <c r="L45" i="5"/>
  <c r="L35" i="5"/>
  <c r="AO5" i="5"/>
  <c r="L48" i="5"/>
  <c r="L44" i="5"/>
  <c r="L24" i="5"/>
  <c r="J16" i="5"/>
  <c r="P16" i="5"/>
  <c r="L261" i="5"/>
  <c r="L253" i="5"/>
  <c r="L237" i="5"/>
  <c r="L260" i="5"/>
  <c r="L252" i="5"/>
  <c r="L259" i="5"/>
  <c r="L251" i="5"/>
  <c r="L255" i="5"/>
  <c r="L238" i="5"/>
  <c r="L263" i="5"/>
  <c r="L233" i="5"/>
  <c r="L239" i="5"/>
  <c r="L256" i="5"/>
  <c r="L234" i="5"/>
  <c r="L240" i="5"/>
  <c r="L235" i="5"/>
  <c r="L262" i="5"/>
  <c r="L258" i="5"/>
  <c r="L242" i="5"/>
  <c r="L241" i="5"/>
  <c r="L249" i="5"/>
  <c r="L254" i="5"/>
  <c r="AO12" i="5"/>
  <c r="N9" i="5"/>
  <c r="L109" i="5"/>
  <c r="L108" i="5"/>
  <c r="L100" i="5"/>
  <c r="L107" i="5"/>
  <c r="L97" i="5"/>
  <c r="L106" i="5"/>
  <c r="L102" i="5"/>
  <c r="L105" i="5"/>
  <c r="L104" i="5"/>
  <c r="L101" i="5"/>
  <c r="L88" i="5"/>
  <c r="L84" i="5"/>
  <c r="L81" i="5"/>
  <c r="L87" i="5"/>
  <c r="L90" i="5"/>
  <c r="L98" i="5"/>
  <c r="L86" i="5"/>
  <c r="L83" i="5"/>
  <c r="L94" i="5"/>
  <c r="L95" i="5"/>
  <c r="L93" i="5"/>
  <c r="L92" i="5"/>
  <c r="L85" i="5"/>
  <c r="L80" i="5"/>
  <c r="L91" i="5"/>
  <c r="AO7" i="5"/>
  <c r="P11" i="5"/>
  <c r="AA24" i="5"/>
  <c r="E23" i="5"/>
  <c r="AS22" i="5"/>
  <c r="G21" i="5"/>
  <c r="N15" i="5"/>
  <c r="N13" i="5"/>
  <c r="G15" i="4"/>
  <c r="S140" i="4"/>
  <c r="Q14" i="4"/>
  <c r="N13" i="4"/>
  <c r="P14" i="4"/>
  <c r="S136" i="4"/>
  <c r="R138" i="4"/>
  <c r="N7" i="4"/>
  <c r="P13" i="4"/>
  <c r="I15" i="4"/>
  <c r="P15" i="4"/>
  <c r="I8" i="4"/>
  <c r="P8" i="4"/>
  <c r="AG48" i="4"/>
  <c r="K10" i="4"/>
  <c r="AG90" i="4"/>
  <c r="K16" i="4"/>
  <c r="I17" i="4"/>
  <c r="P17" i="4"/>
  <c r="AG41" i="4"/>
  <c r="K9" i="4"/>
  <c r="K11" i="4"/>
  <c r="AG55" i="4"/>
  <c r="AG76" i="4"/>
  <c r="K14" i="4"/>
  <c r="AG27" i="4"/>
  <c r="K7" i="4"/>
  <c r="P12" i="4"/>
  <c r="I12" i="4"/>
  <c r="Q12" i="4" s="1"/>
  <c r="N14" i="4"/>
  <c r="P18" i="4"/>
  <c r="I18" i="4"/>
  <c r="N10" i="4"/>
  <c r="Y25" i="4"/>
  <c r="E24" i="4"/>
  <c r="AG69" i="4"/>
  <c r="K13" i="4"/>
  <c r="Q16" i="4"/>
  <c r="N16" i="4"/>
  <c r="P9" i="4"/>
  <c r="P16" i="4"/>
  <c r="Z23" i="4"/>
  <c r="G22" i="4"/>
  <c r="P10" i="4"/>
  <c r="Q9" i="4"/>
  <c r="Q10" i="4"/>
  <c r="N9" i="4"/>
  <c r="Q13" i="4"/>
  <c r="F17" i="1"/>
  <c r="G17" i="7" l="1"/>
  <c r="G14" i="7"/>
  <c r="G13" i="7"/>
  <c r="G10" i="7"/>
  <c r="G18" i="7"/>
  <c r="G12" i="7"/>
  <c r="G16" i="7"/>
  <c r="G11" i="7"/>
  <c r="G15" i="7"/>
  <c r="G7" i="7"/>
  <c r="G9" i="7"/>
  <c r="G8" i="7"/>
  <c r="P10" i="7"/>
  <c r="I10" i="7"/>
  <c r="P17" i="7"/>
  <c r="I17" i="7"/>
  <c r="P18" i="7"/>
  <c r="I18" i="7"/>
  <c r="P9" i="7"/>
  <c r="I9" i="7"/>
  <c r="P12" i="7"/>
  <c r="I12" i="7"/>
  <c r="P14" i="7"/>
  <c r="I14" i="7"/>
  <c r="P16" i="7"/>
  <c r="I16" i="7"/>
  <c r="P13" i="7"/>
  <c r="I13" i="7"/>
  <c r="P15" i="7"/>
  <c r="I15" i="7"/>
  <c r="P7" i="7"/>
  <c r="I7" i="7"/>
  <c r="Z24" i="7"/>
  <c r="G23" i="7"/>
  <c r="Y24" i="7"/>
  <c r="E23" i="7"/>
  <c r="M318" i="5"/>
  <c r="N318" i="5"/>
  <c r="N189" i="5"/>
  <c r="M189" i="5"/>
  <c r="N155" i="5"/>
  <c r="M155" i="5"/>
  <c r="N253" i="5"/>
  <c r="M253" i="5"/>
  <c r="N192" i="5"/>
  <c r="M192" i="5"/>
  <c r="N182" i="5"/>
  <c r="M182" i="5"/>
  <c r="N101" i="5"/>
  <c r="M101" i="5"/>
  <c r="N287" i="5"/>
  <c r="M287" i="5"/>
  <c r="N104" i="5"/>
  <c r="M104" i="5"/>
  <c r="M190" i="5"/>
  <c r="N190" i="5"/>
  <c r="N288" i="5"/>
  <c r="M288" i="5"/>
  <c r="M309" i="5"/>
  <c r="N309" i="5"/>
  <c r="N282" i="5"/>
  <c r="M282" i="5"/>
  <c r="N163" i="5"/>
  <c r="M163" i="5"/>
  <c r="M92" i="5"/>
  <c r="N92" i="5"/>
  <c r="N112" i="5"/>
  <c r="M112" i="5"/>
  <c r="N184" i="5"/>
  <c r="M184" i="5"/>
  <c r="N50" i="5"/>
  <c r="M50" i="5"/>
  <c r="N205" i="5"/>
  <c r="M205" i="5"/>
  <c r="N48" i="5"/>
  <c r="M48" i="5"/>
  <c r="N113" i="5"/>
  <c r="M113" i="5"/>
  <c r="N149" i="5"/>
  <c r="M149" i="5"/>
  <c r="N156" i="5"/>
  <c r="M156" i="5"/>
  <c r="N213" i="5"/>
  <c r="M213" i="5"/>
  <c r="N78" i="5"/>
  <c r="M78" i="5"/>
  <c r="N71" i="5"/>
  <c r="M71" i="5"/>
  <c r="N185" i="5"/>
  <c r="M185" i="5"/>
  <c r="N300" i="5"/>
  <c r="M300" i="5"/>
  <c r="N302" i="5"/>
  <c r="M302" i="5"/>
  <c r="N57" i="5"/>
  <c r="M57" i="5"/>
  <c r="N266" i="5"/>
  <c r="M266" i="5"/>
  <c r="N165" i="5"/>
  <c r="M165" i="5"/>
  <c r="P109" i="5"/>
  <c r="P108" i="5"/>
  <c r="P107" i="5"/>
  <c r="P97" i="5"/>
  <c r="P106" i="5"/>
  <c r="P105" i="5"/>
  <c r="P104" i="5"/>
  <c r="M80" i="5"/>
  <c r="P90" i="5"/>
  <c r="P101" i="5"/>
  <c r="P86" i="5"/>
  <c r="P83" i="5"/>
  <c r="P98" i="5"/>
  <c r="P95" i="5"/>
  <c r="P94" i="5"/>
  <c r="P93" i="5"/>
  <c r="P92" i="5"/>
  <c r="P85" i="5"/>
  <c r="P88" i="5"/>
  <c r="P100" i="5"/>
  <c r="P102" i="5"/>
  <c r="P80" i="5"/>
  <c r="N80" i="5"/>
  <c r="P87" i="5"/>
  <c r="P81" i="5"/>
  <c r="P84" i="5"/>
  <c r="P91" i="5"/>
  <c r="N121" i="5"/>
  <c r="M121" i="5"/>
  <c r="N175" i="5"/>
  <c r="M175" i="5"/>
  <c r="M30" i="5"/>
  <c r="N30" i="5"/>
  <c r="N200" i="5"/>
  <c r="M200" i="5"/>
  <c r="N293" i="5"/>
  <c r="M293" i="5"/>
  <c r="N193" i="5"/>
  <c r="M193" i="5"/>
  <c r="N291" i="5"/>
  <c r="M291" i="5"/>
  <c r="N148" i="5"/>
  <c r="M148" i="5"/>
  <c r="N127" i="5"/>
  <c r="M127" i="5"/>
  <c r="M52" i="5"/>
  <c r="N52" i="5"/>
  <c r="M56" i="5"/>
  <c r="N56" i="5"/>
  <c r="M176" i="5"/>
  <c r="N176" i="5"/>
  <c r="N298" i="5"/>
  <c r="M298" i="5"/>
  <c r="N305" i="5"/>
  <c r="M305" i="5"/>
  <c r="N284" i="5"/>
  <c r="M284" i="5"/>
  <c r="N60" i="5"/>
  <c r="M60" i="5"/>
  <c r="N308" i="5"/>
  <c r="M308" i="5"/>
  <c r="N150" i="5"/>
  <c r="M150" i="5"/>
  <c r="N91" i="5"/>
  <c r="M91" i="5"/>
  <c r="N119" i="5"/>
  <c r="M119" i="5"/>
  <c r="N142" i="5"/>
  <c r="M142" i="5"/>
  <c r="N316" i="5"/>
  <c r="M316" i="5"/>
  <c r="M37" i="5"/>
  <c r="N37" i="5"/>
  <c r="N218" i="5"/>
  <c r="M218" i="5"/>
  <c r="N97" i="5"/>
  <c r="M97" i="5"/>
  <c r="P170" i="5"/>
  <c r="P162" i="5"/>
  <c r="P154" i="5"/>
  <c r="P169" i="5"/>
  <c r="P161" i="5"/>
  <c r="P153" i="5"/>
  <c r="P168" i="5"/>
  <c r="P160" i="5"/>
  <c r="P167" i="5"/>
  <c r="P151" i="5"/>
  <c r="P158" i="5"/>
  <c r="P150" i="5"/>
  <c r="P165" i="5"/>
  <c r="P157" i="5"/>
  <c r="P149" i="5"/>
  <c r="P164" i="5"/>
  <c r="P141" i="5"/>
  <c r="P147" i="5"/>
  <c r="N141" i="5"/>
  <c r="P155" i="5"/>
  <c r="M141" i="5"/>
  <c r="P142" i="5"/>
  <c r="P163" i="5"/>
  <c r="P171" i="5"/>
  <c r="P148" i="5"/>
  <c r="P156" i="5"/>
  <c r="N76" i="5"/>
  <c r="M76" i="5"/>
  <c r="N107" i="5"/>
  <c r="M107" i="5"/>
  <c r="N221" i="5"/>
  <c r="M221" i="5"/>
  <c r="M277" i="5"/>
  <c r="N277" i="5"/>
  <c r="M183" i="5"/>
  <c r="N183" i="5"/>
  <c r="N128" i="5"/>
  <c r="M128" i="5"/>
  <c r="M323" i="5"/>
  <c r="N323" i="5"/>
  <c r="N129" i="5"/>
  <c r="M129" i="5"/>
  <c r="N196" i="5"/>
  <c r="M196" i="5"/>
  <c r="N126" i="5"/>
  <c r="M126" i="5"/>
  <c r="N100" i="5"/>
  <c r="M100" i="5"/>
  <c r="N114" i="5"/>
  <c r="M114" i="5"/>
  <c r="M263" i="5"/>
  <c r="N263" i="5"/>
  <c r="N267" i="5"/>
  <c r="M267" i="5"/>
  <c r="N122" i="5"/>
  <c r="M122" i="5"/>
  <c r="M206" i="5"/>
  <c r="N206" i="5"/>
  <c r="P72" i="5"/>
  <c r="P74" i="5"/>
  <c r="P79" i="5"/>
  <c r="P66" i="5"/>
  <c r="P78" i="5"/>
  <c r="P67" i="5"/>
  <c r="M51" i="5"/>
  <c r="P57" i="5"/>
  <c r="P53" i="5"/>
  <c r="P65" i="5"/>
  <c r="P56" i="5"/>
  <c r="P55" i="5"/>
  <c r="P71" i="5"/>
  <c r="P76" i="5"/>
  <c r="P70" i="5"/>
  <c r="P60" i="5"/>
  <c r="P77" i="5"/>
  <c r="P64" i="5"/>
  <c r="P52" i="5"/>
  <c r="P69" i="5"/>
  <c r="P63" i="5"/>
  <c r="P59" i="5"/>
  <c r="P51" i="5"/>
  <c r="P58" i="5"/>
  <c r="N51" i="5"/>
  <c r="N109" i="5"/>
  <c r="M109" i="5"/>
  <c r="M238" i="5"/>
  <c r="N238" i="5"/>
  <c r="N45" i="5"/>
  <c r="M45" i="5"/>
  <c r="M41" i="5"/>
  <c r="N41" i="5"/>
  <c r="N137" i="5"/>
  <c r="M137" i="5"/>
  <c r="N130" i="5"/>
  <c r="M130" i="5"/>
  <c r="N158" i="5"/>
  <c r="M158" i="5"/>
  <c r="N212" i="5"/>
  <c r="M212" i="5"/>
  <c r="M214" i="5"/>
  <c r="N214" i="5"/>
  <c r="N69" i="5"/>
  <c r="M69" i="5"/>
  <c r="N64" i="5"/>
  <c r="M64" i="5"/>
  <c r="N188" i="5"/>
  <c r="M188" i="5"/>
  <c r="N312" i="5"/>
  <c r="M312" i="5"/>
  <c r="N322" i="5"/>
  <c r="M322" i="5"/>
  <c r="N98" i="5"/>
  <c r="M98" i="5"/>
  <c r="N255" i="5"/>
  <c r="M255" i="5"/>
  <c r="M32" i="5"/>
  <c r="N32" i="5"/>
  <c r="N38" i="5"/>
  <c r="M38" i="5"/>
  <c r="N268" i="5"/>
  <c r="M268" i="5"/>
  <c r="N125" i="5"/>
  <c r="M125" i="5"/>
  <c r="N116" i="5"/>
  <c r="M116" i="5"/>
  <c r="N151" i="5"/>
  <c r="M151" i="5"/>
  <c r="P227" i="5"/>
  <c r="P226" i="5"/>
  <c r="P232" i="5"/>
  <c r="P225" i="5"/>
  <c r="P224" i="5"/>
  <c r="P207" i="5"/>
  <c r="P223" i="5"/>
  <c r="P214" i="5"/>
  <c r="P206" i="5"/>
  <c r="P228" i="5"/>
  <c r="P221" i="5"/>
  <c r="P213" i="5"/>
  <c r="P205" i="5"/>
  <c r="P220" i="5"/>
  <c r="P212" i="5"/>
  <c r="P204" i="5"/>
  <c r="P230" i="5"/>
  <c r="P210" i="5"/>
  <c r="P219" i="5"/>
  <c r="P202" i="5"/>
  <c r="P231" i="5"/>
  <c r="N202" i="5"/>
  <c r="M202" i="5"/>
  <c r="P217" i="5"/>
  <c r="P203" i="5"/>
  <c r="P209" i="5"/>
  <c r="P218" i="5"/>
  <c r="P211" i="5"/>
  <c r="N223" i="5"/>
  <c r="M223" i="5"/>
  <c r="N70" i="5"/>
  <c r="M70" i="5"/>
  <c r="N77" i="5"/>
  <c r="M77" i="5"/>
  <c r="N195" i="5"/>
  <c r="M195" i="5"/>
  <c r="N297" i="5"/>
  <c r="M297" i="5"/>
  <c r="M315" i="5"/>
  <c r="N315" i="5"/>
  <c r="N209" i="5"/>
  <c r="M209" i="5"/>
  <c r="N210" i="5"/>
  <c r="M210" i="5"/>
  <c r="M43" i="5"/>
  <c r="N43" i="5"/>
  <c r="N228" i="5"/>
  <c r="M228" i="5"/>
  <c r="N102" i="5"/>
  <c r="M102" i="5"/>
  <c r="P130" i="5"/>
  <c r="P122" i="5"/>
  <c r="P114" i="5"/>
  <c r="P136" i="5"/>
  <c r="P128" i="5"/>
  <c r="P140" i="5"/>
  <c r="N111" i="5"/>
  <c r="P115" i="5"/>
  <c r="M111" i="5"/>
  <c r="P116" i="5"/>
  <c r="P132" i="5"/>
  <c r="P119" i="5"/>
  <c r="P118" i="5"/>
  <c r="P133" i="5"/>
  <c r="P121" i="5"/>
  <c r="P120" i="5"/>
  <c r="P134" i="5"/>
  <c r="P135" i="5"/>
  <c r="P123" i="5"/>
  <c r="P125" i="5"/>
  <c r="P127" i="5"/>
  <c r="P126" i="5"/>
  <c r="P137" i="5"/>
  <c r="P129" i="5"/>
  <c r="P113" i="5"/>
  <c r="P112" i="5"/>
  <c r="P111" i="5"/>
  <c r="N59" i="5"/>
  <c r="M59" i="5"/>
  <c r="N234" i="5"/>
  <c r="M234" i="5"/>
  <c r="N169" i="5"/>
  <c r="M169" i="5"/>
  <c r="N79" i="5"/>
  <c r="M79" i="5"/>
  <c r="N44" i="5"/>
  <c r="M44" i="5"/>
  <c r="N199" i="5"/>
  <c r="M199" i="5"/>
  <c r="M319" i="5"/>
  <c r="N319" i="5"/>
  <c r="N295" i="5"/>
  <c r="M295" i="5"/>
  <c r="N27" i="5"/>
  <c r="M27" i="5"/>
  <c r="N262" i="5"/>
  <c r="M262" i="5"/>
  <c r="M317" i="5"/>
  <c r="N317" i="5"/>
  <c r="N281" i="5"/>
  <c r="M281" i="5"/>
  <c r="N28" i="5"/>
  <c r="M28" i="5"/>
  <c r="N251" i="5"/>
  <c r="M251" i="5"/>
  <c r="N29" i="5"/>
  <c r="M29" i="5"/>
  <c r="N275" i="5"/>
  <c r="M275" i="5"/>
  <c r="N132" i="5"/>
  <c r="M132" i="5"/>
  <c r="N230" i="5"/>
  <c r="M230" i="5"/>
  <c r="N224" i="5"/>
  <c r="M224" i="5"/>
  <c r="G22" i="5"/>
  <c r="AS23" i="5"/>
  <c r="M87" i="5"/>
  <c r="N87" i="5"/>
  <c r="N254" i="5"/>
  <c r="M254" i="5"/>
  <c r="N259" i="5"/>
  <c r="M259" i="5"/>
  <c r="N39" i="5"/>
  <c r="M39" i="5"/>
  <c r="M265" i="5"/>
  <c r="P273" i="5"/>
  <c r="P269" i="5"/>
  <c r="N265" i="5"/>
  <c r="P290" i="5"/>
  <c r="P265" i="5"/>
  <c r="P284" i="5"/>
  <c r="P291" i="5"/>
  <c r="P275" i="5"/>
  <c r="P282" i="5"/>
  <c r="P276" i="5"/>
  <c r="P293" i="5"/>
  <c r="P280" i="5"/>
  <c r="P283" i="5"/>
  <c r="P268" i="5"/>
  <c r="P270" i="5"/>
  <c r="P272" i="5"/>
  <c r="P281" i="5"/>
  <c r="P288" i="5"/>
  <c r="P274" i="5"/>
  <c r="P266" i="5"/>
  <c r="P277" i="5"/>
  <c r="P267" i="5"/>
  <c r="P289" i="5"/>
  <c r="P287" i="5"/>
  <c r="N276" i="5"/>
  <c r="M276" i="5"/>
  <c r="N134" i="5"/>
  <c r="M134" i="5"/>
  <c r="N140" i="5"/>
  <c r="M140" i="5"/>
  <c r="M160" i="5"/>
  <c r="N160" i="5"/>
  <c r="N203" i="5"/>
  <c r="M203" i="5"/>
  <c r="N225" i="5"/>
  <c r="M225" i="5"/>
  <c r="N65" i="5"/>
  <c r="M65" i="5"/>
  <c r="N181" i="5"/>
  <c r="M181" i="5"/>
  <c r="N178" i="5"/>
  <c r="M178" i="5"/>
  <c r="M310" i="5"/>
  <c r="N310" i="5"/>
  <c r="N303" i="5"/>
  <c r="M303" i="5"/>
  <c r="N219" i="5"/>
  <c r="M219" i="5"/>
  <c r="M36" i="5"/>
  <c r="N36" i="5"/>
  <c r="N147" i="5"/>
  <c r="M147" i="5"/>
  <c r="N235" i="5"/>
  <c r="M235" i="5"/>
  <c r="M197" i="5"/>
  <c r="N197" i="5"/>
  <c r="N85" i="5"/>
  <c r="M85" i="5"/>
  <c r="N157" i="5"/>
  <c r="M157" i="5"/>
  <c r="N161" i="5"/>
  <c r="M161" i="5"/>
  <c r="N83" i="5"/>
  <c r="M83" i="5"/>
  <c r="N35" i="5"/>
  <c r="M35" i="5"/>
  <c r="N136" i="5"/>
  <c r="M136" i="5"/>
  <c r="N304" i="5"/>
  <c r="M304" i="5"/>
  <c r="N86" i="5"/>
  <c r="M86" i="5"/>
  <c r="N90" i="5"/>
  <c r="M90" i="5"/>
  <c r="N283" i="5"/>
  <c r="M283" i="5"/>
  <c r="N123" i="5"/>
  <c r="M123" i="5"/>
  <c r="M168" i="5"/>
  <c r="N168" i="5"/>
  <c r="N220" i="5"/>
  <c r="M220" i="5"/>
  <c r="N226" i="5"/>
  <c r="M226" i="5"/>
  <c r="N74" i="5"/>
  <c r="M74" i="5"/>
  <c r="M191" i="5"/>
  <c r="N191" i="5"/>
  <c r="N179" i="5"/>
  <c r="M179" i="5"/>
  <c r="N324" i="5"/>
  <c r="M324" i="5"/>
  <c r="N321" i="5"/>
  <c r="M321" i="5"/>
  <c r="N258" i="5"/>
  <c r="M258" i="5"/>
  <c r="N118" i="5"/>
  <c r="M118" i="5"/>
  <c r="N280" i="5"/>
  <c r="M280" i="5"/>
  <c r="N217" i="5"/>
  <c r="M217" i="5"/>
  <c r="N105" i="5"/>
  <c r="M105" i="5"/>
  <c r="N207" i="5"/>
  <c r="M207" i="5"/>
  <c r="N240" i="5"/>
  <c r="M240" i="5"/>
  <c r="N67" i="5"/>
  <c r="M67" i="5"/>
  <c r="M24" i="5"/>
  <c r="N24" i="5"/>
  <c r="U303" i="5"/>
  <c r="U238" i="5"/>
  <c r="U260" i="5"/>
  <c r="U212" i="5"/>
  <c r="U252" i="5"/>
  <c r="U184" i="5"/>
  <c r="U181" i="5"/>
  <c r="U197" i="5"/>
  <c r="U161" i="5"/>
  <c r="U148" i="5"/>
  <c r="U115" i="5"/>
  <c r="U55" i="5"/>
  <c r="U71" i="5"/>
  <c r="P32" i="5"/>
  <c r="U51" i="5"/>
  <c r="U178" i="5"/>
  <c r="U309" i="5"/>
  <c r="U319" i="5"/>
  <c r="U281" i="5"/>
  <c r="U230" i="5"/>
  <c r="U305" i="5"/>
  <c r="U204" i="5"/>
  <c r="U231" i="5"/>
  <c r="U175" i="5"/>
  <c r="U165" i="5"/>
  <c r="U179" i="5"/>
  <c r="U122" i="5"/>
  <c r="U137" i="5"/>
  <c r="U92" i="5"/>
  <c r="U84" i="5"/>
  <c r="U60" i="5"/>
  <c r="P45" i="5"/>
  <c r="U67" i="5"/>
  <c r="U30" i="5"/>
  <c r="U287" i="5"/>
  <c r="P42" i="5"/>
  <c r="U311" i="5"/>
  <c r="U297" i="5"/>
  <c r="U304" i="5"/>
  <c r="U302" i="5"/>
  <c r="U196" i="5"/>
  <c r="U226" i="5"/>
  <c r="U167" i="5"/>
  <c r="U157" i="5"/>
  <c r="U171" i="5"/>
  <c r="U121" i="5"/>
  <c r="U79" i="5"/>
  <c r="U90" i="5"/>
  <c r="P30" i="5"/>
  <c r="U69" i="5"/>
  <c r="U58" i="5"/>
  <c r="U262" i="5"/>
  <c r="U100" i="5"/>
  <c r="U276" i="5"/>
  <c r="U256" i="5"/>
  <c r="U293" i="5"/>
  <c r="U275" i="5"/>
  <c r="U188" i="5"/>
  <c r="U176" i="5"/>
  <c r="U151" i="5"/>
  <c r="U149" i="5"/>
  <c r="U163" i="5"/>
  <c r="U91" i="5"/>
  <c r="U177" i="5"/>
  <c r="U170" i="5"/>
  <c r="U53" i="5"/>
  <c r="U24" i="5"/>
  <c r="P46" i="5"/>
  <c r="U44" i="5"/>
  <c r="P28" i="5"/>
  <c r="U301" i="5"/>
  <c r="U42" i="5"/>
  <c r="U233" i="5"/>
  <c r="U324" i="5"/>
  <c r="U322" i="5"/>
  <c r="U240" i="5"/>
  <c r="U272" i="5"/>
  <c r="U266" i="5"/>
  <c r="U235" i="5"/>
  <c r="U168" i="5"/>
  <c r="U217" i="5"/>
  <c r="U239" i="5"/>
  <c r="U155" i="5"/>
  <c r="U123" i="5"/>
  <c r="U162" i="5"/>
  <c r="U116" i="5"/>
  <c r="P44" i="5"/>
  <c r="U70" i="5"/>
  <c r="U59" i="5"/>
  <c r="P35" i="5"/>
  <c r="U284" i="5"/>
  <c r="U50" i="5"/>
  <c r="U316" i="5"/>
  <c r="U314" i="5"/>
  <c r="U232" i="5"/>
  <c r="U270" i="5"/>
  <c r="U259" i="5"/>
  <c r="U295" i="5"/>
  <c r="U160" i="5"/>
  <c r="U183" i="5"/>
  <c r="U225" i="5"/>
  <c r="U147" i="5"/>
  <c r="U104" i="5"/>
  <c r="U129" i="5"/>
  <c r="U107" i="5"/>
  <c r="U65" i="5"/>
  <c r="U64" i="5"/>
  <c r="U45" i="5"/>
  <c r="U34" i="5"/>
  <c r="U199" i="5"/>
  <c r="U98" i="5"/>
  <c r="U36" i="5"/>
  <c r="U308" i="5"/>
  <c r="U317" i="5"/>
  <c r="U224" i="5"/>
  <c r="U228" i="5"/>
  <c r="U219" i="5"/>
  <c r="U136" i="5"/>
  <c r="U189" i="5"/>
  <c r="U209" i="5"/>
  <c r="U153" i="5"/>
  <c r="U125" i="5"/>
  <c r="U207" i="5"/>
  <c r="U132" i="5"/>
  <c r="U43" i="5"/>
  <c r="U52" i="5"/>
  <c r="U35" i="5"/>
  <c r="P41" i="5"/>
  <c r="U318" i="5"/>
  <c r="U154" i="5"/>
  <c r="U254" i="5"/>
  <c r="U310" i="5"/>
  <c r="U221" i="5"/>
  <c r="U211" i="5"/>
  <c r="U128" i="5"/>
  <c r="U182" i="5"/>
  <c r="U200" i="5"/>
  <c r="U141" i="5"/>
  <c r="U169" i="5"/>
  <c r="U140" i="5"/>
  <c r="U97" i="5"/>
  <c r="P34" i="5"/>
  <c r="P43" i="5"/>
  <c r="P24" i="5"/>
  <c r="U37" i="5"/>
  <c r="U241" i="5"/>
  <c r="U105" i="5"/>
  <c r="U268" i="5"/>
  <c r="P39" i="5"/>
  <c r="U273" i="5"/>
  <c r="U213" i="5"/>
  <c r="U203" i="5"/>
  <c r="U120" i="5"/>
  <c r="U174" i="5"/>
  <c r="U191" i="5"/>
  <c r="U118" i="5"/>
  <c r="U135" i="5"/>
  <c r="U130" i="5"/>
  <c r="U74" i="5"/>
  <c r="P50" i="5"/>
  <c r="U39" i="5"/>
  <c r="P29" i="5"/>
  <c r="P31" i="5"/>
  <c r="U49" i="5"/>
  <c r="U190" i="5"/>
  <c r="U38" i="5"/>
  <c r="U298" i="5"/>
  <c r="U291" i="5"/>
  <c r="U269" i="5"/>
  <c r="U205" i="5"/>
  <c r="U195" i="5"/>
  <c r="U112" i="5"/>
  <c r="U158" i="5"/>
  <c r="U289" i="5"/>
  <c r="U106" i="5"/>
  <c r="U126" i="5"/>
  <c r="U114" i="5"/>
  <c r="U95" i="5"/>
  <c r="P37" i="5"/>
  <c r="U29" i="5"/>
  <c r="U41" i="5"/>
  <c r="U83" i="5"/>
  <c r="U32" i="5"/>
  <c r="U192" i="5"/>
  <c r="U72" i="5"/>
  <c r="U290" i="5"/>
  <c r="U296" i="5"/>
  <c r="U263" i="5"/>
  <c r="U261" i="5"/>
  <c r="U277" i="5"/>
  <c r="U321" i="5"/>
  <c r="U150" i="5"/>
  <c r="U227" i="5"/>
  <c r="U102" i="5"/>
  <c r="U101" i="5"/>
  <c r="U113" i="5"/>
  <c r="U94" i="5"/>
  <c r="U27" i="5"/>
  <c r="U77" i="5"/>
  <c r="U86" i="5"/>
  <c r="P38" i="5"/>
  <c r="U28" i="5"/>
  <c r="U210" i="5"/>
  <c r="U312" i="5"/>
  <c r="U282" i="5"/>
  <c r="U280" i="5"/>
  <c r="U255" i="5"/>
  <c r="U253" i="5"/>
  <c r="U288" i="5"/>
  <c r="U267" i="5"/>
  <c r="U242" i="5"/>
  <c r="U142" i="5"/>
  <c r="U206" i="5"/>
  <c r="U133" i="5"/>
  <c r="U127" i="5"/>
  <c r="U111" i="5"/>
  <c r="U85" i="5"/>
  <c r="U87" i="5"/>
  <c r="P27" i="5"/>
  <c r="U78" i="5"/>
  <c r="U80" i="5"/>
  <c r="U258" i="5"/>
  <c r="U46" i="5"/>
  <c r="U323" i="5"/>
  <c r="U274" i="5"/>
  <c r="U265" i="5"/>
  <c r="U251" i="5"/>
  <c r="U237" i="5"/>
  <c r="U186" i="5"/>
  <c r="U134" i="5"/>
  <c r="U172" i="5"/>
  <c r="U119" i="5"/>
  <c r="U93" i="5"/>
  <c r="U109" i="5"/>
  <c r="U76" i="5"/>
  <c r="U81" i="5"/>
  <c r="P49" i="5"/>
  <c r="U63" i="5"/>
  <c r="U66" i="5"/>
  <c r="U156" i="5"/>
  <c r="U202" i="5"/>
  <c r="U315" i="5"/>
  <c r="U300" i="5"/>
  <c r="U249" i="5"/>
  <c r="U283" i="5"/>
  <c r="U294" i="5"/>
  <c r="U234" i="5"/>
  <c r="U218" i="5"/>
  <c r="U185" i="5"/>
  <c r="U223" i="5"/>
  <c r="U164" i="5"/>
  <c r="U193" i="5"/>
  <c r="U198" i="5"/>
  <c r="U108" i="5"/>
  <c r="P48" i="5"/>
  <c r="U56" i="5"/>
  <c r="P36" i="5"/>
  <c r="U48" i="5"/>
  <c r="U57" i="5"/>
  <c r="U31" i="5"/>
  <c r="U214" i="5"/>
  <c r="U220" i="5"/>
  <c r="U88" i="5"/>
  <c r="N55" i="5"/>
  <c r="M55" i="5"/>
  <c r="M93" i="5"/>
  <c r="N93" i="5"/>
  <c r="N115" i="5"/>
  <c r="M115" i="5"/>
  <c r="N63" i="5"/>
  <c r="M63" i="5"/>
  <c r="N95" i="5"/>
  <c r="M95" i="5"/>
  <c r="N34" i="5"/>
  <c r="M34" i="5"/>
  <c r="M290" i="5"/>
  <c r="N290" i="5"/>
  <c r="N135" i="5"/>
  <c r="M135" i="5"/>
  <c r="N167" i="5"/>
  <c r="M167" i="5"/>
  <c r="N72" i="5"/>
  <c r="M72" i="5"/>
  <c r="N81" i="5"/>
  <c r="M81" i="5"/>
  <c r="M249" i="5"/>
  <c r="N249" i="5"/>
  <c r="N252" i="5"/>
  <c r="M252" i="5"/>
  <c r="M42" i="5"/>
  <c r="N42" i="5"/>
  <c r="M274" i="5"/>
  <c r="N274" i="5"/>
  <c r="K17" i="5"/>
  <c r="N17" i="5"/>
  <c r="AA25" i="5"/>
  <c r="E24" i="5"/>
  <c r="N84" i="5"/>
  <c r="M84" i="5"/>
  <c r="M241" i="5"/>
  <c r="N241" i="5"/>
  <c r="N260" i="5"/>
  <c r="M260" i="5"/>
  <c r="N46" i="5"/>
  <c r="M46" i="5"/>
  <c r="N270" i="5"/>
  <c r="M270" i="5"/>
  <c r="N269" i="5"/>
  <c r="M269" i="5"/>
  <c r="N120" i="5"/>
  <c r="M120" i="5"/>
  <c r="N154" i="5"/>
  <c r="M154" i="5"/>
  <c r="N211" i="5"/>
  <c r="M211" i="5"/>
  <c r="N227" i="5"/>
  <c r="M227" i="5"/>
  <c r="N53" i="5"/>
  <c r="M53" i="5"/>
  <c r="N177" i="5"/>
  <c r="M177" i="5"/>
  <c r="M198" i="5"/>
  <c r="N198" i="5"/>
  <c r="M311" i="5"/>
  <c r="N311" i="5"/>
  <c r="M314" i="5"/>
  <c r="N314" i="5"/>
  <c r="N170" i="5"/>
  <c r="M170" i="5"/>
  <c r="N261" i="5"/>
  <c r="M261" i="5"/>
  <c r="N66" i="5"/>
  <c r="M66" i="5"/>
  <c r="N289" i="5"/>
  <c r="M289" i="5"/>
  <c r="N58" i="5"/>
  <c r="M58" i="5"/>
  <c r="K16" i="5"/>
  <c r="N16" i="5"/>
  <c r="N204" i="5"/>
  <c r="M204" i="5"/>
  <c r="N106" i="5"/>
  <c r="M106" i="5"/>
  <c r="N171" i="5"/>
  <c r="M171" i="5"/>
  <c r="M256" i="5"/>
  <c r="N256" i="5"/>
  <c r="P318" i="5"/>
  <c r="P310" i="5"/>
  <c r="P317" i="5"/>
  <c r="P309" i="5"/>
  <c r="P324" i="5"/>
  <c r="P316" i="5"/>
  <c r="P308" i="5"/>
  <c r="P322" i="5"/>
  <c r="P314" i="5"/>
  <c r="P304" i="5"/>
  <c r="P315" i="5"/>
  <c r="P305" i="5"/>
  <c r="P302" i="5"/>
  <c r="P294" i="5"/>
  <c r="N294" i="5"/>
  <c r="P323" i="5"/>
  <c r="P300" i="5"/>
  <c r="P295" i="5"/>
  <c r="P296" i="5"/>
  <c r="P319" i="5"/>
  <c r="P297" i="5"/>
  <c r="P312" i="5"/>
  <c r="P321" i="5"/>
  <c r="P298" i="5"/>
  <c r="P301" i="5"/>
  <c r="M294" i="5"/>
  <c r="P311" i="5"/>
  <c r="P303" i="5"/>
  <c r="N239" i="5"/>
  <c r="M239" i="5"/>
  <c r="N94" i="5"/>
  <c r="M94" i="5"/>
  <c r="P259" i="5"/>
  <c r="P251" i="5"/>
  <c r="P235" i="5"/>
  <c r="P258" i="5"/>
  <c r="P242" i="5"/>
  <c r="P234" i="5"/>
  <c r="P249" i="5"/>
  <c r="P241" i="5"/>
  <c r="P256" i="5"/>
  <c r="P240" i="5"/>
  <c r="M233" i="5"/>
  <c r="P263" i="5"/>
  <c r="P255" i="5"/>
  <c r="P262" i="5"/>
  <c r="P239" i="5"/>
  <c r="P233" i="5"/>
  <c r="P261" i="5"/>
  <c r="P253" i="5"/>
  <c r="N233" i="5"/>
  <c r="P254" i="5"/>
  <c r="P238" i="5"/>
  <c r="P237" i="5"/>
  <c r="P252" i="5"/>
  <c r="P260" i="5"/>
  <c r="N164" i="5"/>
  <c r="M164" i="5"/>
  <c r="N108" i="5"/>
  <c r="M108" i="5"/>
  <c r="N31" i="5"/>
  <c r="M31" i="5"/>
  <c r="N153" i="5"/>
  <c r="M153" i="5"/>
  <c r="M186" i="5"/>
  <c r="N186" i="5"/>
  <c r="M88" i="5"/>
  <c r="N88" i="5"/>
  <c r="M242" i="5"/>
  <c r="N242" i="5"/>
  <c r="M237" i="5"/>
  <c r="N237" i="5"/>
  <c r="N49" i="5"/>
  <c r="M49" i="5"/>
  <c r="N272" i="5"/>
  <c r="M272" i="5"/>
  <c r="N273" i="5"/>
  <c r="M273" i="5"/>
  <c r="N133" i="5"/>
  <c r="M133" i="5"/>
  <c r="N162" i="5"/>
  <c r="M162" i="5"/>
  <c r="N231" i="5"/>
  <c r="M231" i="5"/>
  <c r="M232" i="5"/>
  <c r="N232" i="5"/>
  <c r="N174" i="5"/>
  <c r="M174" i="5"/>
  <c r="P199" i="5"/>
  <c r="P198" i="5"/>
  <c r="P190" i="5"/>
  <c r="P197" i="5"/>
  <c r="P189" i="5"/>
  <c r="P196" i="5"/>
  <c r="P193" i="5"/>
  <c r="P178" i="5"/>
  <c r="P177" i="5"/>
  <c r="P195" i="5"/>
  <c r="P188" i="5"/>
  <c r="P186" i="5"/>
  <c r="P176" i="5"/>
  <c r="P184" i="5"/>
  <c r="P175" i="5"/>
  <c r="P183" i="5"/>
  <c r="P182" i="5"/>
  <c r="P174" i="5"/>
  <c r="P181" i="5"/>
  <c r="P200" i="5"/>
  <c r="P191" i="5"/>
  <c r="P179" i="5"/>
  <c r="P172" i="5"/>
  <c r="N172" i="5"/>
  <c r="M172" i="5"/>
  <c r="P185" i="5"/>
  <c r="P192" i="5"/>
  <c r="N301" i="5"/>
  <c r="M301" i="5"/>
  <c r="N296" i="5"/>
  <c r="M296" i="5"/>
  <c r="AG97" i="4"/>
  <c r="N17" i="4"/>
  <c r="K17" i="4"/>
  <c r="Q17" i="4"/>
  <c r="Y26" i="4"/>
  <c r="E25" i="4"/>
  <c r="K8" i="4"/>
  <c r="AG34" i="4"/>
  <c r="Q8" i="4"/>
  <c r="N8" i="4"/>
  <c r="Z24" i="4"/>
  <c r="G23" i="4"/>
  <c r="AG62" i="4"/>
  <c r="N12" i="4"/>
  <c r="K12" i="4"/>
  <c r="AG104" i="4"/>
  <c r="N18" i="4"/>
  <c r="K18" i="4"/>
  <c r="Q18" i="4"/>
  <c r="AG83" i="4"/>
  <c r="Q15" i="4"/>
  <c r="K15" i="4"/>
  <c r="N15" i="4"/>
  <c r="AI98" i="2"/>
  <c r="AI99" i="2"/>
  <c r="AI100" i="2"/>
  <c r="AI101" i="2"/>
  <c r="AI102" i="2"/>
  <c r="AI103" i="2"/>
  <c r="AI97" i="2"/>
  <c r="AI91" i="2"/>
  <c r="AI92" i="2"/>
  <c r="AI93" i="2"/>
  <c r="AI94" i="2"/>
  <c r="AI95" i="2"/>
  <c r="AI96" i="2"/>
  <c r="AI90" i="2"/>
  <c r="AI84" i="2"/>
  <c r="AI85" i="2"/>
  <c r="AI86" i="2"/>
  <c r="AI87" i="2"/>
  <c r="AI88" i="2"/>
  <c r="AI89" i="2"/>
  <c r="AI83" i="2"/>
  <c r="AI77" i="2"/>
  <c r="AI78" i="2"/>
  <c r="AI79" i="2"/>
  <c r="AI80" i="2"/>
  <c r="AI81" i="2"/>
  <c r="AI82" i="2"/>
  <c r="AI76" i="2"/>
  <c r="AI70" i="2"/>
  <c r="AI71" i="2"/>
  <c r="AI72" i="2"/>
  <c r="AI73" i="2"/>
  <c r="AI74" i="2"/>
  <c r="AI75" i="2"/>
  <c r="AI69" i="2"/>
  <c r="AI63" i="2"/>
  <c r="AI64" i="2"/>
  <c r="AI65" i="2"/>
  <c r="AI66" i="2"/>
  <c r="AI67" i="2"/>
  <c r="AI68" i="2"/>
  <c r="AI62" i="2"/>
  <c r="AI56" i="2"/>
  <c r="AI57" i="2"/>
  <c r="AI58" i="2"/>
  <c r="AI59" i="2"/>
  <c r="AI60" i="2"/>
  <c r="AI61" i="2"/>
  <c r="AI55" i="2"/>
  <c r="AI49" i="2"/>
  <c r="AI50" i="2"/>
  <c r="AI51" i="2"/>
  <c r="AI52" i="2"/>
  <c r="AI53" i="2"/>
  <c r="AI54" i="2"/>
  <c r="AI48" i="2"/>
  <c r="AI42" i="2"/>
  <c r="AI43" i="2"/>
  <c r="AI44" i="2"/>
  <c r="AI45" i="2"/>
  <c r="AI46" i="2"/>
  <c r="AI47" i="2"/>
  <c r="AI41" i="2"/>
  <c r="AI35" i="2"/>
  <c r="AI36" i="2"/>
  <c r="AI37" i="2"/>
  <c r="AI38" i="2"/>
  <c r="AI39" i="2"/>
  <c r="AI40" i="2"/>
  <c r="AI34" i="2"/>
  <c r="AJ34" i="2" s="1"/>
  <c r="AI28" i="2"/>
  <c r="AI29" i="2"/>
  <c r="AI30" i="2"/>
  <c r="AI31" i="2"/>
  <c r="AI32" i="2"/>
  <c r="AI33" i="2"/>
  <c r="AI27" i="2"/>
  <c r="AE40" i="2"/>
  <c r="C47" i="1"/>
  <c r="P8" i="7" l="1"/>
  <c r="I8" i="7"/>
  <c r="P11" i="7"/>
  <c r="I11" i="7"/>
  <c r="Q8" i="7"/>
  <c r="N8" i="7"/>
  <c r="K8" i="7"/>
  <c r="AG34" i="7"/>
  <c r="Q10" i="7"/>
  <c r="N10" i="7"/>
  <c r="K10" i="7"/>
  <c r="AG48" i="7"/>
  <c r="N17" i="7"/>
  <c r="Q17" i="7"/>
  <c r="K17" i="7"/>
  <c r="AG97" i="7"/>
  <c r="N18" i="7"/>
  <c r="Q18" i="7"/>
  <c r="K18" i="7"/>
  <c r="AG104" i="7"/>
  <c r="N9" i="7"/>
  <c r="Q9" i="7"/>
  <c r="K9" i="7"/>
  <c r="AG41" i="7"/>
  <c r="N12" i="7"/>
  <c r="Q12" i="7"/>
  <c r="K12" i="7"/>
  <c r="AG62" i="7"/>
  <c r="Q14" i="7"/>
  <c r="N14" i="7"/>
  <c r="K14" i="7"/>
  <c r="AG76" i="7"/>
  <c r="N16" i="7"/>
  <c r="Q16" i="7"/>
  <c r="K16" i="7"/>
  <c r="AG90" i="7"/>
  <c r="N11" i="7"/>
  <c r="Q11" i="7"/>
  <c r="AG55" i="7"/>
  <c r="K11" i="7"/>
  <c r="N13" i="7"/>
  <c r="Q13" i="7"/>
  <c r="K13" i="7"/>
  <c r="AG69" i="7"/>
  <c r="Q15" i="7"/>
  <c r="N15" i="7"/>
  <c r="K15" i="7"/>
  <c r="AG83" i="7"/>
  <c r="N7" i="7"/>
  <c r="Q7" i="7"/>
  <c r="K7" i="7"/>
  <c r="AG27" i="7"/>
  <c r="Z25" i="7"/>
  <c r="G24" i="7"/>
  <c r="Y25" i="7"/>
  <c r="E24" i="7"/>
  <c r="S181" i="5"/>
  <c r="R181" i="5"/>
  <c r="X261" i="5"/>
  <c r="W261" i="5"/>
  <c r="X36" i="5"/>
  <c r="W36" i="5"/>
  <c r="R147" i="5"/>
  <c r="S147" i="5"/>
  <c r="X211" i="5"/>
  <c r="W211" i="5"/>
  <c r="X207" i="5"/>
  <c r="W207" i="5"/>
  <c r="X199" i="5"/>
  <c r="W199" i="5"/>
  <c r="X232" i="5"/>
  <c r="W232" i="5"/>
  <c r="X239" i="5"/>
  <c r="W239" i="5"/>
  <c r="S46" i="5"/>
  <c r="R46" i="5"/>
  <c r="W196" i="5"/>
  <c r="X196" i="5"/>
  <c r="X92" i="5"/>
  <c r="W92" i="5"/>
  <c r="X51" i="5"/>
  <c r="W51" i="5"/>
  <c r="R274" i="5"/>
  <c r="S274" i="5"/>
  <c r="R121" i="5"/>
  <c r="S121" i="5"/>
  <c r="R230" i="5"/>
  <c r="S230" i="5"/>
  <c r="S227" i="5"/>
  <c r="R227" i="5"/>
  <c r="R59" i="5"/>
  <c r="S59" i="5"/>
  <c r="S67" i="5"/>
  <c r="R67" i="5"/>
  <c r="S164" i="5"/>
  <c r="R164" i="5"/>
  <c r="R98" i="5"/>
  <c r="S98" i="5"/>
  <c r="W238" i="5"/>
  <c r="X238" i="5"/>
  <c r="X43" i="5"/>
  <c r="W43" i="5"/>
  <c r="X128" i="5"/>
  <c r="W128" i="5"/>
  <c r="S290" i="5"/>
  <c r="R290" i="5"/>
  <c r="X221" i="5"/>
  <c r="W221" i="5"/>
  <c r="X125" i="5"/>
  <c r="W125" i="5"/>
  <c r="X217" i="5"/>
  <c r="W217" i="5"/>
  <c r="X24" i="5"/>
  <c r="W24" i="5"/>
  <c r="W302" i="5"/>
  <c r="X302" i="5"/>
  <c r="X137" i="5"/>
  <c r="W137" i="5"/>
  <c r="S32" i="5"/>
  <c r="R32" i="5"/>
  <c r="S288" i="5"/>
  <c r="R288" i="5"/>
  <c r="R269" i="5"/>
  <c r="S269" i="5"/>
  <c r="S133" i="5"/>
  <c r="R133" i="5"/>
  <c r="S204" i="5"/>
  <c r="R204" i="5"/>
  <c r="S63" i="5"/>
  <c r="R63" i="5"/>
  <c r="R78" i="5"/>
  <c r="S78" i="5"/>
  <c r="R149" i="5"/>
  <c r="S149" i="5"/>
  <c r="R83" i="5"/>
  <c r="S83" i="5"/>
  <c r="X301" i="5"/>
  <c r="W301" i="5"/>
  <c r="X126" i="5"/>
  <c r="W126" i="5"/>
  <c r="X60" i="5"/>
  <c r="W60" i="5"/>
  <c r="R182" i="5"/>
  <c r="S182" i="5"/>
  <c r="X106" i="5"/>
  <c r="W106" i="5"/>
  <c r="X84" i="5"/>
  <c r="W84" i="5"/>
  <c r="R210" i="5"/>
  <c r="S210" i="5"/>
  <c r="R141" i="5"/>
  <c r="S141" i="5"/>
  <c r="W186" i="5"/>
  <c r="X186" i="5"/>
  <c r="S175" i="5"/>
  <c r="R175" i="5"/>
  <c r="X153" i="5"/>
  <c r="W153" i="5"/>
  <c r="X34" i="5"/>
  <c r="W34" i="5"/>
  <c r="X168" i="5"/>
  <c r="W168" i="5"/>
  <c r="W53" i="5"/>
  <c r="X53" i="5"/>
  <c r="X276" i="5"/>
  <c r="W276" i="5"/>
  <c r="X304" i="5"/>
  <c r="W304" i="5"/>
  <c r="X122" i="5"/>
  <c r="W122" i="5"/>
  <c r="X71" i="5"/>
  <c r="W71" i="5"/>
  <c r="R281" i="5"/>
  <c r="S281" i="5"/>
  <c r="S273" i="5"/>
  <c r="R273" i="5"/>
  <c r="R118" i="5"/>
  <c r="S118" i="5"/>
  <c r="S212" i="5"/>
  <c r="R212" i="5"/>
  <c r="R69" i="5"/>
  <c r="S69" i="5"/>
  <c r="S66" i="5"/>
  <c r="R66" i="5"/>
  <c r="R157" i="5"/>
  <c r="S157" i="5"/>
  <c r="S91" i="5"/>
  <c r="R91" i="5"/>
  <c r="R86" i="5"/>
  <c r="S86" i="5"/>
  <c r="L382" i="5"/>
  <c r="L374" i="5"/>
  <c r="L366" i="5"/>
  <c r="L358" i="5"/>
  <c r="L381" i="5"/>
  <c r="L373" i="5"/>
  <c r="L365" i="5"/>
  <c r="L357" i="5"/>
  <c r="L380" i="5"/>
  <c r="L372" i="5"/>
  <c r="L364" i="5"/>
  <c r="L356" i="5"/>
  <c r="L360" i="5"/>
  <c r="L378" i="5"/>
  <c r="L361" i="5"/>
  <c r="L379" i="5"/>
  <c r="L368" i="5"/>
  <c r="L375" i="5"/>
  <c r="L363" i="5"/>
  <c r="L359" i="5"/>
  <c r="L370" i="5"/>
  <c r="L371" i="5"/>
  <c r="L377" i="5"/>
  <c r="L367" i="5"/>
  <c r="AO16" i="5"/>
  <c r="X295" i="5"/>
  <c r="W295" i="5"/>
  <c r="S267" i="5"/>
  <c r="R267" i="5"/>
  <c r="S202" i="5"/>
  <c r="R202" i="5"/>
  <c r="S130" i="5"/>
  <c r="R130" i="5"/>
  <c r="S314" i="5"/>
  <c r="R314" i="5"/>
  <c r="X270" i="5"/>
  <c r="W270" i="5"/>
  <c r="R298" i="5"/>
  <c r="S298" i="5"/>
  <c r="X158" i="5"/>
  <c r="W158" i="5"/>
  <c r="S234" i="5"/>
  <c r="R234" i="5"/>
  <c r="W206" i="5"/>
  <c r="X206" i="5"/>
  <c r="X209" i="5"/>
  <c r="W209" i="5"/>
  <c r="X45" i="5"/>
  <c r="W45" i="5"/>
  <c r="X314" i="5"/>
  <c r="W314" i="5"/>
  <c r="X235" i="5"/>
  <c r="W235" i="5"/>
  <c r="W170" i="5"/>
  <c r="X170" i="5"/>
  <c r="X100" i="5"/>
  <c r="W100" i="5"/>
  <c r="X297" i="5"/>
  <c r="W297" i="5"/>
  <c r="W179" i="5"/>
  <c r="X179" i="5"/>
  <c r="X55" i="5"/>
  <c r="W55" i="5"/>
  <c r="R272" i="5"/>
  <c r="S272" i="5"/>
  <c r="R119" i="5"/>
  <c r="S119" i="5"/>
  <c r="S220" i="5"/>
  <c r="R220" i="5"/>
  <c r="R52" i="5"/>
  <c r="S52" i="5"/>
  <c r="S79" i="5"/>
  <c r="R79" i="5"/>
  <c r="R165" i="5"/>
  <c r="S165" i="5"/>
  <c r="R84" i="5"/>
  <c r="S84" i="5"/>
  <c r="S101" i="5"/>
  <c r="R101" i="5"/>
  <c r="X119" i="5"/>
  <c r="W119" i="5"/>
  <c r="X157" i="5"/>
  <c r="W157" i="5"/>
  <c r="W123" i="5"/>
  <c r="X123" i="5"/>
  <c r="S266" i="5"/>
  <c r="R266" i="5"/>
  <c r="S241" i="5"/>
  <c r="R241" i="5"/>
  <c r="W290" i="5"/>
  <c r="X290" i="5"/>
  <c r="X112" i="5"/>
  <c r="W112" i="5"/>
  <c r="R324" i="5"/>
  <c r="S324" i="5"/>
  <c r="X56" i="5"/>
  <c r="W56" i="5"/>
  <c r="X202" i="5"/>
  <c r="W202" i="5"/>
  <c r="X241" i="5"/>
  <c r="W241" i="5"/>
  <c r="X189" i="5"/>
  <c r="W189" i="5"/>
  <c r="X64" i="5"/>
  <c r="W64" i="5"/>
  <c r="X316" i="5"/>
  <c r="W316" i="5"/>
  <c r="X266" i="5"/>
  <c r="W266" i="5"/>
  <c r="X177" i="5"/>
  <c r="W177" i="5"/>
  <c r="X262" i="5"/>
  <c r="W262" i="5"/>
  <c r="X165" i="5"/>
  <c r="W165" i="5"/>
  <c r="W115" i="5"/>
  <c r="X115" i="5"/>
  <c r="R270" i="5"/>
  <c r="S270" i="5"/>
  <c r="R111" i="5"/>
  <c r="S111" i="5"/>
  <c r="S132" i="5"/>
  <c r="R132" i="5"/>
  <c r="S205" i="5"/>
  <c r="R205" i="5"/>
  <c r="R64" i="5"/>
  <c r="S64" i="5"/>
  <c r="R74" i="5"/>
  <c r="S74" i="5"/>
  <c r="R150" i="5"/>
  <c r="S150" i="5"/>
  <c r="R81" i="5"/>
  <c r="S81" i="5"/>
  <c r="S90" i="5"/>
  <c r="R90" i="5"/>
  <c r="S225" i="5"/>
  <c r="R225" i="5"/>
  <c r="W167" i="5"/>
  <c r="X167" i="5"/>
  <c r="X249" i="5"/>
  <c r="W249" i="5"/>
  <c r="X178" i="5"/>
  <c r="W178" i="5"/>
  <c r="S51" i="5"/>
  <c r="R51" i="5"/>
  <c r="R183" i="5"/>
  <c r="S183" i="5"/>
  <c r="X57" i="5"/>
  <c r="W57" i="5"/>
  <c r="R321" i="5"/>
  <c r="S321" i="5"/>
  <c r="W48" i="5"/>
  <c r="X48" i="5"/>
  <c r="S38" i="5"/>
  <c r="R38" i="5"/>
  <c r="S312" i="5"/>
  <c r="R312" i="5"/>
  <c r="X74" i="5"/>
  <c r="W74" i="5"/>
  <c r="W105" i="5"/>
  <c r="X105" i="5"/>
  <c r="S188" i="5"/>
  <c r="R188" i="5"/>
  <c r="X265" i="5"/>
  <c r="W265" i="5"/>
  <c r="W192" i="5"/>
  <c r="X192" i="5"/>
  <c r="X118" i="5"/>
  <c r="W118" i="5"/>
  <c r="X37" i="5"/>
  <c r="W37" i="5"/>
  <c r="X136" i="5"/>
  <c r="W136" i="5"/>
  <c r="X272" i="5"/>
  <c r="W272" i="5"/>
  <c r="X91" i="5"/>
  <c r="W91" i="5"/>
  <c r="W58" i="5"/>
  <c r="X58" i="5"/>
  <c r="X175" i="5"/>
  <c r="W175" i="5"/>
  <c r="W148" i="5"/>
  <c r="X148" i="5"/>
  <c r="R268" i="5"/>
  <c r="S268" i="5"/>
  <c r="S112" i="5"/>
  <c r="R112" i="5"/>
  <c r="R116" i="5"/>
  <c r="S116" i="5"/>
  <c r="S211" i="5"/>
  <c r="R211" i="5"/>
  <c r="S213" i="5"/>
  <c r="R213" i="5"/>
  <c r="R77" i="5"/>
  <c r="S77" i="5"/>
  <c r="S72" i="5"/>
  <c r="R72" i="5"/>
  <c r="R158" i="5"/>
  <c r="S158" i="5"/>
  <c r="R87" i="5"/>
  <c r="S87" i="5"/>
  <c r="W256" i="5"/>
  <c r="X256" i="5"/>
  <c r="W172" i="5"/>
  <c r="X172" i="5"/>
  <c r="X303" i="5"/>
  <c r="W303" i="5"/>
  <c r="R265" i="5"/>
  <c r="S265" i="5"/>
  <c r="S199" i="5"/>
  <c r="R199" i="5"/>
  <c r="X134" i="5"/>
  <c r="W134" i="5"/>
  <c r="W132" i="5"/>
  <c r="X132" i="5"/>
  <c r="W39" i="5"/>
  <c r="X39" i="5"/>
  <c r="R308" i="5"/>
  <c r="S308" i="5"/>
  <c r="S50" i="5"/>
  <c r="R50" i="5"/>
  <c r="S184" i="5"/>
  <c r="R184" i="5"/>
  <c r="R237" i="5"/>
  <c r="S237" i="5"/>
  <c r="S36" i="5"/>
  <c r="R36" i="5"/>
  <c r="X86" i="5"/>
  <c r="W86" i="5"/>
  <c r="R238" i="5"/>
  <c r="S238" i="5"/>
  <c r="R317" i="5"/>
  <c r="S317" i="5"/>
  <c r="W156" i="5"/>
  <c r="X156" i="5"/>
  <c r="W242" i="5"/>
  <c r="X242" i="5"/>
  <c r="X94" i="5"/>
  <c r="W94" i="5"/>
  <c r="X269" i="5"/>
  <c r="W269" i="5"/>
  <c r="X310" i="5"/>
  <c r="W310" i="5"/>
  <c r="W65" i="5"/>
  <c r="X65" i="5"/>
  <c r="S185" i="5"/>
  <c r="R185" i="5"/>
  <c r="R195" i="5"/>
  <c r="S195" i="5"/>
  <c r="S253" i="5"/>
  <c r="R253" i="5"/>
  <c r="S251" i="5"/>
  <c r="R251" i="5"/>
  <c r="S295" i="5"/>
  <c r="R295" i="5"/>
  <c r="R310" i="5"/>
  <c r="S310" i="5"/>
  <c r="W198" i="5"/>
  <c r="X198" i="5"/>
  <c r="X66" i="5"/>
  <c r="W66" i="5"/>
  <c r="X274" i="5"/>
  <c r="W274" i="5"/>
  <c r="X267" i="5"/>
  <c r="W267" i="5"/>
  <c r="W113" i="5"/>
  <c r="X113" i="5"/>
  <c r="X32" i="5"/>
  <c r="W32" i="5"/>
  <c r="X291" i="5"/>
  <c r="W291" i="5"/>
  <c r="W191" i="5"/>
  <c r="X191" i="5"/>
  <c r="S24" i="5"/>
  <c r="R24" i="5"/>
  <c r="X219" i="5"/>
  <c r="W219" i="5"/>
  <c r="X107" i="5"/>
  <c r="W107" i="5"/>
  <c r="X50" i="5"/>
  <c r="W50" i="5"/>
  <c r="X240" i="5"/>
  <c r="W240" i="5"/>
  <c r="W163" i="5"/>
  <c r="X163" i="5"/>
  <c r="W69" i="5"/>
  <c r="X69" i="5"/>
  <c r="X231" i="5"/>
  <c r="W231" i="5"/>
  <c r="X161" i="5"/>
  <c r="W161" i="5"/>
  <c r="S283" i="5"/>
  <c r="R283" i="5"/>
  <c r="S113" i="5"/>
  <c r="R113" i="5"/>
  <c r="S218" i="5"/>
  <c r="R218" i="5"/>
  <c r="R221" i="5"/>
  <c r="S221" i="5"/>
  <c r="S60" i="5"/>
  <c r="R60" i="5"/>
  <c r="S156" i="5"/>
  <c r="R156" i="5"/>
  <c r="S151" i="5"/>
  <c r="R151" i="5"/>
  <c r="S104" i="5"/>
  <c r="R104" i="5"/>
  <c r="S154" i="5"/>
  <c r="R154" i="5"/>
  <c r="S232" i="5"/>
  <c r="R232" i="5"/>
  <c r="S162" i="5"/>
  <c r="R162" i="5"/>
  <c r="W263" i="5"/>
  <c r="X263" i="5"/>
  <c r="X44" i="5"/>
  <c r="W44" i="5"/>
  <c r="S120" i="5"/>
  <c r="R120" i="5"/>
  <c r="S95" i="5"/>
  <c r="R95" i="5"/>
  <c r="W237" i="5"/>
  <c r="X237" i="5"/>
  <c r="S316" i="5"/>
  <c r="R316" i="5"/>
  <c r="X133" i="5"/>
  <c r="W133" i="5"/>
  <c r="X195" i="5"/>
  <c r="W195" i="5"/>
  <c r="S319" i="5"/>
  <c r="R319" i="5"/>
  <c r="R48" i="5"/>
  <c r="S48" i="5"/>
  <c r="X27" i="5"/>
  <c r="W27" i="5"/>
  <c r="S192" i="5"/>
  <c r="R192" i="5"/>
  <c r="S235" i="5"/>
  <c r="R235" i="5"/>
  <c r="S177" i="5"/>
  <c r="R177" i="5"/>
  <c r="R300" i="5"/>
  <c r="S300" i="5"/>
  <c r="X288" i="5"/>
  <c r="W288" i="5"/>
  <c r="X174" i="5"/>
  <c r="W174" i="5"/>
  <c r="S43" i="5"/>
  <c r="R43" i="5"/>
  <c r="W228" i="5"/>
  <c r="X228" i="5"/>
  <c r="W129" i="5"/>
  <c r="X129" i="5"/>
  <c r="X284" i="5"/>
  <c r="W284" i="5"/>
  <c r="X149" i="5"/>
  <c r="W149" i="5"/>
  <c r="S30" i="5"/>
  <c r="R30" i="5"/>
  <c r="W204" i="5"/>
  <c r="X204" i="5"/>
  <c r="X197" i="5"/>
  <c r="W197" i="5"/>
  <c r="S280" i="5"/>
  <c r="R280" i="5"/>
  <c r="S129" i="5"/>
  <c r="R129" i="5"/>
  <c r="S115" i="5"/>
  <c r="R115" i="5"/>
  <c r="S209" i="5"/>
  <c r="R209" i="5"/>
  <c r="R228" i="5"/>
  <c r="S228" i="5"/>
  <c r="S70" i="5"/>
  <c r="R70" i="5"/>
  <c r="S148" i="5"/>
  <c r="R148" i="5"/>
  <c r="S167" i="5"/>
  <c r="R167" i="5"/>
  <c r="R80" i="5"/>
  <c r="S80" i="5"/>
  <c r="S105" i="5"/>
  <c r="R105" i="5"/>
  <c r="X308" i="5"/>
  <c r="W308" i="5"/>
  <c r="R284" i="5"/>
  <c r="S284" i="5"/>
  <c r="R198" i="5"/>
  <c r="S198" i="5"/>
  <c r="W87" i="5"/>
  <c r="X87" i="5"/>
  <c r="S28" i="5"/>
  <c r="R28" i="5"/>
  <c r="R57" i="5"/>
  <c r="S57" i="5"/>
  <c r="X289" i="5"/>
  <c r="W289" i="5"/>
  <c r="S249" i="5"/>
  <c r="R249" i="5"/>
  <c r="X315" i="5"/>
  <c r="W315" i="5"/>
  <c r="S309" i="5"/>
  <c r="R309" i="5"/>
  <c r="W72" i="5"/>
  <c r="X72" i="5"/>
  <c r="S178" i="5"/>
  <c r="R178" i="5"/>
  <c r="S49" i="5"/>
  <c r="R49" i="5"/>
  <c r="W253" i="5"/>
  <c r="X253" i="5"/>
  <c r="W102" i="5"/>
  <c r="X102" i="5"/>
  <c r="W83" i="5"/>
  <c r="X83" i="5"/>
  <c r="W120" i="5"/>
  <c r="X120" i="5"/>
  <c r="R34" i="5"/>
  <c r="S34" i="5"/>
  <c r="W254" i="5"/>
  <c r="X254" i="5"/>
  <c r="W104" i="5"/>
  <c r="X104" i="5"/>
  <c r="S35" i="5"/>
  <c r="R35" i="5"/>
  <c r="X151" i="5"/>
  <c r="W151" i="5"/>
  <c r="X90" i="5"/>
  <c r="W90" i="5"/>
  <c r="X311" i="5"/>
  <c r="W311" i="5"/>
  <c r="W305" i="5"/>
  <c r="X305" i="5"/>
  <c r="X181" i="5"/>
  <c r="W181" i="5"/>
  <c r="S293" i="5"/>
  <c r="R293" i="5"/>
  <c r="S137" i="5"/>
  <c r="R137" i="5"/>
  <c r="S203" i="5"/>
  <c r="R203" i="5"/>
  <c r="R206" i="5"/>
  <c r="S206" i="5"/>
  <c r="S76" i="5"/>
  <c r="R76" i="5"/>
  <c r="R171" i="5"/>
  <c r="S171" i="5"/>
  <c r="S160" i="5"/>
  <c r="R160" i="5"/>
  <c r="S102" i="5"/>
  <c r="R102" i="5"/>
  <c r="R106" i="5"/>
  <c r="S106" i="5"/>
  <c r="R190" i="5"/>
  <c r="S190" i="5"/>
  <c r="S311" i="5"/>
  <c r="R311" i="5"/>
  <c r="W220" i="5"/>
  <c r="X220" i="5"/>
  <c r="W114" i="5"/>
  <c r="X114" i="5"/>
  <c r="X162" i="5"/>
  <c r="W162" i="5"/>
  <c r="S135" i="5"/>
  <c r="R135" i="5"/>
  <c r="S53" i="5"/>
  <c r="R53" i="5"/>
  <c r="X283" i="5"/>
  <c r="W283" i="5"/>
  <c r="S58" i="5"/>
  <c r="R58" i="5"/>
  <c r="S301" i="5"/>
  <c r="R301" i="5"/>
  <c r="X210" i="5"/>
  <c r="W210" i="5"/>
  <c r="W155" i="5"/>
  <c r="X155" i="5"/>
  <c r="S226" i="5"/>
  <c r="R226" i="5"/>
  <c r="S322" i="5"/>
  <c r="R322" i="5"/>
  <c r="X28" i="5"/>
  <c r="W28" i="5"/>
  <c r="L350" i="5"/>
  <c r="L342" i="5"/>
  <c r="L349" i="5"/>
  <c r="L340" i="5"/>
  <c r="L332" i="5"/>
  <c r="L345" i="5"/>
  <c r="L337" i="5"/>
  <c r="L333" i="5"/>
  <c r="L354" i="5"/>
  <c r="L329" i="5"/>
  <c r="L346" i="5"/>
  <c r="L351" i="5"/>
  <c r="L338" i="5"/>
  <c r="L330" i="5"/>
  <c r="L339" i="5"/>
  <c r="L343" i="5"/>
  <c r="L331" i="5"/>
  <c r="L352" i="5"/>
  <c r="L325" i="5"/>
  <c r="L353" i="5"/>
  <c r="L336" i="5"/>
  <c r="L344" i="5"/>
  <c r="L335" i="5"/>
  <c r="L326" i="5"/>
  <c r="AO15" i="5"/>
  <c r="W127" i="5"/>
  <c r="X127" i="5"/>
  <c r="X268" i="5"/>
  <c r="W268" i="5"/>
  <c r="S176" i="5"/>
  <c r="R176" i="5"/>
  <c r="S242" i="5"/>
  <c r="R242" i="5"/>
  <c r="W130" i="5"/>
  <c r="X130" i="5"/>
  <c r="S254" i="5"/>
  <c r="R254" i="5"/>
  <c r="X142" i="5"/>
  <c r="W142" i="5"/>
  <c r="X108" i="5"/>
  <c r="W108" i="5"/>
  <c r="S259" i="5"/>
  <c r="R259" i="5"/>
  <c r="R318" i="5"/>
  <c r="S318" i="5"/>
  <c r="W193" i="5"/>
  <c r="X193" i="5"/>
  <c r="X63" i="5"/>
  <c r="W63" i="5"/>
  <c r="X101" i="5"/>
  <c r="W101" i="5"/>
  <c r="R233" i="5"/>
  <c r="S233" i="5"/>
  <c r="S323" i="5"/>
  <c r="R323" i="5"/>
  <c r="W164" i="5"/>
  <c r="X164" i="5"/>
  <c r="X323" i="5"/>
  <c r="W323" i="5"/>
  <c r="W298" i="5"/>
  <c r="X298" i="5"/>
  <c r="R172" i="5"/>
  <c r="S172" i="5"/>
  <c r="S193" i="5"/>
  <c r="R193" i="5"/>
  <c r="S239" i="5"/>
  <c r="R239" i="5"/>
  <c r="X223" i="5"/>
  <c r="W223" i="5"/>
  <c r="X81" i="5"/>
  <c r="W81" i="5"/>
  <c r="W46" i="5"/>
  <c r="X46" i="5"/>
  <c r="X255" i="5"/>
  <c r="W255" i="5"/>
  <c r="W227" i="5"/>
  <c r="X227" i="5"/>
  <c r="W41" i="5"/>
  <c r="X41" i="5"/>
  <c r="X203" i="5"/>
  <c r="W203" i="5"/>
  <c r="X97" i="5"/>
  <c r="W97" i="5"/>
  <c r="X154" i="5"/>
  <c r="W154" i="5"/>
  <c r="X224" i="5"/>
  <c r="W224" i="5"/>
  <c r="W147" i="5"/>
  <c r="X147" i="5"/>
  <c r="X59" i="5"/>
  <c r="W59" i="5"/>
  <c r="X322" i="5"/>
  <c r="W322" i="5"/>
  <c r="X176" i="5"/>
  <c r="W176" i="5"/>
  <c r="X79" i="5"/>
  <c r="W79" i="5"/>
  <c r="R42" i="5"/>
  <c r="S42" i="5"/>
  <c r="W230" i="5"/>
  <c r="X230" i="5"/>
  <c r="W184" i="5"/>
  <c r="X184" i="5"/>
  <c r="S276" i="5"/>
  <c r="R276" i="5"/>
  <c r="S126" i="5"/>
  <c r="R126" i="5"/>
  <c r="S140" i="5"/>
  <c r="R140" i="5"/>
  <c r="R217" i="5"/>
  <c r="S217" i="5"/>
  <c r="R214" i="5"/>
  <c r="S214" i="5"/>
  <c r="S71" i="5"/>
  <c r="R71" i="5"/>
  <c r="R163" i="5"/>
  <c r="S163" i="5"/>
  <c r="S168" i="5"/>
  <c r="R168" i="5"/>
  <c r="S100" i="5"/>
  <c r="R100" i="5"/>
  <c r="R97" i="5"/>
  <c r="S97" i="5"/>
  <c r="W200" i="5"/>
  <c r="X200" i="5"/>
  <c r="R304" i="5"/>
  <c r="S304" i="5"/>
  <c r="X182" i="5"/>
  <c r="W182" i="5"/>
  <c r="R134" i="5"/>
  <c r="S134" i="5"/>
  <c r="W31" i="5"/>
  <c r="X31" i="5"/>
  <c r="W98" i="5"/>
  <c r="X98" i="5"/>
  <c r="R170" i="5"/>
  <c r="S170" i="5"/>
  <c r="W111" i="5"/>
  <c r="X111" i="5"/>
  <c r="S297" i="5"/>
  <c r="R297" i="5"/>
  <c r="X77" i="5"/>
  <c r="W77" i="5"/>
  <c r="S258" i="5"/>
  <c r="R258" i="5"/>
  <c r="X135" i="5"/>
  <c r="W135" i="5"/>
  <c r="S261" i="5"/>
  <c r="R261" i="5"/>
  <c r="S179" i="5"/>
  <c r="R179" i="5"/>
  <c r="R262" i="5"/>
  <c r="S262" i="5"/>
  <c r="S294" i="5"/>
  <c r="R294" i="5"/>
  <c r="W258" i="5"/>
  <c r="X258" i="5"/>
  <c r="W213" i="5"/>
  <c r="X213" i="5"/>
  <c r="X140" i="5"/>
  <c r="W140" i="5"/>
  <c r="W225" i="5"/>
  <c r="X225" i="5"/>
  <c r="W70" i="5"/>
  <c r="X70" i="5"/>
  <c r="W324" i="5"/>
  <c r="X324" i="5"/>
  <c r="X188" i="5"/>
  <c r="W188" i="5"/>
  <c r="X287" i="5"/>
  <c r="W287" i="5"/>
  <c r="X281" i="5"/>
  <c r="W281" i="5"/>
  <c r="X252" i="5"/>
  <c r="W252" i="5"/>
  <c r="S282" i="5"/>
  <c r="R282" i="5"/>
  <c r="S127" i="5"/>
  <c r="R127" i="5"/>
  <c r="S128" i="5"/>
  <c r="R128" i="5"/>
  <c r="S223" i="5"/>
  <c r="R223" i="5"/>
  <c r="R55" i="5"/>
  <c r="S55" i="5"/>
  <c r="S142" i="5"/>
  <c r="R142" i="5"/>
  <c r="R153" i="5"/>
  <c r="S153" i="5"/>
  <c r="S88" i="5"/>
  <c r="R88" i="5"/>
  <c r="R107" i="5"/>
  <c r="S107" i="5"/>
  <c r="S315" i="5"/>
  <c r="R315" i="5"/>
  <c r="W294" i="5"/>
  <c r="X294" i="5"/>
  <c r="S27" i="5"/>
  <c r="R27" i="5"/>
  <c r="W49" i="5"/>
  <c r="X49" i="5"/>
  <c r="S45" i="5"/>
  <c r="R45" i="5"/>
  <c r="S122" i="5"/>
  <c r="R122" i="5"/>
  <c r="R93" i="5"/>
  <c r="S93" i="5"/>
  <c r="X214" i="5"/>
  <c r="W214" i="5"/>
  <c r="X259" i="5"/>
  <c r="W259" i="5"/>
  <c r="S277" i="5"/>
  <c r="R277" i="5"/>
  <c r="S219" i="5"/>
  <c r="R219" i="5"/>
  <c r="S256" i="5"/>
  <c r="R256" i="5"/>
  <c r="W85" i="5"/>
  <c r="X85" i="5"/>
  <c r="W226" i="5"/>
  <c r="X226" i="5"/>
  <c r="R260" i="5"/>
  <c r="S260" i="5"/>
  <c r="X300" i="5"/>
  <c r="W300" i="5"/>
  <c r="R39" i="5"/>
  <c r="S39" i="5"/>
  <c r="W185" i="5"/>
  <c r="X185" i="5"/>
  <c r="W76" i="5"/>
  <c r="X76" i="5"/>
  <c r="W280" i="5"/>
  <c r="X280" i="5"/>
  <c r="X150" i="5"/>
  <c r="W150" i="5"/>
  <c r="X29" i="5"/>
  <c r="W29" i="5"/>
  <c r="X318" i="5"/>
  <c r="W318" i="5"/>
  <c r="S191" i="5"/>
  <c r="R191" i="5"/>
  <c r="S189" i="5"/>
  <c r="R189" i="5"/>
  <c r="S255" i="5"/>
  <c r="R255" i="5"/>
  <c r="S302" i="5"/>
  <c r="R302" i="5"/>
  <c r="E25" i="5"/>
  <c r="AA26" i="5"/>
  <c r="X218" i="5"/>
  <c r="W218" i="5"/>
  <c r="X109" i="5"/>
  <c r="W109" i="5"/>
  <c r="W80" i="5"/>
  <c r="X80" i="5"/>
  <c r="W282" i="5"/>
  <c r="X282" i="5"/>
  <c r="X321" i="5"/>
  <c r="W321" i="5"/>
  <c r="R37" i="5"/>
  <c r="S37" i="5"/>
  <c r="X38" i="5"/>
  <c r="W38" i="5"/>
  <c r="W273" i="5"/>
  <c r="X273" i="5"/>
  <c r="X169" i="5"/>
  <c r="W169" i="5"/>
  <c r="S41" i="5"/>
  <c r="R41" i="5"/>
  <c r="W317" i="5"/>
  <c r="X317" i="5"/>
  <c r="W183" i="5"/>
  <c r="X183" i="5"/>
  <c r="R44" i="5"/>
  <c r="S44" i="5"/>
  <c r="W233" i="5"/>
  <c r="X233" i="5"/>
  <c r="X275" i="5"/>
  <c r="W275" i="5"/>
  <c r="X121" i="5"/>
  <c r="W121" i="5"/>
  <c r="W30" i="5"/>
  <c r="X30" i="5"/>
  <c r="X319" i="5"/>
  <c r="W319" i="5"/>
  <c r="W212" i="5"/>
  <c r="X212" i="5"/>
  <c r="R287" i="5"/>
  <c r="S287" i="5"/>
  <c r="S275" i="5"/>
  <c r="R275" i="5"/>
  <c r="R125" i="5"/>
  <c r="S125" i="5"/>
  <c r="S136" i="5"/>
  <c r="R136" i="5"/>
  <c r="R207" i="5"/>
  <c r="S207" i="5"/>
  <c r="S56" i="5"/>
  <c r="R56" i="5"/>
  <c r="R161" i="5"/>
  <c r="S161" i="5"/>
  <c r="S85" i="5"/>
  <c r="R85" i="5"/>
  <c r="R108" i="5"/>
  <c r="S108" i="5"/>
  <c r="W52" i="5"/>
  <c r="X52" i="5"/>
  <c r="R174" i="5"/>
  <c r="S174" i="5"/>
  <c r="R240" i="5"/>
  <c r="S240" i="5"/>
  <c r="S31" i="5"/>
  <c r="R31" i="5"/>
  <c r="R94" i="5"/>
  <c r="S94" i="5"/>
  <c r="S29" i="5"/>
  <c r="R29" i="5"/>
  <c r="X296" i="5"/>
  <c r="W296" i="5"/>
  <c r="R252" i="5"/>
  <c r="S252" i="5"/>
  <c r="X251" i="5"/>
  <c r="W251" i="5"/>
  <c r="R186" i="5"/>
  <c r="S186" i="5"/>
  <c r="X205" i="5"/>
  <c r="W205" i="5"/>
  <c r="S296" i="5"/>
  <c r="R296" i="5"/>
  <c r="S196" i="5"/>
  <c r="R196" i="5"/>
  <c r="R200" i="5"/>
  <c r="S200" i="5"/>
  <c r="S197" i="5"/>
  <c r="R197" i="5"/>
  <c r="S263" i="5"/>
  <c r="R263" i="5"/>
  <c r="R303" i="5"/>
  <c r="S303" i="5"/>
  <c r="S305" i="5"/>
  <c r="R305" i="5"/>
  <c r="W88" i="5"/>
  <c r="X88" i="5"/>
  <c r="X234" i="5"/>
  <c r="W234" i="5"/>
  <c r="X93" i="5"/>
  <c r="W93" i="5"/>
  <c r="X78" i="5"/>
  <c r="W78" i="5"/>
  <c r="W312" i="5"/>
  <c r="X312" i="5"/>
  <c r="W277" i="5"/>
  <c r="X277" i="5"/>
  <c r="W95" i="5"/>
  <c r="X95" i="5"/>
  <c r="X190" i="5"/>
  <c r="W190" i="5"/>
  <c r="X141" i="5"/>
  <c r="W141" i="5"/>
  <c r="X35" i="5"/>
  <c r="W35" i="5"/>
  <c r="X160" i="5"/>
  <c r="W160" i="5"/>
  <c r="W116" i="5"/>
  <c r="X116" i="5"/>
  <c r="X42" i="5"/>
  <c r="W42" i="5"/>
  <c r="X293" i="5"/>
  <c r="W293" i="5"/>
  <c r="W171" i="5"/>
  <c r="X171" i="5"/>
  <c r="W67" i="5"/>
  <c r="X67" i="5"/>
  <c r="X309" i="5"/>
  <c r="W309" i="5"/>
  <c r="X260" i="5"/>
  <c r="W260" i="5"/>
  <c r="S289" i="5"/>
  <c r="R289" i="5"/>
  <c r="S291" i="5"/>
  <c r="R291" i="5"/>
  <c r="AS24" i="5"/>
  <c r="G23" i="5"/>
  <c r="S123" i="5"/>
  <c r="R123" i="5"/>
  <c r="S114" i="5"/>
  <c r="R114" i="5"/>
  <c r="R231" i="5"/>
  <c r="S231" i="5"/>
  <c r="R224" i="5"/>
  <c r="S224" i="5"/>
  <c r="S65" i="5"/>
  <c r="R65" i="5"/>
  <c r="S155" i="5"/>
  <c r="R155" i="5"/>
  <c r="R169" i="5"/>
  <c r="S169" i="5"/>
  <c r="R92" i="5"/>
  <c r="S92" i="5"/>
  <c r="S109" i="5"/>
  <c r="R109" i="5"/>
  <c r="AJ90" i="2"/>
  <c r="AJ41" i="2"/>
  <c r="AJ97" i="2"/>
  <c r="AJ69" i="2"/>
  <c r="AJ62" i="2"/>
  <c r="E26" i="4"/>
  <c r="Y27" i="4"/>
  <c r="G24" i="4"/>
  <c r="Z25" i="4"/>
  <c r="AJ55" i="2"/>
  <c r="AJ48" i="2"/>
  <c r="AJ76" i="2"/>
  <c r="AJ27" i="2"/>
  <c r="AJ83" i="2"/>
  <c r="Z26" i="7" l="1"/>
  <c r="G25" i="7"/>
  <c r="Y26" i="7"/>
  <c r="E25" i="7"/>
  <c r="N380" i="5"/>
  <c r="M380" i="5"/>
  <c r="N332" i="5"/>
  <c r="M332" i="5"/>
  <c r="M367" i="5"/>
  <c r="N367" i="5"/>
  <c r="N357" i="5"/>
  <c r="M357" i="5"/>
  <c r="M335" i="5"/>
  <c r="N335" i="5"/>
  <c r="N344" i="5"/>
  <c r="M344" i="5"/>
  <c r="N340" i="5"/>
  <c r="M340" i="5"/>
  <c r="M377" i="5"/>
  <c r="N377" i="5"/>
  <c r="N365" i="5"/>
  <c r="M365" i="5"/>
  <c r="N349" i="5"/>
  <c r="M349" i="5"/>
  <c r="N371" i="5"/>
  <c r="M371" i="5"/>
  <c r="N373" i="5"/>
  <c r="M373" i="5"/>
  <c r="M342" i="5"/>
  <c r="N342" i="5"/>
  <c r="N370" i="5"/>
  <c r="M370" i="5"/>
  <c r="N381" i="5"/>
  <c r="M381" i="5"/>
  <c r="M337" i="5"/>
  <c r="N337" i="5"/>
  <c r="M359" i="5"/>
  <c r="N359" i="5"/>
  <c r="M343" i="5"/>
  <c r="N343" i="5"/>
  <c r="N363" i="5"/>
  <c r="M363" i="5"/>
  <c r="M366" i="5"/>
  <c r="N366" i="5"/>
  <c r="N353" i="5"/>
  <c r="M353" i="5"/>
  <c r="N339" i="5"/>
  <c r="M339" i="5"/>
  <c r="M375" i="5"/>
  <c r="N375" i="5"/>
  <c r="M374" i="5"/>
  <c r="N374" i="5"/>
  <c r="N345" i="5"/>
  <c r="M345" i="5"/>
  <c r="N336" i="5"/>
  <c r="M336" i="5"/>
  <c r="AS25" i="5"/>
  <c r="G24" i="5"/>
  <c r="N330" i="5"/>
  <c r="M330" i="5"/>
  <c r="N368" i="5"/>
  <c r="M368" i="5"/>
  <c r="N382" i="5"/>
  <c r="M382" i="5"/>
  <c r="N352" i="5"/>
  <c r="M352" i="5"/>
  <c r="N331" i="5"/>
  <c r="M331" i="5"/>
  <c r="N338" i="5"/>
  <c r="M338" i="5"/>
  <c r="N379" i="5"/>
  <c r="M379" i="5"/>
  <c r="M351" i="5"/>
  <c r="N351" i="5"/>
  <c r="N361" i="5"/>
  <c r="M361" i="5"/>
  <c r="N346" i="5"/>
  <c r="M346" i="5"/>
  <c r="N378" i="5"/>
  <c r="M378" i="5"/>
  <c r="N372" i="5"/>
  <c r="M372" i="5"/>
  <c r="M358" i="5"/>
  <c r="N358" i="5"/>
  <c r="N329" i="5"/>
  <c r="M329" i="5"/>
  <c r="N360" i="5"/>
  <c r="M360" i="5"/>
  <c r="P350" i="5"/>
  <c r="P342" i="5"/>
  <c r="P326" i="5"/>
  <c r="P349" i="5"/>
  <c r="P333" i="5"/>
  <c r="P325" i="5"/>
  <c r="P340" i="5"/>
  <c r="P332" i="5"/>
  <c r="M325" i="5"/>
  <c r="P354" i="5"/>
  <c r="P346" i="5"/>
  <c r="P338" i="5"/>
  <c r="P330" i="5"/>
  <c r="P329" i="5"/>
  <c r="P351" i="5"/>
  <c r="P343" i="5"/>
  <c r="P339" i="5"/>
  <c r="P335" i="5"/>
  <c r="P331" i="5"/>
  <c r="P352" i="5"/>
  <c r="P344" i="5"/>
  <c r="P336" i="5"/>
  <c r="P353" i="5"/>
  <c r="P345" i="5"/>
  <c r="P337" i="5"/>
  <c r="N325" i="5"/>
  <c r="U368" i="5"/>
  <c r="U326" i="5"/>
  <c r="U381" i="5"/>
  <c r="U331" i="5"/>
  <c r="U358" i="5"/>
  <c r="U342" i="5"/>
  <c r="U350" i="5"/>
  <c r="U363" i="5"/>
  <c r="U336" i="5"/>
  <c r="U344" i="5"/>
  <c r="U356" i="5"/>
  <c r="U366" i="5"/>
  <c r="U361" i="5"/>
  <c r="U375" i="5"/>
  <c r="U339" i="5"/>
  <c r="U352" i="5"/>
  <c r="U340" i="5"/>
  <c r="U357" i="5"/>
  <c r="U379" i="5"/>
  <c r="U365" i="5"/>
  <c r="U378" i="5"/>
  <c r="U349" i="5"/>
  <c r="U338" i="5"/>
  <c r="U360" i="5"/>
  <c r="U333" i="5"/>
  <c r="U337" i="5"/>
  <c r="U329" i="5"/>
  <c r="U335" i="5"/>
  <c r="U370" i="5"/>
  <c r="U346" i="5"/>
  <c r="U377" i="5"/>
  <c r="U374" i="5"/>
  <c r="U382" i="5"/>
  <c r="U367" i="5"/>
  <c r="U364" i="5"/>
  <c r="U359" i="5"/>
  <c r="U351" i="5"/>
  <c r="U354" i="5"/>
  <c r="U332" i="5"/>
  <c r="U353" i="5"/>
  <c r="U380" i="5"/>
  <c r="U372" i="5"/>
  <c r="U343" i="5"/>
  <c r="U330" i="5"/>
  <c r="U371" i="5"/>
  <c r="U373" i="5"/>
  <c r="U325" i="5"/>
  <c r="U345" i="5"/>
  <c r="N354" i="5"/>
  <c r="M354" i="5"/>
  <c r="N356" i="5"/>
  <c r="M356" i="5"/>
  <c r="P367" i="5"/>
  <c r="P360" i="5"/>
  <c r="P371" i="5"/>
  <c r="P364" i="5"/>
  <c r="P356" i="5"/>
  <c r="P361" i="5"/>
  <c r="P370" i="5"/>
  <c r="P374" i="5"/>
  <c r="P379" i="5"/>
  <c r="P382" i="5"/>
  <c r="P359" i="5"/>
  <c r="P366" i="5"/>
  <c r="P378" i="5"/>
  <c r="P358" i="5"/>
  <c r="P381" i="5"/>
  <c r="P373" i="5"/>
  <c r="P368" i="5"/>
  <c r="P363" i="5"/>
  <c r="P375" i="5"/>
  <c r="P380" i="5"/>
  <c r="P365" i="5"/>
  <c r="P377" i="5"/>
  <c r="P357" i="5"/>
  <c r="P372" i="5"/>
  <c r="M350" i="5"/>
  <c r="N350" i="5"/>
  <c r="AA27" i="5"/>
  <c r="E26" i="5"/>
  <c r="M326" i="5"/>
  <c r="N326" i="5"/>
  <c r="N333" i="5"/>
  <c r="M333" i="5"/>
  <c r="N364" i="5"/>
  <c r="M364" i="5"/>
  <c r="Y28" i="4"/>
  <c r="E27" i="4"/>
  <c r="G25" i="4"/>
  <c r="Z26" i="4"/>
  <c r="X385" i="3"/>
  <c r="W385" i="3"/>
  <c r="V385" i="3"/>
  <c r="U385" i="3"/>
  <c r="S385" i="3"/>
  <c r="R385" i="3"/>
  <c r="Q385" i="3"/>
  <c r="P385" i="3"/>
  <c r="M385" i="3"/>
  <c r="N385" i="3"/>
  <c r="X384" i="3"/>
  <c r="W384" i="3"/>
  <c r="V384" i="3"/>
  <c r="U384" i="3"/>
  <c r="S384" i="3"/>
  <c r="R384" i="3"/>
  <c r="Q384" i="3"/>
  <c r="P384" i="3"/>
  <c r="M384" i="3"/>
  <c r="N384" i="3"/>
  <c r="X383" i="3"/>
  <c r="W383" i="3"/>
  <c r="V383" i="3"/>
  <c r="U383" i="3"/>
  <c r="S383" i="3"/>
  <c r="R383" i="3"/>
  <c r="Q383" i="3"/>
  <c r="P383" i="3"/>
  <c r="M383" i="3"/>
  <c r="N383" i="3"/>
  <c r="X382" i="3"/>
  <c r="W382" i="3"/>
  <c r="V382" i="3"/>
  <c r="U382" i="3"/>
  <c r="S382" i="3"/>
  <c r="R382" i="3"/>
  <c r="Q382" i="3"/>
  <c r="P382" i="3"/>
  <c r="M382" i="3"/>
  <c r="N382" i="3"/>
  <c r="Q381" i="3"/>
  <c r="Q380" i="3"/>
  <c r="Q379" i="3"/>
  <c r="Q378" i="3"/>
  <c r="Q377" i="3"/>
  <c r="Q376" i="3"/>
  <c r="X375" i="3"/>
  <c r="W375" i="3"/>
  <c r="V375" i="3"/>
  <c r="U375" i="3"/>
  <c r="S375" i="3"/>
  <c r="R375" i="3"/>
  <c r="Q375" i="3"/>
  <c r="P375" i="3"/>
  <c r="M375" i="3"/>
  <c r="N375" i="3"/>
  <c r="Q374" i="3"/>
  <c r="Q373" i="3"/>
  <c r="Q372" i="3"/>
  <c r="Q371" i="3"/>
  <c r="Q370" i="3"/>
  <c r="Q369" i="3"/>
  <c r="X368" i="3"/>
  <c r="W368" i="3"/>
  <c r="V368" i="3"/>
  <c r="U368" i="3"/>
  <c r="S368" i="3"/>
  <c r="R368" i="3"/>
  <c r="Q368" i="3"/>
  <c r="P368" i="3"/>
  <c r="M368" i="3"/>
  <c r="N368" i="3"/>
  <c r="Q367" i="3"/>
  <c r="Q366" i="3"/>
  <c r="Q365" i="3"/>
  <c r="Q364" i="3"/>
  <c r="Q363" i="3"/>
  <c r="Q362" i="3"/>
  <c r="X361" i="3"/>
  <c r="W361" i="3"/>
  <c r="V361" i="3"/>
  <c r="U361" i="3"/>
  <c r="S361" i="3"/>
  <c r="R361" i="3"/>
  <c r="Q361" i="3"/>
  <c r="P361" i="3"/>
  <c r="M361" i="3"/>
  <c r="N361" i="3"/>
  <c r="Q360" i="3"/>
  <c r="Q359" i="3"/>
  <c r="Q358" i="3"/>
  <c r="Q357" i="3"/>
  <c r="Q356" i="3"/>
  <c r="Q355" i="3"/>
  <c r="X354" i="3"/>
  <c r="W354" i="3"/>
  <c r="V354" i="3"/>
  <c r="U354" i="3"/>
  <c r="S354" i="3"/>
  <c r="R354" i="3"/>
  <c r="Q354" i="3"/>
  <c r="P354" i="3"/>
  <c r="M354" i="3"/>
  <c r="N354" i="3"/>
  <c r="Q353" i="3"/>
  <c r="Q352" i="3"/>
  <c r="Q351" i="3"/>
  <c r="Q350" i="3"/>
  <c r="Q349" i="3"/>
  <c r="X348" i="3"/>
  <c r="W348" i="3"/>
  <c r="V348" i="3"/>
  <c r="U348" i="3"/>
  <c r="S348" i="3"/>
  <c r="R348" i="3"/>
  <c r="Q348" i="3"/>
  <c r="P348" i="3"/>
  <c r="M348" i="3"/>
  <c r="N348" i="3"/>
  <c r="X347" i="3"/>
  <c r="W347" i="3"/>
  <c r="V347" i="3"/>
  <c r="U347" i="3"/>
  <c r="S347" i="3"/>
  <c r="R347" i="3"/>
  <c r="Q347" i="3"/>
  <c r="P347" i="3"/>
  <c r="M347" i="3"/>
  <c r="N347" i="3"/>
  <c r="Q346" i="3"/>
  <c r="Q345" i="3"/>
  <c r="Q344" i="3"/>
  <c r="Q343" i="3"/>
  <c r="Q342" i="3"/>
  <c r="Q341" i="3"/>
  <c r="X340" i="3"/>
  <c r="W340" i="3"/>
  <c r="V340" i="3"/>
  <c r="U340" i="3"/>
  <c r="S340" i="3"/>
  <c r="R340" i="3"/>
  <c r="Q340" i="3"/>
  <c r="P340" i="3"/>
  <c r="M340" i="3"/>
  <c r="N340" i="3"/>
  <c r="Q339" i="3"/>
  <c r="Q338" i="3"/>
  <c r="Q337" i="3"/>
  <c r="Q336" i="3"/>
  <c r="Q335" i="3"/>
  <c r="Q334" i="3"/>
  <c r="X333" i="3"/>
  <c r="W333" i="3"/>
  <c r="V333" i="3"/>
  <c r="U333" i="3"/>
  <c r="S333" i="3"/>
  <c r="R333" i="3"/>
  <c r="Q333" i="3"/>
  <c r="P333" i="3"/>
  <c r="M333" i="3"/>
  <c r="N333" i="3"/>
  <c r="Q332" i="3"/>
  <c r="Q331" i="3"/>
  <c r="Q330" i="3"/>
  <c r="Q329" i="3"/>
  <c r="Q328" i="3"/>
  <c r="X327" i="3"/>
  <c r="W327" i="3"/>
  <c r="V327" i="3"/>
  <c r="U327" i="3"/>
  <c r="S327" i="3"/>
  <c r="R327" i="3"/>
  <c r="Q327" i="3"/>
  <c r="P327" i="3"/>
  <c r="M327" i="3"/>
  <c r="N327" i="3"/>
  <c r="X326" i="3"/>
  <c r="W326" i="3"/>
  <c r="V326" i="3"/>
  <c r="U326" i="3"/>
  <c r="S326" i="3"/>
  <c r="R326" i="3"/>
  <c r="Q326" i="3"/>
  <c r="P326" i="3"/>
  <c r="M326" i="3"/>
  <c r="N326" i="3"/>
  <c r="Q325" i="3"/>
  <c r="Q324" i="3"/>
  <c r="Q323" i="3"/>
  <c r="Q322" i="3"/>
  <c r="Q321" i="3"/>
  <c r="Q320" i="3"/>
  <c r="X319" i="3"/>
  <c r="W319" i="3"/>
  <c r="V319" i="3"/>
  <c r="U319" i="3"/>
  <c r="S319" i="3"/>
  <c r="R319" i="3"/>
  <c r="Q319" i="3"/>
  <c r="P319" i="3"/>
  <c r="M319" i="3"/>
  <c r="N319" i="3"/>
  <c r="Q318" i="3"/>
  <c r="Q317" i="3"/>
  <c r="Q316" i="3"/>
  <c r="Q315" i="3"/>
  <c r="Q314" i="3"/>
  <c r="Q313" i="3"/>
  <c r="X312" i="3"/>
  <c r="W312" i="3"/>
  <c r="V312" i="3"/>
  <c r="U312" i="3"/>
  <c r="S312" i="3"/>
  <c r="R312" i="3"/>
  <c r="Q312" i="3"/>
  <c r="P312" i="3"/>
  <c r="M312" i="3"/>
  <c r="N312" i="3"/>
  <c r="Q311" i="3"/>
  <c r="Q310" i="3"/>
  <c r="Q309" i="3"/>
  <c r="Q308" i="3"/>
  <c r="Q307" i="3"/>
  <c r="X306" i="3"/>
  <c r="W306" i="3"/>
  <c r="V306" i="3"/>
  <c r="U306" i="3"/>
  <c r="S306" i="3"/>
  <c r="R306" i="3"/>
  <c r="Q306" i="3"/>
  <c r="P306" i="3"/>
  <c r="M306" i="3"/>
  <c r="N306" i="3"/>
  <c r="X305" i="3"/>
  <c r="W305" i="3"/>
  <c r="V305" i="3"/>
  <c r="U305" i="3"/>
  <c r="S305" i="3"/>
  <c r="R305" i="3"/>
  <c r="Q305" i="3"/>
  <c r="P305" i="3"/>
  <c r="M305" i="3"/>
  <c r="N305" i="3"/>
  <c r="Q304" i="3"/>
  <c r="Q303" i="3"/>
  <c r="Q302" i="3"/>
  <c r="Q301" i="3"/>
  <c r="Q300" i="3"/>
  <c r="Q299" i="3"/>
  <c r="X298" i="3"/>
  <c r="W298" i="3"/>
  <c r="V298" i="3"/>
  <c r="U298" i="3"/>
  <c r="S298" i="3"/>
  <c r="R298" i="3"/>
  <c r="Q298" i="3"/>
  <c r="P298" i="3"/>
  <c r="M298" i="3"/>
  <c r="N298" i="3"/>
  <c r="Q297" i="3"/>
  <c r="Q296" i="3"/>
  <c r="Q295" i="3"/>
  <c r="Q294" i="3"/>
  <c r="Q293" i="3"/>
  <c r="Q292" i="3"/>
  <c r="X291" i="3"/>
  <c r="W291" i="3"/>
  <c r="V291" i="3"/>
  <c r="U291" i="3"/>
  <c r="S291" i="3"/>
  <c r="R291" i="3"/>
  <c r="Q291" i="3"/>
  <c r="P291" i="3"/>
  <c r="M291" i="3"/>
  <c r="N291" i="3"/>
  <c r="Q290" i="3"/>
  <c r="Q289" i="3"/>
  <c r="Q288" i="3"/>
  <c r="Q287" i="3"/>
  <c r="X286" i="3"/>
  <c r="W286" i="3"/>
  <c r="V286" i="3"/>
  <c r="U286" i="3"/>
  <c r="S286" i="3"/>
  <c r="R286" i="3"/>
  <c r="Q286" i="3"/>
  <c r="P286" i="3"/>
  <c r="M286" i="3"/>
  <c r="N286" i="3"/>
  <c r="Q285" i="3"/>
  <c r="X284" i="3"/>
  <c r="W284" i="3"/>
  <c r="V284" i="3"/>
  <c r="U284" i="3"/>
  <c r="S284" i="3"/>
  <c r="R284" i="3"/>
  <c r="Q284" i="3"/>
  <c r="P284" i="3"/>
  <c r="M284" i="3"/>
  <c r="N284" i="3"/>
  <c r="Q283" i="3"/>
  <c r="Q282" i="3"/>
  <c r="Q281" i="3"/>
  <c r="Q280" i="3"/>
  <c r="Q279" i="3"/>
  <c r="X278" i="3"/>
  <c r="W278" i="3"/>
  <c r="V278" i="3"/>
  <c r="U278" i="3"/>
  <c r="S278" i="3"/>
  <c r="R278" i="3"/>
  <c r="Q278" i="3"/>
  <c r="P278" i="3"/>
  <c r="M278" i="3"/>
  <c r="N278" i="3"/>
  <c r="X277" i="3"/>
  <c r="W277" i="3"/>
  <c r="V277" i="3"/>
  <c r="U277" i="3"/>
  <c r="S277" i="3"/>
  <c r="R277" i="3"/>
  <c r="Q277" i="3"/>
  <c r="P277" i="3"/>
  <c r="M277" i="3"/>
  <c r="N277" i="3"/>
  <c r="Q276" i="3"/>
  <c r="Q275" i="3"/>
  <c r="Q274" i="3"/>
  <c r="Q273" i="3"/>
  <c r="Q272" i="3"/>
  <c r="Q271" i="3"/>
  <c r="X270" i="3"/>
  <c r="W270" i="3"/>
  <c r="V270" i="3"/>
  <c r="U270" i="3"/>
  <c r="S270" i="3"/>
  <c r="R270" i="3"/>
  <c r="Q270" i="3"/>
  <c r="P270" i="3"/>
  <c r="M270" i="3"/>
  <c r="N270" i="3"/>
  <c r="Q269" i="3"/>
  <c r="Q268" i="3"/>
  <c r="Q267" i="3"/>
  <c r="Q266" i="3"/>
  <c r="Q265" i="3"/>
  <c r="Q264" i="3"/>
  <c r="X263" i="3"/>
  <c r="W263" i="3"/>
  <c r="V263" i="3"/>
  <c r="U263" i="3"/>
  <c r="S263" i="3"/>
  <c r="R263" i="3"/>
  <c r="Q263" i="3"/>
  <c r="P263" i="3"/>
  <c r="M263" i="3"/>
  <c r="N263" i="3"/>
  <c r="Q262" i="3"/>
  <c r="Q261" i="3"/>
  <c r="Q260" i="3"/>
  <c r="Q259" i="3"/>
  <c r="Q258" i="3"/>
  <c r="Q257" i="3"/>
  <c r="X256" i="3"/>
  <c r="W256" i="3"/>
  <c r="V256" i="3"/>
  <c r="U256" i="3"/>
  <c r="S256" i="3"/>
  <c r="R256" i="3"/>
  <c r="Q256" i="3"/>
  <c r="P256" i="3"/>
  <c r="M256" i="3"/>
  <c r="N256" i="3"/>
  <c r="Q255" i="3"/>
  <c r="Q254" i="3"/>
  <c r="Q253" i="3"/>
  <c r="Q252" i="3"/>
  <c r="Q251" i="3"/>
  <c r="Q250" i="3"/>
  <c r="X249" i="3"/>
  <c r="W249" i="3"/>
  <c r="V249" i="3"/>
  <c r="U249" i="3"/>
  <c r="S249" i="3"/>
  <c r="R249" i="3"/>
  <c r="Q249" i="3"/>
  <c r="P249" i="3"/>
  <c r="M249" i="3"/>
  <c r="N249" i="3"/>
  <c r="X248" i="3"/>
  <c r="W248" i="3"/>
  <c r="V248" i="3"/>
  <c r="U248" i="3"/>
  <c r="S248" i="3"/>
  <c r="R248" i="3"/>
  <c r="Q248" i="3"/>
  <c r="P248" i="3"/>
  <c r="M248" i="3"/>
  <c r="N248" i="3"/>
  <c r="X247" i="3"/>
  <c r="W247" i="3"/>
  <c r="V247" i="3"/>
  <c r="U247" i="3"/>
  <c r="S247" i="3"/>
  <c r="R247" i="3"/>
  <c r="Q247" i="3"/>
  <c r="P247" i="3"/>
  <c r="M247" i="3"/>
  <c r="N247" i="3"/>
  <c r="X246" i="3"/>
  <c r="W246" i="3"/>
  <c r="V246" i="3"/>
  <c r="U246" i="3"/>
  <c r="S246" i="3"/>
  <c r="R246" i="3"/>
  <c r="Q246" i="3"/>
  <c r="P246" i="3"/>
  <c r="M246" i="3"/>
  <c r="N246" i="3"/>
  <c r="X245" i="3"/>
  <c r="W245" i="3"/>
  <c r="V245" i="3"/>
  <c r="U245" i="3"/>
  <c r="S245" i="3"/>
  <c r="R245" i="3"/>
  <c r="Q245" i="3"/>
  <c r="P245" i="3"/>
  <c r="M245" i="3"/>
  <c r="N245" i="3"/>
  <c r="X244" i="3"/>
  <c r="W244" i="3"/>
  <c r="V244" i="3"/>
  <c r="U244" i="3"/>
  <c r="S244" i="3"/>
  <c r="R244" i="3"/>
  <c r="Q244" i="3"/>
  <c r="P244" i="3"/>
  <c r="M244" i="3"/>
  <c r="N244" i="3"/>
  <c r="X243" i="3"/>
  <c r="W243" i="3"/>
  <c r="V243" i="3"/>
  <c r="U243" i="3"/>
  <c r="S243" i="3"/>
  <c r="R243" i="3"/>
  <c r="Q243" i="3"/>
  <c r="P243" i="3"/>
  <c r="M243" i="3"/>
  <c r="N243" i="3"/>
  <c r="X242" i="3"/>
  <c r="W242" i="3"/>
  <c r="V242" i="3"/>
  <c r="U242" i="3"/>
  <c r="S242" i="3"/>
  <c r="R242" i="3"/>
  <c r="Q242" i="3"/>
  <c r="P242" i="3"/>
  <c r="M242" i="3"/>
  <c r="N242" i="3"/>
  <c r="Q241" i="3"/>
  <c r="Q240" i="3"/>
  <c r="Q239" i="3"/>
  <c r="Q238" i="3"/>
  <c r="Q237" i="3"/>
  <c r="Q236" i="3"/>
  <c r="X235" i="3"/>
  <c r="W235" i="3"/>
  <c r="V235" i="3"/>
  <c r="U235" i="3"/>
  <c r="S235" i="3"/>
  <c r="R235" i="3"/>
  <c r="Q235" i="3"/>
  <c r="P235" i="3"/>
  <c r="M235" i="3"/>
  <c r="N235" i="3"/>
  <c r="Q234" i="3"/>
  <c r="Q233" i="3"/>
  <c r="Q232" i="3"/>
  <c r="Q231" i="3"/>
  <c r="Q230" i="3"/>
  <c r="Q229" i="3"/>
  <c r="X228" i="3"/>
  <c r="W228" i="3"/>
  <c r="V228" i="3"/>
  <c r="U228" i="3"/>
  <c r="S228" i="3"/>
  <c r="R228" i="3"/>
  <c r="Q228" i="3"/>
  <c r="P228" i="3"/>
  <c r="M228" i="3"/>
  <c r="N228" i="3"/>
  <c r="Q227" i="3"/>
  <c r="Q226" i="3"/>
  <c r="Q225" i="3"/>
  <c r="Q224" i="3"/>
  <c r="Q223" i="3"/>
  <c r="X222" i="3"/>
  <c r="W222" i="3"/>
  <c r="V222" i="3"/>
  <c r="U222" i="3"/>
  <c r="S222" i="3"/>
  <c r="R222" i="3"/>
  <c r="Q222" i="3"/>
  <c r="P222" i="3"/>
  <c r="M222" i="3"/>
  <c r="N222" i="3"/>
  <c r="X221" i="3"/>
  <c r="W221" i="3"/>
  <c r="V221" i="3"/>
  <c r="U221" i="3"/>
  <c r="S221" i="3"/>
  <c r="R221" i="3"/>
  <c r="Q221" i="3"/>
  <c r="P221" i="3"/>
  <c r="M221" i="3"/>
  <c r="N221" i="3"/>
  <c r="Q220" i="3"/>
  <c r="Q219" i="3"/>
  <c r="Q218" i="3"/>
  <c r="Q217" i="3"/>
  <c r="Q216" i="3"/>
  <c r="Q215" i="3"/>
  <c r="X214" i="3"/>
  <c r="W214" i="3"/>
  <c r="V214" i="3"/>
  <c r="U214" i="3"/>
  <c r="S214" i="3"/>
  <c r="R214" i="3"/>
  <c r="Q214" i="3"/>
  <c r="P214" i="3"/>
  <c r="M214" i="3"/>
  <c r="N214" i="3"/>
  <c r="Q213" i="3"/>
  <c r="Q212" i="3"/>
  <c r="Q211" i="3"/>
  <c r="Q210" i="3"/>
  <c r="Q209" i="3"/>
  <c r="Q208" i="3"/>
  <c r="X207" i="3"/>
  <c r="W207" i="3"/>
  <c r="V207" i="3"/>
  <c r="U207" i="3"/>
  <c r="S207" i="3"/>
  <c r="R207" i="3"/>
  <c r="Q207" i="3"/>
  <c r="P207" i="3"/>
  <c r="M207" i="3"/>
  <c r="N207" i="3"/>
  <c r="Q206" i="3"/>
  <c r="Q205" i="3"/>
  <c r="Q204" i="3"/>
  <c r="Q203" i="3"/>
  <c r="Q202" i="3"/>
  <c r="Q201" i="3"/>
  <c r="X200" i="3"/>
  <c r="W200" i="3"/>
  <c r="V200" i="3"/>
  <c r="U200" i="3"/>
  <c r="S200" i="3"/>
  <c r="R200" i="3"/>
  <c r="Q200" i="3"/>
  <c r="P200" i="3"/>
  <c r="M200" i="3"/>
  <c r="N200" i="3"/>
  <c r="Q199" i="3"/>
  <c r="Q198" i="3"/>
  <c r="Q197" i="3"/>
  <c r="Q196" i="3"/>
  <c r="Q195" i="3"/>
  <c r="Q194" i="3"/>
  <c r="X193" i="3"/>
  <c r="W193" i="3"/>
  <c r="V193" i="3"/>
  <c r="U193" i="3"/>
  <c r="S193" i="3"/>
  <c r="R193" i="3"/>
  <c r="Q193" i="3"/>
  <c r="P193" i="3"/>
  <c r="M193" i="3"/>
  <c r="N193" i="3"/>
  <c r="Q192" i="3"/>
  <c r="Q191" i="3"/>
  <c r="Q190" i="3"/>
  <c r="Q189" i="3"/>
  <c r="Q188" i="3"/>
  <c r="Q187" i="3"/>
  <c r="X186" i="3"/>
  <c r="W186" i="3"/>
  <c r="V186" i="3"/>
  <c r="U186" i="3"/>
  <c r="S186" i="3"/>
  <c r="R186" i="3"/>
  <c r="Q186" i="3"/>
  <c r="P186" i="3"/>
  <c r="M186" i="3"/>
  <c r="N186" i="3"/>
  <c r="Q185" i="3"/>
  <c r="Q184" i="3"/>
  <c r="Q183" i="3"/>
  <c r="Q182" i="3"/>
  <c r="Q181" i="3"/>
  <c r="Q180" i="3"/>
  <c r="X179" i="3"/>
  <c r="W179" i="3"/>
  <c r="V179" i="3"/>
  <c r="U179" i="3"/>
  <c r="S179" i="3"/>
  <c r="R179" i="3"/>
  <c r="Q179" i="3"/>
  <c r="P179" i="3"/>
  <c r="M179" i="3"/>
  <c r="N179" i="3"/>
  <c r="Q178" i="3"/>
  <c r="Q177" i="3"/>
  <c r="Q176" i="3"/>
  <c r="Q175" i="3"/>
  <c r="Q174" i="3"/>
  <c r="Q173" i="3"/>
  <c r="X172" i="3"/>
  <c r="W172" i="3"/>
  <c r="V172" i="3"/>
  <c r="U172" i="3"/>
  <c r="S172" i="3"/>
  <c r="R172" i="3"/>
  <c r="Q172" i="3"/>
  <c r="P172" i="3"/>
  <c r="M172" i="3"/>
  <c r="X165" i="3"/>
  <c r="W165" i="3"/>
  <c r="V165" i="3"/>
  <c r="U165" i="3"/>
  <c r="S165" i="3"/>
  <c r="R165" i="3"/>
  <c r="Q165" i="3"/>
  <c r="M165" i="3"/>
  <c r="N165" i="3"/>
  <c r="X158" i="3"/>
  <c r="W158" i="3"/>
  <c r="V158" i="3"/>
  <c r="U158" i="3"/>
  <c r="S158" i="3"/>
  <c r="R158" i="3"/>
  <c r="Q158" i="3"/>
  <c r="M158" i="3"/>
  <c r="N158" i="3"/>
  <c r="X151" i="3"/>
  <c r="W151" i="3"/>
  <c r="V151" i="3"/>
  <c r="U151" i="3"/>
  <c r="S151" i="3"/>
  <c r="R151" i="3"/>
  <c r="Q151" i="3"/>
  <c r="M151" i="3"/>
  <c r="N151" i="3"/>
  <c r="X146" i="3"/>
  <c r="W146" i="3"/>
  <c r="V146" i="3"/>
  <c r="U146" i="3"/>
  <c r="S146" i="3"/>
  <c r="R146" i="3"/>
  <c r="Q146" i="3"/>
  <c r="M146" i="3"/>
  <c r="N146" i="3"/>
  <c r="X145" i="3"/>
  <c r="W145" i="3"/>
  <c r="V145" i="3"/>
  <c r="U145" i="3"/>
  <c r="S145" i="3"/>
  <c r="R145" i="3"/>
  <c r="Q145" i="3"/>
  <c r="M145" i="3"/>
  <c r="N145" i="3"/>
  <c r="X144" i="3"/>
  <c r="W144" i="3"/>
  <c r="V144" i="3"/>
  <c r="U144" i="3"/>
  <c r="S144" i="3"/>
  <c r="R144" i="3"/>
  <c r="Q144" i="3"/>
  <c r="M144" i="3"/>
  <c r="N144" i="3"/>
  <c r="X143" i="3"/>
  <c r="W143" i="3"/>
  <c r="V143" i="3"/>
  <c r="U143" i="3"/>
  <c r="S143" i="3"/>
  <c r="R143" i="3"/>
  <c r="Q143" i="3"/>
  <c r="M143" i="3"/>
  <c r="N143" i="3"/>
  <c r="V140" i="3"/>
  <c r="Q140" i="3"/>
  <c r="S140" i="3" s="1"/>
  <c r="X139" i="3"/>
  <c r="W139" i="3"/>
  <c r="V139" i="3"/>
  <c r="U139" i="3"/>
  <c r="S139" i="3"/>
  <c r="R139" i="3"/>
  <c r="Q139" i="3"/>
  <c r="M139" i="3"/>
  <c r="N139" i="3"/>
  <c r="V138" i="3"/>
  <c r="Q138" i="3"/>
  <c r="X137" i="3"/>
  <c r="W137" i="3"/>
  <c r="V137" i="3"/>
  <c r="U137" i="3"/>
  <c r="S137" i="3"/>
  <c r="R137" i="3"/>
  <c r="Q137" i="3"/>
  <c r="M137" i="3"/>
  <c r="N137" i="3"/>
  <c r="V136" i="3"/>
  <c r="Q136" i="3"/>
  <c r="R136" i="3" s="1"/>
  <c r="V135" i="3"/>
  <c r="Q135" i="3"/>
  <c r="V134" i="3"/>
  <c r="Q134" i="3"/>
  <c r="V133" i="3"/>
  <c r="Q133" i="3"/>
  <c r="V132" i="3"/>
  <c r="Q132" i="3"/>
  <c r="V131" i="3"/>
  <c r="Q131" i="3"/>
  <c r="X130" i="3"/>
  <c r="W130" i="3"/>
  <c r="V130" i="3"/>
  <c r="U130" i="3"/>
  <c r="S130" i="3"/>
  <c r="R130" i="3"/>
  <c r="Q130" i="3"/>
  <c r="P130" i="3"/>
  <c r="M130" i="3"/>
  <c r="N130" i="3"/>
  <c r="V129" i="3"/>
  <c r="Q129" i="3"/>
  <c r="V128" i="3"/>
  <c r="Q128" i="3"/>
  <c r="V127" i="3"/>
  <c r="Q127" i="3"/>
  <c r="V126" i="3"/>
  <c r="Q126" i="3"/>
  <c r="V125" i="3"/>
  <c r="Q125" i="3"/>
  <c r="V124" i="3"/>
  <c r="Q124" i="3"/>
  <c r="X123" i="3"/>
  <c r="W123" i="3"/>
  <c r="V123" i="3"/>
  <c r="U123" i="3"/>
  <c r="S123" i="3"/>
  <c r="R123" i="3"/>
  <c r="Q123" i="3"/>
  <c r="P123" i="3"/>
  <c r="M123" i="3"/>
  <c r="N123" i="3"/>
  <c r="V122" i="3"/>
  <c r="Q122" i="3"/>
  <c r="V121" i="3"/>
  <c r="Q121" i="3"/>
  <c r="V120" i="3"/>
  <c r="Q120" i="3"/>
  <c r="V119" i="3"/>
  <c r="Q119" i="3"/>
  <c r="V118" i="3"/>
  <c r="Q118" i="3"/>
  <c r="V117" i="3"/>
  <c r="Q117" i="3"/>
  <c r="X116" i="3"/>
  <c r="W116" i="3"/>
  <c r="V116" i="3"/>
  <c r="U116" i="3"/>
  <c r="S116" i="3"/>
  <c r="R116" i="3"/>
  <c r="Q116" i="3"/>
  <c r="P116" i="3"/>
  <c r="M116" i="3"/>
  <c r="N116" i="3"/>
  <c r="V115" i="3"/>
  <c r="Q115" i="3"/>
  <c r="V114" i="3"/>
  <c r="Q114" i="3"/>
  <c r="V113" i="3"/>
  <c r="Q113" i="3"/>
  <c r="V112" i="3"/>
  <c r="Q112" i="3"/>
  <c r="V111" i="3"/>
  <c r="Q111" i="3"/>
  <c r="V110" i="3"/>
  <c r="Q110" i="3"/>
  <c r="X109" i="3"/>
  <c r="W109" i="3"/>
  <c r="V109" i="3"/>
  <c r="U109" i="3"/>
  <c r="S109" i="3"/>
  <c r="R109" i="3"/>
  <c r="Q109" i="3"/>
  <c r="P109" i="3"/>
  <c r="M109" i="3"/>
  <c r="N109" i="3"/>
  <c r="V108" i="3"/>
  <c r="Q108" i="3"/>
  <c r="V107" i="3"/>
  <c r="Q107" i="3"/>
  <c r="V106" i="3"/>
  <c r="Q106" i="3"/>
  <c r="V105" i="3"/>
  <c r="Q105" i="3"/>
  <c r="V104" i="3"/>
  <c r="Q104" i="3"/>
  <c r="V103" i="3"/>
  <c r="Q103" i="3"/>
  <c r="X102" i="3"/>
  <c r="W102" i="3"/>
  <c r="V102" i="3"/>
  <c r="U102" i="3"/>
  <c r="S102" i="3"/>
  <c r="R102" i="3"/>
  <c r="Q102" i="3"/>
  <c r="P102" i="3"/>
  <c r="M102" i="3"/>
  <c r="N102" i="3"/>
  <c r="V101" i="3"/>
  <c r="Q101" i="3"/>
  <c r="V100" i="3"/>
  <c r="Q100" i="3"/>
  <c r="X99" i="3"/>
  <c r="W99" i="3"/>
  <c r="V99" i="3"/>
  <c r="U99" i="3"/>
  <c r="S99" i="3"/>
  <c r="R99" i="3"/>
  <c r="Q99" i="3"/>
  <c r="P99" i="3"/>
  <c r="M99" i="3"/>
  <c r="N99" i="3"/>
  <c r="V98" i="3"/>
  <c r="Q98" i="3"/>
  <c r="V97" i="3"/>
  <c r="Q97" i="3"/>
  <c r="V96" i="3"/>
  <c r="Q96" i="3"/>
  <c r="X95" i="3"/>
  <c r="W95" i="3"/>
  <c r="V95" i="3"/>
  <c r="U95" i="3"/>
  <c r="S95" i="3"/>
  <c r="R95" i="3"/>
  <c r="Q95" i="3"/>
  <c r="P95" i="3"/>
  <c r="M95" i="3"/>
  <c r="N95" i="3"/>
  <c r="V94" i="3"/>
  <c r="Q94" i="3"/>
  <c r="V93" i="3"/>
  <c r="Q93" i="3"/>
  <c r="V92" i="3"/>
  <c r="Q92" i="3"/>
  <c r="V91" i="3"/>
  <c r="Q91" i="3"/>
  <c r="V90" i="3"/>
  <c r="Q90" i="3"/>
  <c r="V89" i="3"/>
  <c r="Q89" i="3"/>
  <c r="X88" i="3"/>
  <c r="W88" i="3"/>
  <c r="V88" i="3"/>
  <c r="U88" i="3"/>
  <c r="S88" i="3"/>
  <c r="R88" i="3"/>
  <c r="Q88" i="3"/>
  <c r="P88" i="3"/>
  <c r="M88" i="3"/>
  <c r="N88" i="3"/>
  <c r="V87" i="3"/>
  <c r="Q87" i="3"/>
  <c r="V86" i="3"/>
  <c r="Q86" i="3"/>
  <c r="V85" i="3"/>
  <c r="Q85" i="3"/>
  <c r="V84" i="3"/>
  <c r="Q84" i="3"/>
  <c r="V83" i="3"/>
  <c r="Q83" i="3"/>
  <c r="V82" i="3"/>
  <c r="Q82" i="3"/>
  <c r="X81" i="3"/>
  <c r="W81" i="3"/>
  <c r="V81" i="3"/>
  <c r="U81" i="3"/>
  <c r="S81" i="3"/>
  <c r="R81" i="3"/>
  <c r="Q81" i="3"/>
  <c r="P81" i="3"/>
  <c r="M81" i="3"/>
  <c r="N81" i="3"/>
  <c r="V80" i="3"/>
  <c r="Q80" i="3"/>
  <c r="V79" i="3"/>
  <c r="Q79" i="3"/>
  <c r="V78" i="3"/>
  <c r="Q78" i="3"/>
  <c r="V77" i="3"/>
  <c r="Q77" i="3"/>
  <c r="V76" i="3"/>
  <c r="Q76" i="3"/>
  <c r="X75" i="3"/>
  <c r="W75" i="3"/>
  <c r="V75" i="3"/>
  <c r="U75" i="3"/>
  <c r="S75" i="3"/>
  <c r="R75" i="3"/>
  <c r="Q75" i="3"/>
  <c r="P75" i="3"/>
  <c r="M75" i="3"/>
  <c r="N75" i="3"/>
  <c r="X74" i="3"/>
  <c r="W74" i="3"/>
  <c r="V74" i="3"/>
  <c r="U74" i="3"/>
  <c r="S74" i="3"/>
  <c r="R74" i="3"/>
  <c r="Q74" i="3"/>
  <c r="P74" i="3"/>
  <c r="M74" i="3"/>
  <c r="N74" i="3"/>
  <c r="V73" i="3"/>
  <c r="Q73" i="3"/>
  <c r="V72" i="3"/>
  <c r="Q72" i="3"/>
  <c r="V71" i="3"/>
  <c r="Q71" i="3"/>
  <c r="V70" i="3"/>
  <c r="Q70" i="3"/>
  <c r="V69" i="3"/>
  <c r="Q69" i="3"/>
  <c r="V68" i="3"/>
  <c r="Q68" i="3"/>
  <c r="X67" i="3"/>
  <c r="W67" i="3"/>
  <c r="V67" i="3"/>
  <c r="U67" i="3"/>
  <c r="S67" i="3"/>
  <c r="R67" i="3"/>
  <c r="Q67" i="3"/>
  <c r="P67" i="3"/>
  <c r="M67" i="3"/>
  <c r="N67" i="3"/>
  <c r="V66" i="3"/>
  <c r="Q66" i="3"/>
  <c r="V65" i="3"/>
  <c r="Q65" i="3"/>
  <c r="V64" i="3"/>
  <c r="Q64" i="3"/>
  <c r="V63" i="3"/>
  <c r="Q63" i="3"/>
  <c r="X62" i="3"/>
  <c r="W62" i="3"/>
  <c r="V62" i="3"/>
  <c r="U62" i="3"/>
  <c r="S62" i="3"/>
  <c r="R62" i="3"/>
  <c r="Q62" i="3"/>
  <c r="P62" i="3"/>
  <c r="M62" i="3"/>
  <c r="N62" i="3"/>
  <c r="V61" i="3"/>
  <c r="Q61" i="3"/>
  <c r="X60" i="3"/>
  <c r="W60" i="3"/>
  <c r="V60" i="3"/>
  <c r="U60" i="3"/>
  <c r="S60" i="3"/>
  <c r="R60" i="3"/>
  <c r="Q60" i="3"/>
  <c r="P60" i="3"/>
  <c r="M60" i="3"/>
  <c r="N60" i="3"/>
  <c r="V59" i="3"/>
  <c r="Q59" i="3"/>
  <c r="V58" i="3"/>
  <c r="Q58" i="3"/>
  <c r="V57" i="3"/>
  <c r="Q57" i="3"/>
  <c r="V56" i="3"/>
  <c r="Q56" i="3"/>
  <c r="V55" i="3"/>
  <c r="Q55" i="3"/>
  <c r="V54" i="3"/>
  <c r="Q54" i="3"/>
  <c r="X53" i="3"/>
  <c r="W53" i="3"/>
  <c r="V53" i="3"/>
  <c r="U53" i="3"/>
  <c r="S53" i="3"/>
  <c r="R53" i="3"/>
  <c r="Q53" i="3"/>
  <c r="P53" i="3"/>
  <c r="M53" i="3"/>
  <c r="N53" i="3"/>
  <c r="V52" i="3"/>
  <c r="Q52" i="3"/>
  <c r="V51" i="3"/>
  <c r="Q51" i="3"/>
  <c r="V50" i="3"/>
  <c r="Q50" i="3"/>
  <c r="V49" i="3"/>
  <c r="Q49" i="3"/>
  <c r="V48" i="3"/>
  <c r="Q48" i="3"/>
  <c r="V47" i="3"/>
  <c r="Q47" i="3"/>
  <c r="X46" i="3"/>
  <c r="W46" i="3"/>
  <c r="V46" i="3"/>
  <c r="U46" i="3"/>
  <c r="S46" i="3"/>
  <c r="R46" i="3"/>
  <c r="Q46" i="3"/>
  <c r="P46" i="3"/>
  <c r="M46" i="3"/>
  <c r="N46" i="3"/>
  <c r="V45" i="3"/>
  <c r="Q45" i="3"/>
  <c r="V44" i="3"/>
  <c r="Q44" i="3"/>
  <c r="V43" i="3"/>
  <c r="Q43" i="3"/>
  <c r="V42" i="3"/>
  <c r="Q42" i="3"/>
  <c r="V41" i="3"/>
  <c r="Q41" i="3"/>
  <c r="V40" i="3"/>
  <c r="Q40" i="3"/>
  <c r="X39" i="3"/>
  <c r="W39" i="3"/>
  <c r="V39" i="3"/>
  <c r="U39" i="3"/>
  <c r="S39" i="3"/>
  <c r="R39" i="3"/>
  <c r="Q39" i="3"/>
  <c r="P39" i="3"/>
  <c r="M39" i="3"/>
  <c r="N39" i="3"/>
  <c r="V38" i="3"/>
  <c r="Q38" i="3"/>
  <c r="V37" i="3"/>
  <c r="Q37" i="3"/>
  <c r="V36" i="3"/>
  <c r="Q36" i="3"/>
  <c r="V35" i="3"/>
  <c r="Q35" i="3"/>
  <c r="V34" i="3"/>
  <c r="Q34" i="3"/>
  <c r="X33" i="3"/>
  <c r="W33" i="3"/>
  <c r="V33" i="3"/>
  <c r="U33" i="3"/>
  <c r="S33" i="3"/>
  <c r="R33" i="3"/>
  <c r="Q33" i="3"/>
  <c r="P33" i="3"/>
  <c r="M33" i="3"/>
  <c r="N33" i="3"/>
  <c r="X32" i="3"/>
  <c r="W32" i="3"/>
  <c r="V32" i="3"/>
  <c r="U32" i="3"/>
  <c r="S32" i="3"/>
  <c r="R32" i="3"/>
  <c r="Q32" i="3"/>
  <c r="P32" i="3"/>
  <c r="M32" i="3"/>
  <c r="N32" i="3"/>
  <c r="V31" i="3"/>
  <c r="Q31" i="3"/>
  <c r="V30" i="3"/>
  <c r="Q30" i="3"/>
  <c r="V29" i="3"/>
  <c r="Q29" i="3"/>
  <c r="V28" i="3"/>
  <c r="Q28" i="3"/>
  <c r="V27" i="3"/>
  <c r="Q27" i="3"/>
  <c r="V26" i="3"/>
  <c r="Q26" i="3"/>
  <c r="X25" i="3"/>
  <c r="W25" i="3"/>
  <c r="V25" i="3"/>
  <c r="U25" i="3"/>
  <c r="S25" i="3"/>
  <c r="R25" i="3"/>
  <c r="Q25" i="3"/>
  <c r="P25" i="3"/>
  <c r="M25" i="3"/>
  <c r="X24" i="3"/>
  <c r="W24" i="3"/>
  <c r="V24" i="3"/>
  <c r="U24" i="3"/>
  <c r="S24" i="3"/>
  <c r="R24" i="3"/>
  <c r="Q24" i="3"/>
  <c r="P24" i="3"/>
  <c r="M24" i="3"/>
  <c r="N24" i="3"/>
  <c r="X23" i="3"/>
  <c r="W23" i="3"/>
  <c r="V23" i="3"/>
  <c r="U23" i="3"/>
  <c r="S23" i="3"/>
  <c r="R23" i="3"/>
  <c r="Q23" i="3"/>
  <c r="P23" i="3"/>
  <c r="M23" i="3"/>
  <c r="N23" i="3"/>
  <c r="X22" i="3"/>
  <c r="W22" i="3"/>
  <c r="V22" i="3"/>
  <c r="U22" i="3"/>
  <c r="S22" i="3"/>
  <c r="R22" i="3"/>
  <c r="Q22" i="3"/>
  <c r="P22" i="3"/>
  <c r="M22" i="3"/>
  <c r="N22" i="3"/>
  <c r="Z21" i="3"/>
  <c r="G21" i="3" s="1"/>
  <c r="Y21" i="3"/>
  <c r="X21" i="3"/>
  <c r="W21" i="3"/>
  <c r="V21" i="3"/>
  <c r="U21" i="3"/>
  <c r="S21" i="3"/>
  <c r="R21" i="3"/>
  <c r="Q21" i="3"/>
  <c r="P21" i="3"/>
  <c r="M21" i="3"/>
  <c r="F21" i="3"/>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F59" i="3" s="1"/>
  <c r="F60" i="3" s="1"/>
  <c r="F61" i="3" s="1"/>
  <c r="F62" i="3" s="1"/>
  <c r="F63" i="3" s="1"/>
  <c r="F64" i="3" s="1"/>
  <c r="F65" i="3" s="1"/>
  <c r="F66" i="3" s="1"/>
  <c r="F67" i="3" s="1"/>
  <c r="F68" i="3" s="1"/>
  <c r="F69" i="3" s="1"/>
  <c r="F70" i="3" s="1"/>
  <c r="F71" i="3" s="1"/>
  <c r="F72" i="3" s="1"/>
  <c r="F73" i="3" s="1"/>
  <c r="F74" i="3" s="1"/>
  <c r="F75" i="3" s="1"/>
  <c r="F76" i="3" s="1"/>
  <c r="F77" i="3" s="1"/>
  <c r="F78" i="3" s="1"/>
  <c r="F79" i="3" s="1"/>
  <c r="F80" i="3" s="1"/>
  <c r="F81" i="3" s="1"/>
  <c r="F82" i="3" s="1"/>
  <c r="F83" i="3" s="1"/>
  <c r="F84" i="3" s="1"/>
  <c r="F85" i="3" s="1"/>
  <c r="F86" i="3" s="1"/>
  <c r="F87" i="3" s="1"/>
  <c r="F88" i="3" s="1"/>
  <c r="F89" i="3" s="1"/>
  <c r="F90" i="3" s="1"/>
  <c r="F91" i="3" s="1"/>
  <c r="F92" i="3" s="1"/>
  <c r="F93" i="3" s="1"/>
  <c r="F94" i="3" s="1"/>
  <c r="F95" i="3" s="1"/>
  <c r="F96" i="3" s="1"/>
  <c r="F97" i="3" s="1"/>
  <c r="F98" i="3" s="1"/>
  <c r="F99" i="3" s="1"/>
  <c r="F100" i="3" s="1"/>
  <c r="F101" i="3" s="1"/>
  <c r="F102" i="3" s="1"/>
  <c r="F103" i="3" s="1"/>
  <c r="F104" i="3" s="1"/>
  <c r="F105" i="3" s="1"/>
  <c r="F106" i="3" s="1"/>
  <c r="F107" i="3" s="1"/>
  <c r="F108" i="3" s="1"/>
  <c r="F109" i="3" s="1"/>
  <c r="F110" i="3" s="1"/>
  <c r="F111" i="3" s="1"/>
  <c r="F112" i="3" s="1"/>
  <c r="F113" i="3" s="1"/>
  <c r="F114" i="3" s="1"/>
  <c r="F115" i="3" s="1"/>
  <c r="F116" i="3" s="1"/>
  <c r="F117" i="3" s="1"/>
  <c r="F118" i="3" s="1"/>
  <c r="F119" i="3" s="1"/>
  <c r="F120" i="3" s="1"/>
  <c r="F121" i="3" s="1"/>
  <c r="F122" i="3" s="1"/>
  <c r="F123" i="3" s="1"/>
  <c r="F124" i="3" s="1"/>
  <c r="F125" i="3" s="1"/>
  <c r="F126" i="3" s="1"/>
  <c r="F127" i="3" s="1"/>
  <c r="F128" i="3" s="1"/>
  <c r="F129" i="3" s="1"/>
  <c r="F130" i="3" s="1"/>
  <c r="F131" i="3" s="1"/>
  <c r="F132" i="3" s="1"/>
  <c r="F133" i="3" s="1"/>
  <c r="F134" i="3" s="1"/>
  <c r="F135" i="3" s="1"/>
  <c r="F136" i="3" s="1"/>
  <c r="F137" i="3" s="1"/>
  <c r="F138" i="3" s="1"/>
  <c r="F139" i="3" s="1"/>
  <c r="F140" i="3" s="1"/>
  <c r="F141" i="3" s="1"/>
  <c r="F142" i="3" s="1"/>
  <c r="F143" i="3" s="1"/>
  <c r="F144" i="3" s="1"/>
  <c r="F145" i="3" s="1"/>
  <c r="F146" i="3" s="1"/>
  <c r="F147" i="3" s="1"/>
  <c r="F148" i="3" s="1"/>
  <c r="F149" i="3" s="1"/>
  <c r="F150" i="3" s="1"/>
  <c r="F151" i="3" s="1"/>
  <c r="F152" i="3" s="1"/>
  <c r="F153" i="3" s="1"/>
  <c r="F154" i="3" s="1"/>
  <c r="F155" i="3" s="1"/>
  <c r="F156" i="3" s="1"/>
  <c r="F157" i="3" s="1"/>
  <c r="F158" i="3" s="1"/>
  <c r="F159" i="3" s="1"/>
  <c r="F160" i="3" s="1"/>
  <c r="F161" i="3" s="1"/>
  <c r="F162" i="3" s="1"/>
  <c r="F163" i="3" s="1"/>
  <c r="F164" i="3" s="1"/>
  <c r="F165" i="3" s="1"/>
  <c r="F166" i="3" s="1"/>
  <c r="F167" i="3" s="1"/>
  <c r="F168" i="3" s="1"/>
  <c r="F169" i="3" s="1"/>
  <c r="F170" i="3" s="1"/>
  <c r="F171" i="3" s="1"/>
  <c r="F172" i="3" s="1"/>
  <c r="F173" i="3" s="1"/>
  <c r="F174" i="3" s="1"/>
  <c r="F175" i="3" s="1"/>
  <c r="F176" i="3" s="1"/>
  <c r="F177" i="3" s="1"/>
  <c r="F178" i="3" s="1"/>
  <c r="F179" i="3" s="1"/>
  <c r="F180" i="3" s="1"/>
  <c r="F181" i="3" s="1"/>
  <c r="F182" i="3" s="1"/>
  <c r="F183" i="3" s="1"/>
  <c r="F184" i="3" s="1"/>
  <c r="F185" i="3" s="1"/>
  <c r="F186" i="3" s="1"/>
  <c r="F187" i="3" s="1"/>
  <c r="F188" i="3" s="1"/>
  <c r="F189" i="3" s="1"/>
  <c r="F190" i="3" s="1"/>
  <c r="F191" i="3" s="1"/>
  <c r="F192" i="3" s="1"/>
  <c r="F193" i="3" s="1"/>
  <c r="F194" i="3" s="1"/>
  <c r="F195" i="3" s="1"/>
  <c r="F196" i="3" s="1"/>
  <c r="F197" i="3" s="1"/>
  <c r="F198" i="3" s="1"/>
  <c r="F199" i="3" s="1"/>
  <c r="F200" i="3" s="1"/>
  <c r="F201" i="3" s="1"/>
  <c r="F202" i="3" s="1"/>
  <c r="F203" i="3" s="1"/>
  <c r="F204" i="3" s="1"/>
  <c r="F205" i="3" s="1"/>
  <c r="F206" i="3" s="1"/>
  <c r="F207" i="3" s="1"/>
  <c r="F208" i="3" s="1"/>
  <c r="F209" i="3" s="1"/>
  <c r="F210" i="3" s="1"/>
  <c r="F211" i="3" s="1"/>
  <c r="F212" i="3" s="1"/>
  <c r="F213" i="3" s="1"/>
  <c r="F214" i="3" s="1"/>
  <c r="F215" i="3" s="1"/>
  <c r="F216" i="3" s="1"/>
  <c r="F217" i="3" s="1"/>
  <c r="F218" i="3" s="1"/>
  <c r="F219" i="3" s="1"/>
  <c r="F220" i="3" s="1"/>
  <c r="F221" i="3" s="1"/>
  <c r="F222" i="3" s="1"/>
  <c r="F223" i="3" s="1"/>
  <c r="F224" i="3" s="1"/>
  <c r="F225" i="3" s="1"/>
  <c r="F226" i="3" s="1"/>
  <c r="F227" i="3" s="1"/>
  <c r="F228" i="3" s="1"/>
  <c r="F229" i="3" s="1"/>
  <c r="F230" i="3" s="1"/>
  <c r="F231" i="3" s="1"/>
  <c r="F232" i="3" s="1"/>
  <c r="F233" i="3" s="1"/>
  <c r="F234" i="3" s="1"/>
  <c r="F235" i="3" s="1"/>
  <c r="F236" i="3" s="1"/>
  <c r="F237" i="3" s="1"/>
  <c r="F238" i="3" s="1"/>
  <c r="F239" i="3" s="1"/>
  <c r="F240" i="3" s="1"/>
  <c r="F241" i="3" s="1"/>
  <c r="F242" i="3" s="1"/>
  <c r="F243" i="3" s="1"/>
  <c r="F244" i="3" s="1"/>
  <c r="F245" i="3" s="1"/>
  <c r="F246" i="3" s="1"/>
  <c r="F247" i="3" s="1"/>
  <c r="F248" i="3" s="1"/>
  <c r="F249" i="3" s="1"/>
  <c r="F250" i="3" s="1"/>
  <c r="F251" i="3" s="1"/>
  <c r="F252" i="3" s="1"/>
  <c r="F253" i="3" s="1"/>
  <c r="F254" i="3" s="1"/>
  <c r="F255" i="3" s="1"/>
  <c r="F256" i="3" s="1"/>
  <c r="F257" i="3" s="1"/>
  <c r="F258" i="3" s="1"/>
  <c r="F259" i="3" s="1"/>
  <c r="F260" i="3" s="1"/>
  <c r="F261" i="3" s="1"/>
  <c r="F262" i="3" s="1"/>
  <c r="F263" i="3" s="1"/>
  <c r="F264" i="3" s="1"/>
  <c r="F265" i="3" s="1"/>
  <c r="F266" i="3" s="1"/>
  <c r="F267" i="3" s="1"/>
  <c r="F268" i="3" s="1"/>
  <c r="F269" i="3" s="1"/>
  <c r="F270" i="3" s="1"/>
  <c r="F271" i="3" s="1"/>
  <c r="F272" i="3" s="1"/>
  <c r="F273" i="3" s="1"/>
  <c r="F274" i="3" s="1"/>
  <c r="F275" i="3" s="1"/>
  <c r="F276" i="3" s="1"/>
  <c r="F277" i="3" s="1"/>
  <c r="F278" i="3" s="1"/>
  <c r="F279" i="3" s="1"/>
  <c r="F280" i="3" s="1"/>
  <c r="F281" i="3" s="1"/>
  <c r="F282" i="3" s="1"/>
  <c r="F283" i="3" s="1"/>
  <c r="F284" i="3" s="1"/>
  <c r="F285" i="3" s="1"/>
  <c r="F286" i="3" s="1"/>
  <c r="F287" i="3" s="1"/>
  <c r="F288" i="3" s="1"/>
  <c r="F289" i="3" s="1"/>
  <c r="F290" i="3" s="1"/>
  <c r="F291" i="3" s="1"/>
  <c r="F292" i="3" s="1"/>
  <c r="F293" i="3" s="1"/>
  <c r="F294" i="3" s="1"/>
  <c r="F295" i="3" s="1"/>
  <c r="F296" i="3" s="1"/>
  <c r="F297" i="3" s="1"/>
  <c r="F298" i="3" s="1"/>
  <c r="F299" i="3" s="1"/>
  <c r="F300" i="3" s="1"/>
  <c r="F301" i="3" s="1"/>
  <c r="F302" i="3" s="1"/>
  <c r="F303" i="3" s="1"/>
  <c r="F304" i="3" s="1"/>
  <c r="F305" i="3" s="1"/>
  <c r="F306" i="3" s="1"/>
  <c r="F307" i="3" s="1"/>
  <c r="F308" i="3" s="1"/>
  <c r="F309" i="3" s="1"/>
  <c r="F310" i="3" s="1"/>
  <c r="F311" i="3" s="1"/>
  <c r="F312" i="3" s="1"/>
  <c r="F313" i="3" s="1"/>
  <c r="F314" i="3" s="1"/>
  <c r="F315" i="3" s="1"/>
  <c r="F316" i="3" s="1"/>
  <c r="F317" i="3" s="1"/>
  <c r="F318" i="3" s="1"/>
  <c r="F319" i="3" s="1"/>
  <c r="F320" i="3" s="1"/>
  <c r="F321" i="3" s="1"/>
  <c r="F322" i="3" s="1"/>
  <c r="F323" i="3" s="1"/>
  <c r="F324" i="3" s="1"/>
  <c r="F325" i="3" s="1"/>
  <c r="F326" i="3" s="1"/>
  <c r="F327" i="3" s="1"/>
  <c r="F328" i="3" s="1"/>
  <c r="F329" i="3" s="1"/>
  <c r="F330" i="3" s="1"/>
  <c r="F331" i="3" s="1"/>
  <c r="F332" i="3" s="1"/>
  <c r="F333" i="3" s="1"/>
  <c r="F334" i="3" s="1"/>
  <c r="F335" i="3" s="1"/>
  <c r="F336" i="3" s="1"/>
  <c r="F337" i="3" s="1"/>
  <c r="F338" i="3" s="1"/>
  <c r="F339" i="3" s="1"/>
  <c r="F340" i="3" s="1"/>
  <c r="F341" i="3" s="1"/>
  <c r="F342" i="3" s="1"/>
  <c r="F343" i="3" s="1"/>
  <c r="F344" i="3" s="1"/>
  <c r="F345" i="3" s="1"/>
  <c r="F346" i="3" s="1"/>
  <c r="F347" i="3" s="1"/>
  <c r="F348" i="3" s="1"/>
  <c r="F349" i="3" s="1"/>
  <c r="F350" i="3" s="1"/>
  <c r="F351" i="3" s="1"/>
  <c r="F352" i="3" s="1"/>
  <c r="F353" i="3" s="1"/>
  <c r="F354" i="3" s="1"/>
  <c r="F355" i="3" s="1"/>
  <c r="F356" i="3" s="1"/>
  <c r="F357" i="3" s="1"/>
  <c r="F358" i="3" s="1"/>
  <c r="F359" i="3" s="1"/>
  <c r="F360" i="3" s="1"/>
  <c r="F361" i="3" s="1"/>
  <c r="F362" i="3" s="1"/>
  <c r="F363" i="3" s="1"/>
  <c r="F364" i="3" s="1"/>
  <c r="F365" i="3" s="1"/>
  <c r="F366" i="3" s="1"/>
  <c r="F367" i="3" s="1"/>
  <c r="F368" i="3" s="1"/>
  <c r="F369" i="3" s="1"/>
  <c r="F370" i="3" s="1"/>
  <c r="F371" i="3" s="1"/>
  <c r="F372" i="3" s="1"/>
  <c r="F373" i="3" s="1"/>
  <c r="F374" i="3" s="1"/>
  <c r="F375" i="3" s="1"/>
  <c r="F376" i="3" s="1"/>
  <c r="F377" i="3" s="1"/>
  <c r="F378" i="3" s="1"/>
  <c r="F379" i="3" s="1"/>
  <c r="F380" i="3" s="1"/>
  <c r="F381" i="3" s="1"/>
  <c r="F382" i="3" s="1"/>
  <c r="F383" i="3" s="1"/>
  <c r="F384" i="3" s="1"/>
  <c r="F385" i="3" s="1"/>
  <c r="AK18" i="3"/>
  <c r="M18" i="3"/>
  <c r="F18" i="3"/>
  <c r="AK17" i="3"/>
  <c r="M17" i="3"/>
  <c r="F17" i="3"/>
  <c r="AK16" i="3"/>
  <c r="M16" i="3"/>
  <c r="F16" i="3"/>
  <c r="AK15" i="3"/>
  <c r="M15" i="3"/>
  <c r="F15" i="3"/>
  <c r="AK14" i="3"/>
  <c r="M14" i="3"/>
  <c r="F14" i="3"/>
  <c r="AK13" i="3"/>
  <c r="M13" i="3"/>
  <c r="F13" i="3"/>
  <c r="AK12" i="3"/>
  <c r="M12" i="3"/>
  <c r="F12" i="3"/>
  <c r="AK11" i="3"/>
  <c r="F11" i="3"/>
  <c r="AK10" i="3"/>
  <c r="M10" i="3"/>
  <c r="F10" i="3"/>
  <c r="AK9" i="3"/>
  <c r="M9" i="3"/>
  <c r="F9" i="3"/>
  <c r="AK8" i="3"/>
  <c r="M8" i="3"/>
  <c r="F8" i="3"/>
  <c r="AK7" i="3"/>
  <c r="M7" i="3"/>
  <c r="F7" i="3"/>
  <c r="D3" i="1"/>
  <c r="I67" i="1"/>
  <c r="I68" i="1"/>
  <c r="I69" i="1"/>
  <c r="I70" i="1"/>
  <c r="I71" i="1"/>
  <c r="I72" i="1"/>
  <c r="I73" i="1"/>
  <c r="I74" i="1"/>
  <c r="I75" i="1"/>
  <c r="I76" i="1"/>
  <c r="I77" i="1"/>
  <c r="I78" i="1"/>
  <c r="I79" i="1"/>
  <c r="I80" i="1"/>
  <c r="I55" i="1"/>
  <c r="I59" i="1"/>
  <c r="I60" i="1"/>
  <c r="I61" i="1"/>
  <c r="I62" i="1"/>
  <c r="I63" i="1"/>
  <c r="K63" i="1" s="1"/>
  <c r="I64" i="1"/>
  <c r="I65" i="1"/>
  <c r="I66" i="1"/>
  <c r="H60" i="1"/>
  <c r="H61" i="1"/>
  <c r="H62" i="1"/>
  <c r="H63" i="1"/>
  <c r="H64" i="1"/>
  <c r="H65" i="1"/>
  <c r="H66" i="1"/>
  <c r="H67" i="1"/>
  <c r="H68" i="1"/>
  <c r="H69" i="1"/>
  <c r="H70" i="1"/>
  <c r="H71" i="1"/>
  <c r="H72" i="1"/>
  <c r="H73" i="1"/>
  <c r="H74" i="1"/>
  <c r="H75" i="1"/>
  <c r="H76" i="1"/>
  <c r="H77" i="1"/>
  <c r="H78" i="1"/>
  <c r="H79" i="1"/>
  <c r="H80" i="1"/>
  <c r="H55" i="1"/>
  <c r="H56" i="1" s="1"/>
  <c r="H57" i="1" s="1"/>
  <c r="H58" i="1" s="1"/>
  <c r="H59" i="1"/>
  <c r="H50" i="1"/>
  <c r="H51" i="1" s="1"/>
  <c r="Z27" i="7" l="1"/>
  <c r="G26" i="7"/>
  <c r="Y27" i="7"/>
  <c r="E26" i="7"/>
  <c r="S358" i="5"/>
  <c r="R358" i="5"/>
  <c r="X367" i="5"/>
  <c r="W367" i="5"/>
  <c r="X357" i="5"/>
  <c r="W357" i="5"/>
  <c r="X326" i="5"/>
  <c r="W326" i="5"/>
  <c r="S338" i="5"/>
  <c r="R338" i="5"/>
  <c r="S378" i="5"/>
  <c r="R378" i="5"/>
  <c r="W382" i="5"/>
  <c r="X382" i="5"/>
  <c r="W340" i="5"/>
  <c r="X340" i="5"/>
  <c r="X368" i="5"/>
  <c r="W368" i="5"/>
  <c r="R346" i="5"/>
  <c r="S346" i="5"/>
  <c r="W345" i="5"/>
  <c r="X345" i="5"/>
  <c r="X374" i="5"/>
  <c r="W374" i="5"/>
  <c r="X352" i="5"/>
  <c r="W352" i="5"/>
  <c r="S354" i="5"/>
  <c r="R354" i="5"/>
  <c r="W325" i="5"/>
  <c r="X325" i="5"/>
  <c r="X339" i="5"/>
  <c r="W339" i="5"/>
  <c r="S337" i="5"/>
  <c r="R337" i="5"/>
  <c r="W377" i="5"/>
  <c r="X377" i="5"/>
  <c r="S382" i="5"/>
  <c r="R382" i="5"/>
  <c r="X373" i="5"/>
  <c r="W373" i="5"/>
  <c r="X346" i="5"/>
  <c r="W346" i="5"/>
  <c r="X375" i="5"/>
  <c r="W375" i="5"/>
  <c r="S345" i="5"/>
  <c r="R345" i="5"/>
  <c r="S332" i="5"/>
  <c r="R332" i="5"/>
  <c r="R379" i="5"/>
  <c r="S379" i="5"/>
  <c r="X371" i="5"/>
  <c r="W371" i="5"/>
  <c r="X370" i="5"/>
  <c r="W370" i="5"/>
  <c r="X361" i="5"/>
  <c r="W361" i="5"/>
  <c r="R353" i="5"/>
  <c r="S353" i="5"/>
  <c r="S340" i="5"/>
  <c r="R340" i="5"/>
  <c r="R366" i="5"/>
  <c r="S366" i="5"/>
  <c r="AA28" i="5"/>
  <c r="E27" i="5"/>
  <c r="S372" i="5"/>
  <c r="R372" i="5"/>
  <c r="R374" i="5"/>
  <c r="S374" i="5"/>
  <c r="X330" i="5"/>
  <c r="W330" i="5"/>
  <c r="W335" i="5"/>
  <c r="X335" i="5"/>
  <c r="X366" i="5"/>
  <c r="W366" i="5"/>
  <c r="R336" i="5"/>
  <c r="S336" i="5"/>
  <c r="R325" i="5"/>
  <c r="S325" i="5"/>
  <c r="S357" i="5"/>
  <c r="R357" i="5"/>
  <c r="S370" i="5"/>
  <c r="R370" i="5"/>
  <c r="X343" i="5"/>
  <c r="W343" i="5"/>
  <c r="X329" i="5"/>
  <c r="W329" i="5"/>
  <c r="W356" i="5"/>
  <c r="X356" i="5"/>
  <c r="S344" i="5"/>
  <c r="R344" i="5"/>
  <c r="S333" i="5"/>
  <c r="R333" i="5"/>
  <c r="S377" i="5"/>
  <c r="R377" i="5"/>
  <c r="R361" i="5"/>
  <c r="S361" i="5"/>
  <c r="X372" i="5"/>
  <c r="W372" i="5"/>
  <c r="X337" i="5"/>
  <c r="W337" i="5"/>
  <c r="X344" i="5"/>
  <c r="W344" i="5"/>
  <c r="S352" i="5"/>
  <c r="R352" i="5"/>
  <c r="S349" i="5"/>
  <c r="R349" i="5"/>
  <c r="R359" i="5"/>
  <c r="S359" i="5"/>
  <c r="S365" i="5"/>
  <c r="R365" i="5"/>
  <c r="S356" i="5"/>
  <c r="R356" i="5"/>
  <c r="W380" i="5"/>
  <c r="X380" i="5"/>
  <c r="W333" i="5"/>
  <c r="X333" i="5"/>
  <c r="X336" i="5"/>
  <c r="W336" i="5"/>
  <c r="S331" i="5"/>
  <c r="R331" i="5"/>
  <c r="S326" i="5"/>
  <c r="R326" i="5"/>
  <c r="X353" i="5"/>
  <c r="W353" i="5"/>
  <c r="X360" i="5"/>
  <c r="W360" i="5"/>
  <c r="X363" i="5"/>
  <c r="W363" i="5"/>
  <c r="R335" i="5"/>
  <c r="S335" i="5"/>
  <c r="S342" i="5"/>
  <c r="R342" i="5"/>
  <c r="S364" i="5"/>
  <c r="R364" i="5"/>
  <c r="R375" i="5"/>
  <c r="S375" i="5"/>
  <c r="R371" i="5"/>
  <c r="S371" i="5"/>
  <c r="X332" i="5"/>
  <c r="W332" i="5"/>
  <c r="X338" i="5"/>
  <c r="W338" i="5"/>
  <c r="X350" i="5"/>
  <c r="W350" i="5"/>
  <c r="S339" i="5"/>
  <c r="R339" i="5"/>
  <c r="R350" i="5"/>
  <c r="S350" i="5"/>
  <c r="G25" i="5"/>
  <c r="AS26" i="5"/>
  <c r="R380" i="5"/>
  <c r="S380" i="5"/>
  <c r="S363" i="5"/>
  <c r="R363" i="5"/>
  <c r="S360" i="5"/>
  <c r="R360" i="5"/>
  <c r="X354" i="5"/>
  <c r="W354" i="5"/>
  <c r="W349" i="5"/>
  <c r="X349" i="5"/>
  <c r="W342" i="5"/>
  <c r="X342" i="5"/>
  <c r="S343" i="5"/>
  <c r="R343" i="5"/>
  <c r="R368" i="5"/>
  <c r="S368" i="5"/>
  <c r="R367" i="5"/>
  <c r="S367" i="5"/>
  <c r="W351" i="5"/>
  <c r="X351" i="5"/>
  <c r="X378" i="5"/>
  <c r="W378" i="5"/>
  <c r="X358" i="5"/>
  <c r="W358" i="5"/>
  <c r="R351" i="5"/>
  <c r="S351" i="5"/>
  <c r="S373" i="5"/>
  <c r="R373" i="5"/>
  <c r="X359" i="5"/>
  <c r="W359" i="5"/>
  <c r="X365" i="5"/>
  <c r="W365" i="5"/>
  <c r="X331" i="5"/>
  <c r="W331" i="5"/>
  <c r="R329" i="5"/>
  <c r="S329" i="5"/>
  <c r="R381" i="5"/>
  <c r="S381" i="5"/>
  <c r="X364" i="5"/>
  <c r="W364" i="5"/>
  <c r="X379" i="5"/>
  <c r="W379" i="5"/>
  <c r="W381" i="5"/>
  <c r="X381" i="5"/>
  <c r="S330" i="5"/>
  <c r="R330" i="5"/>
  <c r="G26" i="4"/>
  <c r="Z27" i="4"/>
  <c r="E28" i="4"/>
  <c r="Y29" i="4"/>
  <c r="J76" i="1"/>
  <c r="J68" i="1"/>
  <c r="J75" i="1"/>
  <c r="J67" i="1"/>
  <c r="E3" i="3"/>
  <c r="B8" i="3" s="1"/>
  <c r="G10" i="3" s="1"/>
  <c r="S136" i="3"/>
  <c r="H3" i="3"/>
  <c r="I3" i="3" s="1"/>
  <c r="N25" i="3"/>
  <c r="Z22" i="3"/>
  <c r="E21" i="3"/>
  <c r="Y22" i="3"/>
  <c r="S138" i="3"/>
  <c r="R138" i="3"/>
  <c r="N21" i="3"/>
  <c r="R140" i="3"/>
  <c r="N172" i="3"/>
  <c r="J60" i="1"/>
  <c r="K74" i="1"/>
  <c r="J64" i="1"/>
  <c r="K72" i="1"/>
  <c r="K78" i="1"/>
  <c r="K70" i="1"/>
  <c r="K62" i="1"/>
  <c r="K66" i="1"/>
  <c r="K73" i="1"/>
  <c r="J65" i="1"/>
  <c r="J80" i="1"/>
  <c r="J79" i="1"/>
  <c r="K71" i="1"/>
  <c r="J77" i="1"/>
  <c r="K69" i="1"/>
  <c r="K61" i="1"/>
  <c r="J69" i="1"/>
  <c r="J62" i="1"/>
  <c r="K80" i="1"/>
  <c r="K77" i="1"/>
  <c r="J61" i="1"/>
  <c r="K59" i="1"/>
  <c r="H52" i="1"/>
  <c r="H53" i="1" s="1"/>
  <c r="H54" i="1" s="1"/>
  <c r="J78" i="1"/>
  <c r="J63" i="1"/>
  <c r="K79" i="1"/>
  <c r="J70" i="1"/>
  <c r="K68" i="1"/>
  <c r="J74" i="1"/>
  <c r="J66" i="1"/>
  <c r="K65" i="1"/>
  <c r="J73" i="1"/>
  <c r="K60" i="1"/>
  <c r="K64" i="1"/>
  <c r="K76" i="1"/>
  <c r="K75" i="1"/>
  <c r="K55" i="1"/>
  <c r="K67" i="1"/>
  <c r="J59" i="1"/>
  <c r="J72" i="1"/>
  <c r="J71" i="1"/>
  <c r="J55" i="1"/>
  <c r="Z28" i="7" l="1"/>
  <c r="G27" i="7"/>
  <c r="Y28" i="7"/>
  <c r="E27" i="7"/>
  <c r="E28" i="5"/>
  <c r="AA29" i="5"/>
  <c r="AS27" i="5"/>
  <c r="G26" i="5"/>
  <c r="E29" i="4"/>
  <c r="Y30" i="4"/>
  <c r="Z28" i="4"/>
  <c r="G27" i="4"/>
  <c r="G13" i="3"/>
  <c r="G16" i="3"/>
  <c r="I16" i="3" s="1"/>
  <c r="G18" i="3"/>
  <c r="I18" i="3" s="1"/>
  <c r="G7" i="3"/>
  <c r="I7" i="3" s="1"/>
  <c r="G14" i="3"/>
  <c r="P14" i="3" s="1"/>
  <c r="G9" i="3"/>
  <c r="I9" i="3" s="1"/>
  <c r="AG41" i="3" s="1"/>
  <c r="G17" i="3"/>
  <c r="P17" i="3" s="1"/>
  <c r="G11" i="3"/>
  <c r="G8" i="3"/>
  <c r="I8" i="3" s="1"/>
  <c r="AG34" i="3" s="1"/>
  <c r="I10" i="3"/>
  <c r="AG48" i="3" s="1"/>
  <c r="P10" i="3"/>
  <c r="G12" i="3"/>
  <c r="I12" i="3" s="1"/>
  <c r="G15" i="3"/>
  <c r="P15" i="3" s="1"/>
  <c r="K18" i="3"/>
  <c r="Y23" i="3"/>
  <c r="E22" i="3"/>
  <c r="G22" i="3"/>
  <c r="Z23" i="3"/>
  <c r="I13" i="3"/>
  <c r="P13" i="3"/>
  <c r="B50" i="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C81" i="1"/>
  <c r="Z29" i="7" l="1"/>
  <c r="G28" i="7"/>
  <c r="Y29" i="7"/>
  <c r="E28" i="7"/>
  <c r="G27" i="5"/>
  <c r="AS28" i="5"/>
  <c r="E29" i="5"/>
  <c r="AA30" i="5"/>
  <c r="Z29" i="4"/>
  <c r="G28" i="4"/>
  <c r="E30" i="4"/>
  <c r="Y31" i="4"/>
  <c r="P18" i="3"/>
  <c r="Q8" i="3"/>
  <c r="F16" i="1"/>
  <c r="F18" i="1" s="1"/>
  <c r="F20" i="1" s="1"/>
  <c r="P16" i="3"/>
  <c r="AG62" i="3"/>
  <c r="AG69" i="3"/>
  <c r="AG90" i="3"/>
  <c r="AG27" i="3"/>
  <c r="N18" i="3"/>
  <c r="AG104" i="3"/>
  <c r="N10" i="3"/>
  <c r="K7" i="3"/>
  <c r="Q18" i="3"/>
  <c r="P7" i="3"/>
  <c r="N8" i="3"/>
  <c r="N7" i="3"/>
  <c r="P9" i="3"/>
  <c r="I14" i="3"/>
  <c r="Q7" i="3"/>
  <c r="P12" i="3"/>
  <c r="I15" i="3"/>
  <c r="I17" i="3"/>
  <c r="K10" i="3"/>
  <c r="P8" i="3"/>
  <c r="K8" i="3"/>
  <c r="I11" i="3"/>
  <c r="Q10" i="3"/>
  <c r="Y24" i="3"/>
  <c r="E23" i="3"/>
  <c r="K13" i="3"/>
  <c r="Q13" i="3"/>
  <c r="N13" i="3"/>
  <c r="N12" i="3"/>
  <c r="K12" i="3"/>
  <c r="Q12" i="3"/>
  <c r="Z24" i="3"/>
  <c r="G23" i="3"/>
  <c r="K9" i="3"/>
  <c r="N9" i="3"/>
  <c r="Q9" i="3"/>
  <c r="K16" i="3"/>
  <c r="N16" i="3"/>
  <c r="Q16" i="3"/>
  <c r="Z30" i="7" l="1"/>
  <c r="G29" i="7"/>
  <c r="Y30" i="7"/>
  <c r="E29" i="7"/>
  <c r="AA31" i="5"/>
  <c r="E30" i="5"/>
  <c r="G28" i="5"/>
  <c r="AS29" i="5"/>
  <c r="Y32" i="4"/>
  <c r="E31" i="4"/>
  <c r="Z30" i="4"/>
  <c r="G29" i="4"/>
  <c r="N17" i="3"/>
  <c r="AG97" i="3"/>
  <c r="K14" i="3"/>
  <c r="C17" i="1" s="1"/>
  <c r="AG76" i="3"/>
  <c r="K15" i="3"/>
  <c r="AG83" i="3"/>
  <c r="AG55" i="3"/>
  <c r="N14" i="3"/>
  <c r="K17" i="3"/>
  <c r="Q14" i="3"/>
  <c r="Q15" i="3"/>
  <c r="N15" i="3"/>
  <c r="Q17" i="3"/>
  <c r="K11" i="3"/>
  <c r="Y25" i="3"/>
  <c r="E24" i="3"/>
  <c r="Z25" i="3"/>
  <c r="G24" i="3"/>
  <c r="G55" i="1"/>
  <c r="G62" i="1"/>
  <c r="G69" i="1"/>
  <c r="G70" i="1"/>
  <c r="G76" i="1"/>
  <c r="M3" i="2"/>
  <c r="O3" i="2" s="1"/>
  <c r="F6" i="2"/>
  <c r="M6" i="2"/>
  <c r="AP6" i="2"/>
  <c r="F7" i="2"/>
  <c r="M7" i="2"/>
  <c r="T7" i="2"/>
  <c r="AP7" i="2"/>
  <c r="F8" i="2"/>
  <c r="M8" i="2"/>
  <c r="AP8" i="2"/>
  <c r="F9" i="2"/>
  <c r="M9" i="2"/>
  <c r="AP9" i="2"/>
  <c r="F10" i="2"/>
  <c r="M10" i="2"/>
  <c r="AP10" i="2"/>
  <c r="F11" i="2"/>
  <c r="M11" i="2"/>
  <c r="V11" i="2"/>
  <c r="AP11" i="2"/>
  <c r="F12" i="2"/>
  <c r="M12" i="2"/>
  <c r="V12" i="2"/>
  <c r="AP12" i="2"/>
  <c r="F13" i="2"/>
  <c r="M13" i="2"/>
  <c r="V13" i="2"/>
  <c r="AP13" i="2"/>
  <c r="F14" i="2"/>
  <c r="M14" i="2"/>
  <c r="V14" i="2"/>
  <c r="AP14" i="2"/>
  <c r="F15" i="2"/>
  <c r="M15" i="2"/>
  <c r="V15" i="2"/>
  <c r="AP15" i="2"/>
  <c r="F16" i="2"/>
  <c r="M16" i="2"/>
  <c r="V16" i="2"/>
  <c r="AP16" i="2"/>
  <c r="F17" i="2"/>
  <c r="M17" i="2"/>
  <c r="AP17" i="2"/>
  <c r="F20" i="2"/>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F104" i="2" s="1"/>
  <c r="F105" i="2" s="1"/>
  <c r="F106" i="2" s="1"/>
  <c r="F107" i="2" s="1"/>
  <c r="F108" i="2" s="1"/>
  <c r="F109" i="2" s="1"/>
  <c r="F110" i="2" s="1"/>
  <c r="F111" i="2" s="1"/>
  <c r="F112" i="2" s="1"/>
  <c r="F113" i="2" s="1"/>
  <c r="F114" i="2" s="1"/>
  <c r="F115" i="2" s="1"/>
  <c r="F116" i="2" s="1"/>
  <c r="F117" i="2" s="1"/>
  <c r="F118" i="2" s="1"/>
  <c r="F119" i="2" s="1"/>
  <c r="F120" i="2" s="1"/>
  <c r="F121" i="2" s="1"/>
  <c r="F122" i="2" s="1"/>
  <c r="F123" i="2" s="1"/>
  <c r="F124" i="2" s="1"/>
  <c r="F125" i="2" s="1"/>
  <c r="F126" i="2" s="1"/>
  <c r="F127" i="2" s="1"/>
  <c r="F128" i="2" s="1"/>
  <c r="F129" i="2" s="1"/>
  <c r="F130" i="2" s="1"/>
  <c r="F131" i="2" s="1"/>
  <c r="F132" i="2" s="1"/>
  <c r="F133" i="2" s="1"/>
  <c r="F134" i="2" s="1"/>
  <c r="F135" i="2" s="1"/>
  <c r="F136" i="2" s="1"/>
  <c r="F137" i="2" s="1"/>
  <c r="F138" i="2" s="1"/>
  <c r="F139" i="2" s="1"/>
  <c r="F140" i="2" s="1"/>
  <c r="F141" i="2" s="1"/>
  <c r="F142" i="2" s="1"/>
  <c r="F143" i="2" s="1"/>
  <c r="F144" i="2" s="1"/>
  <c r="F145" i="2" s="1"/>
  <c r="F146" i="2" s="1"/>
  <c r="F147" i="2" s="1"/>
  <c r="F148" i="2" s="1"/>
  <c r="F149" i="2" s="1"/>
  <c r="F150" i="2" s="1"/>
  <c r="F151" i="2" s="1"/>
  <c r="F152" i="2" s="1"/>
  <c r="F153" i="2" s="1"/>
  <c r="F154" i="2" s="1"/>
  <c r="F155" i="2" s="1"/>
  <c r="F156" i="2" s="1"/>
  <c r="F157" i="2" s="1"/>
  <c r="F158" i="2" s="1"/>
  <c r="F159" i="2" s="1"/>
  <c r="F160" i="2" s="1"/>
  <c r="F161" i="2" s="1"/>
  <c r="F162" i="2" s="1"/>
  <c r="F163" i="2" s="1"/>
  <c r="F164" i="2" s="1"/>
  <c r="F165" i="2" s="1"/>
  <c r="F166" i="2" s="1"/>
  <c r="F167" i="2" s="1"/>
  <c r="F168" i="2" s="1"/>
  <c r="F169" i="2" s="1"/>
  <c r="F170" i="2" s="1"/>
  <c r="F171" i="2" s="1"/>
  <c r="F172" i="2" s="1"/>
  <c r="F173" i="2" s="1"/>
  <c r="F174" i="2" s="1"/>
  <c r="F175" i="2" s="1"/>
  <c r="F176" i="2" s="1"/>
  <c r="F177" i="2" s="1"/>
  <c r="F178" i="2" s="1"/>
  <c r="F179" i="2" s="1"/>
  <c r="F180" i="2" s="1"/>
  <c r="F181" i="2" s="1"/>
  <c r="F182" i="2" s="1"/>
  <c r="F183" i="2" s="1"/>
  <c r="F184" i="2" s="1"/>
  <c r="F185" i="2" s="1"/>
  <c r="F186" i="2" s="1"/>
  <c r="F187" i="2" s="1"/>
  <c r="F188" i="2" s="1"/>
  <c r="F189" i="2" s="1"/>
  <c r="F190" i="2" s="1"/>
  <c r="F191" i="2" s="1"/>
  <c r="F192" i="2" s="1"/>
  <c r="F193" i="2" s="1"/>
  <c r="F194" i="2" s="1"/>
  <c r="F195" i="2" s="1"/>
  <c r="F196" i="2" s="1"/>
  <c r="F197" i="2" s="1"/>
  <c r="F198" i="2" s="1"/>
  <c r="F199" i="2" s="1"/>
  <c r="F200" i="2" s="1"/>
  <c r="F201" i="2" s="1"/>
  <c r="F202" i="2" s="1"/>
  <c r="F203" i="2" s="1"/>
  <c r="F204" i="2" s="1"/>
  <c r="F205" i="2" s="1"/>
  <c r="F206" i="2" s="1"/>
  <c r="F207" i="2" s="1"/>
  <c r="F208" i="2" s="1"/>
  <c r="F209" i="2" s="1"/>
  <c r="F210" i="2" s="1"/>
  <c r="F211" i="2" s="1"/>
  <c r="F212" i="2" s="1"/>
  <c r="F213" i="2" s="1"/>
  <c r="F214" i="2" s="1"/>
  <c r="F215" i="2" s="1"/>
  <c r="F216" i="2" s="1"/>
  <c r="F217" i="2" s="1"/>
  <c r="F218" i="2" s="1"/>
  <c r="F219" i="2" s="1"/>
  <c r="F220" i="2" s="1"/>
  <c r="F221" i="2" s="1"/>
  <c r="F222" i="2" s="1"/>
  <c r="F223" i="2" s="1"/>
  <c r="F224" i="2" s="1"/>
  <c r="F225" i="2" s="1"/>
  <c r="F226" i="2" s="1"/>
  <c r="F227" i="2" s="1"/>
  <c r="F228" i="2" s="1"/>
  <c r="F229" i="2" s="1"/>
  <c r="F230" i="2" s="1"/>
  <c r="F231" i="2" s="1"/>
  <c r="F232" i="2" s="1"/>
  <c r="F233" i="2" s="1"/>
  <c r="F234" i="2" s="1"/>
  <c r="F235" i="2" s="1"/>
  <c r="F236" i="2" s="1"/>
  <c r="F237" i="2" s="1"/>
  <c r="F238" i="2" s="1"/>
  <c r="F239" i="2" s="1"/>
  <c r="F240" i="2" s="1"/>
  <c r="F241" i="2" s="1"/>
  <c r="F242" i="2" s="1"/>
  <c r="F243" i="2" s="1"/>
  <c r="F244" i="2" s="1"/>
  <c r="F245" i="2" s="1"/>
  <c r="F246" i="2" s="1"/>
  <c r="F247" i="2" s="1"/>
  <c r="F248" i="2" s="1"/>
  <c r="F249" i="2" s="1"/>
  <c r="F250" i="2" s="1"/>
  <c r="F251" i="2" s="1"/>
  <c r="F252" i="2" s="1"/>
  <c r="F253" i="2" s="1"/>
  <c r="F254" i="2" s="1"/>
  <c r="F255" i="2" s="1"/>
  <c r="F256" i="2" s="1"/>
  <c r="F257" i="2" s="1"/>
  <c r="F258" i="2" s="1"/>
  <c r="F259" i="2" s="1"/>
  <c r="F260" i="2" s="1"/>
  <c r="F261" i="2" s="1"/>
  <c r="F262" i="2" s="1"/>
  <c r="F263" i="2" s="1"/>
  <c r="F264" i="2" s="1"/>
  <c r="F265" i="2" s="1"/>
  <c r="F266" i="2" s="1"/>
  <c r="F267" i="2" s="1"/>
  <c r="F268" i="2" s="1"/>
  <c r="F269" i="2" s="1"/>
  <c r="F270" i="2" s="1"/>
  <c r="F271" i="2" s="1"/>
  <c r="F272" i="2" s="1"/>
  <c r="F273" i="2" s="1"/>
  <c r="F274" i="2" s="1"/>
  <c r="F275" i="2" s="1"/>
  <c r="F276" i="2" s="1"/>
  <c r="F277" i="2" s="1"/>
  <c r="F278" i="2" s="1"/>
  <c r="F279" i="2" s="1"/>
  <c r="F280" i="2" s="1"/>
  <c r="F281" i="2" s="1"/>
  <c r="F282" i="2" s="1"/>
  <c r="F283" i="2" s="1"/>
  <c r="F284" i="2" s="1"/>
  <c r="F285" i="2" s="1"/>
  <c r="F286" i="2" s="1"/>
  <c r="F287" i="2" s="1"/>
  <c r="F288" i="2" s="1"/>
  <c r="F289" i="2" s="1"/>
  <c r="F290" i="2" s="1"/>
  <c r="F291" i="2" s="1"/>
  <c r="F292" i="2" s="1"/>
  <c r="F293" i="2" s="1"/>
  <c r="F294" i="2" s="1"/>
  <c r="F295" i="2" s="1"/>
  <c r="F296" i="2" s="1"/>
  <c r="F297" i="2" s="1"/>
  <c r="F298" i="2" s="1"/>
  <c r="F299" i="2" s="1"/>
  <c r="F300" i="2" s="1"/>
  <c r="F301" i="2" s="1"/>
  <c r="F302" i="2" s="1"/>
  <c r="F303" i="2" s="1"/>
  <c r="F304" i="2" s="1"/>
  <c r="F305" i="2" s="1"/>
  <c r="F306" i="2" s="1"/>
  <c r="F307" i="2" s="1"/>
  <c r="F308" i="2" s="1"/>
  <c r="F309" i="2" s="1"/>
  <c r="F310" i="2" s="1"/>
  <c r="F311" i="2" s="1"/>
  <c r="F312" i="2" s="1"/>
  <c r="F313" i="2" s="1"/>
  <c r="F314" i="2" s="1"/>
  <c r="F315" i="2" s="1"/>
  <c r="F316" i="2" s="1"/>
  <c r="F317" i="2" s="1"/>
  <c r="F318" i="2" s="1"/>
  <c r="F319" i="2" s="1"/>
  <c r="F320" i="2" s="1"/>
  <c r="F321" i="2" s="1"/>
  <c r="F322" i="2" s="1"/>
  <c r="F323" i="2" s="1"/>
  <c r="F324" i="2" s="1"/>
  <c r="F325" i="2" s="1"/>
  <c r="F326" i="2" s="1"/>
  <c r="F327" i="2" s="1"/>
  <c r="F328" i="2" s="1"/>
  <c r="F329" i="2" s="1"/>
  <c r="F330" i="2" s="1"/>
  <c r="F331" i="2" s="1"/>
  <c r="F332" i="2" s="1"/>
  <c r="F333" i="2" s="1"/>
  <c r="F334" i="2" s="1"/>
  <c r="F335" i="2" s="1"/>
  <c r="F336" i="2" s="1"/>
  <c r="F337" i="2" s="1"/>
  <c r="F338" i="2" s="1"/>
  <c r="F339" i="2" s="1"/>
  <c r="F340" i="2" s="1"/>
  <c r="F341" i="2" s="1"/>
  <c r="F342" i="2" s="1"/>
  <c r="F343" i="2" s="1"/>
  <c r="F344" i="2" s="1"/>
  <c r="F345" i="2" s="1"/>
  <c r="F346" i="2" s="1"/>
  <c r="F347" i="2" s="1"/>
  <c r="F348" i="2" s="1"/>
  <c r="F349" i="2" s="1"/>
  <c r="F350" i="2" s="1"/>
  <c r="F351" i="2" s="1"/>
  <c r="F352" i="2" s="1"/>
  <c r="F353" i="2" s="1"/>
  <c r="F354" i="2" s="1"/>
  <c r="F355" i="2" s="1"/>
  <c r="F356" i="2" s="1"/>
  <c r="F357" i="2" s="1"/>
  <c r="F358" i="2" s="1"/>
  <c r="F359" i="2" s="1"/>
  <c r="F360" i="2" s="1"/>
  <c r="F361" i="2" s="1"/>
  <c r="F362" i="2" s="1"/>
  <c r="F363" i="2" s="1"/>
  <c r="F364" i="2" s="1"/>
  <c r="F365" i="2" s="1"/>
  <c r="F366" i="2" s="1"/>
  <c r="F367" i="2" s="1"/>
  <c r="F368" i="2" s="1"/>
  <c r="F369" i="2" s="1"/>
  <c r="F370" i="2" s="1"/>
  <c r="F371" i="2" s="1"/>
  <c r="F372" i="2" s="1"/>
  <c r="F373" i="2" s="1"/>
  <c r="F374" i="2" s="1"/>
  <c r="F375" i="2" s="1"/>
  <c r="F376" i="2" s="1"/>
  <c r="F377" i="2" s="1"/>
  <c r="F378" i="2" s="1"/>
  <c r="F379" i="2" s="1"/>
  <c r="F380" i="2" s="1"/>
  <c r="F381" i="2" s="1"/>
  <c r="F382" i="2" s="1"/>
  <c r="F383" i="2" s="1"/>
  <c r="F384" i="2" s="1"/>
  <c r="F385" i="2" s="1"/>
  <c r="L20" i="2"/>
  <c r="N20" i="2" s="1"/>
  <c r="M20" i="2"/>
  <c r="P20" i="2"/>
  <c r="Q20" i="2"/>
  <c r="R20" i="2"/>
  <c r="U20" i="2"/>
  <c r="V20" i="2"/>
  <c r="W20" i="2"/>
  <c r="Z20" i="2"/>
  <c r="Z21" i="2" s="1"/>
  <c r="Z22" i="2" s="1"/>
  <c r="Z23" i="2" s="1"/>
  <c r="Z24" i="2" s="1"/>
  <c r="Z25" i="2" s="1"/>
  <c r="Z26" i="2" s="1"/>
  <c r="Z27" i="2" s="1"/>
  <c r="Z28" i="2" s="1"/>
  <c r="Z29" i="2" s="1"/>
  <c r="Z30" i="2" s="1"/>
  <c r="Z31" i="2" s="1"/>
  <c r="Z32" i="2" s="1"/>
  <c r="Z33" i="2" s="1"/>
  <c r="Z34" i="2" s="1"/>
  <c r="Z35" i="2" s="1"/>
  <c r="Z36" i="2" s="1"/>
  <c r="Z37" i="2" s="1"/>
  <c r="Z38" i="2" s="1"/>
  <c r="Z39" i="2" s="1"/>
  <c r="Z40" i="2" s="1"/>
  <c r="Z41" i="2" s="1"/>
  <c r="Z42" i="2" s="1"/>
  <c r="Z43" i="2" s="1"/>
  <c r="Z44" i="2" s="1"/>
  <c r="Z45" i="2" s="1"/>
  <c r="Z46" i="2" s="1"/>
  <c r="Z47" i="2" s="1"/>
  <c r="Z48" i="2" s="1"/>
  <c r="Z49" i="2" s="1"/>
  <c r="Z50" i="2" s="1"/>
  <c r="Z51" i="2" s="1"/>
  <c r="Z52" i="2" s="1"/>
  <c r="Z53" i="2" s="1"/>
  <c r="Z54" i="2" s="1"/>
  <c r="Z55" i="2" s="1"/>
  <c r="Z56" i="2" s="1"/>
  <c r="Z57" i="2" s="1"/>
  <c r="Z58" i="2" s="1"/>
  <c r="Z59" i="2" s="1"/>
  <c r="Z60" i="2" s="1"/>
  <c r="Z61" i="2" s="1"/>
  <c r="Z62" i="2" s="1"/>
  <c r="Z63" i="2" s="1"/>
  <c r="Z64" i="2" s="1"/>
  <c r="Z65" i="2" s="1"/>
  <c r="Z66" i="2" s="1"/>
  <c r="Z67" i="2" s="1"/>
  <c r="Z68" i="2" s="1"/>
  <c r="Z69" i="2" s="1"/>
  <c r="Z70" i="2" s="1"/>
  <c r="Z71" i="2" s="1"/>
  <c r="Z72" i="2" s="1"/>
  <c r="Z73" i="2" s="1"/>
  <c r="Z74" i="2" s="1"/>
  <c r="Z75" i="2" s="1"/>
  <c r="Z76" i="2" s="1"/>
  <c r="Z77" i="2" s="1"/>
  <c r="Z78" i="2" s="1"/>
  <c r="Z79" i="2" s="1"/>
  <c r="Z80" i="2" s="1"/>
  <c r="Z81" i="2" s="1"/>
  <c r="Z82" i="2" s="1"/>
  <c r="Z83" i="2" s="1"/>
  <c r="Z84" i="2" s="1"/>
  <c r="Z85" i="2" s="1"/>
  <c r="Z86" i="2" s="1"/>
  <c r="Z87" i="2" s="1"/>
  <c r="Z88" i="2" s="1"/>
  <c r="Z89" i="2" s="1"/>
  <c r="Z90" i="2" s="1"/>
  <c r="Z91" i="2" s="1"/>
  <c r="Z92" i="2" s="1"/>
  <c r="Z93" i="2" s="1"/>
  <c r="Z94" i="2" s="1"/>
  <c r="Z95" i="2" s="1"/>
  <c r="Z96" i="2" s="1"/>
  <c r="Z97" i="2" s="1"/>
  <c r="Z98" i="2" s="1"/>
  <c r="Z99" i="2" s="1"/>
  <c r="Z100" i="2" s="1"/>
  <c r="Z101" i="2" s="1"/>
  <c r="Z102" i="2" s="1"/>
  <c r="Z103" i="2" s="1"/>
  <c r="Z104" i="2" s="1"/>
  <c r="Z105" i="2" s="1"/>
  <c r="Z106" i="2" s="1"/>
  <c r="Z107" i="2" s="1"/>
  <c r="Z108" i="2" s="1"/>
  <c r="Z109" i="2" s="1"/>
  <c r="Z110" i="2" s="1"/>
  <c r="Z111" i="2" s="1"/>
  <c r="Z112" i="2" s="1"/>
  <c r="Z113" i="2" s="1"/>
  <c r="Z114" i="2" s="1"/>
  <c r="Z115" i="2" s="1"/>
  <c r="Z116" i="2" s="1"/>
  <c r="Z117" i="2" s="1"/>
  <c r="Z118" i="2" s="1"/>
  <c r="Z119" i="2" s="1"/>
  <c r="Z120" i="2" s="1"/>
  <c r="Z121" i="2" s="1"/>
  <c r="Z122" i="2" s="1"/>
  <c r="Z123" i="2" s="1"/>
  <c r="Z124" i="2" s="1"/>
  <c r="Z125" i="2" s="1"/>
  <c r="Z126" i="2" s="1"/>
  <c r="Z127" i="2" s="1"/>
  <c r="Z128" i="2" s="1"/>
  <c r="Z129" i="2" s="1"/>
  <c r="Z130" i="2" s="1"/>
  <c r="Z131" i="2" s="1"/>
  <c r="Z132" i="2" s="1"/>
  <c r="Z133" i="2" s="1"/>
  <c r="Z134" i="2" s="1"/>
  <c r="Z135" i="2" s="1"/>
  <c r="Z136" i="2" s="1"/>
  <c r="Z137" i="2" s="1"/>
  <c r="Z138" i="2" s="1"/>
  <c r="Z139" i="2" s="1"/>
  <c r="Z140" i="2" s="1"/>
  <c r="Z141" i="2" s="1"/>
  <c r="Z142" i="2" s="1"/>
  <c r="Z143" i="2" s="1"/>
  <c r="Z144" i="2" s="1"/>
  <c r="Z145" i="2" s="1"/>
  <c r="Z146" i="2" s="1"/>
  <c r="Z147" i="2" s="1"/>
  <c r="Z148" i="2" s="1"/>
  <c r="Z149" i="2" s="1"/>
  <c r="Z150" i="2" s="1"/>
  <c r="Z151" i="2" s="1"/>
  <c r="Z152" i="2" s="1"/>
  <c r="Z153" i="2" s="1"/>
  <c r="Z154" i="2" s="1"/>
  <c r="Z155" i="2" s="1"/>
  <c r="Z156" i="2" s="1"/>
  <c r="Z157" i="2" s="1"/>
  <c r="Z158" i="2" s="1"/>
  <c r="Z159" i="2" s="1"/>
  <c r="Z160" i="2" s="1"/>
  <c r="Z161" i="2" s="1"/>
  <c r="Z162" i="2" s="1"/>
  <c r="Z163" i="2" s="1"/>
  <c r="Z164" i="2" s="1"/>
  <c r="Z165" i="2" s="1"/>
  <c r="Z166" i="2" s="1"/>
  <c r="Z167" i="2" s="1"/>
  <c r="Z168" i="2" s="1"/>
  <c r="Z169" i="2" s="1"/>
  <c r="Z170" i="2" s="1"/>
  <c r="Z171" i="2" s="1"/>
  <c r="Z172" i="2" s="1"/>
  <c r="Z173" i="2" s="1"/>
  <c r="Z174" i="2" s="1"/>
  <c r="Z175" i="2" s="1"/>
  <c r="Z176" i="2" s="1"/>
  <c r="Z177" i="2" s="1"/>
  <c r="Z178" i="2" s="1"/>
  <c r="Z179" i="2" s="1"/>
  <c r="Z180" i="2" s="1"/>
  <c r="Z181" i="2" s="1"/>
  <c r="Z182" i="2" s="1"/>
  <c r="Z183" i="2" s="1"/>
  <c r="Z184" i="2" s="1"/>
  <c r="Z185" i="2" s="1"/>
  <c r="Z186" i="2" s="1"/>
  <c r="Z187" i="2" s="1"/>
  <c r="Z188" i="2" s="1"/>
  <c r="Z189" i="2" s="1"/>
  <c r="Z190" i="2" s="1"/>
  <c r="Z191" i="2" s="1"/>
  <c r="Z192" i="2" s="1"/>
  <c r="Z193" i="2" s="1"/>
  <c r="Z194" i="2" s="1"/>
  <c r="Z195" i="2" s="1"/>
  <c r="Z196" i="2" s="1"/>
  <c r="Z197" i="2" s="1"/>
  <c r="Z198" i="2" s="1"/>
  <c r="Z199" i="2" s="1"/>
  <c r="Z200" i="2" s="1"/>
  <c r="Z201" i="2" s="1"/>
  <c r="Z202" i="2" s="1"/>
  <c r="Z203" i="2" s="1"/>
  <c r="Z204" i="2" s="1"/>
  <c r="Z205" i="2" s="1"/>
  <c r="Z206" i="2" s="1"/>
  <c r="Z207" i="2" s="1"/>
  <c r="Z208" i="2" s="1"/>
  <c r="Z209" i="2" s="1"/>
  <c r="Z210" i="2" s="1"/>
  <c r="Z211" i="2" s="1"/>
  <c r="Z212" i="2" s="1"/>
  <c r="Z213" i="2" s="1"/>
  <c r="Z214" i="2" s="1"/>
  <c r="Z215" i="2" s="1"/>
  <c r="Z216" i="2" s="1"/>
  <c r="Z217" i="2" s="1"/>
  <c r="Z218" i="2" s="1"/>
  <c r="Z219" i="2" s="1"/>
  <c r="Z220" i="2" s="1"/>
  <c r="Z221" i="2" s="1"/>
  <c r="Z222" i="2" s="1"/>
  <c r="Z223" i="2" s="1"/>
  <c r="Z224" i="2" s="1"/>
  <c r="Z225" i="2" s="1"/>
  <c r="Z226" i="2" s="1"/>
  <c r="Z227" i="2" s="1"/>
  <c r="Z228" i="2" s="1"/>
  <c r="Z229" i="2" s="1"/>
  <c r="Z230" i="2" s="1"/>
  <c r="Z231" i="2" s="1"/>
  <c r="Z232" i="2" s="1"/>
  <c r="Z233" i="2" s="1"/>
  <c r="Z234" i="2" s="1"/>
  <c r="Z235" i="2" s="1"/>
  <c r="Z236" i="2" s="1"/>
  <c r="Z237" i="2" s="1"/>
  <c r="Z238" i="2" s="1"/>
  <c r="Z239" i="2" s="1"/>
  <c r="Z240" i="2" s="1"/>
  <c r="Z241" i="2" s="1"/>
  <c r="Z242" i="2" s="1"/>
  <c r="Z243" i="2" s="1"/>
  <c r="Z244" i="2" s="1"/>
  <c r="Z245" i="2" s="1"/>
  <c r="Z246" i="2" s="1"/>
  <c r="Z247" i="2" s="1"/>
  <c r="Z248" i="2" s="1"/>
  <c r="Z249" i="2" s="1"/>
  <c r="Z250" i="2" s="1"/>
  <c r="Z251" i="2" s="1"/>
  <c r="Z252" i="2" s="1"/>
  <c r="Z253" i="2" s="1"/>
  <c r="Z254" i="2" s="1"/>
  <c r="Z255" i="2" s="1"/>
  <c r="Z256" i="2" s="1"/>
  <c r="Z257" i="2" s="1"/>
  <c r="Z258" i="2" s="1"/>
  <c r="Z259" i="2" s="1"/>
  <c r="Z260" i="2" s="1"/>
  <c r="Z261" i="2" s="1"/>
  <c r="Z262" i="2" s="1"/>
  <c r="Z263" i="2" s="1"/>
  <c r="Z264" i="2" s="1"/>
  <c r="Z265" i="2" s="1"/>
  <c r="Z266" i="2" s="1"/>
  <c r="Z267" i="2" s="1"/>
  <c r="Z268" i="2" s="1"/>
  <c r="Z269" i="2" s="1"/>
  <c r="Z270" i="2" s="1"/>
  <c r="Z271" i="2" s="1"/>
  <c r="Z272" i="2" s="1"/>
  <c r="Z273" i="2" s="1"/>
  <c r="Z274" i="2" s="1"/>
  <c r="Z275" i="2" s="1"/>
  <c r="Z276" i="2" s="1"/>
  <c r="Z277" i="2" s="1"/>
  <c r="Z278" i="2" s="1"/>
  <c r="Z279" i="2" s="1"/>
  <c r="Z280" i="2" s="1"/>
  <c r="Z281" i="2" s="1"/>
  <c r="Z282" i="2" s="1"/>
  <c r="Z283" i="2" s="1"/>
  <c r="Z284" i="2" s="1"/>
  <c r="Z285" i="2" s="1"/>
  <c r="Z286" i="2" s="1"/>
  <c r="Z287" i="2" s="1"/>
  <c r="Z288" i="2" s="1"/>
  <c r="Z289" i="2" s="1"/>
  <c r="Z290" i="2" s="1"/>
  <c r="Z291" i="2" s="1"/>
  <c r="Z292" i="2" s="1"/>
  <c r="Z293" i="2" s="1"/>
  <c r="Z294" i="2" s="1"/>
  <c r="Z295" i="2" s="1"/>
  <c r="Z296" i="2" s="1"/>
  <c r="Z297" i="2" s="1"/>
  <c r="Z298" i="2" s="1"/>
  <c r="Z299" i="2" s="1"/>
  <c r="Z300" i="2" s="1"/>
  <c r="Z301" i="2" s="1"/>
  <c r="Z302" i="2" s="1"/>
  <c r="Z303" i="2" s="1"/>
  <c r="Z304" i="2" s="1"/>
  <c r="Z305" i="2" s="1"/>
  <c r="Z306" i="2" s="1"/>
  <c r="Z307" i="2" s="1"/>
  <c r="Z308" i="2" s="1"/>
  <c r="Z309" i="2" s="1"/>
  <c r="Z310" i="2" s="1"/>
  <c r="Z311" i="2" s="1"/>
  <c r="Z312" i="2" s="1"/>
  <c r="Z313" i="2" s="1"/>
  <c r="Z314" i="2" s="1"/>
  <c r="Z315" i="2" s="1"/>
  <c r="Z316" i="2" s="1"/>
  <c r="Z317" i="2" s="1"/>
  <c r="Z318" i="2" s="1"/>
  <c r="Z319" i="2" s="1"/>
  <c r="Z320" i="2" s="1"/>
  <c r="Z321" i="2" s="1"/>
  <c r="Z322" i="2" s="1"/>
  <c r="Z323" i="2" s="1"/>
  <c r="Z324" i="2" s="1"/>
  <c r="Z325" i="2" s="1"/>
  <c r="Z326" i="2" s="1"/>
  <c r="Z327" i="2" s="1"/>
  <c r="Z328" i="2" s="1"/>
  <c r="Z329" i="2" s="1"/>
  <c r="Z330" i="2" s="1"/>
  <c r="Z331" i="2" s="1"/>
  <c r="Z332" i="2" s="1"/>
  <c r="Z333" i="2" s="1"/>
  <c r="Z334" i="2" s="1"/>
  <c r="Z335" i="2" s="1"/>
  <c r="Z336" i="2" s="1"/>
  <c r="Z337" i="2" s="1"/>
  <c r="Z338" i="2" s="1"/>
  <c r="Z339" i="2" s="1"/>
  <c r="Z340" i="2" s="1"/>
  <c r="Z341" i="2" s="1"/>
  <c r="Z342" i="2" s="1"/>
  <c r="Z343" i="2" s="1"/>
  <c r="Z344" i="2" s="1"/>
  <c r="Z345" i="2" s="1"/>
  <c r="Z346" i="2" s="1"/>
  <c r="Z347" i="2" s="1"/>
  <c r="Z348" i="2" s="1"/>
  <c r="Z349" i="2" s="1"/>
  <c r="Z350" i="2" s="1"/>
  <c r="Z351" i="2" s="1"/>
  <c r="Z352" i="2" s="1"/>
  <c r="Z353" i="2" s="1"/>
  <c r="Z354" i="2" s="1"/>
  <c r="Z355" i="2" s="1"/>
  <c r="Z356" i="2" s="1"/>
  <c r="Z357" i="2" s="1"/>
  <c r="Z358" i="2" s="1"/>
  <c r="Z359" i="2" s="1"/>
  <c r="Z360" i="2" s="1"/>
  <c r="Z361" i="2" s="1"/>
  <c r="Z362" i="2" s="1"/>
  <c r="Z363" i="2" s="1"/>
  <c r="Z364" i="2" s="1"/>
  <c r="Z365" i="2" s="1"/>
  <c r="Z366" i="2" s="1"/>
  <c r="Z367" i="2" s="1"/>
  <c r="Z368" i="2" s="1"/>
  <c r="Z369" i="2" s="1"/>
  <c r="Z370" i="2" s="1"/>
  <c r="Z371" i="2" s="1"/>
  <c r="Z372" i="2" s="1"/>
  <c r="Z373" i="2" s="1"/>
  <c r="Z374" i="2" s="1"/>
  <c r="Z375" i="2" s="1"/>
  <c r="Z376" i="2" s="1"/>
  <c r="Z377" i="2" s="1"/>
  <c r="Z378" i="2" s="1"/>
  <c r="Z379" i="2" s="1"/>
  <c r="Z380" i="2" s="1"/>
  <c r="Z381" i="2" s="1"/>
  <c r="Z382" i="2" s="1"/>
  <c r="Z383" i="2" s="1"/>
  <c r="Z384" i="2" s="1"/>
  <c r="Z385" i="2" s="1"/>
  <c r="AA20" i="2"/>
  <c r="AS20" i="2"/>
  <c r="G20" i="2" s="1"/>
  <c r="C21" i="2"/>
  <c r="C22" i="2" s="1"/>
  <c r="C23" i="2" s="1"/>
  <c r="C24" i="2" s="1"/>
  <c r="C25" i="2" s="1"/>
  <c r="C26" i="2" s="1"/>
  <c r="C27" i="2" s="1"/>
  <c r="C28" i="2" s="1"/>
  <c r="C29" i="2" s="1"/>
  <c r="C30" i="2" s="1"/>
  <c r="C31" i="2" s="1"/>
  <c r="C32" i="2" s="1"/>
  <c r="C33" i="2" s="1"/>
  <c r="C34" i="2" s="1"/>
  <c r="C35" i="2" s="1"/>
  <c r="C36" i="2" s="1"/>
  <c r="C37" i="2" s="1"/>
  <c r="C38" i="2" s="1"/>
  <c r="C39" i="2" s="1"/>
  <c r="C40" i="2" s="1"/>
  <c r="C41" i="2" s="1"/>
  <c r="C42" i="2" s="1"/>
  <c r="C43" i="2" s="1"/>
  <c r="C44" i="2" s="1"/>
  <c r="C45" i="2" s="1"/>
  <c r="C46" i="2" s="1"/>
  <c r="C47" i="2" s="1"/>
  <c r="C48" i="2" s="1"/>
  <c r="C49" i="2" s="1"/>
  <c r="C50" i="2" s="1"/>
  <c r="C51" i="2" s="1"/>
  <c r="C52" i="2" s="1"/>
  <c r="C53" i="2" s="1"/>
  <c r="C54" i="2" s="1"/>
  <c r="C55" i="2" s="1"/>
  <c r="C56" i="2" s="1"/>
  <c r="C57" i="2" s="1"/>
  <c r="C58" i="2" s="1"/>
  <c r="C59" i="2" s="1"/>
  <c r="C60" i="2" s="1"/>
  <c r="C61" i="2" s="1"/>
  <c r="C62" i="2" s="1"/>
  <c r="C63" i="2" s="1"/>
  <c r="C64" i="2" s="1"/>
  <c r="C65" i="2" s="1"/>
  <c r="C66" i="2" s="1"/>
  <c r="C67" i="2" s="1"/>
  <c r="C68" i="2" s="1"/>
  <c r="C69" i="2" s="1"/>
  <c r="C70" i="2" s="1"/>
  <c r="C71" i="2" s="1"/>
  <c r="C72" i="2" s="1"/>
  <c r="C73" i="2" s="1"/>
  <c r="C74" i="2" s="1"/>
  <c r="C75" i="2" s="1"/>
  <c r="C76" i="2" s="1"/>
  <c r="C77" i="2" s="1"/>
  <c r="C78" i="2" s="1"/>
  <c r="C79" i="2" s="1"/>
  <c r="C80" i="2" s="1"/>
  <c r="C81" i="2" s="1"/>
  <c r="C82" i="2" s="1"/>
  <c r="C83" i="2" s="1"/>
  <c r="C84" i="2" s="1"/>
  <c r="C85" i="2" s="1"/>
  <c r="C86" i="2" s="1"/>
  <c r="C87" i="2" s="1"/>
  <c r="C88" i="2" s="1"/>
  <c r="C89" i="2" s="1"/>
  <c r="C90" i="2" s="1"/>
  <c r="C91" i="2" s="1"/>
  <c r="C92" i="2" s="1"/>
  <c r="C93" i="2" s="1"/>
  <c r="C94" i="2" s="1"/>
  <c r="C95" i="2" s="1"/>
  <c r="C96" i="2" s="1"/>
  <c r="C97" i="2" s="1"/>
  <c r="C98" i="2" s="1"/>
  <c r="C99" i="2" s="1"/>
  <c r="C100" i="2" s="1"/>
  <c r="C101" i="2" s="1"/>
  <c r="C102" i="2" s="1"/>
  <c r="C103" i="2" s="1"/>
  <c r="C104" i="2" s="1"/>
  <c r="C105" i="2" s="1"/>
  <c r="C106" i="2" s="1"/>
  <c r="C107" i="2" s="1"/>
  <c r="C108" i="2" s="1"/>
  <c r="C109" i="2" s="1"/>
  <c r="C110" i="2" s="1"/>
  <c r="C111" i="2" s="1"/>
  <c r="C112" i="2" s="1"/>
  <c r="C113" i="2" s="1"/>
  <c r="C114" i="2" s="1"/>
  <c r="C115" i="2" s="1"/>
  <c r="C116" i="2" s="1"/>
  <c r="C117" i="2" s="1"/>
  <c r="C118" i="2" s="1"/>
  <c r="C119" i="2" s="1"/>
  <c r="C120" i="2" s="1"/>
  <c r="C121" i="2" s="1"/>
  <c r="C122" i="2" s="1"/>
  <c r="C123" i="2" s="1"/>
  <c r="C124" i="2" s="1"/>
  <c r="C125" i="2" s="1"/>
  <c r="C126" i="2" s="1"/>
  <c r="C127" i="2" s="1"/>
  <c r="C128" i="2" s="1"/>
  <c r="C129" i="2" s="1"/>
  <c r="C130" i="2" s="1"/>
  <c r="C131" i="2" s="1"/>
  <c r="C132" i="2" s="1"/>
  <c r="C133" i="2" s="1"/>
  <c r="C134" i="2" s="1"/>
  <c r="C135" i="2" s="1"/>
  <c r="C136" i="2" s="1"/>
  <c r="C137" i="2" s="1"/>
  <c r="C138" i="2" s="1"/>
  <c r="C139" i="2" s="1"/>
  <c r="C140" i="2" s="1"/>
  <c r="C141" i="2" s="1"/>
  <c r="C142" i="2" s="1"/>
  <c r="C143" i="2" s="1"/>
  <c r="C144" i="2" s="1"/>
  <c r="C145" i="2" s="1"/>
  <c r="C146" i="2" s="1"/>
  <c r="C147" i="2" s="1"/>
  <c r="C148" i="2" s="1"/>
  <c r="C149" i="2" s="1"/>
  <c r="C150" i="2" s="1"/>
  <c r="C151" i="2" s="1"/>
  <c r="C152" i="2" s="1"/>
  <c r="C153" i="2" s="1"/>
  <c r="C154" i="2" s="1"/>
  <c r="C155" i="2" s="1"/>
  <c r="C156" i="2" s="1"/>
  <c r="C157" i="2" s="1"/>
  <c r="C158" i="2" s="1"/>
  <c r="C159" i="2" s="1"/>
  <c r="C160" i="2" s="1"/>
  <c r="C161" i="2" s="1"/>
  <c r="C162" i="2" s="1"/>
  <c r="C163" i="2" s="1"/>
  <c r="C164" i="2" s="1"/>
  <c r="C165" i="2" s="1"/>
  <c r="C166" i="2" s="1"/>
  <c r="C167" i="2" s="1"/>
  <c r="C168" i="2" s="1"/>
  <c r="C169" i="2" s="1"/>
  <c r="C170" i="2" s="1"/>
  <c r="C171" i="2" s="1"/>
  <c r="C172" i="2" s="1"/>
  <c r="C173" i="2" s="1"/>
  <c r="C174" i="2" s="1"/>
  <c r="C175" i="2" s="1"/>
  <c r="C176" i="2" s="1"/>
  <c r="C177" i="2" s="1"/>
  <c r="C178" i="2" s="1"/>
  <c r="C179" i="2" s="1"/>
  <c r="C180" i="2" s="1"/>
  <c r="C181" i="2" s="1"/>
  <c r="C182" i="2" s="1"/>
  <c r="C183" i="2" s="1"/>
  <c r="C184" i="2" s="1"/>
  <c r="C185" i="2" s="1"/>
  <c r="C186" i="2" s="1"/>
  <c r="C187" i="2" s="1"/>
  <c r="C188" i="2" s="1"/>
  <c r="C189" i="2" s="1"/>
  <c r="C190" i="2" s="1"/>
  <c r="C191" i="2" s="1"/>
  <c r="C192" i="2" s="1"/>
  <c r="C193" i="2" s="1"/>
  <c r="C194" i="2" s="1"/>
  <c r="C195" i="2" s="1"/>
  <c r="C196" i="2" s="1"/>
  <c r="C197" i="2" s="1"/>
  <c r="C198" i="2" s="1"/>
  <c r="C199" i="2" s="1"/>
  <c r="C200" i="2" s="1"/>
  <c r="C201" i="2" s="1"/>
  <c r="C202" i="2" s="1"/>
  <c r="C203" i="2" s="1"/>
  <c r="C204" i="2" s="1"/>
  <c r="C205" i="2" s="1"/>
  <c r="C206" i="2" s="1"/>
  <c r="C207" i="2" s="1"/>
  <c r="C208" i="2" s="1"/>
  <c r="C209" i="2" s="1"/>
  <c r="C210" i="2" s="1"/>
  <c r="C211" i="2" s="1"/>
  <c r="C212" i="2" s="1"/>
  <c r="C213" i="2" s="1"/>
  <c r="C214" i="2" s="1"/>
  <c r="C215" i="2" s="1"/>
  <c r="C216" i="2" s="1"/>
  <c r="C217" i="2" s="1"/>
  <c r="C218" i="2" s="1"/>
  <c r="C219" i="2" s="1"/>
  <c r="C220" i="2" s="1"/>
  <c r="C221" i="2" s="1"/>
  <c r="C222" i="2" s="1"/>
  <c r="C223" i="2" s="1"/>
  <c r="C224" i="2" s="1"/>
  <c r="C225" i="2" s="1"/>
  <c r="C226" i="2" s="1"/>
  <c r="C227" i="2" s="1"/>
  <c r="C228" i="2" s="1"/>
  <c r="C229" i="2" s="1"/>
  <c r="C230" i="2" s="1"/>
  <c r="C231" i="2" s="1"/>
  <c r="C232" i="2" s="1"/>
  <c r="C233" i="2" s="1"/>
  <c r="C234" i="2" s="1"/>
  <c r="C235" i="2" s="1"/>
  <c r="C236" i="2" s="1"/>
  <c r="C237" i="2" s="1"/>
  <c r="C238" i="2" s="1"/>
  <c r="C239" i="2" s="1"/>
  <c r="C240" i="2" s="1"/>
  <c r="C241" i="2" s="1"/>
  <c r="C242" i="2" s="1"/>
  <c r="C243" i="2" s="1"/>
  <c r="C244" i="2" s="1"/>
  <c r="C245" i="2" s="1"/>
  <c r="C246" i="2" s="1"/>
  <c r="C247" i="2" s="1"/>
  <c r="C248" i="2" s="1"/>
  <c r="C249" i="2" s="1"/>
  <c r="C250" i="2" s="1"/>
  <c r="C251" i="2" s="1"/>
  <c r="C252" i="2" s="1"/>
  <c r="C253" i="2" s="1"/>
  <c r="C254" i="2" s="1"/>
  <c r="C255" i="2" s="1"/>
  <c r="C256" i="2" s="1"/>
  <c r="C257" i="2" s="1"/>
  <c r="C258" i="2" s="1"/>
  <c r="C259" i="2" s="1"/>
  <c r="C260" i="2" s="1"/>
  <c r="C261" i="2" s="1"/>
  <c r="C262" i="2" s="1"/>
  <c r="C263" i="2" s="1"/>
  <c r="C264" i="2" s="1"/>
  <c r="C265" i="2" s="1"/>
  <c r="C266" i="2" s="1"/>
  <c r="C267" i="2" s="1"/>
  <c r="C268" i="2" s="1"/>
  <c r="C269" i="2" s="1"/>
  <c r="C270" i="2" s="1"/>
  <c r="C271" i="2" s="1"/>
  <c r="C272" i="2" s="1"/>
  <c r="C273" i="2" s="1"/>
  <c r="C274" i="2" s="1"/>
  <c r="C275" i="2" s="1"/>
  <c r="C276" i="2" s="1"/>
  <c r="C277" i="2" s="1"/>
  <c r="C278" i="2" s="1"/>
  <c r="C279" i="2" s="1"/>
  <c r="C280" i="2" s="1"/>
  <c r="C281" i="2" s="1"/>
  <c r="C282" i="2" s="1"/>
  <c r="C283" i="2" s="1"/>
  <c r="C284" i="2" s="1"/>
  <c r="C285" i="2" s="1"/>
  <c r="C286" i="2" s="1"/>
  <c r="C287" i="2" s="1"/>
  <c r="C288" i="2" s="1"/>
  <c r="C289" i="2" s="1"/>
  <c r="C290" i="2" s="1"/>
  <c r="C291" i="2" s="1"/>
  <c r="C292" i="2" s="1"/>
  <c r="C293" i="2" s="1"/>
  <c r="C294" i="2" s="1"/>
  <c r="C295" i="2" s="1"/>
  <c r="C296" i="2" s="1"/>
  <c r="C297" i="2" s="1"/>
  <c r="C298" i="2" s="1"/>
  <c r="C299" i="2" s="1"/>
  <c r="C300" i="2" s="1"/>
  <c r="C301" i="2" s="1"/>
  <c r="C302" i="2" s="1"/>
  <c r="C303" i="2" s="1"/>
  <c r="C304" i="2" s="1"/>
  <c r="C305" i="2" s="1"/>
  <c r="C306" i="2" s="1"/>
  <c r="C307" i="2" s="1"/>
  <c r="C308" i="2" s="1"/>
  <c r="C309" i="2" s="1"/>
  <c r="C310" i="2" s="1"/>
  <c r="C311" i="2" s="1"/>
  <c r="C312" i="2" s="1"/>
  <c r="C313" i="2" s="1"/>
  <c r="C314" i="2" s="1"/>
  <c r="C315" i="2" s="1"/>
  <c r="C316" i="2" s="1"/>
  <c r="C317" i="2" s="1"/>
  <c r="C318" i="2" s="1"/>
  <c r="C319" i="2" s="1"/>
  <c r="C320" i="2" s="1"/>
  <c r="C321" i="2" s="1"/>
  <c r="C322" i="2" s="1"/>
  <c r="C323" i="2" s="1"/>
  <c r="C324" i="2" s="1"/>
  <c r="C325" i="2" s="1"/>
  <c r="C326" i="2" s="1"/>
  <c r="C327" i="2" s="1"/>
  <c r="C328" i="2" s="1"/>
  <c r="C329" i="2" s="1"/>
  <c r="C330" i="2" s="1"/>
  <c r="C331" i="2" s="1"/>
  <c r="C332" i="2" s="1"/>
  <c r="C333" i="2" s="1"/>
  <c r="C334" i="2" s="1"/>
  <c r="C335" i="2" s="1"/>
  <c r="C336" i="2" s="1"/>
  <c r="C337" i="2" s="1"/>
  <c r="C338" i="2" s="1"/>
  <c r="C339" i="2" s="1"/>
  <c r="C340" i="2" s="1"/>
  <c r="C341" i="2" s="1"/>
  <c r="C342" i="2" s="1"/>
  <c r="C343" i="2" s="1"/>
  <c r="C344" i="2" s="1"/>
  <c r="C345" i="2" s="1"/>
  <c r="C346" i="2" s="1"/>
  <c r="C347" i="2" s="1"/>
  <c r="C348" i="2" s="1"/>
  <c r="C349" i="2" s="1"/>
  <c r="C350" i="2" s="1"/>
  <c r="C351" i="2" s="1"/>
  <c r="C352" i="2" s="1"/>
  <c r="C353" i="2" s="1"/>
  <c r="C354" i="2" s="1"/>
  <c r="C355" i="2" s="1"/>
  <c r="C356" i="2" s="1"/>
  <c r="C357" i="2" s="1"/>
  <c r="C358" i="2" s="1"/>
  <c r="C359" i="2" s="1"/>
  <c r="C360" i="2" s="1"/>
  <c r="C361" i="2" s="1"/>
  <c r="C362" i="2" s="1"/>
  <c r="C363" i="2" s="1"/>
  <c r="C364" i="2" s="1"/>
  <c r="C365" i="2" s="1"/>
  <c r="C366" i="2" s="1"/>
  <c r="C367" i="2" s="1"/>
  <c r="C368" i="2" s="1"/>
  <c r="C369" i="2" s="1"/>
  <c r="C370" i="2" s="1"/>
  <c r="C371" i="2" s="1"/>
  <c r="C372" i="2" s="1"/>
  <c r="C373" i="2" s="1"/>
  <c r="C374" i="2" s="1"/>
  <c r="C375" i="2" s="1"/>
  <c r="C376" i="2" s="1"/>
  <c r="C377" i="2" s="1"/>
  <c r="C378" i="2" s="1"/>
  <c r="C379" i="2" s="1"/>
  <c r="C380" i="2" s="1"/>
  <c r="C381" i="2" s="1"/>
  <c r="C382" i="2" s="1"/>
  <c r="C383" i="2" s="1"/>
  <c r="C384" i="2" s="1"/>
  <c r="C385" i="2" s="1"/>
  <c r="L21" i="2"/>
  <c r="N21" i="2" s="1"/>
  <c r="M21" i="2"/>
  <c r="P21" i="2"/>
  <c r="Q21" i="2"/>
  <c r="R21" i="2"/>
  <c r="U21" i="2"/>
  <c r="V21" i="2"/>
  <c r="W21" i="2"/>
  <c r="L22" i="2"/>
  <c r="M22" i="2"/>
  <c r="P22" i="2"/>
  <c r="Q22" i="2"/>
  <c r="R22" i="2"/>
  <c r="U22" i="2"/>
  <c r="V22" i="2"/>
  <c r="W22" i="2"/>
  <c r="L23" i="2"/>
  <c r="N23" i="2" s="1"/>
  <c r="M23" i="2"/>
  <c r="P23" i="2"/>
  <c r="Q23" i="2"/>
  <c r="R23" i="2"/>
  <c r="U23" i="2"/>
  <c r="V23" i="2"/>
  <c r="W23" i="2"/>
  <c r="Q24" i="2"/>
  <c r="V24" i="2"/>
  <c r="L25" i="2"/>
  <c r="N25" i="2" s="1"/>
  <c r="M25" i="2"/>
  <c r="P25" i="2"/>
  <c r="Q25" i="2"/>
  <c r="R25" i="2"/>
  <c r="U25" i="2"/>
  <c r="V25" i="2"/>
  <c r="W25" i="2"/>
  <c r="L26" i="2"/>
  <c r="N26" i="2" s="1"/>
  <c r="M26" i="2"/>
  <c r="P26" i="2"/>
  <c r="Q26" i="2"/>
  <c r="R26" i="2"/>
  <c r="U26" i="2"/>
  <c r="V26" i="2"/>
  <c r="W26" i="2"/>
  <c r="Q27" i="2"/>
  <c r="V27" i="2"/>
  <c r="Q28" i="2"/>
  <c r="V28" i="2"/>
  <c r="Q29" i="2"/>
  <c r="V29" i="2"/>
  <c r="Q30" i="2"/>
  <c r="V30" i="2"/>
  <c r="Q31" i="2"/>
  <c r="V31" i="2"/>
  <c r="Q32" i="2"/>
  <c r="V32" i="2"/>
  <c r="L33" i="2"/>
  <c r="N33" i="2" s="1"/>
  <c r="M33" i="2"/>
  <c r="P33" i="2"/>
  <c r="Q33" i="2"/>
  <c r="R33" i="2"/>
  <c r="U33" i="2"/>
  <c r="V33" i="2"/>
  <c r="W33" i="2"/>
  <c r="Q34" i="2"/>
  <c r="V34" i="2"/>
  <c r="Q35" i="2"/>
  <c r="V35" i="2"/>
  <c r="Q36" i="2"/>
  <c r="V36" i="2"/>
  <c r="Q37" i="2"/>
  <c r="V37" i="2"/>
  <c r="Q38" i="2"/>
  <c r="V38" i="2"/>
  <c r="Q39" i="2"/>
  <c r="V39" i="2"/>
  <c r="L40" i="2"/>
  <c r="N40" i="2" s="1"/>
  <c r="M40" i="2"/>
  <c r="P40" i="2"/>
  <c r="Q40" i="2"/>
  <c r="R40" i="2"/>
  <c r="U40" i="2"/>
  <c r="V40" i="2"/>
  <c r="W40" i="2"/>
  <c r="Q41" i="2"/>
  <c r="V41" i="2"/>
  <c r="Q42" i="2"/>
  <c r="V42" i="2"/>
  <c r="Q43" i="2"/>
  <c r="V43" i="2"/>
  <c r="Q44" i="2"/>
  <c r="V44" i="2"/>
  <c r="Q45" i="2"/>
  <c r="V45" i="2"/>
  <c r="Q46" i="2"/>
  <c r="V46" i="2"/>
  <c r="L47" i="2"/>
  <c r="N47" i="2" s="1"/>
  <c r="M47" i="2"/>
  <c r="P47" i="2"/>
  <c r="Q47" i="2"/>
  <c r="R47" i="2"/>
  <c r="U47" i="2"/>
  <c r="V47" i="2"/>
  <c r="W47" i="2"/>
  <c r="Q48" i="2"/>
  <c r="V48" i="2"/>
  <c r="Q49" i="2"/>
  <c r="V49" i="2"/>
  <c r="Q50" i="2"/>
  <c r="V50" i="2"/>
  <c r="Q51" i="2"/>
  <c r="V51" i="2"/>
  <c r="Q52" i="2"/>
  <c r="V52" i="2"/>
  <c r="Q53" i="2"/>
  <c r="V53" i="2"/>
  <c r="L54" i="2"/>
  <c r="N54" i="2" s="1"/>
  <c r="M54" i="2"/>
  <c r="P54" i="2"/>
  <c r="Q54" i="2"/>
  <c r="R54" i="2"/>
  <c r="U54" i="2"/>
  <c r="V54" i="2"/>
  <c r="W54" i="2"/>
  <c r="Q55" i="2"/>
  <c r="V55" i="2"/>
  <c r="Q56" i="2"/>
  <c r="V56" i="2"/>
  <c r="Q57" i="2"/>
  <c r="V57" i="2"/>
  <c r="Q58" i="2"/>
  <c r="V58" i="2"/>
  <c r="Q59" i="2"/>
  <c r="V59" i="2"/>
  <c r="Q60" i="2"/>
  <c r="V60" i="2"/>
  <c r="L61" i="2"/>
  <c r="N61" i="2" s="1"/>
  <c r="M61" i="2"/>
  <c r="P61" i="2"/>
  <c r="Q61" i="2"/>
  <c r="R61" i="2"/>
  <c r="U61" i="2"/>
  <c r="V61" i="2"/>
  <c r="W61" i="2"/>
  <c r="L62" i="2"/>
  <c r="N62" i="2" s="1"/>
  <c r="M62" i="2"/>
  <c r="P62" i="2"/>
  <c r="Q62" i="2"/>
  <c r="R62" i="2"/>
  <c r="U62" i="2"/>
  <c r="V62" i="2"/>
  <c r="W62" i="2"/>
  <c r="Q63" i="2"/>
  <c r="V63" i="2"/>
  <c r="Q64" i="2"/>
  <c r="V64" i="2"/>
  <c r="Q65" i="2"/>
  <c r="V65" i="2"/>
  <c r="Q66" i="2"/>
  <c r="V66" i="2"/>
  <c r="Q67" i="2"/>
  <c r="V67" i="2"/>
  <c r="L68" i="2"/>
  <c r="N68" i="2" s="1"/>
  <c r="M68" i="2"/>
  <c r="P68" i="2"/>
  <c r="Q68" i="2"/>
  <c r="R68" i="2"/>
  <c r="U68" i="2"/>
  <c r="V68" i="2"/>
  <c r="W68" i="2"/>
  <c r="Q69" i="2"/>
  <c r="V69" i="2"/>
  <c r="Q70" i="2"/>
  <c r="V70" i="2"/>
  <c r="Q71" i="2"/>
  <c r="V71" i="2"/>
  <c r="Q72" i="2"/>
  <c r="V72" i="2"/>
  <c r="L73" i="2"/>
  <c r="N73" i="2" s="1"/>
  <c r="M73" i="2"/>
  <c r="P73" i="2"/>
  <c r="Q73" i="2"/>
  <c r="R73" i="2"/>
  <c r="U73" i="2"/>
  <c r="V73" i="2"/>
  <c r="W73" i="2"/>
  <c r="Q74" i="2"/>
  <c r="V74" i="2"/>
  <c r="L75" i="2"/>
  <c r="N75" i="2" s="1"/>
  <c r="M75" i="2"/>
  <c r="P75" i="2"/>
  <c r="Q75" i="2"/>
  <c r="R75" i="2"/>
  <c r="U75" i="2"/>
  <c r="V75" i="2"/>
  <c r="W75" i="2"/>
  <c r="Q76" i="2"/>
  <c r="V76" i="2"/>
  <c r="Q77" i="2"/>
  <c r="V77" i="2"/>
  <c r="Q78" i="2"/>
  <c r="V78" i="2"/>
  <c r="Q79" i="2"/>
  <c r="V79" i="2"/>
  <c r="Q80" i="2"/>
  <c r="V80" i="2"/>
  <c r="Q81" i="2"/>
  <c r="V81" i="2"/>
  <c r="L82" i="2"/>
  <c r="N82" i="2" s="1"/>
  <c r="M82" i="2"/>
  <c r="P82" i="2"/>
  <c r="Q82" i="2"/>
  <c r="R82" i="2"/>
  <c r="U82" i="2"/>
  <c r="V82" i="2"/>
  <c r="W82" i="2"/>
  <c r="Q83" i="2"/>
  <c r="V83" i="2"/>
  <c r="Q84" i="2"/>
  <c r="V84" i="2"/>
  <c r="Q85" i="2"/>
  <c r="V85" i="2"/>
  <c r="Q86" i="2"/>
  <c r="V86" i="2"/>
  <c r="Q87" i="2"/>
  <c r="V87" i="2"/>
  <c r="Q88" i="2"/>
  <c r="V88" i="2"/>
  <c r="L89" i="2"/>
  <c r="N89" i="2" s="1"/>
  <c r="M89" i="2"/>
  <c r="P89" i="2"/>
  <c r="Q89" i="2"/>
  <c r="R89" i="2"/>
  <c r="U89" i="2"/>
  <c r="V89" i="2"/>
  <c r="W89" i="2"/>
  <c r="Q90" i="2"/>
  <c r="V90" i="2"/>
  <c r="Q91" i="2"/>
  <c r="V91" i="2"/>
  <c r="Q92" i="2"/>
  <c r="V92" i="2"/>
  <c r="Q93" i="2"/>
  <c r="V93" i="2"/>
  <c r="Q94" i="2"/>
  <c r="V94" i="2"/>
  <c r="Q95" i="2"/>
  <c r="V95" i="2"/>
  <c r="L96" i="2"/>
  <c r="N96" i="2" s="1"/>
  <c r="M96" i="2"/>
  <c r="P96" i="2"/>
  <c r="Q96" i="2"/>
  <c r="R96" i="2"/>
  <c r="U96" i="2"/>
  <c r="V96" i="2"/>
  <c r="W96" i="2"/>
  <c r="Q97" i="2"/>
  <c r="V97" i="2"/>
  <c r="Q98" i="2"/>
  <c r="V98" i="2"/>
  <c r="L99" i="2"/>
  <c r="N99" i="2" s="1"/>
  <c r="M99" i="2"/>
  <c r="P99" i="2"/>
  <c r="Q99" i="2"/>
  <c r="R99" i="2"/>
  <c r="U99" i="2"/>
  <c r="V99" i="2"/>
  <c r="W99" i="2"/>
  <c r="Q100" i="2"/>
  <c r="V100" i="2"/>
  <c r="Q101" i="2"/>
  <c r="V101" i="2"/>
  <c r="Q102" i="2"/>
  <c r="V102" i="2"/>
  <c r="L103" i="2"/>
  <c r="N103" i="2" s="1"/>
  <c r="M103" i="2"/>
  <c r="P103" i="2"/>
  <c r="Q103" i="2"/>
  <c r="R103" i="2"/>
  <c r="U103" i="2"/>
  <c r="V103" i="2"/>
  <c r="W103" i="2"/>
  <c r="Q104" i="2"/>
  <c r="V104" i="2"/>
  <c r="Q105" i="2"/>
  <c r="V105" i="2"/>
  <c r="Q106" i="2"/>
  <c r="V106" i="2"/>
  <c r="Q107" i="2"/>
  <c r="V107" i="2"/>
  <c r="Q108" i="2"/>
  <c r="V108" i="2"/>
  <c r="Q109" i="2"/>
  <c r="V109" i="2"/>
  <c r="L110" i="2"/>
  <c r="N110" i="2" s="1"/>
  <c r="M110" i="2"/>
  <c r="P110" i="2"/>
  <c r="Q110" i="2"/>
  <c r="R110" i="2"/>
  <c r="U110" i="2"/>
  <c r="V110" i="2"/>
  <c r="W110" i="2"/>
  <c r="Q111" i="2"/>
  <c r="V111" i="2"/>
  <c r="Q112" i="2"/>
  <c r="V112" i="2"/>
  <c r="Q113" i="2"/>
  <c r="V113" i="2"/>
  <c r="Q114" i="2"/>
  <c r="V114" i="2"/>
  <c r="Q115" i="2"/>
  <c r="V115" i="2"/>
  <c r="Q116" i="2"/>
  <c r="V116" i="2"/>
  <c r="L117" i="2"/>
  <c r="N117" i="2" s="1"/>
  <c r="M117" i="2"/>
  <c r="P117" i="2"/>
  <c r="Q117" i="2"/>
  <c r="R117" i="2"/>
  <c r="U117" i="2"/>
  <c r="V117" i="2"/>
  <c r="W117" i="2"/>
  <c r="Q118" i="2"/>
  <c r="V118" i="2"/>
  <c r="Q119" i="2"/>
  <c r="V119" i="2"/>
  <c r="Q120" i="2"/>
  <c r="V120" i="2"/>
  <c r="Q121" i="2"/>
  <c r="V121" i="2"/>
  <c r="Q122" i="2"/>
  <c r="V122" i="2"/>
  <c r="Q123" i="2"/>
  <c r="V123" i="2"/>
  <c r="L124" i="2"/>
  <c r="N124" i="2" s="1"/>
  <c r="M124" i="2"/>
  <c r="P124" i="2"/>
  <c r="Q124" i="2"/>
  <c r="R124" i="2"/>
  <c r="U124" i="2"/>
  <c r="V124" i="2"/>
  <c r="W124" i="2"/>
  <c r="Q125" i="2"/>
  <c r="V125" i="2"/>
  <c r="Q126" i="2"/>
  <c r="V126" i="2"/>
  <c r="Q127" i="2"/>
  <c r="V127" i="2"/>
  <c r="Q128" i="2"/>
  <c r="V128" i="2"/>
  <c r="Q129" i="2"/>
  <c r="V129" i="2"/>
  <c r="Q130" i="2"/>
  <c r="V130" i="2"/>
  <c r="L131" i="2"/>
  <c r="N131" i="2" s="1"/>
  <c r="M131" i="2"/>
  <c r="P131" i="2"/>
  <c r="Q131" i="2"/>
  <c r="R131" i="2"/>
  <c r="U131" i="2"/>
  <c r="V131" i="2"/>
  <c r="W131" i="2"/>
  <c r="Q132" i="2"/>
  <c r="V132" i="2"/>
  <c r="Q133" i="2"/>
  <c r="V133" i="2"/>
  <c r="Q134" i="2"/>
  <c r="V134" i="2"/>
  <c r="Q135" i="2"/>
  <c r="V135" i="2"/>
  <c r="Q136" i="2"/>
  <c r="V136" i="2"/>
  <c r="Q137" i="2"/>
  <c r="V137" i="2"/>
  <c r="L138" i="2"/>
  <c r="N138" i="2" s="1"/>
  <c r="M138" i="2"/>
  <c r="P138" i="2"/>
  <c r="Q138" i="2"/>
  <c r="R138" i="2"/>
  <c r="U138" i="2"/>
  <c r="V138" i="2"/>
  <c r="W138" i="2"/>
  <c r="L139" i="2"/>
  <c r="N139" i="2" s="1"/>
  <c r="M139" i="2"/>
  <c r="P139" i="2"/>
  <c r="Q139" i="2"/>
  <c r="R139" i="2"/>
  <c r="U139" i="2"/>
  <c r="V139" i="2"/>
  <c r="W139" i="2"/>
  <c r="Q140" i="2"/>
  <c r="V140" i="2"/>
  <c r="Q141" i="2"/>
  <c r="V141" i="2"/>
  <c r="Q142" i="2"/>
  <c r="V142" i="2"/>
  <c r="L143" i="2"/>
  <c r="N143" i="2" s="1"/>
  <c r="M143" i="2"/>
  <c r="P143" i="2"/>
  <c r="Q143" i="2"/>
  <c r="R143" i="2"/>
  <c r="U143" i="2"/>
  <c r="V143" i="2"/>
  <c r="W143" i="2"/>
  <c r="L144" i="2"/>
  <c r="N144" i="2" s="1"/>
  <c r="M144" i="2"/>
  <c r="P144" i="2"/>
  <c r="Q144" i="2"/>
  <c r="R144" i="2"/>
  <c r="U144" i="2"/>
  <c r="V144" i="2"/>
  <c r="W144" i="2"/>
  <c r="L145" i="2"/>
  <c r="N145" i="2" s="1"/>
  <c r="M145" i="2"/>
  <c r="P145" i="2"/>
  <c r="Q145" i="2"/>
  <c r="R145" i="2"/>
  <c r="U145" i="2"/>
  <c r="V145" i="2"/>
  <c r="W145" i="2"/>
  <c r="L146" i="2"/>
  <c r="N146" i="2" s="1"/>
  <c r="M146" i="2"/>
  <c r="P146" i="2"/>
  <c r="Q146" i="2"/>
  <c r="R146" i="2"/>
  <c r="U146" i="2"/>
  <c r="V146" i="2"/>
  <c r="W146" i="2"/>
  <c r="Q147" i="2"/>
  <c r="V147" i="2"/>
  <c r="Q148" i="2"/>
  <c r="V148" i="2"/>
  <c r="Q149" i="2"/>
  <c r="V149" i="2"/>
  <c r="Q150" i="2"/>
  <c r="V150" i="2"/>
  <c r="Q151" i="2"/>
  <c r="V151" i="2"/>
  <c r="L152" i="2"/>
  <c r="N152" i="2" s="1"/>
  <c r="M152" i="2"/>
  <c r="P152" i="2"/>
  <c r="Q152" i="2"/>
  <c r="R152" i="2"/>
  <c r="U152" i="2"/>
  <c r="V152" i="2"/>
  <c r="W152" i="2"/>
  <c r="Q153" i="2"/>
  <c r="V153" i="2"/>
  <c r="Q154" i="2"/>
  <c r="V154" i="2"/>
  <c r="Q155" i="2"/>
  <c r="V155" i="2"/>
  <c r="Q156" i="2"/>
  <c r="V156" i="2"/>
  <c r="Q157" i="2"/>
  <c r="V157" i="2"/>
  <c r="Q158" i="2"/>
  <c r="V158" i="2"/>
  <c r="L159" i="2"/>
  <c r="N159" i="2" s="1"/>
  <c r="M159" i="2"/>
  <c r="P159" i="2"/>
  <c r="Q159" i="2"/>
  <c r="R159" i="2"/>
  <c r="U159" i="2"/>
  <c r="V159" i="2"/>
  <c r="W159" i="2"/>
  <c r="Q160" i="2"/>
  <c r="V160" i="2"/>
  <c r="Q161" i="2"/>
  <c r="V161" i="2"/>
  <c r="Q162" i="2"/>
  <c r="V162" i="2"/>
  <c r="Q163" i="2"/>
  <c r="V163" i="2"/>
  <c r="Q164" i="2"/>
  <c r="V164" i="2"/>
  <c r="Q165" i="2"/>
  <c r="V165" i="2"/>
  <c r="L166" i="2"/>
  <c r="N166" i="2" s="1"/>
  <c r="M166" i="2"/>
  <c r="P166" i="2"/>
  <c r="Q166" i="2"/>
  <c r="R166" i="2"/>
  <c r="U166" i="2"/>
  <c r="V166" i="2"/>
  <c r="W166" i="2"/>
  <c r="Q167" i="2"/>
  <c r="V167" i="2"/>
  <c r="Q168" i="2"/>
  <c r="V168" i="2"/>
  <c r="Q169" i="2"/>
  <c r="V169" i="2"/>
  <c r="Q170" i="2"/>
  <c r="V170" i="2"/>
  <c r="Q171" i="2"/>
  <c r="V171" i="2"/>
  <c r="Q172" i="2"/>
  <c r="V172" i="2"/>
  <c r="L173" i="2"/>
  <c r="N173" i="2" s="1"/>
  <c r="M173" i="2"/>
  <c r="P173" i="2"/>
  <c r="Q173" i="2"/>
  <c r="R173" i="2"/>
  <c r="U173" i="2"/>
  <c r="V173" i="2"/>
  <c r="W173" i="2"/>
  <c r="Q174" i="2"/>
  <c r="V174" i="2"/>
  <c r="Q175" i="2"/>
  <c r="V175" i="2"/>
  <c r="Q176" i="2"/>
  <c r="V176" i="2"/>
  <c r="Q177" i="2"/>
  <c r="V177" i="2"/>
  <c r="Q178" i="2"/>
  <c r="V178" i="2"/>
  <c r="Q179" i="2"/>
  <c r="V179" i="2"/>
  <c r="L180" i="2"/>
  <c r="N180" i="2" s="1"/>
  <c r="M180" i="2"/>
  <c r="P180" i="2"/>
  <c r="Q180" i="2"/>
  <c r="R180" i="2"/>
  <c r="U180" i="2"/>
  <c r="V180" i="2"/>
  <c r="W180" i="2"/>
  <c r="Q181" i="2"/>
  <c r="V181" i="2"/>
  <c r="Q182" i="2"/>
  <c r="V182" i="2"/>
  <c r="Q183" i="2"/>
  <c r="V183" i="2"/>
  <c r="Q184" i="2"/>
  <c r="V184" i="2"/>
  <c r="Q185" i="2"/>
  <c r="V185" i="2"/>
  <c r="Q186" i="2"/>
  <c r="V186" i="2"/>
  <c r="L187" i="2"/>
  <c r="N187" i="2" s="1"/>
  <c r="M187" i="2"/>
  <c r="P187" i="2"/>
  <c r="Q187" i="2"/>
  <c r="R187" i="2"/>
  <c r="U187" i="2"/>
  <c r="V187" i="2"/>
  <c r="W187" i="2"/>
  <c r="Q188" i="2"/>
  <c r="V188" i="2"/>
  <c r="Q189" i="2"/>
  <c r="V189" i="2"/>
  <c r="Q190" i="2"/>
  <c r="V190" i="2"/>
  <c r="Q191" i="2"/>
  <c r="V191" i="2"/>
  <c r="Q192" i="2"/>
  <c r="V192" i="2"/>
  <c r="Q193" i="2"/>
  <c r="V193" i="2"/>
  <c r="L194" i="2"/>
  <c r="N194" i="2" s="1"/>
  <c r="M194" i="2"/>
  <c r="P194" i="2"/>
  <c r="Q194" i="2"/>
  <c r="R194" i="2"/>
  <c r="U194" i="2"/>
  <c r="V194" i="2"/>
  <c r="W194" i="2"/>
  <c r="Q195" i="2"/>
  <c r="V195" i="2"/>
  <c r="Q196" i="2"/>
  <c r="V196" i="2"/>
  <c r="Q197" i="2"/>
  <c r="V197" i="2"/>
  <c r="Q198" i="2"/>
  <c r="V198" i="2"/>
  <c r="Q199" i="2"/>
  <c r="V199" i="2"/>
  <c r="Q200" i="2"/>
  <c r="V200" i="2"/>
  <c r="L201" i="2"/>
  <c r="N201" i="2" s="1"/>
  <c r="M201" i="2"/>
  <c r="P201" i="2"/>
  <c r="Q201" i="2"/>
  <c r="R201" i="2"/>
  <c r="U201" i="2"/>
  <c r="V201" i="2"/>
  <c r="W201" i="2"/>
  <c r="Q202" i="2"/>
  <c r="V202" i="2"/>
  <c r="Q203" i="2"/>
  <c r="V203" i="2"/>
  <c r="Q204" i="2"/>
  <c r="V204" i="2"/>
  <c r="Q205" i="2"/>
  <c r="V205" i="2"/>
  <c r="Q206" i="2"/>
  <c r="V206" i="2"/>
  <c r="Q207" i="2"/>
  <c r="V207" i="2"/>
  <c r="L208" i="2"/>
  <c r="N208" i="2" s="1"/>
  <c r="M208" i="2"/>
  <c r="P208" i="2"/>
  <c r="Q208" i="2"/>
  <c r="R208" i="2"/>
  <c r="U208" i="2"/>
  <c r="V208" i="2"/>
  <c r="W208" i="2"/>
  <c r="Q209" i="2"/>
  <c r="V209" i="2"/>
  <c r="Q210" i="2"/>
  <c r="V210" i="2"/>
  <c r="Q211" i="2"/>
  <c r="V211" i="2"/>
  <c r="Q212" i="2"/>
  <c r="V212" i="2"/>
  <c r="Q213" i="2"/>
  <c r="V213" i="2"/>
  <c r="Q214" i="2"/>
  <c r="V214" i="2"/>
  <c r="L215" i="2"/>
  <c r="N215" i="2" s="1"/>
  <c r="M215" i="2"/>
  <c r="P215" i="2"/>
  <c r="Q215" i="2"/>
  <c r="R215" i="2"/>
  <c r="U215" i="2"/>
  <c r="V215" i="2"/>
  <c r="W215" i="2"/>
  <c r="L216" i="2"/>
  <c r="N216" i="2" s="1"/>
  <c r="M216" i="2"/>
  <c r="P216" i="2"/>
  <c r="Q216" i="2"/>
  <c r="R216" i="2"/>
  <c r="U216" i="2"/>
  <c r="V216" i="2"/>
  <c r="W216" i="2"/>
  <c r="Q217" i="2"/>
  <c r="V217" i="2"/>
  <c r="Q218" i="2"/>
  <c r="V218" i="2"/>
  <c r="Q219" i="2"/>
  <c r="V219" i="2"/>
  <c r="Q220" i="2"/>
  <c r="V220" i="2"/>
  <c r="Q221" i="2"/>
  <c r="V221" i="2"/>
  <c r="L222" i="2"/>
  <c r="N222" i="2" s="1"/>
  <c r="M222" i="2"/>
  <c r="P222" i="2"/>
  <c r="Q222" i="2"/>
  <c r="R222" i="2"/>
  <c r="U222" i="2"/>
  <c r="V222" i="2"/>
  <c r="W222" i="2"/>
  <c r="Q223" i="2"/>
  <c r="V223" i="2"/>
  <c r="Q224" i="2"/>
  <c r="V224" i="2"/>
  <c r="Q225" i="2"/>
  <c r="V225" i="2"/>
  <c r="Q226" i="2"/>
  <c r="V226" i="2"/>
  <c r="Q227" i="2"/>
  <c r="V227" i="2"/>
  <c r="Q228" i="2"/>
  <c r="V228" i="2"/>
  <c r="L229" i="2"/>
  <c r="N229" i="2" s="1"/>
  <c r="M229" i="2"/>
  <c r="P229" i="2"/>
  <c r="Q229" i="2"/>
  <c r="R229" i="2"/>
  <c r="U229" i="2"/>
  <c r="V229" i="2"/>
  <c r="W229" i="2"/>
  <c r="Q230" i="2"/>
  <c r="V230" i="2"/>
  <c r="Q231" i="2"/>
  <c r="V231" i="2"/>
  <c r="Q232" i="2"/>
  <c r="V232" i="2"/>
  <c r="Q233" i="2"/>
  <c r="V233" i="2"/>
  <c r="Q234" i="2"/>
  <c r="V234" i="2"/>
  <c r="Q235" i="2"/>
  <c r="V235" i="2"/>
  <c r="L236" i="2"/>
  <c r="N236" i="2" s="1"/>
  <c r="M236" i="2"/>
  <c r="P236" i="2"/>
  <c r="Q236" i="2"/>
  <c r="R236" i="2"/>
  <c r="U236" i="2"/>
  <c r="V236" i="2"/>
  <c r="W236" i="2"/>
  <c r="Q237" i="2"/>
  <c r="V237" i="2"/>
  <c r="Q238" i="2"/>
  <c r="V238" i="2"/>
  <c r="Q239" i="2"/>
  <c r="V239" i="2"/>
  <c r="Q240" i="2"/>
  <c r="V240" i="2"/>
  <c r="Q241" i="2"/>
  <c r="V241" i="2"/>
  <c r="Q242" i="2"/>
  <c r="V242" i="2"/>
  <c r="L243" i="2"/>
  <c r="N243" i="2" s="1"/>
  <c r="M243" i="2"/>
  <c r="P243" i="2"/>
  <c r="Q243" i="2"/>
  <c r="R243" i="2"/>
  <c r="U243" i="2"/>
  <c r="V243" i="2"/>
  <c r="W243" i="2"/>
  <c r="L244" i="2"/>
  <c r="N244" i="2" s="1"/>
  <c r="M244" i="2"/>
  <c r="P244" i="2"/>
  <c r="Q244" i="2"/>
  <c r="R244" i="2"/>
  <c r="U244" i="2"/>
  <c r="V244" i="2"/>
  <c r="W244" i="2"/>
  <c r="L245" i="2"/>
  <c r="N245" i="2" s="1"/>
  <c r="M245" i="2"/>
  <c r="P245" i="2"/>
  <c r="Q245" i="2"/>
  <c r="R245" i="2"/>
  <c r="U245" i="2"/>
  <c r="V245" i="2"/>
  <c r="W245" i="2"/>
  <c r="L246" i="2"/>
  <c r="N246" i="2" s="1"/>
  <c r="M246" i="2"/>
  <c r="P246" i="2"/>
  <c r="Q246" i="2"/>
  <c r="R246" i="2"/>
  <c r="U246" i="2"/>
  <c r="V246" i="2"/>
  <c r="W246" i="2"/>
  <c r="L247" i="2"/>
  <c r="N247" i="2" s="1"/>
  <c r="M247" i="2"/>
  <c r="P247" i="2"/>
  <c r="Q247" i="2"/>
  <c r="R247" i="2"/>
  <c r="U247" i="2"/>
  <c r="V247" i="2"/>
  <c r="W247" i="2"/>
  <c r="L248" i="2"/>
  <c r="N248" i="2" s="1"/>
  <c r="M248" i="2"/>
  <c r="P248" i="2"/>
  <c r="Q248" i="2"/>
  <c r="R248" i="2"/>
  <c r="U248" i="2"/>
  <c r="V248" i="2"/>
  <c r="W248" i="2"/>
  <c r="Q249" i="2"/>
  <c r="V249" i="2"/>
  <c r="L250" i="2"/>
  <c r="N250" i="2" s="1"/>
  <c r="M250" i="2"/>
  <c r="P250" i="2"/>
  <c r="Q250" i="2"/>
  <c r="R250" i="2"/>
  <c r="U250" i="2"/>
  <c r="V250" i="2"/>
  <c r="W250" i="2"/>
  <c r="Q251" i="2"/>
  <c r="V251" i="2"/>
  <c r="Q252" i="2"/>
  <c r="V252" i="2"/>
  <c r="Q253" i="2"/>
  <c r="V253" i="2"/>
  <c r="Q254" i="2"/>
  <c r="V254" i="2"/>
  <c r="Q255" i="2"/>
  <c r="V255" i="2"/>
  <c r="Q256" i="2"/>
  <c r="V256" i="2"/>
  <c r="L257" i="2"/>
  <c r="N257" i="2" s="1"/>
  <c r="M257" i="2"/>
  <c r="P257" i="2"/>
  <c r="Q257" i="2"/>
  <c r="R257" i="2"/>
  <c r="U257" i="2"/>
  <c r="V257" i="2"/>
  <c r="W257" i="2"/>
  <c r="Q258" i="2"/>
  <c r="V258" i="2"/>
  <c r="Q259" i="2"/>
  <c r="V259" i="2"/>
  <c r="Q260" i="2"/>
  <c r="V260" i="2"/>
  <c r="Q261" i="2"/>
  <c r="V261" i="2"/>
  <c r="Q262" i="2"/>
  <c r="V262" i="2"/>
  <c r="Q263" i="2"/>
  <c r="V263" i="2"/>
  <c r="L264" i="2"/>
  <c r="M264" i="2"/>
  <c r="P264" i="2"/>
  <c r="Q264" i="2"/>
  <c r="R264" i="2"/>
  <c r="U264" i="2"/>
  <c r="V264" i="2"/>
  <c r="W264" i="2"/>
  <c r="Q265" i="2"/>
  <c r="V265" i="2"/>
  <c r="Q266" i="2"/>
  <c r="V266" i="2"/>
  <c r="Q267" i="2"/>
  <c r="V267" i="2"/>
  <c r="Q268" i="2"/>
  <c r="V268" i="2"/>
  <c r="Q269" i="2"/>
  <c r="V269" i="2"/>
  <c r="Q270" i="2"/>
  <c r="V270" i="2"/>
  <c r="L271" i="2"/>
  <c r="N271" i="2" s="1"/>
  <c r="M271" i="2"/>
  <c r="P271" i="2"/>
  <c r="Q271" i="2"/>
  <c r="R271" i="2"/>
  <c r="U271" i="2"/>
  <c r="V271" i="2"/>
  <c r="W271" i="2"/>
  <c r="Q272" i="2"/>
  <c r="V272" i="2"/>
  <c r="Q273" i="2"/>
  <c r="V273" i="2"/>
  <c r="Q274" i="2"/>
  <c r="V274" i="2"/>
  <c r="Q275" i="2"/>
  <c r="V275" i="2"/>
  <c r="Q276" i="2"/>
  <c r="V276" i="2"/>
  <c r="Q277" i="2"/>
  <c r="V277" i="2"/>
  <c r="L278" i="2"/>
  <c r="N278" i="2" s="1"/>
  <c r="M278" i="2"/>
  <c r="P278" i="2"/>
  <c r="Q278" i="2"/>
  <c r="R278" i="2"/>
  <c r="U278" i="2"/>
  <c r="V278" i="2"/>
  <c r="W278" i="2"/>
  <c r="L279" i="2"/>
  <c r="N279" i="2" s="1"/>
  <c r="M279" i="2"/>
  <c r="P279" i="2"/>
  <c r="Q279" i="2"/>
  <c r="R279" i="2"/>
  <c r="U279" i="2"/>
  <c r="V279" i="2"/>
  <c r="W279" i="2"/>
  <c r="Q280" i="2"/>
  <c r="V280" i="2"/>
  <c r="Q281" i="2"/>
  <c r="V281" i="2"/>
  <c r="Q282" i="2"/>
  <c r="V282" i="2"/>
  <c r="Q283" i="2"/>
  <c r="V283" i="2"/>
  <c r="Q284" i="2"/>
  <c r="V284" i="2"/>
  <c r="L285" i="2"/>
  <c r="N285" i="2" s="1"/>
  <c r="M285" i="2"/>
  <c r="P285" i="2"/>
  <c r="Q285" i="2"/>
  <c r="R285" i="2"/>
  <c r="U285" i="2"/>
  <c r="V285" i="2"/>
  <c r="W285" i="2"/>
  <c r="L286" i="2"/>
  <c r="N286" i="2" s="1"/>
  <c r="M286" i="2"/>
  <c r="P286" i="2"/>
  <c r="Q286" i="2"/>
  <c r="R286" i="2"/>
  <c r="U286" i="2"/>
  <c r="V286" i="2"/>
  <c r="W286" i="2"/>
  <c r="Q287" i="2"/>
  <c r="V287" i="2"/>
  <c r="Q288" i="2"/>
  <c r="V288" i="2"/>
  <c r="Q289" i="2"/>
  <c r="V289" i="2"/>
  <c r="Q290" i="2"/>
  <c r="V290" i="2"/>
  <c r="Q291" i="2"/>
  <c r="V291" i="2"/>
  <c r="L292" i="2"/>
  <c r="N292" i="2" s="1"/>
  <c r="M292" i="2"/>
  <c r="P292" i="2"/>
  <c r="Q292" i="2"/>
  <c r="R292" i="2"/>
  <c r="U292" i="2"/>
  <c r="V292" i="2"/>
  <c r="W292" i="2"/>
  <c r="Q293" i="2"/>
  <c r="V293" i="2"/>
  <c r="Q294" i="2"/>
  <c r="V294" i="2"/>
  <c r="Q295" i="2"/>
  <c r="V295" i="2"/>
  <c r="Q296" i="2"/>
  <c r="V296" i="2"/>
  <c r="Q297" i="2"/>
  <c r="V297" i="2"/>
  <c r="Q298" i="2"/>
  <c r="V298" i="2"/>
  <c r="L299" i="2"/>
  <c r="N299" i="2" s="1"/>
  <c r="M299" i="2"/>
  <c r="P299" i="2"/>
  <c r="Q299" i="2"/>
  <c r="R299" i="2"/>
  <c r="U299" i="2"/>
  <c r="V299" i="2"/>
  <c r="W299" i="2"/>
  <c r="Q300" i="2"/>
  <c r="V300" i="2"/>
  <c r="Q301" i="2"/>
  <c r="V301" i="2"/>
  <c r="Q302" i="2"/>
  <c r="V302" i="2"/>
  <c r="Q303" i="2"/>
  <c r="V303" i="2"/>
  <c r="Q304" i="2"/>
  <c r="V304" i="2"/>
  <c r="Q305" i="2"/>
  <c r="V305" i="2"/>
  <c r="L306" i="2"/>
  <c r="N306" i="2" s="1"/>
  <c r="M306" i="2"/>
  <c r="P306" i="2"/>
  <c r="Q306" i="2"/>
  <c r="R306" i="2"/>
  <c r="U306" i="2"/>
  <c r="V306" i="2"/>
  <c r="W306" i="2"/>
  <c r="L307" i="2"/>
  <c r="N307" i="2" s="1"/>
  <c r="M307" i="2"/>
  <c r="P307" i="2"/>
  <c r="Q307" i="2"/>
  <c r="R307" i="2"/>
  <c r="U307" i="2"/>
  <c r="V307" i="2"/>
  <c r="W307" i="2"/>
  <c r="Q308" i="2"/>
  <c r="V308" i="2"/>
  <c r="Q309" i="2"/>
  <c r="V309" i="2"/>
  <c r="Q310" i="2"/>
  <c r="V310" i="2"/>
  <c r="Q311" i="2"/>
  <c r="V311" i="2"/>
  <c r="Q312" i="2"/>
  <c r="V312" i="2"/>
  <c r="L313" i="2"/>
  <c r="N313" i="2" s="1"/>
  <c r="M313" i="2"/>
  <c r="P313" i="2"/>
  <c r="Q313" i="2"/>
  <c r="R313" i="2"/>
  <c r="U313" i="2"/>
  <c r="V313" i="2"/>
  <c r="W313" i="2"/>
  <c r="Q314" i="2"/>
  <c r="V314" i="2"/>
  <c r="Q315" i="2"/>
  <c r="V315" i="2"/>
  <c r="Q316" i="2"/>
  <c r="V316" i="2"/>
  <c r="Q317" i="2"/>
  <c r="V317" i="2"/>
  <c r="Q318" i="2"/>
  <c r="V318" i="2"/>
  <c r="Q319" i="2"/>
  <c r="V319" i="2"/>
  <c r="L320" i="2"/>
  <c r="N320" i="2" s="1"/>
  <c r="M320" i="2"/>
  <c r="P320" i="2"/>
  <c r="Q320" i="2"/>
  <c r="R320" i="2"/>
  <c r="U320" i="2"/>
  <c r="V320" i="2"/>
  <c r="W320" i="2"/>
  <c r="Q321" i="2"/>
  <c r="V321" i="2"/>
  <c r="Q322" i="2"/>
  <c r="V322" i="2"/>
  <c r="Q323" i="2"/>
  <c r="V323" i="2"/>
  <c r="Q324" i="2"/>
  <c r="V324" i="2"/>
  <c r="Q325" i="2"/>
  <c r="V325" i="2"/>
  <c r="Q326" i="2"/>
  <c r="V326" i="2"/>
  <c r="L327" i="2"/>
  <c r="N327" i="2" s="1"/>
  <c r="M327" i="2"/>
  <c r="P327" i="2"/>
  <c r="Q327" i="2"/>
  <c r="R327" i="2"/>
  <c r="U327" i="2"/>
  <c r="V327" i="2"/>
  <c r="W327" i="2"/>
  <c r="L328" i="2"/>
  <c r="N328" i="2" s="1"/>
  <c r="M328" i="2"/>
  <c r="P328" i="2"/>
  <c r="Q328" i="2"/>
  <c r="R328" i="2"/>
  <c r="U328" i="2"/>
  <c r="V328" i="2"/>
  <c r="W328" i="2"/>
  <c r="Q329" i="2"/>
  <c r="V329" i="2"/>
  <c r="Q330" i="2"/>
  <c r="V330" i="2"/>
  <c r="Q331" i="2"/>
  <c r="V331" i="2"/>
  <c r="Q332" i="2"/>
  <c r="V332" i="2"/>
  <c r="Q333" i="2"/>
  <c r="V333" i="2"/>
  <c r="L334" i="2"/>
  <c r="N334" i="2" s="1"/>
  <c r="M334" i="2"/>
  <c r="P334" i="2"/>
  <c r="Q334" i="2"/>
  <c r="R334" i="2"/>
  <c r="U334" i="2"/>
  <c r="V334" i="2"/>
  <c r="W334" i="2"/>
  <c r="Q335" i="2"/>
  <c r="V335" i="2"/>
  <c r="Q336" i="2"/>
  <c r="V336" i="2"/>
  <c r="Q337" i="2"/>
  <c r="V337" i="2"/>
  <c r="Q338" i="2"/>
  <c r="V338" i="2"/>
  <c r="Q339" i="2"/>
  <c r="V339" i="2"/>
  <c r="Q340" i="2"/>
  <c r="V340" i="2"/>
  <c r="L341" i="2"/>
  <c r="N341" i="2" s="1"/>
  <c r="M341" i="2"/>
  <c r="P341" i="2"/>
  <c r="Q341" i="2"/>
  <c r="R341" i="2"/>
  <c r="U341" i="2"/>
  <c r="V341" i="2"/>
  <c r="W341" i="2"/>
  <c r="Q342" i="2"/>
  <c r="V342" i="2"/>
  <c r="Q343" i="2"/>
  <c r="V343" i="2"/>
  <c r="Q344" i="2"/>
  <c r="V344" i="2"/>
  <c r="Q345" i="2"/>
  <c r="V345" i="2"/>
  <c r="Q346" i="2"/>
  <c r="V346" i="2"/>
  <c r="L347" i="2"/>
  <c r="N347" i="2" s="1"/>
  <c r="M347" i="2"/>
  <c r="P347" i="2"/>
  <c r="Q347" i="2"/>
  <c r="R347" i="2"/>
  <c r="U347" i="2"/>
  <c r="V347" i="2"/>
  <c r="W347" i="2"/>
  <c r="L348" i="2"/>
  <c r="N348" i="2" s="1"/>
  <c r="M348" i="2"/>
  <c r="P348" i="2"/>
  <c r="Q348" i="2"/>
  <c r="R348" i="2"/>
  <c r="U348" i="2"/>
  <c r="V348" i="2"/>
  <c r="W348" i="2"/>
  <c r="Q349" i="2"/>
  <c r="V349" i="2"/>
  <c r="Q350" i="2"/>
  <c r="V350" i="2"/>
  <c r="Q351" i="2"/>
  <c r="V351" i="2"/>
  <c r="Q352" i="2"/>
  <c r="V352" i="2"/>
  <c r="Q353" i="2"/>
  <c r="V353" i="2"/>
  <c r="Q354" i="2"/>
  <c r="V354" i="2"/>
  <c r="L355" i="2"/>
  <c r="M355" i="2"/>
  <c r="P355" i="2"/>
  <c r="Q355" i="2"/>
  <c r="R355" i="2"/>
  <c r="U355" i="2"/>
  <c r="V355" i="2"/>
  <c r="W355" i="2"/>
  <c r="Q356" i="2"/>
  <c r="V356" i="2"/>
  <c r="Q357" i="2"/>
  <c r="V357" i="2"/>
  <c r="Q358" i="2"/>
  <c r="V358" i="2"/>
  <c r="Q359" i="2"/>
  <c r="V359" i="2"/>
  <c r="Q360" i="2"/>
  <c r="V360" i="2"/>
  <c r="Q361" i="2"/>
  <c r="V361" i="2"/>
  <c r="L362" i="2"/>
  <c r="N362" i="2" s="1"/>
  <c r="M362" i="2"/>
  <c r="P362" i="2"/>
  <c r="Q362" i="2"/>
  <c r="R362" i="2"/>
  <c r="U362" i="2"/>
  <c r="V362" i="2"/>
  <c r="W362" i="2"/>
  <c r="Q363" i="2"/>
  <c r="V363" i="2"/>
  <c r="Q364" i="2"/>
  <c r="V364" i="2"/>
  <c r="Q365" i="2"/>
  <c r="V365" i="2"/>
  <c r="Q366" i="2"/>
  <c r="V366" i="2"/>
  <c r="Q367" i="2"/>
  <c r="V367" i="2"/>
  <c r="Q368" i="2"/>
  <c r="V368" i="2"/>
  <c r="L369" i="2"/>
  <c r="N369" i="2" s="1"/>
  <c r="M369" i="2"/>
  <c r="P369" i="2"/>
  <c r="Q369" i="2"/>
  <c r="R369" i="2"/>
  <c r="U369" i="2"/>
  <c r="V369" i="2"/>
  <c r="W369" i="2"/>
  <c r="Q370" i="2"/>
  <c r="V370" i="2"/>
  <c r="Q371" i="2"/>
  <c r="V371" i="2"/>
  <c r="Q372" i="2"/>
  <c r="V372" i="2"/>
  <c r="Q373" i="2"/>
  <c r="V373" i="2"/>
  <c r="Q374" i="2"/>
  <c r="V374" i="2"/>
  <c r="Q375" i="2"/>
  <c r="V375" i="2"/>
  <c r="L376" i="2"/>
  <c r="N376" i="2" s="1"/>
  <c r="M376" i="2"/>
  <c r="P376" i="2"/>
  <c r="Q376" i="2"/>
  <c r="R376" i="2"/>
  <c r="U376" i="2"/>
  <c r="V376" i="2"/>
  <c r="W376" i="2"/>
  <c r="Q377" i="2"/>
  <c r="V377" i="2"/>
  <c r="Q378" i="2"/>
  <c r="V378" i="2"/>
  <c r="Q379" i="2"/>
  <c r="V379" i="2"/>
  <c r="Q380" i="2"/>
  <c r="V380" i="2"/>
  <c r="Q381" i="2"/>
  <c r="V381" i="2"/>
  <c r="Q382" i="2"/>
  <c r="V382" i="2"/>
  <c r="L383" i="2"/>
  <c r="N383" i="2" s="1"/>
  <c r="M383" i="2"/>
  <c r="P383" i="2"/>
  <c r="Q383" i="2"/>
  <c r="R383" i="2"/>
  <c r="U383" i="2"/>
  <c r="V383" i="2"/>
  <c r="W383" i="2"/>
  <c r="L384" i="2"/>
  <c r="N384" i="2" s="1"/>
  <c r="M384" i="2"/>
  <c r="P384" i="2"/>
  <c r="Q384" i="2"/>
  <c r="R384" i="2"/>
  <c r="U384" i="2"/>
  <c r="V384" i="2"/>
  <c r="W384" i="2"/>
  <c r="L385" i="2"/>
  <c r="N385" i="2" s="1"/>
  <c r="M385" i="2"/>
  <c r="P385" i="2"/>
  <c r="Q385" i="2"/>
  <c r="R385" i="2"/>
  <c r="U385" i="2"/>
  <c r="V385" i="2"/>
  <c r="W385" i="2"/>
  <c r="F70" i="1"/>
  <c r="F76" i="1"/>
  <c r="F55" i="1"/>
  <c r="F62" i="1"/>
  <c r="F69" i="1"/>
  <c r="G30" i="7" l="1"/>
  <c r="Z31" i="7"/>
  <c r="E30" i="7"/>
  <c r="Y31" i="7"/>
  <c r="AS30" i="5"/>
  <c r="G29" i="5"/>
  <c r="AA32" i="5"/>
  <c r="E31" i="5"/>
  <c r="Z31" i="4"/>
  <c r="G30" i="4"/>
  <c r="Y33" i="4"/>
  <c r="E32" i="4"/>
  <c r="D50" i="1"/>
  <c r="D72" i="1"/>
  <c r="D79" i="1"/>
  <c r="D68" i="1"/>
  <c r="D59" i="1"/>
  <c r="D66" i="1"/>
  <c r="D75" i="1"/>
  <c r="D74" i="1"/>
  <c r="D64" i="1"/>
  <c r="D54" i="1"/>
  <c r="D73" i="1"/>
  <c r="D52" i="1"/>
  <c r="D80" i="1"/>
  <c r="D71" i="1"/>
  <c r="D60" i="1"/>
  <c r="D51" i="1"/>
  <c r="D78" i="1"/>
  <c r="D67" i="1"/>
  <c r="D58" i="1"/>
  <c r="D57" i="1"/>
  <c r="D56" i="1"/>
  <c r="D63" i="1"/>
  <c r="D53" i="1"/>
  <c r="D61" i="1"/>
  <c r="D77" i="1"/>
  <c r="D65" i="1"/>
  <c r="S89" i="2"/>
  <c r="S20" i="2"/>
  <c r="S173" i="2"/>
  <c r="S159" i="2"/>
  <c r="Z26" i="3"/>
  <c r="G25" i="3"/>
  <c r="E25" i="3"/>
  <c r="Y26" i="3"/>
  <c r="X117" i="2"/>
  <c r="X68" i="2"/>
  <c r="X22" i="2"/>
  <c r="S144" i="2"/>
  <c r="S143" i="2"/>
  <c r="S328" i="2"/>
  <c r="X201" i="2"/>
  <c r="S385" i="2"/>
  <c r="S384" i="2"/>
  <c r="S73" i="2"/>
  <c r="S383" i="2"/>
  <c r="S369" i="2"/>
  <c r="S355" i="2"/>
  <c r="X173" i="2"/>
  <c r="X54" i="2"/>
  <c r="X369" i="2"/>
  <c r="S245" i="2"/>
  <c r="S229" i="2"/>
  <c r="X208" i="2"/>
  <c r="X180" i="2"/>
  <c r="S307" i="2"/>
  <c r="S306" i="2"/>
  <c r="X236" i="2"/>
  <c r="X222" i="2"/>
  <c r="S278" i="2"/>
  <c r="S264" i="2"/>
  <c r="X248" i="2"/>
  <c r="X246" i="2"/>
  <c r="X245" i="2"/>
  <c r="X244" i="2"/>
  <c r="X243" i="2"/>
  <c r="X229" i="2"/>
  <c r="S124" i="2"/>
  <c r="X110" i="2"/>
  <c r="X250" i="2"/>
  <c r="X146" i="2"/>
  <c r="X138" i="2"/>
  <c r="X124" i="2"/>
  <c r="S99" i="2"/>
  <c r="S54" i="2"/>
  <c r="S26" i="2"/>
  <c r="X62" i="2"/>
  <c r="X271" i="2"/>
  <c r="S47" i="2"/>
  <c r="S248" i="2"/>
  <c r="S347" i="2"/>
  <c r="X307" i="2"/>
  <c r="X292" i="2"/>
  <c r="X257" i="2"/>
  <c r="S152" i="2"/>
  <c r="X144" i="2"/>
  <c r="X143" i="2"/>
  <c r="S117" i="2"/>
  <c r="S75" i="2"/>
  <c r="X40" i="2"/>
  <c r="X355" i="2"/>
  <c r="S313" i="2"/>
  <c r="S103" i="2"/>
  <c r="X26" i="2"/>
  <c r="X25" i="2"/>
  <c r="X20" i="2"/>
  <c r="X362" i="2"/>
  <c r="X348" i="2"/>
  <c r="X194" i="2"/>
  <c r="X47" i="2"/>
  <c r="X384" i="2"/>
  <c r="S236" i="2"/>
  <c r="X215" i="2"/>
  <c r="S180" i="2"/>
  <c r="X103" i="2"/>
  <c r="S22" i="2"/>
  <c r="S341" i="2"/>
  <c r="X383" i="2"/>
  <c r="S376" i="2"/>
  <c r="S348" i="2"/>
  <c r="S244" i="2"/>
  <c r="X131" i="2"/>
  <c r="X385" i="2"/>
  <c r="S327" i="2"/>
  <c r="X320" i="2"/>
  <c r="S250" i="2"/>
  <c r="X216" i="2"/>
  <c r="S187" i="2"/>
  <c r="X159" i="2"/>
  <c r="S131" i="2"/>
  <c r="S110" i="2"/>
  <c r="S96" i="2"/>
  <c r="S68" i="2"/>
  <c r="S222" i="2"/>
  <c r="X145" i="2"/>
  <c r="X139" i="2"/>
  <c r="S320" i="2"/>
  <c r="X299" i="2"/>
  <c r="X279" i="2"/>
  <c r="S216" i="2"/>
  <c r="X166" i="2"/>
  <c r="S62" i="2"/>
  <c r="S61" i="2"/>
  <c r="S334" i="2"/>
  <c r="X327" i="2"/>
  <c r="S285" i="2"/>
  <c r="S257" i="2"/>
  <c r="S247" i="2"/>
  <c r="S246" i="2"/>
  <c r="S215" i="2"/>
  <c r="S139" i="2"/>
  <c r="X82" i="2"/>
  <c r="S194" i="2"/>
  <c r="X23" i="2"/>
  <c r="T9" i="2"/>
  <c r="T8" i="2" s="1"/>
  <c r="X376" i="2"/>
  <c r="X347" i="2"/>
  <c r="S292" i="2"/>
  <c r="X285" i="2"/>
  <c r="X264" i="2"/>
  <c r="S243" i="2"/>
  <c r="S138" i="2"/>
  <c r="X75" i="2"/>
  <c r="X33" i="2"/>
  <c r="S23" i="2"/>
  <c r="X21" i="2"/>
  <c r="X328" i="2"/>
  <c r="X306" i="2"/>
  <c r="S286" i="2"/>
  <c r="S33" i="2"/>
  <c r="S25" i="2"/>
  <c r="S21" i="2"/>
  <c r="X89" i="2"/>
  <c r="I3" i="2"/>
  <c r="K3" i="2" s="1"/>
  <c r="S362" i="2"/>
  <c r="X341" i="2"/>
  <c r="X334" i="2"/>
  <c r="N355" i="2"/>
  <c r="X313" i="2"/>
  <c r="S299" i="2"/>
  <c r="X286" i="2"/>
  <c r="S279" i="2"/>
  <c r="S271" i="2"/>
  <c r="N264" i="2"/>
  <c r="X278" i="2"/>
  <c r="S201" i="2"/>
  <c r="X247" i="2"/>
  <c r="S208" i="2"/>
  <c r="S166" i="2"/>
  <c r="S146" i="2"/>
  <c r="S145" i="2"/>
  <c r="X187" i="2"/>
  <c r="X152" i="2"/>
  <c r="X99" i="2"/>
  <c r="X96" i="2"/>
  <c r="S82" i="2"/>
  <c r="X73" i="2"/>
  <c r="AA21" i="2"/>
  <c r="E20" i="2"/>
  <c r="X61" i="2"/>
  <c r="N22" i="2"/>
  <c r="AS21" i="2"/>
  <c r="E3" i="2"/>
  <c r="B7" i="2" s="1"/>
  <c r="S40" i="2"/>
  <c r="R3" i="2"/>
  <c r="Z32" i="7" l="1"/>
  <c r="G31" i="7"/>
  <c r="Y32" i="7"/>
  <c r="E31" i="7"/>
  <c r="AA33" i="5"/>
  <c r="E32" i="5"/>
  <c r="AS31" i="5"/>
  <c r="G30" i="5"/>
  <c r="Y34" i="4"/>
  <c r="E33" i="4"/>
  <c r="Z32" i="4"/>
  <c r="G31" i="4"/>
  <c r="D81" i="1"/>
  <c r="C82" i="1" s="1"/>
  <c r="E26" i="3"/>
  <c r="Y27" i="3"/>
  <c r="Z27" i="3"/>
  <c r="G26" i="3"/>
  <c r="G21" i="2"/>
  <c r="AS22" i="2"/>
  <c r="G6" i="2"/>
  <c r="G10" i="2"/>
  <c r="G11" i="2"/>
  <c r="G15" i="2"/>
  <c r="G7" i="2"/>
  <c r="G8" i="2"/>
  <c r="G13" i="2"/>
  <c r="G17" i="2"/>
  <c r="G9" i="2"/>
  <c r="G14" i="2"/>
  <c r="G12" i="2"/>
  <c r="G16" i="2"/>
  <c r="E21" i="2"/>
  <c r="AA22" i="2"/>
  <c r="Z33" i="7" l="1"/>
  <c r="G32" i="7"/>
  <c r="Y33" i="7"/>
  <c r="E32" i="7"/>
  <c r="AS32" i="5"/>
  <c r="G31" i="5"/>
  <c r="AA34" i="5"/>
  <c r="E33" i="5"/>
  <c r="Z33" i="4"/>
  <c r="G32" i="4"/>
  <c r="Y35" i="4"/>
  <c r="E34" i="4"/>
  <c r="Y28" i="3"/>
  <c r="E27" i="3"/>
  <c r="G27" i="3"/>
  <c r="Z28" i="3"/>
  <c r="J7" i="2"/>
  <c r="P7" i="2"/>
  <c r="AA23" i="2"/>
  <c r="E22" i="2"/>
  <c r="J8" i="2"/>
  <c r="P8" i="2"/>
  <c r="J11" i="2"/>
  <c r="P11" i="2"/>
  <c r="J9" i="2"/>
  <c r="P9" i="2"/>
  <c r="J6" i="2"/>
  <c r="P6" i="2"/>
  <c r="P16" i="2"/>
  <c r="J16" i="2"/>
  <c r="P14" i="2"/>
  <c r="J14" i="2"/>
  <c r="J10" i="2"/>
  <c r="P10" i="2"/>
  <c r="J17" i="2"/>
  <c r="P17" i="2"/>
  <c r="G22" i="2"/>
  <c r="AS23" i="2"/>
  <c r="J15" i="2"/>
  <c r="P15" i="2"/>
  <c r="J12" i="2"/>
  <c r="P12" i="2"/>
  <c r="J13" i="2"/>
  <c r="P13" i="2"/>
  <c r="Z34" i="7" l="1"/>
  <c r="G33" i="7"/>
  <c r="Y34" i="7"/>
  <c r="E33" i="7"/>
  <c r="E34" i="5"/>
  <c r="AA35" i="5"/>
  <c r="AS33" i="5"/>
  <c r="G32" i="5"/>
  <c r="Y36" i="4"/>
  <c r="E35" i="4"/>
  <c r="Z34" i="4"/>
  <c r="G33" i="4"/>
  <c r="Z29" i="3"/>
  <c r="G28" i="3"/>
  <c r="Y29" i="3"/>
  <c r="E28" i="3"/>
  <c r="N11" i="2"/>
  <c r="K11" i="2"/>
  <c r="AS24" i="2"/>
  <c r="G23" i="2"/>
  <c r="K14" i="2"/>
  <c r="N14" i="2"/>
  <c r="K16" i="2"/>
  <c r="N16" i="2"/>
  <c r="K8" i="2"/>
  <c r="N8" i="2"/>
  <c r="K13" i="2"/>
  <c r="N13" i="2"/>
  <c r="K17" i="2"/>
  <c r="N17" i="2"/>
  <c r="K6" i="2"/>
  <c r="N6" i="2"/>
  <c r="E23" i="2"/>
  <c r="AA24" i="2"/>
  <c r="K15" i="2"/>
  <c r="N15" i="2"/>
  <c r="K12" i="2"/>
  <c r="N12" i="2"/>
  <c r="K10" i="2"/>
  <c r="N10" i="2"/>
  <c r="K9" i="2"/>
  <c r="N9" i="2"/>
  <c r="K7" i="2"/>
  <c r="N7" i="2"/>
  <c r="Z35" i="7" l="1"/>
  <c r="G34" i="7"/>
  <c r="Y35" i="7"/>
  <c r="E34" i="7"/>
  <c r="G33" i="5"/>
  <c r="AS34" i="5"/>
  <c r="AA36" i="5"/>
  <c r="E35" i="5"/>
  <c r="Z35" i="4"/>
  <c r="G34" i="4"/>
  <c r="Y37" i="4"/>
  <c r="E36" i="4"/>
  <c r="Z30" i="3"/>
  <c r="G29" i="3"/>
  <c r="E29" i="3"/>
  <c r="Y30" i="3"/>
  <c r="L29" i="2"/>
  <c r="L37" i="2"/>
  <c r="L41" i="2"/>
  <c r="L45" i="2"/>
  <c r="L49" i="2"/>
  <c r="L27" i="2"/>
  <c r="L31" i="2"/>
  <c r="L35" i="2"/>
  <c r="L39" i="2"/>
  <c r="L43" i="2"/>
  <c r="AO5" i="2"/>
  <c r="L24" i="2"/>
  <c r="L28" i="2"/>
  <c r="L32" i="2"/>
  <c r="L36" i="2"/>
  <c r="L44" i="2"/>
  <c r="L48" i="2"/>
  <c r="L38" i="2"/>
  <c r="L30" i="2"/>
  <c r="L50" i="2"/>
  <c r="L46" i="2"/>
  <c r="L34" i="2"/>
  <c r="L42" i="2"/>
  <c r="AO11" i="2"/>
  <c r="L204" i="2"/>
  <c r="L212" i="2"/>
  <c r="L220" i="2"/>
  <c r="L224" i="2"/>
  <c r="L228" i="2"/>
  <c r="L232" i="2"/>
  <c r="L203" i="2"/>
  <c r="L207" i="2"/>
  <c r="L211" i="2"/>
  <c r="L217" i="2"/>
  <c r="L225" i="2"/>
  <c r="L219" i="2"/>
  <c r="L227" i="2"/>
  <c r="L210" i="2"/>
  <c r="L213" i="2"/>
  <c r="L223" i="2"/>
  <c r="L231" i="2"/>
  <c r="L205" i="2"/>
  <c r="L226" i="2"/>
  <c r="L209" i="2"/>
  <c r="L202" i="2"/>
  <c r="L206" i="2"/>
  <c r="L214" i="2"/>
  <c r="L230" i="2"/>
  <c r="L218" i="2"/>
  <c r="L221" i="2"/>
  <c r="AO13" i="2"/>
  <c r="L265" i="2"/>
  <c r="L269" i="2"/>
  <c r="L275" i="2"/>
  <c r="L283" i="2"/>
  <c r="L287" i="2"/>
  <c r="L291" i="2"/>
  <c r="L270" i="2"/>
  <c r="L274" i="2"/>
  <c r="L282" i="2"/>
  <c r="L290" i="2"/>
  <c r="L267" i="2"/>
  <c r="L288" i="2"/>
  <c r="L268" i="2"/>
  <c r="L266" i="2"/>
  <c r="L273" i="2"/>
  <c r="L277" i="2"/>
  <c r="L284" i="2"/>
  <c r="L293" i="2"/>
  <c r="L280" i="2"/>
  <c r="L289" i="2"/>
  <c r="L281" i="2"/>
  <c r="L272" i="2"/>
  <c r="L276" i="2"/>
  <c r="L53" i="2"/>
  <c r="L57" i="2"/>
  <c r="L51" i="2"/>
  <c r="L55" i="2"/>
  <c r="AO6" i="2"/>
  <c r="L56" i="2"/>
  <c r="L66" i="2"/>
  <c r="L70" i="2"/>
  <c r="L52" i="2"/>
  <c r="L59" i="2"/>
  <c r="L69" i="2"/>
  <c r="L72" i="2"/>
  <c r="L74" i="2"/>
  <c r="L78" i="2"/>
  <c r="L79" i="2"/>
  <c r="L76" i="2"/>
  <c r="L77" i="2"/>
  <c r="L64" i="2"/>
  <c r="L71" i="2"/>
  <c r="L65" i="2"/>
  <c r="L67" i="2"/>
  <c r="L60" i="2"/>
  <c r="L63" i="2"/>
  <c r="L58" i="2"/>
  <c r="AO12" i="2"/>
  <c r="L253" i="2"/>
  <c r="L261" i="2"/>
  <c r="L233" i="2"/>
  <c r="L249" i="2"/>
  <c r="L235" i="2"/>
  <c r="L239" i="2"/>
  <c r="L234" i="2"/>
  <c r="L237" i="2"/>
  <c r="L241" i="2"/>
  <c r="L263" i="2"/>
  <c r="L258" i="2"/>
  <c r="L238" i="2"/>
  <c r="L240" i="2"/>
  <c r="L262" i="2"/>
  <c r="L259" i="2"/>
  <c r="L260" i="2"/>
  <c r="L256" i="2"/>
  <c r="L251" i="2"/>
  <c r="L254" i="2"/>
  <c r="L242" i="2"/>
  <c r="L255" i="2"/>
  <c r="L252" i="2"/>
  <c r="G24" i="2"/>
  <c r="AS25" i="2"/>
  <c r="AO14" i="2"/>
  <c r="L295" i="2"/>
  <c r="L303" i="2"/>
  <c r="L311" i="2"/>
  <c r="L315" i="2"/>
  <c r="L294" i="2"/>
  <c r="L298" i="2"/>
  <c r="L302" i="2"/>
  <c r="L310" i="2"/>
  <c r="L319" i="2"/>
  <c r="L323" i="2"/>
  <c r="L301" i="2"/>
  <c r="L305" i="2"/>
  <c r="L309" i="2"/>
  <c r="L312" i="2"/>
  <c r="L300" i="2"/>
  <c r="L304" i="2"/>
  <c r="L308" i="2"/>
  <c r="L317" i="2"/>
  <c r="L296" i="2"/>
  <c r="L316" i="2"/>
  <c r="L318" i="2"/>
  <c r="L322" i="2"/>
  <c r="L324" i="2"/>
  <c r="L314" i="2"/>
  <c r="L297" i="2"/>
  <c r="L321" i="2"/>
  <c r="AA25" i="2"/>
  <c r="E24" i="2"/>
  <c r="AO10" i="2"/>
  <c r="L177" i="2"/>
  <c r="L175" i="2"/>
  <c r="L181" i="2"/>
  <c r="L184" i="2"/>
  <c r="L185" i="2"/>
  <c r="L182" i="2"/>
  <c r="L186" i="2"/>
  <c r="L192" i="2"/>
  <c r="L193" i="2"/>
  <c r="L199" i="2"/>
  <c r="L200" i="2"/>
  <c r="L172" i="2"/>
  <c r="L179" i="2"/>
  <c r="L178" i="2"/>
  <c r="L174" i="2"/>
  <c r="L189" i="2"/>
  <c r="L195" i="2"/>
  <c r="L191" i="2"/>
  <c r="L196" i="2"/>
  <c r="L198" i="2"/>
  <c r="L190" i="2"/>
  <c r="L188" i="2"/>
  <c r="L176" i="2"/>
  <c r="L197" i="2"/>
  <c r="L183" i="2"/>
  <c r="AO9" i="2"/>
  <c r="L142" i="2"/>
  <c r="L149" i="2"/>
  <c r="L153" i="2"/>
  <c r="L157" i="2"/>
  <c r="L161" i="2"/>
  <c r="L165" i="2"/>
  <c r="L169" i="2"/>
  <c r="L150" i="2"/>
  <c r="L154" i="2"/>
  <c r="L158" i="2"/>
  <c r="L148" i="2"/>
  <c r="L155" i="2"/>
  <c r="L162" i="2"/>
  <c r="L170" i="2"/>
  <c r="L160" i="2"/>
  <c r="L167" i="2"/>
  <c r="L147" i="2"/>
  <c r="L151" i="2"/>
  <c r="L141" i="2"/>
  <c r="L163" i="2"/>
  <c r="L156" i="2"/>
  <c r="L171" i="2"/>
  <c r="L168" i="2"/>
  <c r="L164" i="2"/>
  <c r="AO15" i="2"/>
  <c r="L329" i="2"/>
  <c r="L330" i="2"/>
  <c r="L335" i="2"/>
  <c r="L336" i="2"/>
  <c r="L337" i="2"/>
  <c r="L338" i="2"/>
  <c r="L342" i="2"/>
  <c r="L349" i="2"/>
  <c r="L350" i="2"/>
  <c r="L353" i="2"/>
  <c r="L325" i="2"/>
  <c r="L351" i="2"/>
  <c r="L343" i="2"/>
  <c r="L344" i="2"/>
  <c r="L326" i="2"/>
  <c r="L352" i="2"/>
  <c r="L354" i="2"/>
  <c r="L332" i="2"/>
  <c r="L331" i="2"/>
  <c r="L333" i="2"/>
  <c r="L340" i="2"/>
  <c r="L345" i="2"/>
  <c r="L346" i="2"/>
  <c r="L339" i="2"/>
  <c r="AO16" i="2"/>
  <c r="L381" i="2"/>
  <c r="L357" i="2"/>
  <c r="L361" i="2"/>
  <c r="L365" i="2"/>
  <c r="L373" i="2"/>
  <c r="L377" i="2"/>
  <c r="L356" i="2"/>
  <c r="L360" i="2"/>
  <c r="L363" i="2"/>
  <c r="L375" i="2"/>
  <c r="L367" i="2"/>
  <c r="L378" i="2"/>
  <c r="L382" i="2"/>
  <c r="L371" i="2"/>
  <c r="L358" i="2"/>
  <c r="L370" i="2"/>
  <c r="L366" i="2"/>
  <c r="L379" i="2"/>
  <c r="L364" i="2"/>
  <c r="L372" i="2"/>
  <c r="L374" i="2"/>
  <c r="L380" i="2"/>
  <c r="L368" i="2"/>
  <c r="L359" i="2"/>
  <c r="AO8" i="2"/>
  <c r="L114" i="2"/>
  <c r="L115" i="2"/>
  <c r="L130" i="2"/>
  <c r="L134" i="2"/>
  <c r="L111" i="2"/>
  <c r="L113" i="2"/>
  <c r="L122" i="2"/>
  <c r="L123" i="2"/>
  <c r="L126" i="2"/>
  <c r="L127" i="2"/>
  <c r="L129" i="2"/>
  <c r="L132" i="2"/>
  <c r="L120" i="2"/>
  <c r="L125" i="2"/>
  <c r="L121" i="2"/>
  <c r="L140" i="2"/>
  <c r="L133" i="2"/>
  <c r="L136" i="2"/>
  <c r="L137" i="2"/>
  <c r="L135" i="2"/>
  <c r="L118" i="2"/>
  <c r="L128" i="2"/>
  <c r="L116" i="2"/>
  <c r="L112" i="2"/>
  <c r="L119" i="2"/>
  <c r="AO7" i="2"/>
  <c r="L80" i="2"/>
  <c r="L81" i="2"/>
  <c r="L85" i="2"/>
  <c r="L93" i="2"/>
  <c r="L97" i="2"/>
  <c r="L101" i="2"/>
  <c r="L86" i="2"/>
  <c r="L90" i="2"/>
  <c r="L94" i="2"/>
  <c r="L98" i="2"/>
  <c r="L100" i="2"/>
  <c r="L84" i="2"/>
  <c r="L88" i="2"/>
  <c r="L91" i="2"/>
  <c r="L102" i="2"/>
  <c r="L106" i="2"/>
  <c r="L95" i="2"/>
  <c r="L83" i="2"/>
  <c r="L92" i="2"/>
  <c r="L105" i="2"/>
  <c r="L108" i="2"/>
  <c r="L87" i="2"/>
  <c r="L109" i="2"/>
  <c r="L107" i="2"/>
  <c r="L104" i="2"/>
  <c r="Z36" i="7" l="1"/>
  <c r="G35" i="7"/>
  <c r="Y36" i="7"/>
  <c r="E35" i="7"/>
  <c r="AA37" i="5"/>
  <c r="E36" i="5"/>
  <c r="G34" i="5"/>
  <c r="AS35" i="5"/>
  <c r="Y38" i="4"/>
  <c r="E37" i="4"/>
  <c r="G35" i="4"/>
  <c r="Z36" i="4"/>
  <c r="E30" i="3"/>
  <c r="Y31" i="3"/>
  <c r="G30" i="3"/>
  <c r="Z31" i="3"/>
  <c r="M86" i="2"/>
  <c r="N86" i="2"/>
  <c r="N379" i="2"/>
  <c r="M379" i="2"/>
  <c r="N163" i="2"/>
  <c r="M163" i="2"/>
  <c r="E25" i="2"/>
  <c r="AA26" i="2"/>
  <c r="M249" i="2"/>
  <c r="N249" i="2"/>
  <c r="M87" i="2"/>
  <c r="N87" i="2"/>
  <c r="N107" i="2"/>
  <c r="M107" i="2"/>
  <c r="M106" i="2"/>
  <c r="N106" i="2"/>
  <c r="N90" i="2"/>
  <c r="M90" i="2"/>
  <c r="M136" i="2"/>
  <c r="N136" i="2"/>
  <c r="M127" i="2"/>
  <c r="N127" i="2"/>
  <c r="M115" i="2"/>
  <c r="N115" i="2"/>
  <c r="M364" i="2"/>
  <c r="N364" i="2"/>
  <c r="N367" i="2"/>
  <c r="M367" i="2"/>
  <c r="M361" i="2"/>
  <c r="N361" i="2"/>
  <c r="N333" i="2"/>
  <c r="M333" i="2"/>
  <c r="N351" i="2"/>
  <c r="M351" i="2"/>
  <c r="M336" i="2"/>
  <c r="N336" i="2"/>
  <c r="M156" i="2"/>
  <c r="N156" i="2"/>
  <c r="N162" i="2"/>
  <c r="M162" i="2"/>
  <c r="M161" i="2"/>
  <c r="N161" i="2"/>
  <c r="M176" i="2"/>
  <c r="N176" i="2"/>
  <c r="N174" i="2"/>
  <c r="M174" i="2"/>
  <c r="N186" i="2"/>
  <c r="M186" i="2"/>
  <c r="M316" i="2"/>
  <c r="N316" i="2"/>
  <c r="N305" i="2"/>
  <c r="M305" i="2"/>
  <c r="M315" i="2"/>
  <c r="N315" i="2"/>
  <c r="N255" i="2"/>
  <c r="M255" i="2"/>
  <c r="M240" i="2"/>
  <c r="N240" i="2"/>
  <c r="M235" i="2"/>
  <c r="N235" i="2"/>
  <c r="M60" i="2"/>
  <c r="N60" i="2"/>
  <c r="M78" i="2"/>
  <c r="N78" i="2"/>
  <c r="N56" i="2"/>
  <c r="M56" i="2"/>
  <c r="N281" i="2"/>
  <c r="M281" i="2"/>
  <c r="N268" i="2"/>
  <c r="M268" i="2"/>
  <c r="M287" i="2"/>
  <c r="N287" i="2"/>
  <c r="M230" i="2"/>
  <c r="N230" i="2"/>
  <c r="M223" i="2"/>
  <c r="N223" i="2"/>
  <c r="M207" i="2"/>
  <c r="N207" i="2"/>
  <c r="N44" i="2"/>
  <c r="M44" i="2"/>
  <c r="M35" i="2"/>
  <c r="N35" i="2"/>
  <c r="N289" i="2"/>
  <c r="M289" i="2"/>
  <c r="M288" i="2"/>
  <c r="N288" i="2"/>
  <c r="M283" i="2"/>
  <c r="N283" i="2"/>
  <c r="N214" i="2"/>
  <c r="M214" i="2"/>
  <c r="M213" i="2"/>
  <c r="N213" i="2"/>
  <c r="M203" i="2"/>
  <c r="N203" i="2"/>
  <c r="N42" i="2"/>
  <c r="M42" i="2"/>
  <c r="N36" i="2"/>
  <c r="M36" i="2"/>
  <c r="M31" i="2"/>
  <c r="N31" i="2"/>
  <c r="M366" i="2"/>
  <c r="N366" i="2"/>
  <c r="N363" i="2"/>
  <c r="M363" i="2"/>
  <c r="M381" i="2"/>
  <c r="N381" i="2"/>
  <c r="N332" i="2"/>
  <c r="M332" i="2"/>
  <c r="N353" i="2"/>
  <c r="M353" i="2"/>
  <c r="M330" i="2"/>
  <c r="N330" i="2"/>
  <c r="N141" i="2"/>
  <c r="P147" i="2"/>
  <c r="P151" i="2"/>
  <c r="P155" i="2"/>
  <c r="P163" i="2"/>
  <c r="P167" i="2"/>
  <c r="P171" i="2"/>
  <c r="P148" i="2"/>
  <c r="P156" i="2"/>
  <c r="P160" i="2"/>
  <c r="P164" i="2"/>
  <c r="P168" i="2"/>
  <c r="P169" i="2"/>
  <c r="P154" i="2"/>
  <c r="P158" i="2"/>
  <c r="P161" i="2"/>
  <c r="P142" i="2"/>
  <c r="P165" i="2"/>
  <c r="P162" i="2"/>
  <c r="P149" i="2"/>
  <c r="P150" i="2"/>
  <c r="P153" i="2"/>
  <c r="P157" i="2"/>
  <c r="M141" i="2"/>
  <c r="P141" i="2"/>
  <c r="P170" i="2"/>
  <c r="M148" i="2"/>
  <c r="N148" i="2"/>
  <c r="M153" i="2"/>
  <c r="N153" i="2"/>
  <c r="N190" i="2"/>
  <c r="M190" i="2"/>
  <c r="M179" i="2"/>
  <c r="N179" i="2"/>
  <c r="M185" i="2"/>
  <c r="N185" i="2"/>
  <c r="N321" i="2"/>
  <c r="M321" i="2"/>
  <c r="M317" i="2"/>
  <c r="N317" i="2"/>
  <c r="M323" i="2"/>
  <c r="N323" i="2"/>
  <c r="M303" i="2"/>
  <c r="N303" i="2"/>
  <c r="N254" i="2"/>
  <c r="M254" i="2"/>
  <c r="M258" i="2"/>
  <c r="N258" i="2"/>
  <c r="P234" i="2"/>
  <c r="P238" i="2"/>
  <c r="P242" i="2"/>
  <c r="P235" i="2"/>
  <c r="P252" i="2"/>
  <c r="P256" i="2"/>
  <c r="M233" i="2"/>
  <c r="P254" i="2"/>
  <c r="P237" i="2"/>
  <c r="P239" i="2"/>
  <c r="P241" i="2"/>
  <c r="P249" i="2"/>
  <c r="P253" i="2"/>
  <c r="P233" i="2"/>
  <c r="P251" i="2"/>
  <c r="P255" i="2"/>
  <c r="P262" i="2"/>
  <c r="P263" i="2"/>
  <c r="P261" i="2"/>
  <c r="P240" i="2"/>
  <c r="P260" i="2"/>
  <c r="N233" i="2"/>
  <c r="P259" i="2"/>
  <c r="P258" i="2"/>
  <c r="M65" i="2"/>
  <c r="N65" i="2"/>
  <c r="M72" i="2"/>
  <c r="N72" i="2"/>
  <c r="M55" i="2"/>
  <c r="N55" i="2"/>
  <c r="N280" i="2"/>
  <c r="M280" i="2"/>
  <c r="N267" i="2"/>
  <c r="M267" i="2"/>
  <c r="M275" i="2"/>
  <c r="N275" i="2"/>
  <c r="N206" i="2"/>
  <c r="M206" i="2"/>
  <c r="N210" i="2"/>
  <c r="M210" i="2"/>
  <c r="M232" i="2"/>
  <c r="N232" i="2"/>
  <c r="N34" i="2"/>
  <c r="M34" i="2"/>
  <c r="N32" i="2"/>
  <c r="M32" i="2"/>
  <c r="M27" i="2"/>
  <c r="N27" i="2"/>
  <c r="M354" i="2"/>
  <c r="N354" i="2"/>
  <c r="M350" i="2"/>
  <c r="N350" i="2"/>
  <c r="M329" i="2"/>
  <c r="N329" i="2"/>
  <c r="N151" i="2"/>
  <c r="M151" i="2"/>
  <c r="N158" i="2"/>
  <c r="M158" i="2"/>
  <c r="M149" i="2"/>
  <c r="N149" i="2"/>
  <c r="M198" i="2"/>
  <c r="N198" i="2"/>
  <c r="M172" i="2"/>
  <c r="P175" i="2"/>
  <c r="P179" i="2"/>
  <c r="P183" i="2"/>
  <c r="P191" i="2"/>
  <c r="P195" i="2"/>
  <c r="P199" i="2"/>
  <c r="N172" i="2"/>
  <c r="P172" i="2"/>
  <c r="P176" i="2"/>
  <c r="P184" i="2"/>
  <c r="P174" i="2"/>
  <c r="P178" i="2"/>
  <c r="P186" i="2"/>
  <c r="P188" i="2"/>
  <c r="P189" i="2"/>
  <c r="P190" i="2"/>
  <c r="P182" i="2"/>
  <c r="P185" i="2"/>
  <c r="P177" i="2"/>
  <c r="P192" i="2"/>
  <c r="P193" i="2"/>
  <c r="P196" i="2"/>
  <c r="P197" i="2"/>
  <c r="P198" i="2"/>
  <c r="P181" i="2"/>
  <c r="P200" i="2"/>
  <c r="M184" i="2"/>
  <c r="N184" i="2"/>
  <c r="N297" i="2"/>
  <c r="M297" i="2"/>
  <c r="M308" i="2"/>
  <c r="N308" i="2"/>
  <c r="M319" i="2"/>
  <c r="N319" i="2"/>
  <c r="M295" i="2"/>
  <c r="N295" i="2"/>
  <c r="N251" i="2"/>
  <c r="M251" i="2"/>
  <c r="M263" i="2"/>
  <c r="N263" i="2"/>
  <c r="N261" i="2"/>
  <c r="M261" i="2"/>
  <c r="M71" i="2"/>
  <c r="N71" i="2"/>
  <c r="M69" i="2"/>
  <c r="N69" i="2"/>
  <c r="M51" i="2"/>
  <c r="P60" i="2"/>
  <c r="P64" i="2"/>
  <c r="P72" i="2"/>
  <c r="P76" i="2"/>
  <c r="P52" i="2"/>
  <c r="P65" i="2"/>
  <c r="P69" i="2"/>
  <c r="P55" i="2"/>
  <c r="P67" i="2"/>
  <c r="P63" i="2"/>
  <c r="P51" i="2"/>
  <c r="P58" i="2"/>
  <c r="N51" i="2"/>
  <c r="P56" i="2"/>
  <c r="P66" i="2"/>
  <c r="P59" i="2"/>
  <c r="P70" i="2"/>
  <c r="P57" i="2"/>
  <c r="P74" i="2"/>
  <c r="P53" i="2"/>
  <c r="P77" i="2"/>
  <c r="P78" i="2"/>
  <c r="P71" i="2"/>
  <c r="P79" i="2"/>
  <c r="N293" i="2"/>
  <c r="M293" i="2"/>
  <c r="M290" i="2"/>
  <c r="N290" i="2"/>
  <c r="N269" i="2"/>
  <c r="M269" i="2"/>
  <c r="P202" i="2"/>
  <c r="P206" i="2"/>
  <c r="P210" i="2"/>
  <c r="P214" i="2"/>
  <c r="P218" i="2"/>
  <c r="P226" i="2"/>
  <c r="P230" i="2"/>
  <c r="P203" i="2"/>
  <c r="P207" i="2"/>
  <c r="P211" i="2"/>
  <c r="P219" i="2"/>
  <c r="P223" i="2"/>
  <c r="P227" i="2"/>
  <c r="P231" i="2"/>
  <c r="N202" i="2"/>
  <c r="P212" i="2"/>
  <c r="P209" i="2"/>
  <c r="P221" i="2"/>
  <c r="P204" i="2"/>
  <c r="P217" i="2"/>
  <c r="P225" i="2"/>
  <c r="M202" i="2"/>
  <c r="P205" i="2"/>
  <c r="P213" i="2"/>
  <c r="P228" i="2"/>
  <c r="P232" i="2"/>
  <c r="P220" i="2"/>
  <c r="P224" i="2"/>
  <c r="M227" i="2"/>
  <c r="N227" i="2"/>
  <c r="M228" i="2"/>
  <c r="N228" i="2"/>
  <c r="N46" i="2"/>
  <c r="M46" i="2"/>
  <c r="N28" i="2"/>
  <c r="M28" i="2"/>
  <c r="M49" i="2"/>
  <c r="N49" i="2"/>
  <c r="N256" i="2"/>
  <c r="M256" i="2"/>
  <c r="M241" i="2"/>
  <c r="N241" i="2"/>
  <c r="M253" i="2"/>
  <c r="N253" i="2"/>
  <c r="M64" i="2"/>
  <c r="N64" i="2"/>
  <c r="M59" i="2"/>
  <c r="N59" i="2"/>
  <c r="N57" i="2"/>
  <c r="M57" i="2"/>
  <c r="M284" i="2"/>
  <c r="N284" i="2"/>
  <c r="M282" i="2"/>
  <c r="N282" i="2"/>
  <c r="P287" i="2"/>
  <c r="P291" i="2"/>
  <c r="N265" i="2"/>
  <c r="P283" i="2"/>
  <c r="P275" i="2"/>
  <c r="M265" i="2"/>
  <c r="P272" i="2"/>
  <c r="P276" i="2"/>
  <c r="P280" i="2"/>
  <c r="P284" i="2"/>
  <c r="P288" i="2"/>
  <c r="P273" i="2"/>
  <c r="P290" i="2"/>
  <c r="P277" i="2"/>
  <c r="P265" i="2"/>
  <c r="P293" i="2"/>
  <c r="P270" i="2"/>
  <c r="P268" i="2"/>
  <c r="P281" i="2"/>
  <c r="P289" i="2"/>
  <c r="P266" i="2"/>
  <c r="P267" i="2"/>
  <c r="P274" i="2"/>
  <c r="P269" i="2"/>
  <c r="P282" i="2"/>
  <c r="M209" i="2"/>
  <c r="N209" i="2"/>
  <c r="M219" i="2"/>
  <c r="N219" i="2"/>
  <c r="M224" i="2"/>
  <c r="N224" i="2"/>
  <c r="N50" i="2"/>
  <c r="M50" i="2"/>
  <c r="N24" i="2"/>
  <c r="M24" i="2"/>
  <c r="U43" i="2"/>
  <c r="P39" i="2"/>
  <c r="P49" i="2"/>
  <c r="U60" i="2"/>
  <c r="U86" i="2"/>
  <c r="U90" i="2"/>
  <c r="U94" i="2"/>
  <c r="U98" i="2"/>
  <c r="P31" i="2"/>
  <c r="P41" i="2"/>
  <c r="P45" i="2"/>
  <c r="U50" i="2"/>
  <c r="P27" i="2"/>
  <c r="P28" i="2"/>
  <c r="U29" i="2"/>
  <c r="U64" i="2"/>
  <c r="U71" i="2"/>
  <c r="U76" i="2"/>
  <c r="U77" i="2"/>
  <c r="U81" i="2"/>
  <c r="P36" i="2"/>
  <c r="U69" i="2"/>
  <c r="U102" i="2"/>
  <c r="U106" i="2"/>
  <c r="U114" i="2"/>
  <c r="U118" i="2"/>
  <c r="U122" i="2"/>
  <c r="U126" i="2"/>
  <c r="U72" i="2"/>
  <c r="U79" i="2"/>
  <c r="U85" i="2"/>
  <c r="U87" i="2"/>
  <c r="U97" i="2"/>
  <c r="U80" i="2"/>
  <c r="U83" i="2"/>
  <c r="U107" i="2"/>
  <c r="U111" i="2"/>
  <c r="U115" i="2"/>
  <c r="U38" i="2"/>
  <c r="U41" i="2"/>
  <c r="U65" i="2"/>
  <c r="U104" i="2"/>
  <c r="U123" i="2"/>
  <c r="U100" i="2"/>
  <c r="U119" i="2"/>
  <c r="U120" i="2"/>
  <c r="U121" i="2"/>
  <c r="U125" i="2"/>
  <c r="U127" i="2"/>
  <c r="U135" i="2"/>
  <c r="U35" i="2"/>
  <c r="U112" i="2"/>
  <c r="U30" i="2"/>
  <c r="U108" i="2"/>
  <c r="U130" i="2"/>
  <c r="U88" i="2"/>
  <c r="U149" i="2"/>
  <c r="U153" i="2"/>
  <c r="U157" i="2"/>
  <c r="U161" i="2"/>
  <c r="U165" i="2"/>
  <c r="U169" i="2"/>
  <c r="U177" i="2"/>
  <c r="U181" i="2"/>
  <c r="U185" i="2"/>
  <c r="U189" i="2"/>
  <c r="U193" i="2"/>
  <c r="U197" i="2"/>
  <c r="U93" i="2"/>
  <c r="U109" i="2"/>
  <c r="U113" i="2"/>
  <c r="U128" i="2"/>
  <c r="U133" i="2"/>
  <c r="U137" i="2"/>
  <c r="U95" i="2"/>
  <c r="U140" i="2"/>
  <c r="U141" i="2"/>
  <c r="U142" i="2"/>
  <c r="U150" i="2"/>
  <c r="U154" i="2"/>
  <c r="U158" i="2"/>
  <c r="U162" i="2"/>
  <c r="U170" i="2"/>
  <c r="U174" i="2"/>
  <c r="U178" i="2"/>
  <c r="U182" i="2"/>
  <c r="U84" i="2"/>
  <c r="U92" i="2"/>
  <c r="U136" i="2"/>
  <c r="U91" i="2"/>
  <c r="U156" i="2"/>
  <c r="U168" i="2"/>
  <c r="U179" i="2"/>
  <c r="U204" i="2"/>
  <c r="U212" i="2"/>
  <c r="U220" i="2"/>
  <c r="U224" i="2"/>
  <c r="U228" i="2"/>
  <c r="U232" i="2"/>
  <c r="U240" i="2"/>
  <c r="U101" i="2"/>
  <c r="U183" i="2"/>
  <c r="U147" i="2"/>
  <c r="U151" i="2"/>
  <c r="U176" i="2"/>
  <c r="U198" i="2"/>
  <c r="U199" i="2"/>
  <c r="U200" i="2"/>
  <c r="U205" i="2"/>
  <c r="U209" i="2"/>
  <c r="U213" i="2"/>
  <c r="U217" i="2"/>
  <c r="U221" i="2"/>
  <c r="U225" i="2"/>
  <c r="U233" i="2"/>
  <c r="U116" i="2"/>
  <c r="U164" i="2"/>
  <c r="U172" i="2"/>
  <c r="U184" i="2"/>
  <c r="U188" i="2"/>
  <c r="U195" i="2"/>
  <c r="U211" i="2"/>
  <c r="U148" i="2"/>
  <c r="U155" i="2"/>
  <c r="U163" i="2"/>
  <c r="U190" i="2"/>
  <c r="U196" i="2"/>
  <c r="U218" i="2"/>
  <c r="U226" i="2"/>
  <c r="U241" i="2"/>
  <c r="U242" i="2"/>
  <c r="U254" i="2"/>
  <c r="U129" i="2"/>
  <c r="U175" i="2"/>
  <c r="U191" i="2"/>
  <c r="U202" i="2"/>
  <c r="U206" i="2"/>
  <c r="U230" i="2"/>
  <c r="U235" i="2"/>
  <c r="U105" i="2"/>
  <c r="U132" i="2"/>
  <c r="U167" i="2"/>
  <c r="U186" i="2"/>
  <c r="U192" i="2"/>
  <c r="U214" i="2"/>
  <c r="U134" i="2"/>
  <c r="U203" i="2"/>
  <c r="U207" i="2"/>
  <c r="U219" i="2"/>
  <c r="U238" i="2"/>
  <c r="U252" i="2"/>
  <c r="U256" i="2"/>
  <c r="U275" i="2"/>
  <c r="U283" i="2"/>
  <c r="U287" i="2"/>
  <c r="U291" i="2"/>
  <c r="U295" i="2"/>
  <c r="U303" i="2"/>
  <c r="U311" i="2"/>
  <c r="U315" i="2"/>
  <c r="U319" i="2"/>
  <c r="U323" i="2"/>
  <c r="U331" i="2"/>
  <c r="U335" i="2"/>
  <c r="U339" i="2"/>
  <c r="U343" i="2"/>
  <c r="U351" i="2"/>
  <c r="U210" i="2"/>
  <c r="U223" i="2"/>
  <c r="U258" i="2"/>
  <c r="U234" i="2"/>
  <c r="U251" i="2"/>
  <c r="U255" i="2"/>
  <c r="U259" i="2"/>
  <c r="U260" i="2"/>
  <c r="U261" i="2"/>
  <c r="U262" i="2"/>
  <c r="U272" i="2"/>
  <c r="U276" i="2"/>
  <c r="U280" i="2"/>
  <c r="U284" i="2"/>
  <c r="U288" i="2"/>
  <c r="U296" i="2"/>
  <c r="U300" i="2"/>
  <c r="U304" i="2"/>
  <c r="U308" i="2"/>
  <c r="U312" i="2"/>
  <c r="U316" i="2"/>
  <c r="U253" i="2"/>
  <c r="U270" i="2"/>
  <c r="U289" i="2"/>
  <c r="U302" i="2"/>
  <c r="U310" i="2"/>
  <c r="U318" i="2"/>
  <c r="U322" i="2"/>
  <c r="U357" i="2"/>
  <c r="U361" i="2"/>
  <c r="U365" i="2"/>
  <c r="U373" i="2"/>
  <c r="U377" i="2"/>
  <c r="U381" i="2"/>
  <c r="U265" i="2"/>
  <c r="U314" i="2"/>
  <c r="U266" i="2"/>
  <c r="U273" i="2"/>
  <c r="U277" i="2"/>
  <c r="U281" i="2"/>
  <c r="U290" i="2"/>
  <c r="U293" i="2"/>
  <c r="U297" i="2"/>
  <c r="U321" i="2"/>
  <c r="U358" i="2"/>
  <c r="U366" i="2"/>
  <c r="U370" i="2"/>
  <c r="U374" i="2"/>
  <c r="U378" i="2"/>
  <c r="U382" i="2"/>
  <c r="U160" i="2"/>
  <c r="U171" i="2"/>
  <c r="U227" i="2"/>
  <c r="U274" i="2"/>
  <c r="U301" i="2"/>
  <c r="U305" i="2"/>
  <c r="U332" i="2"/>
  <c r="U338" i="2"/>
  <c r="U344" i="2"/>
  <c r="U364" i="2"/>
  <c r="U269" i="2"/>
  <c r="U349" i="2"/>
  <c r="U367" i="2"/>
  <c r="U231" i="2"/>
  <c r="U350" i="2"/>
  <c r="U356" i="2"/>
  <c r="U282" i="2"/>
  <c r="U352" i="2"/>
  <c r="U267" i="2"/>
  <c r="U294" i="2"/>
  <c r="U298" i="2"/>
  <c r="U309" i="2"/>
  <c r="U333" i="2"/>
  <c r="U340" i="2"/>
  <c r="U345" i="2"/>
  <c r="U237" i="2"/>
  <c r="U353" i="2"/>
  <c r="U346" i="2"/>
  <c r="U359" i="2"/>
  <c r="U372" i="2"/>
  <c r="U239" i="2"/>
  <c r="U324" i="2"/>
  <c r="U380" i="2"/>
  <c r="U263" i="2"/>
  <c r="U325" i="2"/>
  <c r="U363" i="2"/>
  <c r="U326" i="2"/>
  <c r="U375" i="2"/>
  <c r="U249" i="2"/>
  <c r="U268" i="2"/>
  <c r="U329" i="2"/>
  <c r="U336" i="2"/>
  <c r="U371" i="2"/>
  <c r="U330" i="2"/>
  <c r="U337" i="2"/>
  <c r="U342" i="2"/>
  <c r="U354" i="2"/>
  <c r="U368" i="2"/>
  <c r="U379" i="2"/>
  <c r="U317" i="2"/>
  <c r="U360" i="2"/>
  <c r="P38" i="2"/>
  <c r="P32" i="2"/>
  <c r="U78" i="2"/>
  <c r="P44" i="2"/>
  <c r="P37" i="2"/>
  <c r="P42" i="2"/>
  <c r="U42" i="2"/>
  <c r="P24" i="2"/>
  <c r="U46" i="2"/>
  <c r="U39" i="2"/>
  <c r="U31" i="2"/>
  <c r="P35" i="2"/>
  <c r="U66" i="2"/>
  <c r="U52" i="2"/>
  <c r="U67" i="2"/>
  <c r="U44" i="2"/>
  <c r="P48" i="2"/>
  <c r="P29" i="2"/>
  <c r="U55" i="2"/>
  <c r="P43" i="2"/>
  <c r="P34" i="2"/>
  <c r="U51" i="2"/>
  <c r="U59" i="2"/>
  <c r="U63" i="2"/>
  <c r="U70" i="2"/>
  <c r="U24" i="2"/>
  <c r="P46" i="2"/>
  <c r="U32" i="2"/>
  <c r="U53" i="2"/>
  <c r="P30" i="2"/>
  <c r="U37" i="2"/>
  <c r="U28" i="2"/>
  <c r="U58" i="2"/>
  <c r="U36" i="2"/>
  <c r="U56" i="2"/>
  <c r="U74" i="2"/>
  <c r="U34" i="2"/>
  <c r="U27" i="2"/>
  <c r="U57" i="2"/>
  <c r="U45" i="2"/>
  <c r="U48" i="2"/>
  <c r="U49" i="2"/>
  <c r="P50" i="2"/>
  <c r="M45" i="2"/>
  <c r="N45" i="2"/>
  <c r="N133" i="2"/>
  <c r="M133" i="2"/>
  <c r="M375" i="2"/>
  <c r="N375" i="2"/>
  <c r="M335" i="2"/>
  <c r="N335" i="2"/>
  <c r="M188" i="2"/>
  <c r="N188" i="2"/>
  <c r="M296" i="2"/>
  <c r="N296" i="2"/>
  <c r="M311" i="2"/>
  <c r="N311" i="2"/>
  <c r="N67" i="2"/>
  <c r="M67" i="2"/>
  <c r="M91" i="2"/>
  <c r="N91" i="2"/>
  <c r="N112" i="2"/>
  <c r="M112" i="2"/>
  <c r="N123" i="2"/>
  <c r="M123" i="2"/>
  <c r="N88" i="2"/>
  <c r="M88" i="2"/>
  <c r="N116" i="2"/>
  <c r="M116" i="2"/>
  <c r="M122" i="2"/>
  <c r="N122" i="2"/>
  <c r="M370" i="2"/>
  <c r="N370" i="2"/>
  <c r="N84" i="2"/>
  <c r="M84" i="2"/>
  <c r="N128" i="2"/>
  <c r="M128" i="2"/>
  <c r="M113" i="2"/>
  <c r="N113" i="2"/>
  <c r="M356" i="2"/>
  <c r="N356" i="2"/>
  <c r="P358" i="2"/>
  <c r="P377" i="2"/>
  <c r="P366" i="2"/>
  <c r="P379" i="2"/>
  <c r="P356" i="2"/>
  <c r="P370" i="2"/>
  <c r="P378" i="2"/>
  <c r="P364" i="2"/>
  <c r="P380" i="2"/>
  <c r="P360" i="2"/>
  <c r="P359" i="2"/>
  <c r="P373" i="2"/>
  <c r="P382" i="2"/>
  <c r="P381" i="2"/>
  <c r="P357" i="2"/>
  <c r="P372" i="2"/>
  <c r="P371" i="2"/>
  <c r="P363" i="2"/>
  <c r="P365" i="2"/>
  <c r="P374" i="2"/>
  <c r="P361" i="2"/>
  <c r="P375" i="2"/>
  <c r="P368" i="2"/>
  <c r="P367" i="2"/>
  <c r="N154" i="2"/>
  <c r="M154" i="2"/>
  <c r="M199" i="2"/>
  <c r="N199" i="2"/>
  <c r="M175" i="2"/>
  <c r="N175" i="2"/>
  <c r="N324" i="2"/>
  <c r="M324" i="2"/>
  <c r="M300" i="2"/>
  <c r="N300" i="2"/>
  <c r="M302" i="2"/>
  <c r="N302" i="2"/>
  <c r="G25" i="2"/>
  <c r="AS26" i="2"/>
  <c r="N260" i="2"/>
  <c r="M260" i="2"/>
  <c r="M237" i="2"/>
  <c r="N237" i="2"/>
  <c r="M77" i="2"/>
  <c r="N77" i="2"/>
  <c r="M41" i="2"/>
  <c r="N41" i="2"/>
  <c r="M102" i="2"/>
  <c r="N102" i="2"/>
  <c r="M126" i="2"/>
  <c r="N126" i="2"/>
  <c r="M357" i="2"/>
  <c r="N357" i="2"/>
  <c r="P325" i="2"/>
  <c r="P329" i="2"/>
  <c r="P333" i="2"/>
  <c r="P337" i="2"/>
  <c r="P345" i="2"/>
  <c r="P349" i="2"/>
  <c r="P353" i="2"/>
  <c r="N325" i="2"/>
  <c r="P326" i="2"/>
  <c r="P346" i="2"/>
  <c r="P354" i="2"/>
  <c r="P330" i="2"/>
  <c r="P331" i="2"/>
  <c r="P332" i="2"/>
  <c r="P338" i="2"/>
  <c r="P339" i="2"/>
  <c r="P340" i="2"/>
  <c r="P342" i="2"/>
  <c r="P343" i="2"/>
  <c r="P344" i="2"/>
  <c r="P350" i="2"/>
  <c r="P351" i="2"/>
  <c r="P352" i="2"/>
  <c r="P335" i="2"/>
  <c r="P336" i="2"/>
  <c r="M325" i="2"/>
  <c r="M157" i="2"/>
  <c r="N157" i="2"/>
  <c r="N182" i="2"/>
  <c r="M182" i="2"/>
  <c r="N301" i="2"/>
  <c r="M301" i="2"/>
  <c r="N242" i="2"/>
  <c r="M242" i="2"/>
  <c r="M74" i="2"/>
  <c r="N74" i="2"/>
  <c r="M101" i="2"/>
  <c r="N101" i="2"/>
  <c r="M140" i="2"/>
  <c r="N140" i="2"/>
  <c r="N108" i="2"/>
  <c r="M108" i="2"/>
  <c r="M97" i="2"/>
  <c r="N97" i="2"/>
  <c r="M121" i="2"/>
  <c r="N121" i="2"/>
  <c r="N359" i="2"/>
  <c r="M359" i="2"/>
  <c r="M360" i="2"/>
  <c r="N360" i="2"/>
  <c r="M105" i="2"/>
  <c r="N105" i="2"/>
  <c r="M93" i="2"/>
  <c r="N93" i="2"/>
  <c r="M125" i="2"/>
  <c r="N125" i="2"/>
  <c r="M368" i="2"/>
  <c r="N368" i="2"/>
  <c r="M358" i="2"/>
  <c r="N358" i="2"/>
  <c r="N339" i="2"/>
  <c r="M339" i="2"/>
  <c r="N352" i="2"/>
  <c r="M352" i="2"/>
  <c r="M349" i="2"/>
  <c r="N349" i="2"/>
  <c r="N147" i="2"/>
  <c r="M147" i="2"/>
  <c r="M142" i="2"/>
  <c r="N142" i="2"/>
  <c r="M196" i="2"/>
  <c r="N196" i="2"/>
  <c r="M200" i="2"/>
  <c r="N200" i="2"/>
  <c r="M181" i="2"/>
  <c r="N181" i="2"/>
  <c r="M314" i="2"/>
  <c r="N314" i="2"/>
  <c r="M304" i="2"/>
  <c r="N304" i="2"/>
  <c r="M310" i="2"/>
  <c r="N310" i="2"/>
  <c r="N92" i="2"/>
  <c r="M92" i="2"/>
  <c r="N100" i="2"/>
  <c r="M100" i="2"/>
  <c r="M85" i="2"/>
  <c r="N85" i="2"/>
  <c r="M118" i="2"/>
  <c r="N118" i="2"/>
  <c r="M120" i="2"/>
  <c r="N120" i="2"/>
  <c r="P112" i="2"/>
  <c r="P116" i="2"/>
  <c r="P120" i="2"/>
  <c r="P113" i="2"/>
  <c r="P129" i="2"/>
  <c r="P133" i="2"/>
  <c r="P137" i="2"/>
  <c r="M111" i="2"/>
  <c r="P128" i="2"/>
  <c r="P132" i="2"/>
  <c r="P118" i="2"/>
  <c r="P136" i="2"/>
  <c r="N111" i="2"/>
  <c r="P111" i="2"/>
  <c r="P119" i="2"/>
  <c r="P130" i="2"/>
  <c r="P135" i="2"/>
  <c r="P125" i="2"/>
  <c r="P134" i="2"/>
  <c r="P115" i="2"/>
  <c r="P122" i="2"/>
  <c r="P126" i="2"/>
  <c r="P123" i="2"/>
  <c r="P127" i="2"/>
  <c r="P114" i="2"/>
  <c r="P121" i="2"/>
  <c r="P140" i="2"/>
  <c r="M380" i="2"/>
  <c r="N380" i="2"/>
  <c r="N371" i="2"/>
  <c r="M371" i="2"/>
  <c r="M377" i="2"/>
  <c r="N377" i="2"/>
  <c r="M346" i="2"/>
  <c r="N346" i="2"/>
  <c r="M326" i="2"/>
  <c r="N326" i="2"/>
  <c r="M342" i="2"/>
  <c r="N342" i="2"/>
  <c r="M164" i="2"/>
  <c r="N164" i="2"/>
  <c r="M167" i="2"/>
  <c r="N167" i="2"/>
  <c r="M150" i="2"/>
  <c r="N150" i="2"/>
  <c r="N191" i="2"/>
  <c r="M191" i="2"/>
  <c r="N52" i="2"/>
  <c r="M52" i="2"/>
  <c r="M53" i="2"/>
  <c r="N53" i="2"/>
  <c r="N277" i="2"/>
  <c r="M277" i="2"/>
  <c r="M274" i="2"/>
  <c r="N274" i="2"/>
  <c r="M226" i="2"/>
  <c r="N226" i="2"/>
  <c r="M225" i="2"/>
  <c r="N225" i="2"/>
  <c r="M220" i="2"/>
  <c r="N220" i="2"/>
  <c r="N30" i="2"/>
  <c r="M30" i="2"/>
  <c r="N83" i="2"/>
  <c r="M83" i="2"/>
  <c r="M98" i="2"/>
  <c r="N98" i="2"/>
  <c r="M81" i="2"/>
  <c r="N81" i="2"/>
  <c r="M135" i="2"/>
  <c r="N135" i="2"/>
  <c r="M132" i="2"/>
  <c r="N132" i="2"/>
  <c r="M134" i="2"/>
  <c r="N134" i="2"/>
  <c r="M374" i="2"/>
  <c r="N374" i="2"/>
  <c r="N382" i="2"/>
  <c r="M382" i="2"/>
  <c r="M373" i="2"/>
  <c r="N373" i="2"/>
  <c r="N345" i="2"/>
  <c r="M345" i="2"/>
  <c r="N344" i="2"/>
  <c r="M344" i="2"/>
  <c r="M338" i="2"/>
  <c r="N338" i="2"/>
  <c r="M168" i="2"/>
  <c r="N168" i="2"/>
  <c r="M160" i="2"/>
  <c r="N160" i="2"/>
  <c r="M169" i="2"/>
  <c r="N169" i="2"/>
  <c r="M183" i="2"/>
  <c r="N183" i="2"/>
  <c r="N195" i="2"/>
  <c r="M195" i="2"/>
  <c r="M193" i="2"/>
  <c r="N193" i="2"/>
  <c r="M177" i="2"/>
  <c r="N177" i="2"/>
  <c r="M322" i="2"/>
  <c r="N322" i="2"/>
  <c r="M312" i="2"/>
  <c r="N312" i="2"/>
  <c r="M298" i="2"/>
  <c r="N298" i="2"/>
  <c r="M259" i="2"/>
  <c r="N259" i="2"/>
  <c r="M234" i="2"/>
  <c r="N234" i="2"/>
  <c r="N58" i="2"/>
  <c r="M58" i="2"/>
  <c r="M76" i="2"/>
  <c r="N76" i="2"/>
  <c r="N70" i="2"/>
  <c r="M70" i="2"/>
  <c r="M276" i="2"/>
  <c r="N276" i="2"/>
  <c r="N273" i="2"/>
  <c r="M273" i="2"/>
  <c r="M270" i="2"/>
  <c r="N270" i="2"/>
  <c r="M221" i="2"/>
  <c r="N221" i="2"/>
  <c r="M205" i="2"/>
  <c r="N205" i="2"/>
  <c r="M217" i="2"/>
  <c r="N217" i="2"/>
  <c r="M212" i="2"/>
  <c r="N212" i="2"/>
  <c r="N38" i="2"/>
  <c r="M38" i="2"/>
  <c r="M43" i="2"/>
  <c r="N43" i="2"/>
  <c r="N37" i="2"/>
  <c r="M37" i="2"/>
  <c r="M109" i="2"/>
  <c r="N109" i="2"/>
  <c r="M119" i="2"/>
  <c r="N119" i="2"/>
  <c r="M114" i="2"/>
  <c r="N114" i="2"/>
  <c r="N331" i="2"/>
  <c r="M331" i="2"/>
  <c r="M155" i="2"/>
  <c r="N155" i="2"/>
  <c r="N178" i="2"/>
  <c r="M178" i="2"/>
  <c r="M238" i="2"/>
  <c r="N238" i="2"/>
  <c r="M104" i="2"/>
  <c r="N104" i="2"/>
  <c r="M95" i="2"/>
  <c r="N95" i="2"/>
  <c r="M94" i="2"/>
  <c r="N94" i="2"/>
  <c r="P80" i="2"/>
  <c r="M80" i="2"/>
  <c r="P84" i="2"/>
  <c r="P88" i="2"/>
  <c r="P92" i="2"/>
  <c r="N80" i="2"/>
  <c r="P83" i="2"/>
  <c r="P81" i="2"/>
  <c r="P94" i="2"/>
  <c r="P104" i="2"/>
  <c r="P108" i="2"/>
  <c r="P86" i="2"/>
  <c r="P100" i="2"/>
  <c r="P101" i="2"/>
  <c r="P105" i="2"/>
  <c r="P109" i="2"/>
  <c r="P85" i="2"/>
  <c r="P90" i="2"/>
  <c r="P93" i="2"/>
  <c r="P91" i="2"/>
  <c r="P107" i="2"/>
  <c r="P87" i="2"/>
  <c r="P98" i="2"/>
  <c r="P95" i="2"/>
  <c r="P106" i="2"/>
  <c r="P102" i="2"/>
  <c r="P97" i="2"/>
  <c r="N137" i="2"/>
  <c r="M137" i="2"/>
  <c r="N129" i="2"/>
  <c r="M129" i="2"/>
  <c r="M130" i="2"/>
  <c r="N130" i="2"/>
  <c r="M372" i="2"/>
  <c r="N372" i="2"/>
  <c r="N378" i="2"/>
  <c r="M378" i="2"/>
  <c r="M365" i="2"/>
  <c r="N365" i="2"/>
  <c r="N340" i="2"/>
  <c r="M340" i="2"/>
  <c r="N343" i="2"/>
  <c r="M343" i="2"/>
  <c r="M337" i="2"/>
  <c r="N337" i="2"/>
  <c r="N171" i="2"/>
  <c r="M171" i="2"/>
  <c r="M170" i="2"/>
  <c r="N170" i="2"/>
  <c r="M165" i="2"/>
  <c r="N165" i="2"/>
  <c r="N197" i="2"/>
  <c r="M197" i="2"/>
  <c r="N189" i="2"/>
  <c r="M189" i="2"/>
  <c r="M192" i="2"/>
  <c r="N192" i="2"/>
  <c r="M318" i="2"/>
  <c r="N318" i="2"/>
  <c r="N309" i="2"/>
  <c r="M309" i="2"/>
  <c r="M294" i="2"/>
  <c r="P297" i="2"/>
  <c r="P301" i="2"/>
  <c r="P305" i="2"/>
  <c r="P309" i="2"/>
  <c r="P317" i="2"/>
  <c r="P321" i="2"/>
  <c r="N294" i="2"/>
  <c r="P294" i="2"/>
  <c r="P298" i="2"/>
  <c r="P302" i="2"/>
  <c r="P310" i="2"/>
  <c r="P314" i="2"/>
  <c r="P318" i="2"/>
  <c r="P322" i="2"/>
  <c r="P311" i="2"/>
  <c r="P315" i="2"/>
  <c r="P324" i="2"/>
  <c r="P300" i="2"/>
  <c r="P304" i="2"/>
  <c r="P308" i="2"/>
  <c r="P319" i="2"/>
  <c r="P323" i="2"/>
  <c r="P303" i="2"/>
  <c r="P296" i="2"/>
  <c r="P312" i="2"/>
  <c r="P316" i="2"/>
  <c r="P295" i="2"/>
  <c r="N252" i="2"/>
  <c r="M252" i="2"/>
  <c r="M262" i="2"/>
  <c r="N262" i="2"/>
  <c r="M239" i="2"/>
  <c r="N239" i="2"/>
  <c r="N63" i="2"/>
  <c r="M63" i="2"/>
  <c r="M79" i="2"/>
  <c r="N79" i="2"/>
  <c r="M66" i="2"/>
  <c r="N66" i="2"/>
  <c r="M272" i="2"/>
  <c r="N272" i="2"/>
  <c r="N266" i="2"/>
  <c r="M266" i="2"/>
  <c r="M291" i="2"/>
  <c r="N291" i="2"/>
  <c r="N218" i="2"/>
  <c r="M218" i="2"/>
  <c r="M231" i="2"/>
  <c r="N231" i="2"/>
  <c r="M211" i="2"/>
  <c r="N211" i="2"/>
  <c r="M204" i="2"/>
  <c r="N204" i="2"/>
  <c r="N48" i="2"/>
  <c r="M48" i="2"/>
  <c r="M39" i="2"/>
  <c r="N39" i="2"/>
  <c r="N29" i="2"/>
  <c r="M29" i="2"/>
  <c r="Z37" i="7" l="1"/>
  <c r="G36" i="7"/>
  <c r="Y37" i="7"/>
  <c r="E36" i="7"/>
  <c r="AS36" i="5"/>
  <c r="G35" i="5"/>
  <c r="AA38" i="5"/>
  <c r="E37" i="5"/>
  <c r="Z37" i="4"/>
  <c r="G36" i="4"/>
  <c r="E38" i="4"/>
  <c r="Y39" i="4"/>
  <c r="G31" i="3"/>
  <c r="Z32" i="3"/>
  <c r="E31" i="3"/>
  <c r="Y32" i="3"/>
  <c r="R95" i="2"/>
  <c r="S95" i="2"/>
  <c r="S326" i="2"/>
  <c r="R326" i="2"/>
  <c r="S382" i="2"/>
  <c r="R382" i="2"/>
  <c r="W380" i="2"/>
  <c r="X380" i="2"/>
  <c r="W297" i="2"/>
  <c r="X297" i="2"/>
  <c r="W272" i="2"/>
  <c r="X272" i="2"/>
  <c r="W230" i="2"/>
  <c r="X230" i="2"/>
  <c r="X162" i="2"/>
  <c r="W162" i="2"/>
  <c r="X104" i="2"/>
  <c r="W104" i="2"/>
  <c r="S41" i="2"/>
  <c r="R41" i="2"/>
  <c r="R266" i="2"/>
  <c r="S266" i="2"/>
  <c r="R204" i="2"/>
  <c r="S204" i="2"/>
  <c r="R60" i="2"/>
  <c r="S60" i="2"/>
  <c r="S190" i="2"/>
  <c r="R190" i="2"/>
  <c r="S298" i="2"/>
  <c r="R298" i="2"/>
  <c r="R136" i="2"/>
  <c r="S136" i="2"/>
  <c r="S379" i="2"/>
  <c r="R379" i="2"/>
  <c r="X368" i="2"/>
  <c r="W368" i="2"/>
  <c r="W382" i="2"/>
  <c r="X382" i="2"/>
  <c r="W304" i="2"/>
  <c r="X304" i="2"/>
  <c r="W206" i="2"/>
  <c r="X206" i="2"/>
  <c r="S315" i="2"/>
  <c r="R315" i="2"/>
  <c r="R87" i="2"/>
  <c r="S87" i="2"/>
  <c r="R140" i="2"/>
  <c r="S140" i="2"/>
  <c r="S353" i="2"/>
  <c r="R353" i="2"/>
  <c r="S359" i="2"/>
  <c r="R359" i="2"/>
  <c r="W74" i="2"/>
  <c r="X74" i="2"/>
  <c r="W32" i="2"/>
  <c r="X32" i="2"/>
  <c r="R35" i="2"/>
  <c r="S35" i="2"/>
  <c r="S44" i="2"/>
  <c r="R44" i="2"/>
  <c r="X239" i="2"/>
  <c r="W239" i="2"/>
  <c r="W290" i="2"/>
  <c r="X290" i="2"/>
  <c r="X261" i="2"/>
  <c r="W261" i="2"/>
  <c r="X192" i="2"/>
  <c r="W192" i="2"/>
  <c r="W151" i="2"/>
  <c r="X151" i="2"/>
  <c r="R132" i="2"/>
  <c r="S132" i="2"/>
  <c r="S363" i="2"/>
  <c r="R363" i="2"/>
  <c r="R46" i="2"/>
  <c r="S46" i="2"/>
  <c r="X31" i="2"/>
  <c r="W31" i="2"/>
  <c r="W78" i="2"/>
  <c r="X78" i="2"/>
  <c r="X309" i="2"/>
  <c r="W309" i="2"/>
  <c r="X373" i="2"/>
  <c r="W373" i="2"/>
  <c r="X311" i="2"/>
  <c r="W311" i="2"/>
  <c r="X196" i="2"/>
  <c r="W196" i="2"/>
  <c r="X147" i="2"/>
  <c r="W147" i="2"/>
  <c r="W113" i="2"/>
  <c r="X113" i="2"/>
  <c r="W38" i="2"/>
  <c r="X38" i="2"/>
  <c r="R295" i="2"/>
  <c r="S295" i="2"/>
  <c r="S304" i="2"/>
  <c r="R304" i="2"/>
  <c r="S310" i="2"/>
  <c r="R310" i="2"/>
  <c r="R305" i="2"/>
  <c r="S305" i="2"/>
  <c r="R106" i="2"/>
  <c r="S106" i="2"/>
  <c r="R85" i="2"/>
  <c r="S85" i="2"/>
  <c r="S94" i="2"/>
  <c r="R94" i="2"/>
  <c r="R80" i="2"/>
  <c r="S80" i="2"/>
  <c r="S126" i="2"/>
  <c r="R126" i="2"/>
  <c r="S111" i="2"/>
  <c r="R111" i="2"/>
  <c r="R133" i="2"/>
  <c r="S133" i="2"/>
  <c r="S342" i="2"/>
  <c r="R342" i="2"/>
  <c r="S346" i="2"/>
  <c r="R346" i="2"/>
  <c r="R329" i="2"/>
  <c r="S329" i="2"/>
  <c r="AS27" i="2"/>
  <c r="G26" i="2"/>
  <c r="S375" i="2"/>
  <c r="R375" i="2"/>
  <c r="R381" i="2"/>
  <c r="S381" i="2"/>
  <c r="R370" i="2"/>
  <c r="S370" i="2"/>
  <c r="W57" i="2"/>
  <c r="X57" i="2"/>
  <c r="W37" i="2"/>
  <c r="X37" i="2"/>
  <c r="W59" i="2"/>
  <c r="X59" i="2"/>
  <c r="W67" i="2"/>
  <c r="X67" i="2"/>
  <c r="W42" i="2"/>
  <c r="X42" i="2"/>
  <c r="W317" i="2"/>
  <c r="X317" i="2"/>
  <c r="X336" i="2"/>
  <c r="W336" i="2"/>
  <c r="W263" i="2"/>
  <c r="X263" i="2"/>
  <c r="X237" i="2"/>
  <c r="W237" i="2"/>
  <c r="W352" i="2"/>
  <c r="X352" i="2"/>
  <c r="W364" i="2"/>
  <c r="X364" i="2"/>
  <c r="W171" i="2"/>
  <c r="X171" i="2"/>
  <c r="W321" i="2"/>
  <c r="X321" i="2"/>
  <c r="W314" i="2"/>
  <c r="X314" i="2"/>
  <c r="X322" i="2"/>
  <c r="W322" i="2"/>
  <c r="X312" i="2"/>
  <c r="W312" i="2"/>
  <c r="W276" i="2"/>
  <c r="X276" i="2"/>
  <c r="W234" i="2"/>
  <c r="X234" i="2"/>
  <c r="W331" i="2"/>
  <c r="X331" i="2"/>
  <c r="W287" i="2"/>
  <c r="X287" i="2"/>
  <c r="X203" i="2"/>
  <c r="W203" i="2"/>
  <c r="X235" i="2"/>
  <c r="W235" i="2"/>
  <c r="W242" i="2"/>
  <c r="X242" i="2"/>
  <c r="W148" i="2"/>
  <c r="X148" i="2"/>
  <c r="W233" i="2"/>
  <c r="X233" i="2"/>
  <c r="X199" i="2"/>
  <c r="W199" i="2"/>
  <c r="X232" i="2"/>
  <c r="W232" i="2"/>
  <c r="W156" i="2"/>
  <c r="X156" i="2"/>
  <c r="W170" i="2"/>
  <c r="X170" i="2"/>
  <c r="W95" i="2"/>
  <c r="X95" i="2"/>
  <c r="W193" i="2"/>
  <c r="X193" i="2"/>
  <c r="X157" i="2"/>
  <c r="W157" i="2"/>
  <c r="W35" i="2"/>
  <c r="X35" i="2"/>
  <c r="W123" i="2"/>
  <c r="X123" i="2"/>
  <c r="X83" i="2"/>
  <c r="W83" i="2"/>
  <c r="W122" i="2"/>
  <c r="X122" i="2"/>
  <c r="X77" i="2"/>
  <c r="W77" i="2"/>
  <c r="S45" i="2"/>
  <c r="R45" i="2"/>
  <c r="S49" i="2"/>
  <c r="R49" i="2"/>
  <c r="R267" i="2"/>
  <c r="S267" i="2"/>
  <c r="R277" i="2"/>
  <c r="S277" i="2"/>
  <c r="R224" i="2"/>
  <c r="S224" i="2"/>
  <c r="S217" i="2"/>
  <c r="R217" i="2"/>
  <c r="S223" i="2"/>
  <c r="R223" i="2"/>
  <c r="R214" i="2"/>
  <c r="S214" i="2"/>
  <c r="R57" i="2"/>
  <c r="S57" i="2"/>
  <c r="R63" i="2"/>
  <c r="S63" i="2"/>
  <c r="R64" i="2"/>
  <c r="S64" i="2"/>
  <c r="R181" i="2"/>
  <c r="S181" i="2"/>
  <c r="S182" i="2"/>
  <c r="R182" i="2"/>
  <c r="R176" i="2"/>
  <c r="S176" i="2"/>
  <c r="S175" i="2"/>
  <c r="R175" i="2"/>
  <c r="S258" i="2"/>
  <c r="R258" i="2"/>
  <c r="R255" i="2"/>
  <c r="S255" i="2"/>
  <c r="R254" i="2"/>
  <c r="S254" i="2"/>
  <c r="R161" i="2"/>
  <c r="S161" i="2"/>
  <c r="S148" i="2"/>
  <c r="R148" i="2"/>
  <c r="AA27" i="2"/>
  <c r="E26" i="2"/>
  <c r="W160" i="2"/>
  <c r="X160" i="2"/>
  <c r="X153" i="2"/>
  <c r="W153" i="2"/>
  <c r="R210" i="2"/>
  <c r="S210" i="2"/>
  <c r="S172" i="2"/>
  <c r="R172" i="2"/>
  <c r="R259" i="2"/>
  <c r="S259" i="2"/>
  <c r="R157" i="2"/>
  <c r="S157" i="2"/>
  <c r="R158" i="2"/>
  <c r="S158" i="2"/>
  <c r="S171" i="2"/>
  <c r="R171" i="2"/>
  <c r="W379" i="2"/>
  <c r="X379" i="2"/>
  <c r="X228" i="2"/>
  <c r="W228" i="2"/>
  <c r="R251" i="2"/>
  <c r="S251" i="2"/>
  <c r="W340" i="2"/>
  <c r="X340" i="2"/>
  <c r="W223" i="2"/>
  <c r="X223" i="2"/>
  <c r="W226" i="2"/>
  <c r="X226" i="2"/>
  <c r="W195" i="2"/>
  <c r="X195" i="2"/>
  <c r="X221" i="2"/>
  <c r="W221" i="2"/>
  <c r="X176" i="2"/>
  <c r="W176" i="2"/>
  <c r="W224" i="2"/>
  <c r="X224" i="2"/>
  <c r="W136" i="2"/>
  <c r="X136" i="2"/>
  <c r="X158" i="2"/>
  <c r="W158" i="2"/>
  <c r="W133" i="2"/>
  <c r="X133" i="2"/>
  <c r="X185" i="2"/>
  <c r="W185" i="2"/>
  <c r="X149" i="2"/>
  <c r="W149" i="2"/>
  <c r="W127" i="2"/>
  <c r="X127" i="2"/>
  <c r="W65" i="2"/>
  <c r="X65" i="2"/>
  <c r="W97" i="2"/>
  <c r="X97" i="2"/>
  <c r="X114" i="2"/>
  <c r="W114" i="2"/>
  <c r="W71" i="2"/>
  <c r="X71" i="2"/>
  <c r="S31" i="2"/>
  <c r="R31" i="2"/>
  <c r="X43" i="2"/>
  <c r="W43" i="2"/>
  <c r="R289" i="2"/>
  <c r="S289" i="2"/>
  <c r="R273" i="2"/>
  <c r="S273" i="2"/>
  <c r="R283" i="2"/>
  <c r="S283" i="2"/>
  <c r="R232" i="2"/>
  <c r="S232" i="2"/>
  <c r="S221" i="2"/>
  <c r="R221" i="2"/>
  <c r="R211" i="2"/>
  <c r="S211" i="2"/>
  <c r="R206" i="2"/>
  <c r="S206" i="2"/>
  <c r="R79" i="2"/>
  <c r="S79" i="2"/>
  <c r="R59" i="2"/>
  <c r="S59" i="2"/>
  <c r="R55" i="2"/>
  <c r="S55" i="2"/>
  <c r="R197" i="2"/>
  <c r="S197" i="2"/>
  <c r="R189" i="2"/>
  <c r="S189" i="2"/>
  <c r="S233" i="2"/>
  <c r="R233" i="2"/>
  <c r="S256" i="2"/>
  <c r="R256" i="2"/>
  <c r="R153" i="2"/>
  <c r="S153" i="2"/>
  <c r="S154" i="2"/>
  <c r="R154" i="2"/>
  <c r="S167" i="2"/>
  <c r="R167" i="2"/>
  <c r="R301" i="2"/>
  <c r="S301" i="2"/>
  <c r="R42" i="2"/>
  <c r="S42" i="2"/>
  <c r="W225" i="2"/>
  <c r="X225" i="2"/>
  <c r="R296" i="2"/>
  <c r="S296" i="2"/>
  <c r="X378" i="2"/>
  <c r="W378" i="2"/>
  <c r="W202" i="2"/>
  <c r="X202" i="2"/>
  <c r="W220" i="2"/>
  <c r="X220" i="2"/>
  <c r="W92" i="2"/>
  <c r="X92" i="2"/>
  <c r="W154" i="2"/>
  <c r="X154" i="2"/>
  <c r="W128" i="2"/>
  <c r="X128" i="2"/>
  <c r="X181" i="2"/>
  <c r="W181" i="2"/>
  <c r="W88" i="2"/>
  <c r="X88" i="2"/>
  <c r="X125" i="2"/>
  <c r="W125" i="2"/>
  <c r="X41" i="2"/>
  <c r="W41" i="2"/>
  <c r="W87" i="2"/>
  <c r="X87" i="2"/>
  <c r="X106" i="2"/>
  <c r="W106" i="2"/>
  <c r="W64" i="2"/>
  <c r="X64" i="2"/>
  <c r="W98" i="2"/>
  <c r="X98" i="2"/>
  <c r="R281" i="2"/>
  <c r="S281" i="2"/>
  <c r="S288" i="2"/>
  <c r="R288" i="2"/>
  <c r="R228" i="2"/>
  <c r="S228" i="2"/>
  <c r="R209" i="2"/>
  <c r="S209" i="2"/>
  <c r="R207" i="2"/>
  <c r="S207" i="2"/>
  <c r="R202" i="2"/>
  <c r="S202" i="2"/>
  <c r="R71" i="2"/>
  <c r="S71" i="2"/>
  <c r="R66" i="2"/>
  <c r="S66" i="2"/>
  <c r="S69" i="2"/>
  <c r="R69" i="2"/>
  <c r="R196" i="2"/>
  <c r="S196" i="2"/>
  <c r="R188" i="2"/>
  <c r="S188" i="2"/>
  <c r="R199" i="2"/>
  <c r="S199" i="2"/>
  <c r="R260" i="2"/>
  <c r="S260" i="2"/>
  <c r="R253" i="2"/>
  <c r="S253" i="2"/>
  <c r="R252" i="2"/>
  <c r="S252" i="2"/>
  <c r="R150" i="2"/>
  <c r="S150" i="2"/>
  <c r="R169" i="2"/>
  <c r="S169" i="2"/>
  <c r="S163" i="2"/>
  <c r="R163" i="2"/>
  <c r="X329" i="2"/>
  <c r="W329" i="2"/>
  <c r="X198" i="2"/>
  <c r="W198" i="2"/>
  <c r="W351" i="2"/>
  <c r="X351" i="2"/>
  <c r="W130" i="2"/>
  <c r="X130" i="2"/>
  <c r="W85" i="2"/>
  <c r="X85" i="2"/>
  <c r="W94" i="2"/>
  <c r="X94" i="2"/>
  <c r="R268" i="2"/>
  <c r="S268" i="2"/>
  <c r="S284" i="2"/>
  <c r="R284" i="2"/>
  <c r="R291" i="2"/>
  <c r="S291" i="2"/>
  <c r="S213" i="2"/>
  <c r="R213" i="2"/>
  <c r="R212" i="2"/>
  <c r="S212" i="2"/>
  <c r="R203" i="2"/>
  <c r="S203" i="2"/>
  <c r="R78" i="2"/>
  <c r="S78" i="2"/>
  <c r="S56" i="2"/>
  <c r="R56" i="2"/>
  <c r="R65" i="2"/>
  <c r="S65" i="2"/>
  <c r="R193" i="2"/>
  <c r="S193" i="2"/>
  <c r="S186" i="2"/>
  <c r="R186" i="2"/>
  <c r="R195" i="2"/>
  <c r="S195" i="2"/>
  <c r="S240" i="2"/>
  <c r="R240" i="2"/>
  <c r="S249" i="2"/>
  <c r="R249" i="2"/>
  <c r="S235" i="2"/>
  <c r="R235" i="2"/>
  <c r="R149" i="2"/>
  <c r="S149" i="2"/>
  <c r="R168" i="2"/>
  <c r="S168" i="2"/>
  <c r="S155" i="2"/>
  <c r="R155" i="2"/>
  <c r="S300" i="2"/>
  <c r="R300" i="2"/>
  <c r="X51" i="2"/>
  <c r="W51" i="2"/>
  <c r="W344" i="2"/>
  <c r="X344" i="2"/>
  <c r="W308" i="2"/>
  <c r="X308" i="2"/>
  <c r="W283" i="2"/>
  <c r="X283" i="2"/>
  <c r="W134" i="2"/>
  <c r="X134" i="2"/>
  <c r="W189" i="2"/>
  <c r="X189" i="2"/>
  <c r="W80" i="2"/>
  <c r="X80" i="2"/>
  <c r="R39" i="2"/>
  <c r="S39" i="2"/>
  <c r="R275" i="2"/>
  <c r="S275" i="2"/>
  <c r="S70" i="2"/>
  <c r="R70" i="2"/>
  <c r="S198" i="2"/>
  <c r="R198" i="2"/>
  <c r="R312" i="2"/>
  <c r="S312" i="2"/>
  <c r="S105" i="2"/>
  <c r="R105" i="2"/>
  <c r="R113" i="2"/>
  <c r="S113" i="2"/>
  <c r="R335" i="2"/>
  <c r="S335" i="2"/>
  <c r="S374" i="2"/>
  <c r="R374" i="2"/>
  <c r="W34" i="2"/>
  <c r="X34" i="2"/>
  <c r="X268" i="2"/>
  <c r="W268" i="2"/>
  <c r="W338" i="2"/>
  <c r="X338" i="2"/>
  <c r="W310" i="2"/>
  <c r="X310" i="2"/>
  <c r="W275" i="2"/>
  <c r="X275" i="2"/>
  <c r="S294" i="2"/>
  <c r="R294" i="2"/>
  <c r="R120" i="2"/>
  <c r="S120" i="2"/>
  <c r="R338" i="2"/>
  <c r="S338" i="2"/>
  <c r="S365" i="2"/>
  <c r="R365" i="2"/>
  <c r="W249" i="2"/>
  <c r="X249" i="2"/>
  <c r="W332" i="2"/>
  <c r="X332" i="2"/>
  <c r="W300" i="2"/>
  <c r="X300" i="2"/>
  <c r="W256" i="2"/>
  <c r="X256" i="2"/>
  <c r="X188" i="2"/>
  <c r="W188" i="2"/>
  <c r="S303" i="2"/>
  <c r="R303" i="2"/>
  <c r="S100" i="2"/>
  <c r="R100" i="2"/>
  <c r="S121" i="2"/>
  <c r="R121" i="2"/>
  <c r="R349" i="2"/>
  <c r="S349" i="2"/>
  <c r="X56" i="2"/>
  <c r="W56" i="2"/>
  <c r="W342" i="2"/>
  <c r="X342" i="2"/>
  <c r="X231" i="2"/>
  <c r="W231" i="2"/>
  <c r="W281" i="2"/>
  <c r="X281" i="2"/>
  <c r="W260" i="2"/>
  <c r="X260" i="2"/>
  <c r="W191" i="2"/>
  <c r="X191" i="2"/>
  <c r="W212" i="2"/>
  <c r="X212" i="2"/>
  <c r="X177" i="2"/>
  <c r="W177" i="2"/>
  <c r="X102" i="2"/>
  <c r="W102" i="2"/>
  <c r="S323" i="2"/>
  <c r="R323" i="2"/>
  <c r="R91" i="2"/>
  <c r="S91" i="2"/>
  <c r="S114" i="2"/>
  <c r="R114" i="2"/>
  <c r="R135" i="2"/>
  <c r="S135" i="2"/>
  <c r="R128" i="2"/>
  <c r="S128" i="2"/>
  <c r="S112" i="2"/>
  <c r="R112" i="2"/>
  <c r="R350" i="2"/>
  <c r="S350" i="2"/>
  <c r="R331" i="2"/>
  <c r="S331" i="2"/>
  <c r="S345" i="2"/>
  <c r="R345" i="2"/>
  <c r="S371" i="2"/>
  <c r="R371" i="2"/>
  <c r="R380" i="2"/>
  <c r="S380" i="2"/>
  <c r="R358" i="2"/>
  <c r="S358" i="2"/>
  <c r="W49" i="2"/>
  <c r="X49" i="2"/>
  <c r="W36" i="2"/>
  <c r="X36" i="2"/>
  <c r="W24" i="2"/>
  <c r="X24" i="2"/>
  <c r="R29" i="2"/>
  <c r="S29" i="2"/>
  <c r="W39" i="2"/>
  <c r="X39" i="2"/>
  <c r="R32" i="2"/>
  <c r="S32" i="2"/>
  <c r="X337" i="2"/>
  <c r="W337" i="2"/>
  <c r="X326" i="2"/>
  <c r="W326" i="2"/>
  <c r="W359" i="2"/>
  <c r="X359" i="2"/>
  <c r="W298" i="2"/>
  <c r="X298" i="2"/>
  <c r="W367" i="2"/>
  <c r="X367" i="2"/>
  <c r="W301" i="2"/>
  <c r="X301" i="2"/>
  <c r="X370" i="2"/>
  <c r="W370" i="2"/>
  <c r="W277" i="2"/>
  <c r="X277" i="2"/>
  <c r="X365" i="2"/>
  <c r="W365" i="2"/>
  <c r="W270" i="2"/>
  <c r="X270" i="2"/>
  <c r="X288" i="2"/>
  <c r="W288" i="2"/>
  <c r="W259" i="2"/>
  <c r="X259" i="2"/>
  <c r="W343" i="2"/>
  <c r="X343" i="2"/>
  <c r="W303" i="2"/>
  <c r="X303" i="2"/>
  <c r="W238" i="2"/>
  <c r="X238" i="2"/>
  <c r="W167" i="2"/>
  <c r="X167" i="2"/>
  <c r="X175" i="2"/>
  <c r="W175" i="2"/>
  <c r="X190" i="2"/>
  <c r="W190" i="2"/>
  <c r="X172" i="2"/>
  <c r="W172" i="2"/>
  <c r="W209" i="2"/>
  <c r="X209" i="2"/>
  <c r="X183" i="2"/>
  <c r="W183" i="2"/>
  <c r="W204" i="2"/>
  <c r="X204" i="2"/>
  <c r="W182" i="2"/>
  <c r="X182" i="2"/>
  <c r="W142" i="2"/>
  <c r="X142" i="2"/>
  <c r="W109" i="2"/>
  <c r="X109" i="2"/>
  <c r="X169" i="2"/>
  <c r="W169" i="2"/>
  <c r="W108" i="2"/>
  <c r="X108" i="2"/>
  <c r="W120" i="2"/>
  <c r="X120" i="2"/>
  <c r="X115" i="2"/>
  <c r="W115" i="2"/>
  <c r="W79" i="2"/>
  <c r="X79" i="2"/>
  <c r="W69" i="2"/>
  <c r="X69" i="2"/>
  <c r="S28" i="2"/>
  <c r="R28" i="2"/>
  <c r="W90" i="2"/>
  <c r="X90" i="2"/>
  <c r="S282" i="2"/>
  <c r="R282" i="2"/>
  <c r="R270" i="2"/>
  <c r="S270" i="2"/>
  <c r="R280" i="2"/>
  <c r="S280" i="2"/>
  <c r="R287" i="2"/>
  <c r="S287" i="2"/>
  <c r="S205" i="2"/>
  <c r="R205" i="2"/>
  <c r="S230" i="2"/>
  <c r="R230" i="2"/>
  <c r="R77" i="2"/>
  <c r="S77" i="2"/>
  <c r="R52" i="2"/>
  <c r="S52" i="2"/>
  <c r="R192" i="2"/>
  <c r="S192" i="2"/>
  <c r="S178" i="2"/>
  <c r="R178" i="2"/>
  <c r="R191" i="2"/>
  <c r="S191" i="2"/>
  <c r="S261" i="2"/>
  <c r="R261" i="2"/>
  <c r="R241" i="2"/>
  <c r="S241" i="2"/>
  <c r="R242" i="2"/>
  <c r="S242" i="2"/>
  <c r="S162" i="2"/>
  <c r="R162" i="2"/>
  <c r="R164" i="2"/>
  <c r="S164" i="2"/>
  <c r="S151" i="2"/>
  <c r="R151" i="2"/>
  <c r="R302" i="2"/>
  <c r="S302" i="2"/>
  <c r="S81" i="2"/>
  <c r="R81" i="2"/>
  <c r="R122" i="2"/>
  <c r="S122" i="2"/>
  <c r="S336" i="2"/>
  <c r="R336" i="2"/>
  <c r="S325" i="2"/>
  <c r="R325" i="2"/>
  <c r="R361" i="2"/>
  <c r="S361" i="2"/>
  <c r="R30" i="2"/>
  <c r="S30" i="2"/>
  <c r="W52" i="2"/>
  <c r="X52" i="2"/>
  <c r="X282" i="2"/>
  <c r="W282" i="2"/>
  <c r="W265" i="2"/>
  <c r="X265" i="2"/>
  <c r="W323" i="2"/>
  <c r="X323" i="2"/>
  <c r="W211" i="2"/>
  <c r="X211" i="2"/>
  <c r="W137" i="2"/>
  <c r="X137" i="2"/>
  <c r="W118" i="2"/>
  <c r="X118" i="2"/>
  <c r="R219" i="2"/>
  <c r="S219" i="2"/>
  <c r="R297" i="2"/>
  <c r="S297" i="2"/>
  <c r="R98" i="2"/>
  <c r="S98" i="2"/>
  <c r="S115" i="2"/>
  <c r="R115" i="2"/>
  <c r="R34" i="2"/>
  <c r="S34" i="2"/>
  <c r="W324" i="2"/>
  <c r="X324" i="2"/>
  <c r="W293" i="2"/>
  <c r="X293" i="2"/>
  <c r="X262" i="2"/>
  <c r="W262" i="2"/>
  <c r="W214" i="2"/>
  <c r="X214" i="2"/>
  <c r="R118" i="2"/>
  <c r="S118" i="2"/>
  <c r="R366" i="2"/>
  <c r="S366" i="2"/>
  <c r="R43" i="2"/>
  <c r="S43" i="2"/>
  <c r="W333" i="2"/>
  <c r="X333" i="2"/>
  <c r="X377" i="2"/>
  <c r="W377" i="2"/>
  <c r="X315" i="2"/>
  <c r="W315" i="2"/>
  <c r="W218" i="2"/>
  <c r="X218" i="2"/>
  <c r="S311" i="2"/>
  <c r="R311" i="2"/>
  <c r="R107" i="2"/>
  <c r="S107" i="2"/>
  <c r="S125" i="2"/>
  <c r="R125" i="2"/>
  <c r="R351" i="2"/>
  <c r="S351" i="2"/>
  <c r="S360" i="2"/>
  <c r="R360" i="2"/>
  <c r="R50" i="2"/>
  <c r="S50" i="2"/>
  <c r="X375" i="2"/>
  <c r="W375" i="2"/>
  <c r="X305" i="2"/>
  <c r="W305" i="2"/>
  <c r="W289" i="2"/>
  <c r="X289" i="2"/>
  <c r="W252" i="2"/>
  <c r="X252" i="2"/>
  <c r="X184" i="2"/>
  <c r="W184" i="2"/>
  <c r="W150" i="2"/>
  <c r="X150" i="2"/>
  <c r="W29" i="2"/>
  <c r="X29" i="2"/>
  <c r="R322" i="2"/>
  <c r="S322" i="2"/>
  <c r="S321" i="2"/>
  <c r="R321" i="2"/>
  <c r="R86" i="2"/>
  <c r="S86" i="2"/>
  <c r="R88" i="2"/>
  <c r="S88" i="2"/>
  <c r="R319" i="2"/>
  <c r="S319" i="2"/>
  <c r="R318" i="2"/>
  <c r="S318" i="2"/>
  <c r="S317" i="2"/>
  <c r="R317" i="2"/>
  <c r="R97" i="2"/>
  <c r="S97" i="2"/>
  <c r="S93" i="2"/>
  <c r="R93" i="2"/>
  <c r="S108" i="2"/>
  <c r="R108" i="2"/>
  <c r="R84" i="2"/>
  <c r="S84" i="2"/>
  <c r="S127" i="2"/>
  <c r="R127" i="2"/>
  <c r="R130" i="2"/>
  <c r="S130" i="2"/>
  <c r="S344" i="2"/>
  <c r="R344" i="2"/>
  <c r="R330" i="2"/>
  <c r="S330" i="2"/>
  <c r="R337" i="2"/>
  <c r="S337" i="2"/>
  <c r="S367" i="2"/>
  <c r="R367" i="2"/>
  <c r="S372" i="2"/>
  <c r="R372" i="2"/>
  <c r="R364" i="2"/>
  <c r="S364" i="2"/>
  <c r="W48" i="2"/>
  <c r="X48" i="2"/>
  <c r="W58" i="2"/>
  <c r="X58" i="2"/>
  <c r="W70" i="2"/>
  <c r="X70" i="2"/>
  <c r="R48" i="2"/>
  <c r="S48" i="2"/>
  <c r="W46" i="2"/>
  <c r="X46" i="2"/>
  <c r="R38" i="2"/>
  <c r="S38" i="2"/>
  <c r="X330" i="2"/>
  <c r="W330" i="2"/>
  <c r="W363" i="2"/>
  <c r="X363" i="2"/>
  <c r="X346" i="2"/>
  <c r="W346" i="2"/>
  <c r="X294" i="2"/>
  <c r="W294" i="2"/>
  <c r="W349" i="2"/>
  <c r="X349" i="2"/>
  <c r="W274" i="2"/>
  <c r="X274" i="2"/>
  <c r="W366" i="2"/>
  <c r="X366" i="2"/>
  <c r="W273" i="2"/>
  <c r="X273" i="2"/>
  <c r="X361" i="2"/>
  <c r="W361" i="2"/>
  <c r="W253" i="2"/>
  <c r="X253" i="2"/>
  <c r="W284" i="2"/>
  <c r="X284" i="2"/>
  <c r="W255" i="2"/>
  <c r="X255" i="2"/>
  <c r="W339" i="2"/>
  <c r="X339" i="2"/>
  <c r="W295" i="2"/>
  <c r="X295" i="2"/>
  <c r="W219" i="2"/>
  <c r="X219" i="2"/>
  <c r="W132" i="2"/>
  <c r="X132" i="2"/>
  <c r="X129" i="2"/>
  <c r="W129" i="2"/>
  <c r="X163" i="2"/>
  <c r="W163" i="2"/>
  <c r="W164" i="2"/>
  <c r="X164" i="2"/>
  <c r="W205" i="2"/>
  <c r="X205" i="2"/>
  <c r="W101" i="2"/>
  <c r="X101" i="2"/>
  <c r="W179" i="2"/>
  <c r="X179" i="2"/>
  <c r="W178" i="2"/>
  <c r="X178" i="2"/>
  <c r="W141" i="2"/>
  <c r="X141" i="2"/>
  <c r="W93" i="2"/>
  <c r="X93" i="2"/>
  <c r="X165" i="2"/>
  <c r="W165" i="2"/>
  <c r="X30" i="2"/>
  <c r="W30" i="2"/>
  <c r="X119" i="2"/>
  <c r="W119" i="2"/>
  <c r="W111" i="2"/>
  <c r="X111" i="2"/>
  <c r="X72" i="2"/>
  <c r="W72" i="2"/>
  <c r="R36" i="2"/>
  <c r="S36" i="2"/>
  <c r="R27" i="2"/>
  <c r="S27" i="2"/>
  <c r="X86" i="2"/>
  <c r="W86" i="2"/>
  <c r="R269" i="2"/>
  <c r="S269" i="2"/>
  <c r="R293" i="2"/>
  <c r="S293" i="2"/>
  <c r="R276" i="2"/>
  <c r="S276" i="2"/>
  <c r="R231" i="2"/>
  <c r="S231" i="2"/>
  <c r="R226" i="2"/>
  <c r="S226" i="2"/>
  <c r="S53" i="2"/>
  <c r="R53" i="2"/>
  <c r="R58" i="2"/>
  <c r="S58" i="2"/>
  <c r="S76" i="2"/>
  <c r="R76" i="2"/>
  <c r="R177" i="2"/>
  <c r="S177" i="2"/>
  <c r="R174" i="2"/>
  <c r="S174" i="2"/>
  <c r="S183" i="2"/>
  <c r="R183" i="2"/>
  <c r="R263" i="2"/>
  <c r="S263" i="2"/>
  <c r="R239" i="2"/>
  <c r="S239" i="2"/>
  <c r="R238" i="2"/>
  <c r="S238" i="2"/>
  <c r="R170" i="2"/>
  <c r="S170" i="2"/>
  <c r="R165" i="2"/>
  <c r="S165" i="2"/>
  <c r="R160" i="2"/>
  <c r="S160" i="2"/>
  <c r="S147" i="2"/>
  <c r="R147" i="2"/>
  <c r="R316" i="2"/>
  <c r="S316" i="2"/>
  <c r="R109" i="2"/>
  <c r="S109" i="2"/>
  <c r="R129" i="2"/>
  <c r="S129" i="2"/>
  <c r="S340" i="2"/>
  <c r="R340" i="2"/>
  <c r="R356" i="2"/>
  <c r="S356" i="2"/>
  <c r="W27" i="2"/>
  <c r="X27" i="2"/>
  <c r="W345" i="2"/>
  <c r="X345" i="2"/>
  <c r="W318" i="2"/>
  <c r="X318" i="2"/>
  <c r="X258" i="2"/>
  <c r="W258" i="2"/>
  <c r="W241" i="2"/>
  <c r="X241" i="2"/>
  <c r="W91" i="2"/>
  <c r="X91" i="2"/>
  <c r="W135" i="2"/>
  <c r="X135" i="2"/>
  <c r="W76" i="2"/>
  <c r="X76" i="2"/>
  <c r="R290" i="2"/>
  <c r="S290" i="2"/>
  <c r="R220" i="2"/>
  <c r="S220" i="2"/>
  <c r="R67" i="2"/>
  <c r="S67" i="2"/>
  <c r="S324" i="2"/>
  <c r="R324" i="2"/>
  <c r="R83" i="2"/>
  <c r="S83" i="2"/>
  <c r="S339" i="2"/>
  <c r="R339" i="2"/>
  <c r="R373" i="2"/>
  <c r="S373" i="2"/>
  <c r="W53" i="2"/>
  <c r="X53" i="2"/>
  <c r="W66" i="2"/>
  <c r="X66" i="2"/>
  <c r="R37" i="2"/>
  <c r="S37" i="2"/>
  <c r="X356" i="2"/>
  <c r="W356" i="2"/>
  <c r="W381" i="2"/>
  <c r="X381" i="2"/>
  <c r="X319" i="2"/>
  <c r="W319" i="2"/>
  <c r="R101" i="2"/>
  <c r="S101" i="2"/>
  <c r="R134" i="2"/>
  <c r="S134" i="2"/>
  <c r="S352" i="2"/>
  <c r="R352" i="2"/>
  <c r="X354" i="2"/>
  <c r="W354" i="2"/>
  <c r="X350" i="2"/>
  <c r="W350" i="2"/>
  <c r="X302" i="2"/>
  <c r="W302" i="2"/>
  <c r="X210" i="2"/>
  <c r="W210" i="2"/>
  <c r="W217" i="2"/>
  <c r="X217" i="2"/>
  <c r="R92" i="2"/>
  <c r="S92" i="2"/>
  <c r="S116" i="2"/>
  <c r="R116" i="2"/>
  <c r="S332" i="2"/>
  <c r="R332" i="2"/>
  <c r="R377" i="2"/>
  <c r="S377" i="2"/>
  <c r="X55" i="2"/>
  <c r="W55" i="2"/>
  <c r="W372" i="2"/>
  <c r="X372" i="2"/>
  <c r="X374" i="2"/>
  <c r="W374" i="2"/>
  <c r="W296" i="2"/>
  <c r="X296" i="2"/>
  <c r="W186" i="2"/>
  <c r="X186" i="2"/>
  <c r="X213" i="2"/>
  <c r="W213" i="2"/>
  <c r="W84" i="2"/>
  <c r="X84" i="2"/>
  <c r="X121" i="2"/>
  <c r="W121" i="2"/>
  <c r="S308" i="2"/>
  <c r="R308" i="2"/>
  <c r="S314" i="2"/>
  <c r="R314" i="2"/>
  <c r="R309" i="2"/>
  <c r="S309" i="2"/>
  <c r="R102" i="2"/>
  <c r="S102" i="2"/>
  <c r="R90" i="2"/>
  <c r="S90" i="2"/>
  <c r="S104" i="2"/>
  <c r="R104" i="2"/>
  <c r="R123" i="2"/>
  <c r="S123" i="2"/>
  <c r="R119" i="2"/>
  <c r="S119" i="2"/>
  <c r="R137" i="2"/>
  <c r="S137" i="2"/>
  <c r="R343" i="2"/>
  <c r="S343" i="2"/>
  <c r="S354" i="2"/>
  <c r="R354" i="2"/>
  <c r="S333" i="2"/>
  <c r="R333" i="2"/>
  <c r="R368" i="2"/>
  <c r="S368" i="2"/>
  <c r="R357" i="2"/>
  <c r="S357" i="2"/>
  <c r="S378" i="2"/>
  <c r="R378" i="2"/>
  <c r="W45" i="2"/>
  <c r="X45" i="2"/>
  <c r="W28" i="2"/>
  <c r="X28" i="2"/>
  <c r="W63" i="2"/>
  <c r="X63" i="2"/>
  <c r="W44" i="2"/>
  <c r="X44" i="2"/>
  <c r="R24" i="2"/>
  <c r="S24" i="2"/>
  <c r="W360" i="2"/>
  <c r="X360" i="2"/>
  <c r="W371" i="2"/>
  <c r="X371" i="2"/>
  <c r="W325" i="2"/>
  <c r="X325" i="2"/>
  <c r="X353" i="2"/>
  <c r="W353" i="2"/>
  <c r="W267" i="2"/>
  <c r="X267" i="2"/>
  <c r="X269" i="2"/>
  <c r="W269" i="2"/>
  <c r="W227" i="2"/>
  <c r="X227" i="2"/>
  <c r="W358" i="2"/>
  <c r="X358" i="2"/>
  <c r="W266" i="2"/>
  <c r="X266" i="2"/>
  <c r="X357" i="2"/>
  <c r="W357" i="2"/>
  <c r="X316" i="2"/>
  <c r="W316" i="2"/>
  <c r="X280" i="2"/>
  <c r="W280" i="2"/>
  <c r="W251" i="2"/>
  <c r="X251" i="2"/>
  <c r="X335" i="2"/>
  <c r="W335" i="2"/>
  <c r="W291" i="2"/>
  <c r="X291" i="2"/>
  <c r="W207" i="2"/>
  <c r="X207" i="2"/>
  <c r="W105" i="2"/>
  <c r="X105" i="2"/>
  <c r="W254" i="2"/>
  <c r="X254" i="2"/>
  <c r="X155" i="2"/>
  <c r="W155" i="2"/>
  <c r="W116" i="2"/>
  <c r="X116" i="2"/>
  <c r="X200" i="2"/>
  <c r="W200" i="2"/>
  <c r="W240" i="2"/>
  <c r="X240" i="2"/>
  <c r="X168" i="2"/>
  <c r="W168" i="2"/>
  <c r="W174" i="2"/>
  <c r="X174" i="2"/>
  <c r="W140" i="2"/>
  <c r="X140" i="2"/>
  <c r="X197" i="2"/>
  <c r="W197" i="2"/>
  <c r="X161" i="2"/>
  <c r="W161" i="2"/>
  <c r="W112" i="2"/>
  <c r="X112" i="2"/>
  <c r="W100" i="2"/>
  <c r="X100" i="2"/>
  <c r="X107" i="2"/>
  <c r="W107" i="2"/>
  <c r="W126" i="2"/>
  <c r="X126" i="2"/>
  <c r="W81" i="2"/>
  <c r="X81" i="2"/>
  <c r="W50" i="2"/>
  <c r="X50" i="2"/>
  <c r="W60" i="2"/>
  <c r="X60" i="2"/>
  <c r="S274" i="2"/>
  <c r="R274" i="2"/>
  <c r="R265" i="2"/>
  <c r="S265" i="2"/>
  <c r="S272" i="2"/>
  <c r="R272" i="2"/>
  <c r="R225" i="2"/>
  <c r="S225" i="2"/>
  <c r="R227" i="2"/>
  <c r="S227" i="2"/>
  <c r="R218" i="2"/>
  <c r="S218" i="2"/>
  <c r="R74" i="2"/>
  <c r="S74" i="2"/>
  <c r="S51" i="2"/>
  <c r="R51" i="2"/>
  <c r="S72" i="2"/>
  <c r="R72" i="2"/>
  <c r="R200" i="2"/>
  <c r="S200" i="2"/>
  <c r="R185" i="2"/>
  <c r="S185" i="2"/>
  <c r="R184" i="2"/>
  <c r="S184" i="2"/>
  <c r="S179" i="2"/>
  <c r="R179" i="2"/>
  <c r="R262" i="2"/>
  <c r="S262" i="2"/>
  <c r="S237" i="2"/>
  <c r="R237" i="2"/>
  <c r="S234" i="2"/>
  <c r="R234" i="2"/>
  <c r="R141" i="2"/>
  <c r="S141" i="2"/>
  <c r="R142" i="2"/>
  <c r="S142" i="2"/>
  <c r="S156" i="2"/>
  <c r="R156" i="2"/>
  <c r="G37" i="7" l="1"/>
  <c r="Z38" i="7"/>
  <c r="E37" i="7"/>
  <c r="Y38" i="7"/>
  <c r="AA39" i="5"/>
  <c r="E38" i="5"/>
  <c r="AS37" i="5"/>
  <c r="G36" i="5"/>
  <c r="E39" i="4"/>
  <c r="Y40" i="4"/>
  <c r="Z38" i="4"/>
  <c r="G37" i="4"/>
  <c r="Y33" i="3"/>
  <c r="E32" i="3"/>
  <c r="G32" i="3"/>
  <c r="Z33" i="3"/>
  <c r="G27" i="2"/>
  <c r="AS28" i="2"/>
  <c r="E27" i="2"/>
  <c r="AA28" i="2"/>
  <c r="Z39" i="7" l="1"/>
  <c r="G38" i="7"/>
  <c r="Y39" i="7"/>
  <c r="E38" i="7"/>
  <c r="AS38" i="5"/>
  <c r="G37" i="5"/>
  <c r="AA40" i="5"/>
  <c r="E39" i="5"/>
  <c r="Z39" i="4"/>
  <c r="G38" i="4"/>
  <c r="Y41" i="4"/>
  <c r="E40" i="4"/>
  <c r="Z34" i="3"/>
  <c r="G33" i="3"/>
  <c r="Y34" i="3"/>
  <c r="E33" i="3"/>
  <c r="AA29" i="2"/>
  <c r="E28" i="2"/>
  <c r="G28" i="2"/>
  <c r="AS29" i="2"/>
  <c r="Z40" i="7" l="1"/>
  <c r="G39" i="7"/>
  <c r="Y40" i="7"/>
  <c r="E39" i="7"/>
  <c r="AA41" i="5"/>
  <c r="E40" i="5"/>
  <c r="G38" i="5"/>
  <c r="AS39" i="5"/>
  <c r="Y42" i="4"/>
  <c r="E41" i="4"/>
  <c r="G39" i="4"/>
  <c r="Z40" i="4"/>
  <c r="Y35" i="3"/>
  <c r="E34" i="3"/>
  <c r="Z35" i="3"/>
  <c r="G34" i="3"/>
  <c r="AS30" i="2"/>
  <c r="G29" i="2"/>
  <c r="E29" i="2"/>
  <c r="AA30" i="2"/>
  <c r="Z41" i="7" l="1"/>
  <c r="G40" i="7"/>
  <c r="Y41" i="7"/>
  <c r="E40" i="7"/>
  <c r="AS40" i="5"/>
  <c r="G39" i="5"/>
  <c r="AA42" i="5"/>
  <c r="E41" i="5"/>
  <c r="Z41" i="4"/>
  <c r="G40" i="4"/>
  <c r="Y43" i="4"/>
  <c r="E42" i="4"/>
  <c r="G35" i="3"/>
  <c r="Z36" i="3"/>
  <c r="E35" i="3"/>
  <c r="Y36" i="3"/>
  <c r="AA31" i="2"/>
  <c r="E30" i="2"/>
  <c r="G30" i="2"/>
  <c r="AS31" i="2"/>
  <c r="Z42" i="7" l="1"/>
  <c r="G41" i="7"/>
  <c r="Y42" i="7"/>
  <c r="E41" i="7"/>
  <c r="AA43" i="5"/>
  <c r="E42" i="5"/>
  <c r="AS41" i="5"/>
  <c r="G40" i="5"/>
  <c r="E43" i="4"/>
  <c r="Y44" i="4"/>
  <c r="Z42" i="4"/>
  <c r="G41" i="4"/>
  <c r="Y37" i="3"/>
  <c r="E36" i="3"/>
  <c r="Z37" i="3"/>
  <c r="G36" i="3"/>
  <c r="AS32" i="2"/>
  <c r="G31" i="2"/>
  <c r="E31" i="2"/>
  <c r="AA32" i="2"/>
  <c r="Z43" i="7" l="1"/>
  <c r="G42" i="7"/>
  <c r="Y43" i="7"/>
  <c r="E42" i="7"/>
  <c r="AS42" i="5"/>
  <c r="G41" i="5"/>
  <c r="AA44" i="5"/>
  <c r="E43" i="5"/>
  <c r="Z43" i="4"/>
  <c r="G42" i="4"/>
  <c r="Y45" i="4"/>
  <c r="E44" i="4"/>
  <c r="G37" i="3"/>
  <c r="Z38" i="3"/>
  <c r="E37" i="3"/>
  <c r="Y38" i="3"/>
  <c r="AA33" i="2"/>
  <c r="E32" i="2"/>
  <c r="G32" i="2"/>
  <c r="AS33" i="2"/>
  <c r="Z44" i="7" l="1"/>
  <c r="G43" i="7"/>
  <c r="Y44" i="7"/>
  <c r="E43" i="7"/>
  <c r="E44" i="5"/>
  <c r="AA45" i="5"/>
  <c r="AS43" i="5"/>
  <c r="G42" i="5"/>
  <c r="Y46" i="4"/>
  <c r="E45" i="4"/>
  <c r="Z44" i="4"/>
  <c r="G43" i="4"/>
  <c r="E38" i="3"/>
  <c r="Y39" i="3"/>
  <c r="G38" i="3"/>
  <c r="Z39" i="3"/>
  <c r="G33" i="2"/>
  <c r="AS34" i="2"/>
  <c r="E33" i="2"/>
  <c r="AA34" i="2"/>
  <c r="Z45" i="7" l="1"/>
  <c r="G44" i="7"/>
  <c r="Y45" i="7"/>
  <c r="E44" i="7"/>
  <c r="G43" i="5"/>
  <c r="AS44" i="5"/>
  <c r="E45" i="5"/>
  <c r="AA46" i="5"/>
  <c r="Z45" i="4"/>
  <c r="G44" i="4"/>
  <c r="Y47" i="4"/>
  <c r="E46" i="4"/>
  <c r="Z40" i="3"/>
  <c r="G39" i="3"/>
  <c r="Y40" i="3"/>
  <c r="E39" i="3"/>
  <c r="AA35" i="2"/>
  <c r="E34" i="2"/>
  <c r="AS35" i="2"/>
  <c r="G34" i="2"/>
  <c r="G45" i="7" l="1"/>
  <c r="Z46" i="7"/>
  <c r="E45" i="7"/>
  <c r="Y46" i="7"/>
  <c r="AA47" i="5"/>
  <c r="E46" i="5"/>
  <c r="G44" i="5"/>
  <c r="AS45" i="5"/>
  <c r="E47" i="4"/>
  <c r="Y48" i="4"/>
  <c r="Z46" i="4"/>
  <c r="G45" i="4"/>
  <c r="E40" i="3"/>
  <c r="Y41" i="3"/>
  <c r="G40" i="3"/>
  <c r="Z41" i="3"/>
  <c r="G35" i="2"/>
  <c r="AS36" i="2"/>
  <c r="AA36" i="2"/>
  <c r="E35" i="2"/>
  <c r="Z47" i="7" l="1"/>
  <c r="G46" i="7"/>
  <c r="Y47" i="7"/>
  <c r="E46" i="7"/>
  <c r="AS46" i="5"/>
  <c r="G45" i="5"/>
  <c r="AA48" i="5"/>
  <c r="E47" i="5"/>
  <c r="Z47" i="4"/>
  <c r="G46" i="4"/>
  <c r="E48" i="4"/>
  <c r="Y49" i="4"/>
  <c r="Z42" i="3"/>
  <c r="G41" i="3"/>
  <c r="Y42" i="3"/>
  <c r="E41" i="3"/>
  <c r="AA37" i="2"/>
  <c r="E36" i="2"/>
  <c r="G36" i="2"/>
  <c r="AS37" i="2"/>
  <c r="Z48" i="7" l="1"/>
  <c r="G47" i="7"/>
  <c r="Y48" i="7"/>
  <c r="E47" i="7"/>
  <c r="AA49" i="5"/>
  <c r="E48" i="5"/>
  <c r="G46" i="5"/>
  <c r="AS47" i="5"/>
  <c r="E49" i="4"/>
  <c r="Y50" i="4"/>
  <c r="Z48" i="4"/>
  <c r="G47" i="4"/>
  <c r="E42" i="3"/>
  <c r="Y43" i="3"/>
  <c r="G42" i="3"/>
  <c r="Z43" i="3"/>
  <c r="AS38" i="2"/>
  <c r="G37" i="2"/>
  <c r="E37" i="2"/>
  <c r="AA38" i="2"/>
  <c r="Z49" i="7" l="1"/>
  <c r="G48" i="7"/>
  <c r="Y49" i="7"/>
  <c r="E48" i="7"/>
  <c r="G47" i="5"/>
  <c r="AS48" i="5"/>
  <c r="AA50" i="5"/>
  <c r="E49" i="5"/>
  <c r="G48" i="4"/>
  <c r="Z49" i="4"/>
  <c r="Y51" i="4"/>
  <c r="E50" i="4"/>
  <c r="Z44" i="3"/>
  <c r="G43" i="3"/>
  <c r="Y44" i="3"/>
  <c r="E43" i="3"/>
  <c r="AA39" i="2"/>
  <c r="E38" i="2"/>
  <c r="AS39" i="2"/>
  <c r="G38" i="2"/>
  <c r="Z50" i="7" l="1"/>
  <c r="G49" i="7"/>
  <c r="Y50" i="7"/>
  <c r="E49" i="7"/>
  <c r="AA51" i="5"/>
  <c r="E50" i="5"/>
  <c r="G48" i="5"/>
  <c r="AS49" i="5"/>
  <c r="E51" i="4"/>
  <c r="Y52" i="4"/>
  <c r="Z50" i="4"/>
  <c r="G49" i="4"/>
  <c r="E44" i="3"/>
  <c r="Y45" i="3"/>
  <c r="G44" i="3"/>
  <c r="Z45" i="3"/>
  <c r="G39" i="2"/>
  <c r="AS40" i="2"/>
  <c r="E39" i="2"/>
  <c r="AA40" i="2"/>
  <c r="Z51" i="7" l="1"/>
  <c r="G50" i="7"/>
  <c r="Y51" i="7"/>
  <c r="E50" i="7"/>
  <c r="AS50" i="5"/>
  <c r="G49" i="5"/>
  <c r="AA52" i="5"/>
  <c r="E51" i="5"/>
  <c r="Y53" i="4"/>
  <c r="E52" i="4"/>
  <c r="Z51" i="4"/>
  <c r="G50" i="4"/>
  <c r="Z46" i="3"/>
  <c r="G45" i="3"/>
  <c r="E45" i="3"/>
  <c r="Y46" i="3"/>
  <c r="G40" i="2"/>
  <c r="AS41" i="2"/>
  <c r="AA41" i="2"/>
  <c r="E40" i="2"/>
  <c r="Z52" i="7" l="1"/>
  <c r="G51" i="7"/>
  <c r="Y52" i="7"/>
  <c r="E51" i="7"/>
  <c r="AA53" i="5"/>
  <c r="E52" i="5"/>
  <c r="AS51" i="5"/>
  <c r="G50" i="5"/>
  <c r="Z52" i="4"/>
  <c r="G51" i="4"/>
  <c r="Y54" i="4"/>
  <c r="E53" i="4"/>
  <c r="E46" i="3"/>
  <c r="Y47" i="3"/>
  <c r="Z47" i="3"/>
  <c r="G46" i="3"/>
  <c r="E41" i="2"/>
  <c r="AA42" i="2"/>
  <c r="G41" i="2"/>
  <c r="AS42" i="2"/>
  <c r="G52" i="7" l="1"/>
  <c r="Z53" i="7"/>
  <c r="AC24" i="7"/>
  <c r="AC26" i="7"/>
  <c r="AC25" i="7"/>
  <c r="AD23" i="7"/>
  <c r="AC27" i="7"/>
  <c r="AD27" i="7"/>
  <c r="AE27" i="7" s="1"/>
  <c r="AD24" i="7"/>
  <c r="AD22" i="7"/>
  <c r="AC21" i="7"/>
  <c r="AC23" i="7"/>
  <c r="AD26" i="7"/>
  <c r="AD25" i="7"/>
  <c r="AD21" i="7"/>
  <c r="AC22" i="7"/>
  <c r="E52" i="7"/>
  <c r="Y53" i="7"/>
  <c r="AE20" i="5"/>
  <c r="AE25" i="5"/>
  <c r="AF23" i="5"/>
  <c r="AF22" i="5"/>
  <c r="AF21" i="5"/>
  <c r="AF24" i="5"/>
  <c r="AE24" i="5"/>
  <c r="AH24" i="5" s="1"/>
  <c r="AI24" i="5" s="1"/>
  <c r="AF26" i="5"/>
  <c r="AE21" i="5"/>
  <c r="AE23" i="5"/>
  <c r="AH23" i="5" s="1"/>
  <c r="AI23" i="5" s="1"/>
  <c r="AE26" i="5"/>
  <c r="AH26" i="5" s="1"/>
  <c r="AI26" i="5" s="1"/>
  <c r="AF20" i="5"/>
  <c r="AF25" i="5"/>
  <c r="AG20" i="5"/>
  <c r="AE22" i="5"/>
  <c r="G51" i="5"/>
  <c r="AS52" i="5"/>
  <c r="AA54" i="5"/>
  <c r="E53" i="5"/>
  <c r="Y55" i="4"/>
  <c r="E54" i="4"/>
  <c r="AD21" i="4"/>
  <c r="AD24" i="4"/>
  <c r="AD25" i="4"/>
  <c r="AD27" i="4"/>
  <c r="AC25" i="4"/>
  <c r="AD26" i="4"/>
  <c r="AC21" i="4"/>
  <c r="AC26" i="4"/>
  <c r="AC22" i="4"/>
  <c r="AD22" i="4"/>
  <c r="AD23" i="4"/>
  <c r="AC24" i="4"/>
  <c r="AC27" i="4"/>
  <c r="AC23" i="4"/>
  <c r="Z53" i="4"/>
  <c r="G52" i="4"/>
  <c r="E47" i="3"/>
  <c r="Y48" i="3"/>
  <c r="G47" i="3"/>
  <c r="Z48" i="3"/>
  <c r="AA43" i="2"/>
  <c r="E42" i="2"/>
  <c r="AS43" i="2"/>
  <c r="G42" i="2"/>
  <c r="Z54" i="7" l="1"/>
  <c r="G53" i="7"/>
  <c r="AE23" i="7"/>
  <c r="AE24" i="7"/>
  <c r="AE22" i="7"/>
  <c r="L33" i="7" s="1"/>
  <c r="AE26" i="7"/>
  <c r="AE25" i="7"/>
  <c r="AE21" i="7"/>
  <c r="Y54" i="7"/>
  <c r="E53" i="7"/>
  <c r="AH22" i="5"/>
  <c r="AI22" i="5" s="1"/>
  <c r="AH21" i="5"/>
  <c r="AI21" i="5" s="1"/>
  <c r="AH25" i="5"/>
  <c r="AI25" i="5" s="1"/>
  <c r="AA55" i="5"/>
  <c r="E54" i="5"/>
  <c r="AS53" i="5"/>
  <c r="G52" i="5"/>
  <c r="AH20" i="5"/>
  <c r="AI20" i="5" s="1"/>
  <c r="Z54" i="4"/>
  <c r="G53" i="4"/>
  <c r="Y56" i="4"/>
  <c r="E55" i="4"/>
  <c r="Z49" i="3"/>
  <c r="G48" i="3"/>
  <c r="E48" i="3"/>
  <c r="Y49" i="3"/>
  <c r="AS44" i="2"/>
  <c r="G43" i="2"/>
  <c r="AA44" i="2"/>
  <c r="E43" i="2"/>
  <c r="L39" i="7" l="1"/>
  <c r="L46" i="7"/>
  <c r="N33" i="7"/>
  <c r="M33" i="7"/>
  <c r="L25" i="7"/>
  <c r="L32" i="7"/>
  <c r="AF24" i="7"/>
  <c r="AF26" i="7"/>
  <c r="AF21" i="7"/>
  <c r="AF22" i="7"/>
  <c r="AF25" i="7"/>
  <c r="Z55" i="7"/>
  <c r="G54" i="7"/>
  <c r="L49" i="7"/>
  <c r="L42" i="7"/>
  <c r="L35" i="7"/>
  <c r="L28" i="7"/>
  <c r="L50" i="7"/>
  <c r="L43" i="7"/>
  <c r="L36" i="7"/>
  <c r="L29" i="7"/>
  <c r="L48" i="7"/>
  <c r="L41" i="7"/>
  <c r="L34" i="7"/>
  <c r="L27" i="7"/>
  <c r="L45" i="7"/>
  <c r="L38" i="7"/>
  <c r="L31" i="7"/>
  <c r="L51" i="7"/>
  <c r="L44" i="7"/>
  <c r="L37" i="7"/>
  <c r="L30" i="7"/>
  <c r="L47" i="7"/>
  <c r="L40" i="7"/>
  <c r="L26" i="7"/>
  <c r="Y55" i="7"/>
  <c r="E54" i="7"/>
  <c r="AF23" i="7"/>
  <c r="AJ20" i="5"/>
  <c r="AS54" i="5"/>
  <c r="G53" i="5"/>
  <c r="E55" i="5"/>
  <c r="AA56" i="5"/>
  <c r="E56" i="4"/>
  <c r="Y57" i="4"/>
  <c r="Z55" i="4"/>
  <c r="G54" i="4"/>
  <c r="Y50" i="3"/>
  <c r="E49" i="3"/>
  <c r="Z50" i="3"/>
  <c r="G49" i="3"/>
  <c r="AA45" i="2"/>
  <c r="E44" i="2"/>
  <c r="G44" i="2"/>
  <c r="AS45" i="2"/>
  <c r="N39" i="7" l="1"/>
  <c r="M39" i="7"/>
  <c r="N46" i="7"/>
  <c r="M46" i="7"/>
  <c r="U46" i="7"/>
  <c r="P46" i="7"/>
  <c r="U39" i="7"/>
  <c r="P39" i="7"/>
  <c r="N25" i="7"/>
  <c r="M25" i="7"/>
  <c r="U25" i="7"/>
  <c r="P25" i="7"/>
  <c r="P33" i="7"/>
  <c r="U33" i="7"/>
  <c r="P32" i="7"/>
  <c r="U32" i="7"/>
  <c r="N32" i="7"/>
  <c r="M32" i="7"/>
  <c r="AF27" i="7"/>
  <c r="Z56" i="7"/>
  <c r="G55" i="7"/>
  <c r="M49" i="7"/>
  <c r="N49" i="7"/>
  <c r="M42" i="7"/>
  <c r="N42" i="7"/>
  <c r="N35" i="7"/>
  <c r="M35" i="7"/>
  <c r="M28" i="7"/>
  <c r="N28" i="7"/>
  <c r="M50" i="7"/>
  <c r="N50" i="7"/>
  <c r="M43" i="7"/>
  <c r="N43" i="7"/>
  <c r="N36" i="7"/>
  <c r="M36" i="7"/>
  <c r="N29" i="7"/>
  <c r="M29" i="7"/>
  <c r="M48" i="7"/>
  <c r="N48" i="7"/>
  <c r="M41" i="7"/>
  <c r="N41" i="7"/>
  <c r="M34" i="7"/>
  <c r="N34" i="7"/>
  <c r="N27" i="7"/>
  <c r="M27" i="7"/>
  <c r="N45" i="7"/>
  <c r="M45" i="7"/>
  <c r="N38" i="7"/>
  <c r="M38" i="7"/>
  <c r="M31" i="7"/>
  <c r="N31" i="7"/>
  <c r="M51" i="7"/>
  <c r="N51" i="7"/>
  <c r="M44" i="7"/>
  <c r="N44" i="7"/>
  <c r="N37" i="7"/>
  <c r="M37" i="7"/>
  <c r="M30" i="7"/>
  <c r="N30" i="7"/>
  <c r="M47" i="7"/>
  <c r="N47" i="7"/>
  <c r="M40" i="7"/>
  <c r="N40" i="7"/>
  <c r="U26" i="7"/>
  <c r="N26" i="7"/>
  <c r="P34" i="7"/>
  <c r="U28" i="7"/>
  <c r="P27" i="7"/>
  <c r="U37" i="7"/>
  <c r="P26" i="7"/>
  <c r="U35" i="7"/>
  <c r="P35" i="7"/>
  <c r="U30" i="7"/>
  <c r="P30" i="7"/>
  <c r="U50" i="7"/>
  <c r="P50" i="7"/>
  <c r="U49" i="7"/>
  <c r="P49" i="7"/>
  <c r="U47" i="7"/>
  <c r="P47" i="7"/>
  <c r="P45" i="7"/>
  <c r="U36" i="7"/>
  <c r="P36" i="7"/>
  <c r="U44" i="7"/>
  <c r="P44" i="7"/>
  <c r="U43" i="7"/>
  <c r="U42" i="7"/>
  <c r="P42" i="7"/>
  <c r="U41" i="7"/>
  <c r="P41" i="7"/>
  <c r="U51" i="7"/>
  <c r="U27" i="7"/>
  <c r="P48" i="7"/>
  <c r="U31" i="7"/>
  <c r="U40" i="7"/>
  <c r="P40" i="7"/>
  <c r="P43" i="7"/>
  <c r="U29" i="7"/>
  <c r="P28" i="7"/>
  <c r="M26" i="7"/>
  <c r="U48" i="7"/>
  <c r="P38" i="7"/>
  <c r="U34" i="7"/>
  <c r="U38" i="7"/>
  <c r="P51" i="7"/>
  <c r="P37" i="7"/>
  <c r="U45" i="7"/>
  <c r="P29" i="7"/>
  <c r="P31" i="7"/>
  <c r="Y56" i="7"/>
  <c r="E55" i="7"/>
  <c r="E56" i="5"/>
  <c r="AA57" i="5"/>
  <c r="G54" i="5"/>
  <c r="AS55" i="5"/>
  <c r="G55" i="4"/>
  <c r="Z56" i="4"/>
  <c r="E57" i="4"/>
  <c r="Y58" i="4"/>
  <c r="Z51" i="3"/>
  <c r="G50" i="3"/>
  <c r="Y51" i="3"/>
  <c r="E50" i="3"/>
  <c r="G45" i="2"/>
  <c r="AS46" i="2"/>
  <c r="E45" i="2"/>
  <c r="AA46" i="2"/>
  <c r="W25" i="7" l="1"/>
  <c r="S25" i="7"/>
  <c r="R25" i="7"/>
  <c r="W46" i="7"/>
  <c r="X46" i="7"/>
  <c r="R46" i="7"/>
  <c r="S46" i="7"/>
  <c r="X25" i="7"/>
  <c r="W39" i="7"/>
  <c r="X39" i="7"/>
  <c r="S39" i="7"/>
  <c r="R39" i="7"/>
  <c r="S33" i="7"/>
  <c r="R33" i="7"/>
  <c r="W33" i="7"/>
  <c r="X33" i="7"/>
  <c r="R32" i="7"/>
  <c r="S32" i="7"/>
  <c r="W32" i="7"/>
  <c r="X32" i="7"/>
  <c r="Z57" i="7"/>
  <c r="G56" i="7"/>
  <c r="X26" i="7"/>
  <c r="W26" i="7"/>
  <c r="S34" i="7"/>
  <c r="R34" i="7"/>
  <c r="X28" i="7"/>
  <c r="W28" i="7"/>
  <c r="S27" i="7"/>
  <c r="R27" i="7"/>
  <c r="X37" i="7"/>
  <c r="W37" i="7"/>
  <c r="S26" i="7"/>
  <c r="R26" i="7"/>
  <c r="X35" i="7"/>
  <c r="W35" i="7"/>
  <c r="S35" i="7"/>
  <c r="R35" i="7"/>
  <c r="X30" i="7"/>
  <c r="W30" i="7"/>
  <c r="S30" i="7"/>
  <c r="R30" i="7"/>
  <c r="W50" i="7"/>
  <c r="X50" i="7"/>
  <c r="S50" i="7"/>
  <c r="R50" i="7"/>
  <c r="X49" i="7"/>
  <c r="W49" i="7"/>
  <c r="R49" i="7"/>
  <c r="S49" i="7"/>
  <c r="W47" i="7"/>
  <c r="X47" i="7"/>
  <c r="R47" i="7"/>
  <c r="S47" i="7"/>
  <c r="S45" i="7"/>
  <c r="R45" i="7"/>
  <c r="X36" i="7"/>
  <c r="W36" i="7"/>
  <c r="S36" i="7"/>
  <c r="R36" i="7"/>
  <c r="X44" i="7"/>
  <c r="W44" i="7"/>
  <c r="R44" i="7"/>
  <c r="S44" i="7"/>
  <c r="X43" i="7"/>
  <c r="W43" i="7"/>
  <c r="X42" i="7"/>
  <c r="W42" i="7"/>
  <c r="R42" i="7"/>
  <c r="S42" i="7"/>
  <c r="W41" i="7"/>
  <c r="X41" i="7"/>
  <c r="S41" i="7"/>
  <c r="R41" i="7"/>
  <c r="X51" i="7"/>
  <c r="W51" i="7"/>
  <c r="X27" i="7"/>
  <c r="W27" i="7"/>
  <c r="S48" i="7"/>
  <c r="R48" i="7"/>
  <c r="X31" i="7"/>
  <c r="W31" i="7"/>
  <c r="X40" i="7"/>
  <c r="W40" i="7"/>
  <c r="S40" i="7"/>
  <c r="R40" i="7"/>
  <c r="S43" i="7"/>
  <c r="R43" i="7"/>
  <c r="X29" i="7"/>
  <c r="W29" i="7"/>
  <c r="S28" i="7"/>
  <c r="R28" i="7"/>
  <c r="X48" i="7"/>
  <c r="W48" i="7"/>
  <c r="S38" i="7"/>
  <c r="R38" i="7"/>
  <c r="X34" i="7"/>
  <c r="W34" i="7"/>
  <c r="X38" i="7"/>
  <c r="W38" i="7"/>
  <c r="R51" i="7"/>
  <c r="S51" i="7"/>
  <c r="S37" i="7"/>
  <c r="R37" i="7"/>
  <c r="W45" i="7"/>
  <c r="X45" i="7"/>
  <c r="S29" i="7"/>
  <c r="R29" i="7"/>
  <c r="R31" i="7"/>
  <c r="S31" i="7"/>
  <c r="Y57" i="7"/>
  <c r="E56" i="7"/>
  <c r="AS56" i="5"/>
  <c r="G55" i="5"/>
  <c r="AA58" i="5"/>
  <c r="E57" i="5"/>
  <c r="Y59" i="4"/>
  <c r="E58" i="4"/>
  <c r="G56" i="4"/>
  <c r="Z57" i="4"/>
  <c r="Y52" i="3"/>
  <c r="E51" i="3"/>
  <c r="Z52" i="3"/>
  <c r="G51" i="3"/>
  <c r="AA47" i="2"/>
  <c r="E46" i="2"/>
  <c r="AS47" i="2"/>
  <c r="G46" i="2"/>
  <c r="Z58" i="7" l="1"/>
  <c r="G57" i="7"/>
  <c r="E57" i="7"/>
  <c r="Y58" i="7"/>
  <c r="AA59" i="5"/>
  <c r="E58" i="5"/>
  <c r="AS57" i="5"/>
  <c r="G56" i="5"/>
  <c r="E59" i="4"/>
  <c r="Y60" i="4"/>
  <c r="G57" i="4"/>
  <c r="Z58" i="4"/>
  <c r="AC21" i="3"/>
  <c r="AD21" i="3"/>
  <c r="AC27" i="3"/>
  <c r="AC25" i="3"/>
  <c r="AC24" i="3"/>
  <c r="AC23" i="3"/>
  <c r="AD22" i="3"/>
  <c r="AC26" i="3"/>
  <c r="AD26" i="3"/>
  <c r="AD27" i="3"/>
  <c r="AD25" i="3"/>
  <c r="AD24" i="3"/>
  <c r="AC22" i="3"/>
  <c r="AD23" i="3"/>
  <c r="Z53" i="3"/>
  <c r="G52" i="3"/>
  <c r="Y53" i="3"/>
  <c r="E52" i="3"/>
  <c r="G47" i="2"/>
  <c r="AS48" i="2"/>
  <c r="AA48" i="2"/>
  <c r="E47" i="2"/>
  <c r="Z59" i="7" l="1"/>
  <c r="G58" i="7"/>
  <c r="Y59" i="7"/>
  <c r="E58" i="7"/>
  <c r="AA60" i="5"/>
  <c r="E59" i="5"/>
  <c r="AS58" i="5"/>
  <c r="G57" i="5"/>
  <c r="G58" i="4"/>
  <c r="Z59" i="4"/>
  <c r="E60" i="4"/>
  <c r="Y61" i="4"/>
  <c r="Y54" i="3"/>
  <c r="E53" i="3"/>
  <c r="G53" i="3"/>
  <c r="Z54" i="3"/>
  <c r="G48" i="2"/>
  <c r="AS49" i="2"/>
  <c r="AA49" i="2"/>
  <c r="E48" i="2"/>
  <c r="Z60" i="7" l="1"/>
  <c r="G59" i="7"/>
  <c r="E59" i="7"/>
  <c r="Y60" i="7"/>
  <c r="AS59" i="5"/>
  <c r="G58" i="5"/>
  <c r="AA61" i="5"/>
  <c r="E60" i="5"/>
  <c r="E61" i="4"/>
  <c r="Y62" i="4"/>
  <c r="G59" i="4"/>
  <c r="Z60" i="4"/>
  <c r="Z55" i="3"/>
  <c r="G54" i="3"/>
  <c r="Y55" i="3"/>
  <c r="E54" i="3"/>
  <c r="E49" i="2"/>
  <c r="AA50" i="2"/>
  <c r="G49" i="2"/>
  <c r="AS50" i="2"/>
  <c r="Z61" i="7" l="1"/>
  <c r="G60" i="7"/>
  <c r="Y61" i="7"/>
  <c r="E60" i="7"/>
  <c r="G59" i="5"/>
  <c r="AS60" i="5"/>
  <c r="AA62" i="5"/>
  <c r="E61" i="5"/>
  <c r="G60" i="4"/>
  <c r="Z61" i="4"/>
  <c r="E62" i="4"/>
  <c r="Y63" i="4"/>
  <c r="Y56" i="3"/>
  <c r="E55" i="3"/>
  <c r="Z56" i="3"/>
  <c r="G55" i="3"/>
  <c r="AA51" i="2"/>
  <c r="E50" i="2"/>
  <c r="G50" i="2"/>
  <c r="AG20" i="2" s="1"/>
  <c r="AS51" i="2"/>
  <c r="Z62" i="7" l="1"/>
  <c r="G61" i="7"/>
  <c r="Y62" i="7"/>
  <c r="E61" i="7"/>
  <c r="E62" i="5"/>
  <c r="AA63" i="5"/>
  <c r="AS61" i="5"/>
  <c r="G60" i="5"/>
  <c r="Y64" i="4"/>
  <c r="E63" i="4"/>
  <c r="G61" i="4"/>
  <c r="Z62" i="4"/>
  <c r="AE22" i="2"/>
  <c r="AE25" i="2"/>
  <c r="AE21" i="2"/>
  <c r="AE26" i="2"/>
  <c r="AF26" i="2"/>
  <c r="AF22" i="2"/>
  <c r="AE24" i="2"/>
  <c r="AF24" i="2"/>
  <c r="AE23" i="2"/>
  <c r="AF21" i="2"/>
  <c r="AF20" i="2"/>
  <c r="AF25" i="2"/>
  <c r="AF23" i="2"/>
  <c r="AE20" i="2"/>
  <c r="G56" i="3"/>
  <c r="Z57" i="3"/>
  <c r="Y57" i="3"/>
  <c r="E56" i="3"/>
  <c r="AS52" i="2"/>
  <c r="G51" i="2"/>
  <c r="E51" i="2"/>
  <c r="AA52" i="2"/>
  <c r="Z63" i="7" l="1"/>
  <c r="G62" i="7"/>
  <c r="Y63" i="7"/>
  <c r="E62" i="7"/>
  <c r="AS62" i="5"/>
  <c r="G61" i="5"/>
  <c r="AA64" i="5"/>
  <c r="E63" i="5"/>
  <c r="G62" i="4"/>
  <c r="Z63" i="4"/>
  <c r="E64" i="4"/>
  <c r="Y65" i="4"/>
  <c r="AH24" i="2"/>
  <c r="AI24" i="2" s="1"/>
  <c r="AH26" i="2"/>
  <c r="AI26" i="2" s="1"/>
  <c r="AH20" i="2"/>
  <c r="AI20" i="2" s="1"/>
  <c r="AH21" i="2"/>
  <c r="AI21" i="2" s="1"/>
  <c r="AH25" i="2"/>
  <c r="AI25" i="2" s="1"/>
  <c r="AH23" i="2"/>
  <c r="AI23" i="2" s="1"/>
  <c r="AH22" i="2"/>
  <c r="AI22" i="2" s="1"/>
  <c r="Y58" i="3"/>
  <c r="E57" i="3"/>
  <c r="Z58" i="3"/>
  <c r="G57" i="3"/>
  <c r="AA53" i="2"/>
  <c r="E52" i="2"/>
  <c r="G52" i="2"/>
  <c r="AS53" i="2"/>
  <c r="Z64" i="7" l="1"/>
  <c r="G63" i="7"/>
  <c r="Y64" i="7"/>
  <c r="E63" i="7"/>
  <c r="E64" i="5"/>
  <c r="AA65" i="5"/>
  <c r="G62" i="5"/>
  <c r="AS63" i="5"/>
  <c r="AE21" i="4"/>
  <c r="AE21" i="3"/>
  <c r="AE24" i="4"/>
  <c r="AE24" i="3"/>
  <c r="AE27" i="4"/>
  <c r="AE27" i="3"/>
  <c r="AE23" i="4"/>
  <c r="AE23" i="3"/>
  <c r="AE26" i="4"/>
  <c r="AE26" i="3"/>
  <c r="AE22" i="4"/>
  <c r="AE22" i="3"/>
  <c r="AE25" i="4"/>
  <c r="AE25" i="3"/>
  <c r="E65" i="4"/>
  <c r="Y66" i="4"/>
  <c r="Z64" i="4"/>
  <c r="G63" i="4"/>
  <c r="AJ20" i="2"/>
  <c r="G58" i="3"/>
  <c r="Z59" i="3"/>
  <c r="Y59" i="3"/>
  <c r="E58" i="3"/>
  <c r="AS54" i="2"/>
  <c r="G53" i="2"/>
  <c r="E53" i="2"/>
  <c r="AA54" i="2"/>
  <c r="Z65" i="7" l="1"/>
  <c r="G64" i="7"/>
  <c r="Y65" i="7"/>
  <c r="E64" i="7"/>
  <c r="AS64" i="5"/>
  <c r="G63" i="5"/>
  <c r="AA66" i="5"/>
  <c r="E65" i="5"/>
  <c r="L34" i="3"/>
  <c r="L27" i="3"/>
  <c r="L48" i="3"/>
  <c r="L41" i="3"/>
  <c r="AF22" i="3"/>
  <c r="L27" i="4"/>
  <c r="L48" i="4"/>
  <c r="L34" i="4"/>
  <c r="L41" i="4"/>
  <c r="AF22" i="4"/>
  <c r="L30" i="4"/>
  <c r="L44" i="4"/>
  <c r="L51" i="4"/>
  <c r="AF25" i="4"/>
  <c r="L37" i="4"/>
  <c r="L49" i="3"/>
  <c r="L35" i="3"/>
  <c r="L28" i="3"/>
  <c r="L42" i="3"/>
  <c r="AF23" i="3"/>
  <c r="L36" i="3"/>
  <c r="L29" i="3"/>
  <c r="L43" i="3"/>
  <c r="AF24" i="3"/>
  <c r="L50" i="3"/>
  <c r="L38" i="3"/>
  <c r="L45" i="3"/>
  <c r="L31" i="3"/>
  <c r="AF26" i="3"/>
  <c r="AF26" i="4"/>
  <c r="L45" i="4"/>
  <c r="L31" i="4"/>
  <c r="L38" i="4"/>
  <c r="L47" i="3"/>
  <c r="L26" i="3"/>
  <c r="L40" i="3"/>
  <c r="AF21" i="3"/>
  <c r="L51" i="3"/>
  <c r="L37" i="3"/>
  <c r="AF25" i="3"/>
  <c r="L30" i="3"/>
  <c r="L44" i="3"/>
  <c r="L28" i="4"/>
  <c r="L35" i="4"/>
  <c r="L42" i="4"/>
  <c r="L49" i="4"/>
  <c r="AF23" i="4"/>
  <c r="L50" i="4"/>
  <c r="AF24" i="4"/>
  <c r="L29" i="4"/>
  <c r="L36" i="4"/>
  <c r="L43" i="4"/>
  <c r="L26" i="4"/>
  <c r="L40" i="4"/>
  <c r="L47" i="4"/>
  <c r="AF21" i="4"/>
  <c r="Z65" i="4"/>
  <c r="G64" i="4"/>
  <c r="E66" i="4"/>
  <c r="Y67" i="4"/>
  <c r="Y60" i="3"/>
  <c r="E59" i="3"/>
  <c r="G59" i="3"/>
  <c r="Z60" i="3"/>
  <c r="AA55" i="2"/>
  <c r="E54" i="2"/>
  <c r="G54" i="2"/>
  <c r="AS55" i="2"/>
  <c r="Z66" i="7" l="1"/>
  <c r="G65" i="7"/>
  <c r="Y66" i="7"/>
  <c r="E65" i="7"/>
  <c r="AA67" i="5"/>
  <c r="E66" i="5"/>
  <c r="G64" i="5"/>
  <c r="AS65" i="5"/>
  <c r="M40" i="4"/>
  <c r="N40" i="4"/>
  <c r="M49" i="3"/>
  <c r="N49" i="3"/>
  <c r="N47" i="4"/>
  <c r="M47" i="4"/>
  <c r="N51" i="3"/>
  <c r="M51" i="3"/>
  <c r="M45" i="4"/>
  <c r="N45" i="4"/>
  <c r="N37" i="4"/>
  <c r="M37" i="4"/>
  <c r="M49" i="4"/>
  <c r="N49" i="4"/>
  <c r="N42" i="4"/>
  <c r="M42" i="4"/>
  <c r="M51" i="4"/>
  <c r="N51" i="4"/>
  <c r="N50" i="4"/>
  <c r="M50" i="4"/>
  <c r="N31" i="3"/>
  <c r="M31" i="3"/>
  <c r="N44" i="4"/>
  <c r="M44" i="4"/>
  <c r="N43" i="3"/>
  <c r="M43" i="3"/>
  <c r="N36" i="4"/>
  <c r="M36" i="4"/>
  <c r="N35" i="4"/>
  <c r="M35" i="4"/>
  <c r="M28" i="4"/>
  <c r="N28" i="4"/>
  <c r="M45" i="3"/>
  <c r="N45" i="3"/>
  <c r="N30" i="4"/>
  <c r="M30" i="4"/>
  <c r="M31" i="4"/>
  <c r="N31" i="4"/>
  <c r="M44" i="3"/>
  <c r="N44" i="3"/>
  <c r="N38" i="3"/>
  <c r="M38" i="3"/>
  <c r="N41" i="4"/>
  <c r="M41" i="4"/>
  <c r="N38" i="4"/>
  <c r="M38" i="4"/>
  <c r="N30" i="3"/>
  <c r="M30" i="3"/>
  <c r="M50" i="3"/>
  <c r="N50" i="3"/>
  <c r="AF27" i="4"/>
  <c r="M34" i="4"/>
  <c r="N34" i="4"/>
  <c r="N48" i="4"/>
  <c r="M48" i="4"/>
  <c r="M29" i="3"/>
  <c r="N29" i="3"/>
  <c r="M27" i="4"/>
  <c r="N27" i="4"/>
  <c r="P43" i="4"/>
  <c r="P42" i="4"/>
  <c r="U40" i="4"/>
  <c r="P49" i="4"/>
  <c r="P41" i="4"/>
  <c r="U51" i="4"/>
  <c r="U47" i="4"/>
  <c r="P28" i="4"/>
  <c r="P30" i="4"/>
  <c r="P50" i="4"/>
  <c r="U26" i="4"/>
  <c r="U30" i="4"/>
  <c r="N26" i="4"/>
  <c r="U29" i="4"/>
  <c r="P31" i="4"/>
  <c r="U44" i="4"/>
  <c r="P26" i="4"/>
  <c r="U41" i="4"/>
  <c r="U31" i="4"/>
  <c r="U45" i="4"/>
  <c r="U48" i="4"/>
  <c r="P27" i="4"/>
  <c r="P36" i="4"/>
  <c r="U43" i="4"/>
  <c r="M26" i="4"/>
  <c r="U49" i="4"/>
  <c r="U37" i="4"/>
  <c r="P34" i="4"/>
  <c r="U50" i="4"/>
  <c r="P37" i="4"/>
  <c r="P51" i="4"/>
  <c r="U36" i="4"/>
  <c r="P45" i="4"/>
  <c r="U28" i="4"/>
  <c r="U42" i="4"/>
  <c r="P44" i="4"/>
  <c r="P48" i="4"/>
  <c r="P29" i="4"/>
  <c r="P35" i="4"/>
  <c r="U34" i="4"/>
  <c r="P38" i="4"/>
  <c r="U38" i="4"/>
  <c r="U35" i="4"/>
  <c r="U27" i="4"/>
  <c r="P40" i="4"/>
  <c r="P47" i="4"/>
  <c r="AF27" i="3"/>
  <c r="N36" i="3"/>
  <c r="M36" i="3"/>
  <c r="N43" i="4"/>
  <c r="M43" i="4"/>
  <c r="M40" i="3"/>
  <c r="N40" i="3"/>
  <c r="M41" i="3"/>
  <c r="N41" i="3"/>
  <c r="M26" i="3"/>
  <c r="U40" i="3"/>
  <c r="U44" i="3"/>
  <c r="P47" i="3"/>
  <c r="U30" i="3"/>
  <c r="P35" i="3"/>
  <c r="P34" i="3"/>
  <c r="U28" i="3"/>
  <c r="U43" i="3"/>
  <c r="U42" i="3"/>
  <c r="P28" i="3"/>
  <c r="U49" i="3"/>
  <c r="U27" i="3"/>
  <c r="N26" i="3"/>
  <c r="P40" i="3"/>
  <c r="P45" i="3"/>
  <c r="P51" i="3"/>
  <c r="P29" i="3"/>
  <c r="P43" i="3"/>
  <c r="P36" i="3"/>
  <c r="U29" i="3"/>
  <c r="U35" i="3"/>
  <c r="P44" i="3"/>
  <c r="P30" i="3"/>
  <c r="U26" i="3"/>
  <c r="U31" i="3"/>
  <c r="U48" i="3"/>
  <c r="U50" i="3"/>
  <c r="P48" i="3"/>
  <c r="P38" i="3"/>
  <c r="U36" i="3"/>
  <c r="P37" i="3"/>
  <c r="U34" i="3"/>
  <c r="U37" i="3"/>
  <c r="U45" i="3"/>
  <c r="P31" i="3"/>
  <c r="U47" i="3"/>
  <c r="U38" i="3"/>
  <c r="P49" i="3"/>
  <c r="U51" i="3"/>
  <c r="P41" i="3"/>
  <c r="P27" i="3"/>
  <c r="U41" i="3"/>
  <c r="P42" i="3"/>
  <c r="P26" i="3"/>
  <c r="P50" i="3"/>
  <c r="N42" i="3"/>
  <c r="M42" i="3"/>
  <c r="M48" i="3"/>
  <c r="N48" i="3"/>
  <c r="N37" i="3"/>
  <c r="M37" i="3"/>
  <c r="M29" i="4"/>
  <c r="N29" i="4"/>
  <c r="N47" i="3"/>
  <c r="M47" i="3"/>
  <c r="M28" i="3"/>
  <c r="N28" i="3"/>
  <c r="N27" i="3"/>
  <c r="M27" i="3"/>
  <c r="N35" i="3"/>
  <c r="M35" i="3"/>
  <c r="N34" i="3"/>
  <c r="M34" i="3"/>
  <c r="E67" i="4"/>
  <c r="Y68" i="4"/>
  <c r="Z66" i="4"/>
  <c r="G65" i="4"/>
  <c r="Z61" i="3"/>
  <c r="G60" i="3"/>
  <c r="Y61" i="3"/>
  <c r="E60" i="3"/>
  <c r="AS56" i="2"/>
  <c r="G55" i="2"/>
  <c r="AA56" i="2"/>
  <c r="E55" i="2"/>
  <c r="Z67" i="7" l="1"/>
  <c r="G66" i="7"/>
  <c r="Y67" i="7"/>
  <c r="E66" i="7"/>
  <c r="AS66" i="5"/>
  <c r="G65" i="5"/>
  <c r="AA68" i="5"/>
  <c r="E67" i="5"/>
  <c r="S38" i="3"/>
  <c r="R38" i="3"/>
  <c r="X48" i="4"/>
  <c r="W48" i="4"/>
  <c r="R41" i="4"/>
  <c r="S41" i="4"/>
  <c r="W49" i="3"/>
  <c r="X49" i="3"/>
  <c r="W42" i="4"/>
  <c r="X42" i="4"/>
  <c r="X31" i="4"/>
  <c r="W31" i="4"/>
  <c r="X40" i="4"/>
  <c r="W40" i="4"/>
  <c r="R28" i="3"/>
  <c r="S28" i="3"/>
  <c r="W28" i="4"/>
  <c r="X28" i="4"/>
  <c r="W41" i="4"/>
  <c r="X41" i="4"/>
  <c r="S42" i="4"/>
  <c r="R42" i="4"/>
  <c r="S45" i="4"/>
  <c r="R45" i="4"/>
  <c r="S26" i="4"/>
  <c r="R26" i="4"/>
  <c r="S43" i="4"/>
  <c r="R43" i="4"/>
  <c r="R50" i="3"/>
  <c r="S50" i="3"/>
  <c r="R44" i="4"/>
  <c r="S44" i="4"/>
  <c r="W50" i="3"/>
  <c r="X50" i="3"/>
  <c r="W26" i="3"/>
  <c r="X26" i="3"/>
  <c r="W36" i="4"/>
  <c r="X36" i="4"/>
  <c r="W44" i="4"/>
  <c r="X44" i="4"/>
  <c r="S51" i="4"/>
  <c r="R51" i="4"/>
  <c r="S31" i="4"/>
  <c r="R31" i="4"/>
  <c r="R34" i="3"/>
  <c r="S34" i="3"/>
  <c r="S47" i="4"/>
  <c r="R47" i="4"/>
  <c r="R37" i="4"/>
  <c r="S37" i="4"/>
  <c r="W29" i="4"/>
  <c r="X29" i="4"/>
  <c r="R49" i="4"/>
  <c r="S49" i="4"/>
  <c r="X41" i="3"/>
  <c r="W41" i="3"/>
  <c r="W31" i="3"/>
  <c r="X31" i="3"/>
  <c r="X43" i="3"/>
  <c r="W43" i="3"/>
  <c r="X51" i="3"/>
  <c r="W51" i="3"/>
  <c r="X28" i="3"/>
  <c r="W28" i="3"/>
  <c r="S35" i="3"/>
  <c r="R35" i="3"/>
  <c r="S40" i="4"/>
  <c r="R40" i="4"/>
  <c r="W50" i="4"/>
  <c r="X50" i="4"/>
  <c r="X30" i="4"/>
  <c r="W30" i="4"/>
  <c r="R36" i="3"/>
  <c r="S36" i="3"/>
  <c r="X35" i="4"/>
  <c r="W35" i="4"/>
  <c r="W26" i="4"/>
  <c r="X26" i="4"/>
  <c r="W45" i="4"/>
  <c r="X45" i="4"/>
  <c r="W48" i="3"/>
  <c r="X48" i="3"/>
  <c r="R27" i="3"/>
  <c r="S27" i="3"/>
  <c r="X42" i="3"/>
  <c r="W42" i="3"/>
  <c r="R41" i="3"/>
  <c r="S41" i="3"/>
  <c r="R30" i="3"/>
  <c r="S30" i="3"/>
  <c r="S49" i="3"/>
  <c r="R49" i="3"/>
  <c r="X38" i="3"/>
  <c r="W38" i="3"/>
  <c r="W35" i="3"/>
  <c r="X35" i="3"/>
  <c r="W30" i="3"/>
  <c r="X30" i="3"/>
  <c r="W27" i="4"/>
  <c r="X27" i="4"/>
  <c r="S34" i="4"/>
  <c r="R34" i="4"/>
  <c r="S31" i="3"/>
  <c r="R31" i="3"/>
  <c r="R47" i="3"/>
  <c r="S47" i="3"/>
  <c r="X37" i="4"/>
  <c r="W37" i="4"/>
  <c r="W45" i="3"/>
  <c r="X45" i="3"/>
  <c r="R43" i="3"/>
  <c r="S43" i="3"/>
  <c r="W44" i="3"/>
  <c r="X44" i="3"/>
  <c r="W38" i="4"/>
  <c r="X38" i="4"/>
  <c r="W49" i="4"/>
  <c r="X49" i="4"/>
  <c r="S50" i="4"/>
  <c r="R50" i="4"/>
  <c r="X40" i="3"/>
  <c r="W40" i="3"/>
  <c r="W34" i="4"/>
  <c r="X34" i="4"/>
  <c r="W43" i="4"/>
  <c r="X43" i="4"/>
  <c r="S28" i="4"/>
  <c r="R28" i="4"/>
  <c r="R48" i="4"/>
  <c r="S48" i="4"/>
  <c r="S48" i="3"/>
  <c r="R48" i="3"/>
  <c r="S44" i="3"/>
  <c r="R44" i="3"/>
  <c r="X47" i="3"/>
  <c r="W47" i="3"/>
  <c r="X29" i="3"/>
  <c r="W29" i="3"/>
  <c r="X37" i="3"/>
  <c r="W37" i="3"/>
  <c r="R29" i="3"/>
  <c r="S29" i="3"/>
  <c r="R38" i="4"/>
  <c r="S38" i="4"/>
  <c r="R30" i="4"/>
  <c r="S30" i="4"/>
  <c r="X34" i="3"/>
  <c r="W34" i="3"/>
  <c r="R51" i="3"/>
  <c r="S51" i="3"/>
  <c r="S37" i="3"/>
  <c r="R37" i="3"/>
  <c r="R45" i="3"/>
  <c r="S45" i="3"/>
  <c r="R35" i="4"/>
  <c r="S35" i="4"/>
  <c r="S36" i="4"/>
  <c r="R36" i="4"/>
  <c r="X47" i="4"/>
  <c r="W47" i="4"/>
  <c r="R26" i="3"/>
  <c r="S26" i="3"/>
  <c r="W27" i="3"/>
  <c r="X27" i="3"/>
  <c r="S42" i="3"/>
  <c r="R42" i="3"/>
  <c r="X36" i="3"/>
  <c r="W36" i="3"/>
  <c r="R40" i="3"/>
  <c r="S40" i="3"/>
  <c r="S29" i="4"/>
  <c r="R29" i="4"/>
  <c r="S27" i="4"/>
  <c r="R27" i="4"/>
  <c r="W51" i="4"/>
  <c r="X51" i="4"/>
  <c r="G66" i="4"/>
  <c r="Z67" i="4"/>
  <c r="E68" i="4"/>
  <c r="Y69" i="4"/>
  <c r="Y62" i="3"/>
  <c r="E61" i="3"/>
  <c r="G61" i="3"/>
  <c r="Z62" i="3"/>
  <c r="AA57" i="2"/>
  <c r="E56" i="2"/>
  <c r="G56" i="2"/>
  <c r="AS57" i="2"/>
  <c r="Z68" i="7" l="1"/>
  <c r="G67" i="7"/>
  <c r="Y68" i="7"/>
  <c r="E67" i="7"/>
  <c r="AA69" i="5"/>
  <c r="E68" i="5"/>
  <c r="AS67" i="5"/>
  <c r="G66" i="5"/>
  <c r="Y70" i="4"/>
  <c r="E69" i="4"/>
  <c r="Z68" i="4"/>
  <c r="G67" i="4"/>
  <c r="G62" i="3"/>
  <c r="Z63" i="3"/>
  <c r="Y63" i="3"/>
  <c r="E62" i="3"/>
  <c r="AS58" i="2"/>
  <c r="G57" i="2"/>
  <c r="E57" i="2"/>
  <c r="AA58" i="2"/>
  <c r="Z69" i="7" l="1"/>
  <c r="G68" i="7"/>
  <c r="Y69" i="7"/>
  <c r="E68" i="7"/>
  <c r="AS68" i="5"/>
  <c r="G67" i="5"/>
  <c r="AA70" i="5"/>
  <c r="E69" i="5"/>
  <c r="G68" i="4"/>
  <c r="Z69" i="4"/>
  <c r="E70" i="4"/>
  <c r="Y71" i="4"/>
  <c r="Y64" i="3"/>
  <c r="E63" i="3"/>
  <c r="Z64" i="3"/>
  <c r="G63" i="3"/>
  <c r="E58" i="2"/>
  <c r="AA59" i="2"/>
  <c r="AS59" i="2"/>
  <c r="G58" i="2"/>
  <c r="Z70" i="7" l="1"/>
  <c r="G69" i="7"/>
  <c r="Y70" i="7"/>
  <c r="E69" i="7"/>
  <c r="AA71" i="5"/>
  <c r="E70" i="5"/>
  <c r="AS69" i="5"/>
  <c r="G68" i="5"/>
  <c r="Y72" i="4"/>
  <c r="E71" i="4"/>
  <c r="Z70" i="4"/>
  <c r="G69" i="4"/>
  <c r="Z65" i="3"/>
  <c r="G64" i="3"/>
  <c r="Y65" i="3"/>
  <c r="E64" i="3"/>
  <c r="G59" i="2"/>
  <c r="AS60" i="2"/>
  <c r="E59" i="2"/>
  <c r="AA60" i="2"/>
  <c r="Z71" i="7" l="1"/>
  <c r="G70" i="7"/>
  <c r="Y71" i="7"/>
  <c r="E70" i="7"/>
  <c r="G69" i="5"/>
  <c r="AS70" i="5"/>
  <c r="AA72" i="5"/>
  <c r="E71" i="5"/>
  <c r="Z71" i="4"/>
  <c r="G70" i="4"/>
  <c r="E72" i="4"/>
  <c r="Y73" i="4"/>
  <c r="Y66" i="3"/>
  <c r="E65" i="3"/>
  <c r="Z66" i="3"/>
  <c r="G65" i="3"/>
  <c r="G60" i="2"/>
  <c r="AS61" i="2"/>
  <c r="E60" i="2"/>
  <c r="AA61" i="2"/>
  <c r="Z72" i="7" l="1"/>
  <c r="G71" i="7"/>
  <c r="Y72" i="7"/>
  <c r="E71" i="7"/>
  <c r="E72" i="5"/>
  <c r="AA73" i="5"/>
  <c r="G70" i="5"/>
  <c r="AS71" i="5"/>
  <c r="Y74" i="4"/>
  <c r="E73" i="4"/>
  <c r="Z72" i="4"/>
  <c r="G71" i="4"/>
  <c r="Z67" i="3"/>
  <c r="G66" i="3"/>
  <c r="Y67" i="3"/>
  <c r="E66" i="3"/>
  <c r="E61" i="2"/>
  <c r="AA62" i="2"/>
  <c r="G61" i="2"/>
  <c r="AS62" i="2"/>
  <c r="Z73" i="7" l="1"/>
  <c r="G72" i="7"/>
  <c r="Y73" i="7"/>
  <c r="E72" i="7"/>
  <c r="G71" i="5"/>
  <c r="AS72" i="5"/>
  <c r="E73" i="5"/>
  <c r="AA74" i="5"/>
  <c r="Z73" i="4"/>
  <c r="G72" i="4"/>
  <c r="E74" i="4"/>
  <c r="Y75" i="4"/>
  <c r="E67" i="3"/>
  <c r="Y68" i="3"/>
  <c r="Z68" i="3"/>
  <c r="G67" i="3"/>
  <c r="AA63" i="2"/>
  <c r="E62" i="2"/>
  <c r="G62" i="2"/>
  <c r="AS63" i="2"/>
  <c r="Z74" i="7" l="1"/>
  <c r="G73" i="7"/>
  <c r="Y74" i="7"/>
  <c r="E73" i="7"/>
  <c r="AA75" i="5"/>
  <c r="E74" i="5"/>
  <c r="G72" i="5"/>
  <c r="AS73" i="5"/>
  <c r="Y76" i="4"/>
  <c r="E75" i="4"/>
  <c r="Z74" i="4"/>
  <c r="G73" i="4"/>
  <c r="Z69" i="3"/>
  <c r="G68" i="3"/>
  <c r="E68" i="3"/>
  <c r="Y69" i="3"/>
  <c r="G63" i="2"/>
  <c r="AS64" i="2"/>
  <c r="E63" i="2"/>
  <c r="AA64" i="2"/>
  <c r="Z75" i="7" l="1"/>
  <c r="G74" i="7"/>
  <c r="Y75" i="7"/>
  <c r="E74" i="7"/>
  <c r="G73" i="5"/>
  <c r="AS74" i="5"/>
  <c r="AA76" i="5"/>
  <c r="E75" i="5"/>
  <c r="Z75" i="4"/>
  <c r="G74" i="4"/>
  <c r="Y77" i="4"/>
  <c r="E76" i="4"/>
  <c r="E69" i="3"/>
  <c r="Y70" i="3"/>
  <c r="Z70" i="3"/>
  <c r="G69" i="3"/>
  <c r="G64" i="2"/>
  <c r="AS65" i="2"/>
  <c r="E64" i="2"/>
  <c r="AA65" i="2"/>
  <c r="Z76" i="7" l="1"/>
  <c r="G75" i="7"/>
  <c r="Y76" i="7"/>
  <c r="E75" i="7"/>
  <c r="AA77" i="5"/>
  <c r="E76" i="5"/>
  <c r="AS75" i="5"/>
  <c r="G74" i="5"/>
  <c r="Y78" i="4"/>
  <c r="E77" i="4"/>
  <c r="Z76" i="4"/>
  <c r="G75" i="4"/>
  <c r="Z71" i="3"/>
  <c r="G70" i="3"/>
  <c r="E70" i="3"/>
  <c r="Y71" i="3"/>
  <c r="AA66" i="2"/>
  <c r="E65" i="2"/>
  <c r="G65" i="2"/>
  <c r="AS66" i="2"/>
  <c r="Z77" i="7" l="1"/>
  <c r="G76" i="7"/>
  <c r="Y77" i="7"/>
  <c r="E76" i="7"/>
  <c r="AS76" i="5"/>
  <c r="G75" i="5"/>
  <c r="AA78" i="5"/>
  <c r="E77" i="5"/>
  <c r="Z77" i="4"/>
  <c r="G76" i="4"/>
  <c r="Y79" i="4"/>
  <c r="E78" i="4"/>
  <c r="Y72" i="3"/>
  <c r="E71" i="3"/>
  <c r="Z72" i="3"/>
  <c r="G71" i="3"/>
  <c r="G66" i="2"/>
  <c r="AS67" i="2"/>
  <c r="E66" i="2"/>
  <c r="AA67" i="2"/>
  <c r="Z78" i="7" l="1"/>
  <c r="G77" i="7"/>
  <c r="E77" i="7"/>
  <c r="Y78" i="7"/>
  <c r="AA79" i="5"/>
  <c r="E78" i="5"/>
  <c r="AS77" i="5"/>
  <c r="G76" i="5"/>
  <c r="Y80" i="4"/>
  <c r="E79" i="4"/>
  <c r="Z78" i="4"/>
  <c r="G77" i="4"/>
  <c r="Z73" i="3"/>
  <c r="G72" i="3"/>
  <c r="Y73" i="3"/>
  <c r="E72" i="3"/>
  <c r="E67" i="2"/>
  <c r="AA68" i="2"/>
  <c r="G67" i="2"/>
  <c r="AS68" i="2"/>
  <c r="Z79" i="7" l="1"/>
  <c r="G78" i="7"/>
  <c r="Y79" i="7"/>
  <c r="E78" i="7"/>
  <c r="G77" i="5"/>
  <c r="AS78" i="5"/>
  <c r="E79" i="5"/>
  <c r="AA80" i="5"/>
  <c r="G78" i="4"/>
  <c r="Z79" i="4"/>
  <c r="Y81" i="4"/>
  <c r="E80" i="4"/>
  <c r="Y74" i="3"/>
  <c r="E73" i="3"/>
  <c r="Z74" i="3"/>
  <c r="G73" i="3"/>
  <c r="E68" i="2"/>
  <c r="AA69" i="2"/>
  <c r="G68" i="2"/>
  <c r="AS69" i="2"/>
  <c r="Z80" i="7" l="1"/>
  <c r="G79" i="7"/>
  <c r="Y80" i="7"/>
  <c r="E79" i="7"/>
  <c r="AA81" i="5"/>
  <c r="E80" i="5"/>
  <c r="G78" i="5"/>
  <c r="AS79" i="5"/>
  <c r="Y82" i="4"/>
  <c r="E81" i="4"/>
  <c r="Z80" i="4"/>
  <c r="G79" i="4"/>
  <c r="Z75" i="3"/>
  <c r="G74" i="3"/>
  <c r="Y75" i="3"/>
  <c r="E74" i="3"/>
  <c r="E69" i="2"/>
  <c r="AA70" i="2"/>
  <c r="G69" i="2"/>
  <c r="AS70" i="2"/>
  <c r="Z81" i="7" l="1"/>
  <c r="G80" i="7"/>
  <c r="AC28" i="7"/>
  <c r="AC33" i="7"/>
  <c r="AD28" i="7"/>
  <c r="AD32" i="7"/>
  <c r="AD34" i="7"/>
  <c r="AE34" i="7" s="1"/>
  <c r="AC32" i="7"/>
  <c r="AD31" i="7"/>
  <c r="AC30" i="7"/>
  <c r="AD33" i="7"/>
  <c r="AD30" i="7"/>
  <c r="AC31" i="7"/>
  <c r="AD29" i="7"/>
  <c r="AC34" i="7"/>
  <c r="Y81" i="7"/>
  <c r="E80" i="7"/>
  <c r="AS80" i="5"/>
  <c r="G79" i="5"/>
  <c r="AA82" i="5"/>
  <c r="E81" i="5"/>
  <c r="Z81" i="4"/>
  <c r="G80" i="4"/>
  <c r="Y83" i="4"/>
  <c r="E82" i="4"/>
  <c r="AD34" i="4"/>
  <c r="AE34" i="4" s="1"/>
  <c r="AC34" i="4"/>
  <c r="AD33" i="4"/>
  <c r="AC30" i="4"/>
  <c r="AC28" i="4"/>
  <c r="AC31" i="4"/>
  <c r="AD30" i="4"/>
  <c r="AC32" i="4"/>
  <c r="AD29" i="4"/>
  <c r="AD31" i="4"/>
  <c r="AD32" i="4"/>
  <c r="AD28" i="4"/>
  <c r="AC33" i="4"/>
  <c r="E75" i="3"/>
  <c r="Y76" i="3"/>
  <c r="Z76" i="3"/>
  <c r="G75" i="3"/>
  <c r="G70" i="2"/>
  <c r="AS71" i="2"/>
  <c r="E70" i="2"/>
  <c r="AA71" i="2"/>
  <c r="Z82" i="7" l="1"/>
  <c r="G81" i="7"/>
  <c r="AC29" i="7"/>
  <c r="AE28" i="7"/>
  <c r="L67" i="7" s="1"/>
  <c r="AE32" i="7"/>
  <c r="AE31" i="7"/>
  <c r="AE33" i="7"/>
  <c r="AE30" i="7"/>
  <c r="AE29" i="7"/>
  <c r="L75" i="7" s="1"/>
  <c r="Y82" i="7"/>
  <c r="E81" i="7"/>
  <c r="AE32" i="5"/>
  <c r="AF31" i="5"/>
  <c r="AE33" i="5"/>
  <c r="AE31" i="5"/>
  <c r="AE30" i="5"/>
  <c r="AE28" i="5"/>
  <c r="AF28" i="5"/>
  <c r="AE27" i="5"/>
  <c r="AH27" i="5" s="1"/>
  <c r="AI27" i="5" s="1"/>
  <c r="AF30" i="5"/>
  <c r="AF32" i="5"/>
  <c r="AE29" i="5"/>
  <c r="AH29" i="5" s="1"/>
  <c r="AI29" i="5" s="1"/>
  <c r="AF29" i="5"/>
  <c r="AF33" i="5"/>
  <c r="AF27" i="5"/>
  <c r="AA83" i="5"/>
  <c r="E82" i="5"/>
  <c r="AS81" i="5"/>
  <c r="G80" i="5"/>
  <c r="AE28" i="4"/>
  <c r="AE32" i="4"/>
  <c r="AE31" i="4"/>
  <c r="AE29" i="4"/>
  <c r="AE30" i="4"/>
  <c r="AE33" i="4"/>
  <c r="Y84" i="4"/>
  <c r="E83" i="4"/>
  <c r="AC29" i="4"/>
  <c r="Z82" i="4"/>
  <c r="G81" i="4"/>
  <c r="Z77" i="3"/>
  <c r="G76" i="3"/>
  <c r="E76" i="3"/>
  <c r="Y77" i="3"/>
  <c r="E71" i="2"/>
  <c r="AA72" i="2"/>
  <c r="G71" i="2"/>
  <c r="AS72" i="2"/>
  <c r="N67" i="7" l="1"/>
  <c r="M67" i="7"/>
  <c r="N75" i="7"/>
  <c r="M75" i="7"/>
  <c r="L53" i="7"/>
  <c r="L60" i="7"/>
  <c r="AF29" i="7"/>
  <c r="AF33" i="7"/>
  <c r="AF30" i="7"/>
  <c r="AF31" i="7"/>
  <c r="AF28" i="7"/>
  <c r="Z83" i="7"/>
  <c r="G82" i="7"/>
  <c r="L68" i="7"/>
  <c r="L61" i="7"/>
  <c r="L54" i="7"/>
  <c r="L79" i="7"/>
  <c r="L72" i="7"/>
  <c r="L65" i="7"/>
  <c r="L58" i="7"/>
  <c r="L78" i="7"/>
  <c r="L71" i="7"/>
  <c r="L64" i="7"/>
  <c r="L57" i="7"/>
  <c r="L73" i="7"/>
  <c r="L66" i="7"/>
  <c r="L59" i="7"/>
  <c r="L52" i="7"/>
  <c r="L77" i="7"/>
  <c r="L70" i="7"/>
  <c r="L63" i="7"/>
  <c r="L56" i="7"/>
  <c r="L76" i="7"/>
  <c r="L69" i="7"/>
  <c r="L55" i="7"/>
  <c r="Y83" i="7"/>
  <c r="E82" i="7"/>
  <c r="AF32" i="7"/>
  <c r="AF34" i="7" s="1"/>
  <c r="G81" i="5"/>
  <c r="AS82" i="5"/>
  <c r="AA84" i="5"/>
  <c r="E83" i="5"/>
  <c r="AH28" i="5"/>
  <c r="AI28" i="5" s="1"/>
  <c r="AH30" i="5"/>
  <c r="AI30" i="5" s="1"/>
  <c r="AH31" i="5"/>
  <c r="AI31" i="5" s="1"/>
  <c r="AH33" i="5"/>
  <c r="AI33" i="5" s="1"/>
  <c r="AH32" i="5"/>
  <c r="AI32" i="5" s="1"/>
  <c r="Y85" i="4"/>
  <c r="E84" i="4"/>
  <c r="L52" i="4"/>
  <c r="L59" i="4"/>
  <c r="L66" i="4"/>
  <c r="L73" i="4"/>
  <c r="AF33" i="4"/>
  <c r="L56" i="4"/>
  <c r="L63" i="4"/>
  <c r="L70" i="4"/>
  <c r="L77" i="4"/>
  <c r="AF30" i="4"/>
  <c r="L55" i="4"/>
  <c r="L69" i="4"/>
  <c r="L76" i="4"/>
  <c r="AF29" i="4"/>
  <c r="G82" i="4"/>
  <c r="Z83" i="4"/>
  <c r="L57" i="4"/>
  <c r="L64" i="4"/>
  <c r="L71" i="4"/>
  <c r="L78" i="4"/>
  <c r="AF31" i="4"/>
  <c r="L58" i="4"/>
  <c r="L65" i="4"/>
  <c r="L72" i="4"/>
  <c r="L79" i="4"/>
  <c r="AF32" i="4"/>
  <c r="L54" i="4"/>
  <c r="L61" i="4"/>
  <c r="L68" i="4"/>
  <c r="AF28" i="4"/>
  <c r="E77" i="3"/>
  <c r="Y78" i="3"/>
  <c r="Z78" i="3"/>
  <c r="G77" i="3"/>
  <c r="G72" i="2"/>
  <c r="AS73" i="2"/>
  <c r="AA73" i="2"/>
  <c r="E72" i="2"/>
  <c r="P67" i="7" l="1"/>
  <c r="U67" i="7"/>
  <c r="N53" i="7"/>
  <c r="M53" i="7"/>
  <c r="P75" i="7"/>
  <c r="U75" i="7"/>
  <c r="N60" i="7"/>
  <c r="M60" i="7"/>
  <c r="P60" i="7"/>
  <c r="U60" i="7"/>
  <c r="P53" i="7"/>
  <c r="U53" i="7"/>
  <c r="Z84" i="7"/>
  <c r="G83" i="7"/>
  <c r="N68" i="7"/>
  <c r="M68" i="7"/>
  <c r="N61" i="7"/>
  <c r="M61" i="7"/>
  <c r="M54" i="7"/>
  <c r="N54" i="7"/>
  <c r="M79" i="7"/>
  <c r="N79" i="7"/>
  <c r="M72" i="7"/>
  <c r="N72" i="7"/>
  <c r="N65" i="7"/>
  <c r="M65" i="7"/>
  <c r="M58" i="7"/>
  <c r="N58" i="7"/>
  <c r="M78" i="7"/>
  <c r="N78" i="7"/>
  <c r="M71" i="7"/>
  <c r="N71" i="7"/>
  <c r="M64" i="7"/>
  <c r="N64" i="7"/>
  <c r="N57" i="7"/>
  <c r="M57" i="7"/>
  <c r="N73" i="7"/>
  <c r="M73" i="7"/>
  <c r="M66" i="7"/>
  <c r="N66" i="7"/>
  <c r="N59" i="7"/>
  <c r="M59" i="7"/>
  <c r="U79" i="7"/>
  <c r="U54" i="7"/>
  <c r="U73" i="7"/>
  <c r="U55" i="7"/>
  <c r="U57" i="7"/>
  <c r="U63" i="7"/>
  <c r="U66" i="7"/>
  <c r="U76" i="7"/>
  <c r="U77" i="7"/>
  <c r="U68" i="7"/>
  <c r="U69" i="7"/>
  <c r="U70" i="7"/>
  <c r="U71" i="7"/>
  <c r="U72" i="7"/>
  <c r="U56" i="7"/>
  <c r="U52" i="7"/>
  <c r="U65" i="7"/>
  <c r="U58" i="7"/>
  <c r="U64" i="7"/>
  <c r="U78" i="7"/>
  <c r="U59" i="7"/>
  <c r="U61" i="7"/>
  <c r="P61" i="7"/>
  <c r="P56" i="7"/>
  <c r="P72" i="7"/>
  <c r="P71" i="7"/>
  <c r="P70" i="7"/>
  <c r="P69" i="7"/>
  <c r="P68" i="7"/>
  <c r="P77" i="7"/>
  <c r="P78" i="7"/>
  <c r="P76" i="7"/>
  <c r="P66" i="7"/>
  <c r="P64" i="7"/>
  <c r="P63" i="7"/>
  <c r="P59" i="7"/>
  <c r="P58" i="7"/>
  <c r="P57" i="7"/>
  <c r="P79" i="7"/>
  <c r="P73" i="7"/>
  <c r="P65" i="7"/>
  <c r="P54" i="7"/>
  <c r="P55" i="7"/>
  <c r="P52" i="7"/>
  <c r="N52" i="7"/>
  <c r="M52" i="7"/>
  <c r="N77" i="7"/>
  <c r="M77" i="7"/>
  <c r="M70" i="7"/>
  <c r="N70" i="7"/>
  <c r="N63" i="7"/>
  <c r="M63" i="7"/>
  <c r="M56" i="7"/>
  <c r="N56" i="7"/>
  <c r="M76" i="7"/>
  <c r="N76" i="7"/>
  <c r="M69" i="7"/>
  <c r="N69" i="7"/>
  <c r="N55" i="7"/>
  <c r="M55" i="7"/>
  <c r="Y84" i="7"/>
  <c r="E83" i="7"/>
  <c r="AJ27" i="5"/>
  <c r="E84" i="5"/>
  <c r="AA85" i="5"/>
  <c r="AS83" i="5"/>
  <c r="G82" i="5"/>
  <c r="M76" i="4"/>
  <c r="N76" i="4"/>
  <c r="N69" i="4"/>
  <c r="M69" i="4"/>
  <c r="N54" i="4"/>
  <c r="M54" i="4"/>
  <c r="N55" i="4"/>
  <c r="M55" i="4"/>
  <c r="N79" i="4"/>
  <c r="M79" i="4"/>
  <c r="N77" i="4"/>
  <c r="M77" i="4"/>
  <c r="N70" i="4"/>
  <c r="M70" i="4"/>
  <c r="M63" i="4"/>
  <c r="N63" i="4"/>
  <c r="M56" i="4"/>
  <c r="N56" i="4"/>
  <c r="N58" i="4"/>
  <c r="M58" i="4"/>
  <c r="M73" i="4"/>
  <c r="N73" i="4"/>
  <c r="M66" i="4"/>
  <c r="N66" i="4"/>
  <c r="M72" i="4"/>
  <c r="N72" i="4"/>
  <c r="N59" i="4"/>
  <c r="M59" i="4"/>
  <c r="N57" i="4"/>
  <c r="M57" i="4"/>
  <c r="N65" i="4"/>
  <c r="M65" i="4"/>
  <c r="M64" i="4"/>
  <c r="N64" i="4"/>
  <c r="M68" i="4"/>
  <c r="N68" i="4"/>
  <c r="N71" i="4"/>
  <c r="M71" i="4"/>
  <c r="Y86" i="4"/>
  <c r="E85" i="4"/>
  <c r="N61" i="4"/>
  <c r="M61" i="4"/>
  <c r="N78" i="4"/>
  <c r="M78" i="4"/>
  <c r="P77" i="4"/>
  <c r="P61" i="4"/>
  <c r="P57" i="4"/>
  <c r="P76" i="4"/>
  <c r="P72" i="4"/>
  <c r="P79" i="4"/>
  <c r="P78" i="4"/>
  <c r="P70" i="4"/>
  <c r="P55" i="4"/>
  <c r="P63" i="4"/>
  <c r="P54" i="4"/>
  <c r="P69" i="4"/>
  <c r="P73" i="4"/>
  <c r="P65" i="4"/>
  <c r="P71" i="4"/>
  <c r="P66" i="4"/>
  <c r="P59" i="4"/>
  <c r="P58" i="4"/>
  <c r="P56" i="4"/>
  <c r="P68" i="4"/>
  <c r="P64" i="4"/>
  <c r="P52" i="4"/>
  <c r="N52" i="4"/>
  <c r="M52" i="4"/>
  <c r="U73" i="4"/>
  <c r="U76" i="4"/>
  <c r="U78" i="4"/>
  <c r="U57" i="4"/>
  <c r="U79" i="4"/>
  <c r="U59" i="4"/>
  <c r="U52" i="4"/>
  <c r="U64" i="4"/>
  <c r="U56" i="4"/>
  <c r="U61" i="4"/>
  <c r="U77" i="4"/>
  <c r="U69" i="4"/>
  <c r="U72" i="4"/>
  <c r="U68" i="4"/>
  <c r="U70" i="4"/>
  <c r="U65" i="4"/>
  <c r="U58" i="4"/>
  <c r="U55" i="4"/>
  <c r="U54" i="4"/>
  <c r="U66" i="4"/>
  <c r="U71" i="4"/>
  <c r="U63" i="4"/>
  <c r="Z84" i="4"/>
  <c r="G83" i="4"/>
  <c r="AF34" i="4"/>
  <c r="Z79" i="3"/>
  <c r="G78" i="3"/>
  <c r="E78" i="3"/>
  <c r="Y79" i="3"/>
  <c r="AA74" i="2"/>
  <c r="E73" i="2"/>
  <c r="AS74" i="2"/>
  <c r="G73" i="2"/>
  <c r="R67" i="7" l="1"/>
  <c r="S67" i="7"/>
  <c r="W67" i="7"/>
  <c r="X67" i="7"/>
  <c r="R75" i="7"/>
  <c r="S75" i="7"/>
  <c r="X75" i="7"/>
  <c r="W75" i="7"/>
  <c r="R60" i="7"/>
  <c r="S60" i="7"/>
  <c r="X60" i="7"/>
  <c r="W60" i="7"/>
  <c r="R53" i="7"/>
  <c r="S53" i="7"/>
  <c r="X53" i="7"/>
  <c r="W53" i="7"/>
  <c r="Z85" i="7"/>
  <c r="G84" i="7"/>
  <c r="X79" i="7"/>
  <c r="W79" i="7"/>
  <c r="W54" i="7"/>
  <c r="X54" i="7"/>
  <c r="W73" i="7"/>
  <c r="X73" i="7"/>
  <c r="W55" i="7"/>
  <c r="X55" i="7"/>
  <c r="W57" i="7"/>
  <c r="X57" i="7"/>
  <c r="W63" i="7"/>
  <c r="X63" i="7"/>
  <c r="W66" i="7"/>
  <c r="X66" i="7"/>
  <c r="W76" i="7"/>
  <c r="X76" i="7"/>
  <c r="X77" i="7"/>
  <c r="W77" i="7"/>
  <c r="W68" i="7"/>
  <c r="X68" i="7"/>
  <c r="X69" i="7"/>
  <c r="W69" i="7"/>
  <c r="W70" i="7"/>
  <c r="X70" i="7"/>
  <c r="X71" i="7"/>
  <c r="W71" i="7"/>
  <c r="W72" i="7"/>
  <c r="X72" i="7"/>
  <c r="X56" i="7"/>
  <c r="W56" i="7"/>
  <c r="W52" i="7"/>
  <c r="X52" i="7"/>
  <c r="W65" i="7"/>
  <c r="X65" i="7"/>
  <c r="X58" i="7"/>
  <c r="W58" i="7"/>
  <c r="X64" i="7"/>
  <c r="W64" i="7"/>
  <c r="X78" i="7"/>
  <c r="W78" i="7"/>
  <c r="X59" i="7"/>
  <c r="W59" i="7"/>
  <c r="W61" i="7"/>
  <c r="X61" i="7"/>
  <c r="R61" i="7"/>
  <c r="S61" i="7"/>
  <c r="S56" i="7"/>
  <c r="R56" i="7"/>
  <c r="R72" i="7"/>
  <c r="S72" i="7"/>
  <c r="S71" i="7"/>
  <c r="R71" i="7"/>
  <c r="S70" i="7"/>
  <c r="R70" i="7"/>
  <c r="S69" i="7"/>
  <c r="R69" i="7"/>
  <c r="S68" i="7"/>
  <c r="R68" i="7"/>
  <c r="S77" i="7"/>
  <c r="R77" i="7"/>
  <c r="R78" i="7"/>
  <c r="S78" i="7"/>
  <c r="S76" i="7"/>
  <c r="R76" i="7"/>
  <c r="S66" i="7"/>
  <c r="R66" i="7"/>
  <c r="R64" i="7"/>
  <c r="S64" i="7"/>
  <c r="R63" i="7"/>
  <c r="S63" i="7"/>
  <c r="R59" i="7"/>
  <c r="S59" i="7"/>
  <c r="R58" i="7"/>
  <c r="S58" i="7"/>
  <c r="R57" i="7"/>
  <c r="S57" i="7"/>
  <c r="R79" i="7"/>
  <c r="S79" i="7"/>
  <c r="S73" i="7"/>
  <c r="R73" i="7"/>
  <c r="S65" i="7"/>
  <c r="R65" i="7"/>
  <c r="S54" i="7"/>
  <c r="R54" i="7"/>
  <c r="S55" i="7"/>
  <c r="R55" i="7"/>
  <c r="S52" i="7"/>
  <c r="R52" i="7"/>
  <c r="Y85" i="7"/>
  <c r="E84" i="7"/>
  <c r="G83" i="5"/>
  <c r="AS84" i="5"/>
  <c r="AA86" i="5"/>
  <c r="E85" i="5"/>
  <c r="X72" i="4"/>
  <c r="W72" i="4"/>
  <c r="R68" i="4"/>
  <c r="S68" i="4"/>
  <c r="S76" i="4"/>
  <c r="R76" i="4"/>
  <c r="X76" i="4"/>
  <c r="W76" i="4"/>
  <c r="S66" i="4"/>
  <c r="R66" i="4"/>
  <c r="S57" i="4"/>
  <c r="R57" i="4"/>
  <c r="R58" i="4"/>
  <c r="S58" i="4"/>
  <c r="X52" i="4"/>
  <c r="W52" i="4"/>
  <c r="S65" i="4"/>
  <c r="R65" i="4"/>
  <c r="X78" i="4"/>
  <c r="W78" i="4"/>
  <c r="S73" i="4"/>
  <c r="R73" i="4"/>
  <c r="X66" i="4"/>
  <c r="W66" i="4"/>
  <c r="W58" i="4"/>
  <c r="X58" i="4"/>
  <c r="R69" i="4"/>
  <c r="S69" i="4"/>
  <c r="W57" i="4"/>
  <c r="X57" i="4"/>
  <c r="S54" i="4"/>
  <c r="R54" i="4"/>
  <c r="E86" i="4"/>
  <c r="Y87" i="4"/>
  <c r="R56" i="4"/>
  <c r="S56" i="4"/>
  <c r="X69" i="4"/>
  <c r="W69" i="4"/>
  <c r="X65" i="4"/>
  <c r="W65" i="4"/>
  <c r="S63" i="4"/>
  <c r="R63" i="4"/>
  <c r="X77" i="4"/>
  <c r="W77" i="4"/>
  <c r="R55" i="4"/>
  <c r="S55" i="4"/>
  <c r="G84" i="4"/>
  <c r="Z85" i="4"/>
  <c r="R59" i="4"/>
  <c r="S59" i="4"/>
  <c r="X71" i="4"/>
  <c r="W71" i="4"/>
  <c r="X79" i="4"/>
  <c r="W79" i="4"/>
  <c r="X54" i="4"/>
  <c r="W54" i="4"/>
  <c r="R70" i="4"/>
  <c r="S70" i="4"/>
  <c r="X64" i="4"/>
  <c r="W64" i="4"/>
  <c r="R61" i="4"/>
  <c r="S61" i="4"/>
  <c r="W56" i="4"/>
  <c r="X56" i="4"/>
  <c r="S71" i="4"/>
  <c r="R71" i="4"/>
  <c r="X63" i="4"/>
  <c r="W63" i="4"/>
  <c r="X59" i="4"/>
  <c r="W59" i="4"/>
  <c r="S78" i="4"/>
  <c r="R78" i="4"/>
  <c r="X68" i="4"/>
  <c r="W68" i="4"/>
  <c r="S52" i="4"/>
  <c r="R52" i="4"/>
  <c r="S79" i="4"/>
  <c r="R79" i="4"/>
  <c r="R77" i="4"/>
  <c r="S77" i="4"/>
  <c r="W61" i="4"/>
  <c r="X61" i="4"/>
  <c r="X73" i="4"/>
  <c r="W73" i="4"/>
  <c r="X70" i="4"/>
  <c r="W70" i="4"/>
  <c r="W55" i="4"/>
  <c r="X55" i="4"/>
  <c r="S64" i="4"/>
  <c r="R64" i="4"/>
  <c r="S72" i="4"/>
  <c r="R72" i="4"/>
  <c r="Y80" i="3"/>
  <c r="E79" i="3"/>
  <c r="Z80" i="3"/>
  <c r="G79" i="3"/>
  <c r="G74" i="2"/>
  <c r="AS75" i="2"/>
  <c r="AA75" i="2"/>
  <c r="E74" i="2"/>
  <c r="Z86" i="7" l="1"/>
  <c r="G85" i="7"/>
  <c r="Y86" i="7"/>
  <c r="E85" i="7"/>
  <c r="AA87" i="5"/>
  <c r="E86" i="5"/>
  <c r="G84" i="5"/>
  <c r="AS85" i="5"/>
  <c r="Y88" i="4"/>
  <c r="E87" i="4"/>
  <c r="Z86" i="4"/>
  <c r="G85" i="4"/>
  <c r="AC32" i="3"/>
  <c r="AC28" i="3"/>
  <c r="AC30" i="3"/>
  <c r="AD28" i="3"/>
  <c r="AC34" i="3"/>
  <c r="AC31" i="3"/>
  <c r="AD31" i="3"/>
  <c r="AD32" i="3"/>
  <c r="AD30" i="3"/>
  <c r="AD29" i="3"/>
  <c r="AC33" i="3"/>
  <c r="AD33" i="3"/>
  <c r="AD34" i="3"/>
  <c r="AE34" i="3" s="1"/>
  <c r="Z81" i="3"/>
  <c r="G80" i="3"/>
  <c r="Y81" i="3"/>
  <c r="E80" i="3"/>
  <c r="E75" i="2"/>
  <c r="AA76" i="2"/>
  <c r="G75" i="2"/>
  <c r="AS76" i="2"/>
  <c r="Z87" i="7" l="1"/>
  <c r="G86" i="7"/>
  <c r="Y87" i="7"/>
  <c r="E86" i="7"/>
  <c r="AS86" i="5"/>
  <c r="G85" i="5"/>
  <c r="AA88" i="5"/>
  <c r="E87" i="5"/>
  <c r="Z87" i="4"/>
  <c r="G86" i="4"/>
  <c r="Y89" i="4"/>
  <c r="E88" i="4"/>
  <c r="AE32" i="3"/>
  <c r="AE31" i="3"/>
  <c r="AE33" i="3"/>
  <c r="AE28" i="3"/>
  <c r="AE29" i="3"/>
  <c r="AE30" i="3"/>
  <c r="AC29" i="3"/>
  <c r="Y82" i="3"/>
  <c r="E81" i="3"/>
  <c r="Z82" i="3"/>
  <c r="G81" i="3"/>
  <c r="AA77" i="2"/>
  <c r="E76" i="2"/>
  <c r="G76" i="2"/>
  <c r="AS77" i="2"/>
  <c r="Z88" i="7" l="1"/>
  <c r="G87" i="7"/>
  <c r="Y88" i="7"/>
  <c r="E87" i="7"/>
  <c r="AA89" i="5"/>
  <c r="E88" i="5"/>
  <c r="AS87" i="5"/>
  <c r="G86" i="5"/>
  <c r="E89" i="4"/>
  <c r="Y90" i="4"/>
  <c r="Z88" i="4"/>
  <c r="G87" i="4"/>
  <c r="L64" i="3"/>
  <c r="L71" i="3"/>
  <c r="L57" i="3"/>
  <c r="L78" i="3"/>
  <c r="L63" i="3"/>
  <c r="L70" i="3"/>
  <c r="L56" i="3"/>
  <c r="L77" i="3"/>
  <c r="L69" i="3"/>
  <c r="L55" i="3"/>
  <c r="L76" i="3"/>
  <c r="L68" i="3"/>
  <c r="L54" i="3"/>
  <c r="L61" i="3"/>
  <c r="L66" i="3"/>
  <c r="L52" i="3"/>
  <c r="L73" i="3"/>
  <c r="L59" i="3"/>
  <c r="L79" i="3"/>
  <c r="L65" i="3"/>
  <c r="L72" i="3"/>
  <c r="L58" i="3"/>
  <c r="AF30" i="3"/>
  <c r="AF29" i="3"/>
  <c r="AF28" i="3"/>
  <c r="AF33" i="3"/>
  <c r="AF31" i="3"/>
  <c r="AF32" i="3"/>
  <c r="Z83" i="3"/>
  <c r="G82" i="3"/>
  <c r="Y83" i="3"/>
  <c r="E82" i="3"/>
  <c r="G77" i="2"/>
  <c r="AS78" i="2"/>
  <c r="AA78" i="2"/>
  <c r="E77" i="2"/>
  <c r="Z89" i="7" l="1"/>
  <c r="G88" i="7"/>
  <c r="E88" i="7"/>
  <c r="Y89" i="7"/>
  <c r="G87" i="5"/>
  <c r="AS88" i="5"/>
  <c r="AA90" i="5"/>
  <c r="E89" i="5"/>
  <c r="Z89" i="4"/>
  <c r="G88" i="4"/>
  <c r="Y91" i="4"/>
  <c r="E90" i="4"/>
  <c r="AF34" i="3"/>
  <c r="M59" i="3"/>
  <c r="N59" i="3"/>
  <c r="M57" i="3"/>
  <c r="N57" i="3"/>
  <c r="N64" i="3"/>
  <c r="M64" i="3"/>
  <c r="N79" i="3"/>
  <c r="M79" i="3"/>
  <c r="N54" i="3"/>
  <c r="M54" i="3"/>
  <c r="N71" i="3"/>
  <c r="M71" i="3"/>
  <c r="N63" i="3"/>
  <c r="M63" i="3"/>
  <c r="N65" i="3"/>
  <c r="M65" i="3"/>
  <c r="N68" i="3"/>
  <c r="M68" i="3"/>
  <c r="M58" i="3"/>
  <c r="N58" i="3"/>
  <c r="M55" i="3"/>
  <c r="N55" i="3"/>
  <c r="M77" i="3"/>
  <c r="N77" i="3"/>
  <c r="N76" i="3"/>
  <c r="M76" i="3"/>
  <c r="M70" i="3"/>
  <c r="N70" i="3"/>
  <c r="M52" i="3"/>
  <c r="P56" i="3"/>
  <c r="P72" i="3"/>
  <c r="N52" i="3"/>
  <c r="P59" i="3"/>
  <c r="P79" i="3"/>
  <c r="P61" i="3"/>
  <c r="P71" i="3"/>
  <c r="P55" i="3"/>
  <c r="P69" i="3"/>
  <c r="P58" i="3"/>
  <c r="P77" i="3"/>
  <c r="P54" i="3"/>
  <c r="P64" i="3"/>
  <c r="P52" i="3"/>
  <c r="P73" i="3"/>
  <c r="P78" i="3"/>
  <c r="P65" i="3"/>
  <c r="P66" i="3"/>
  <c r="P57" i="3"/>
  <c r="P76" i="3"/>
  <c r="P63" i="3"/>
  <c r="P70" i="3"/>
  <c r="P68" i="3"/>
  <c r="U55" i="3"/>
  <c r="U68" i="3"/>
  <c r="U59" i="3"/>
  <c r="U77" i="3"/>
  <c r="U78" i="3"/>
  <c r="U52" i="3"/>
  <c r="U69" i="3"/>
  <c r="U56" i="3"/>
  <c r="U73" i="3"/>
  <c r="U64" i="3"/>
  <c r="U76" i="3"/>
  <c r="U58" i="3"/>
  <c r="U72" i="3"/>
  <c r="U57" i="3"/>
  <c r="U71" i="3"/>
  <c r="U63" i="3"/>
  <c r="U70" i="3"/>
  <c r="U66" i="3"/>
  <c r="U79" i="3"/>
  <c r="U54" i="3"/>
  <c r="U61" i="3"/>
  <c r="U65" i="3"/>
  <c r="N61" i="3"/>
  <c r="M61" i="3"/>
  <c r="M56" i="3"/>
  <c r="N56" i="3"/>
  <c r="N72" i="3"/>
  <c r="M72" i="3"/>
  <c r="M73" i="3"/>
  <c r="N73" i="3"/>
  <c r="N78" i="3"/>
  <c r="M78" i="3"/>
  <c r="M66" i="3"/>
  <c r="N66" i="3"/>
  <c r="N69" i="3"/>
  <c r="M69" i="3"/>
  <c r="E83" i="3"/>
  <c r="Y84" i="3"/>
  <c r="Z84" i="3"/>
  <c r="G83" i="3"/>
  <c r="AA79" i="2"/>
  <c r="E78" i="2"/>
  <c r="G78" i="2"/>
  <c r="AS79" i="2"/>
  <c r="Z90" i="7" l="1"/>
  <c r="G89" i="7"/>
  <c r="Y90" i="7"/>
  <c r="E89" i="7"/>
  <c r="AA91" i="5"/>
  <c r="E90" i="5"/>
  <c r="AS89" i="5"/>
  <c r="G88" i="5"/>
  <c r="E91" i="4"/>
  <c r="Y92" i="4"/>
  <c r="G89" i="4"/>
  <c r="Z90" i="4"/>
  <c r="W52" i="3"/>
  <c r="X52" i="3"/>
  <c r="S57" i="3"/>
  <c r="R57" i="3"/>
  <c r="S77" i="3"/>
  <c r="R77" i="3"/>
  <c r="W78" i="3"/>
  <c r="X78" i="3"/>
  <c r="W55" i="3"/>
  <c r="X55" i="3"/>
  <c r="R66" i="3"/>
  <c r="S66" i="3"/>
  <c r="S58" i="3"/>
  <c r="R58" i="3"/>
  <c r="R72" i="3"/>
  <c r="S72" i="3"/>
  <c r="W77" i="3"/>
  <c r="X77" i="3"/>
  <c r="R69" i="3"/>
  <c r="S69" i="3"/>
  <c r="S55" i="3"/>
  <c r="R55" i="3"/>
  <c r="X76" i="3"/>
  <c r="W76" i="3"/>
  <c r="S68" i="3"/>
  <c r="R68" i="3"/>
  <c r="R73" i="3"/>
  <c r="S73" i="3"/>
  <c r="R71" i="3"/>
  <c r="S71" i="3"/>
  <c r="X72" i="3"/>
  <c r="W72" i="3"/>
  <c r="W58" i="3"/>
  <c r="X58" i="3"/>
  <c r="X65" i="3"/>
  <c r="W65" i="3"/>
  <c r="W73" i="3"/>
  <c r="X73" i="3"/>
  <c r="W59" i="3"/>
  <c r="X59" i="3"/>
  <c r="R78" i="3"/>
  <c r="S78" i="3"/>
  <c r="X56" i="3"/>
  <c r="W56" i="3"/>
  <c r="W68" i="3"/>
  <c r="X68" i="3"/>
  <c r="S70" i="3"/>
  <c r="R70" i="3"/>
  <c r="S52" i="3"/>
  <c r="R52" i="3"/>
  <c r="R61" i="3"/>
  <c r="S61" i="3"/>
  <c r="R65" i="3"/>
  <c r="S65" i="3"/>
  <c r="R56" i="3"/>
  <c r="S56" i="3"/>
  <c r="W64" i="3"/>
  <c r="X64" i="3"/>
  <c r="X79" i="3"/>
  <c r="W79" i="3"/>
  <c r="W63" i="3"/>
  <c r="X63" i="3"/>
  <c r="X71" i="3"/>
  <c r="W71" i="3"/>
  <c r="S63" i="3"/>
  <c r="R63" i="3"/>
  <c r="R64" i="3"/>
  <c r="S64" i="3"/>
  <c r="R79" i="3"/>
  <c r="S79" i="3"/>
  <c r="W61" i="3"/>
  <c r="X61" i="3"/>
  <c r="X54" i="3"/>
  <c r="W54" i="3"/>
  <c r="W70" i="3"/>
  <c r="X70" i="3"/>
  <c r="W66" i="3"/>
  <c r="X66" i="3"/>
  <c r="X57" i="3"/>
  <c r="W57" i="3"/>
  <c r="W69" i="3"/>
  <c r="X69" i="3"/>
  <c r="S76" i="3"/>
  <c r="R76" i="3"/>
  <c r="S54" i="3"/>
  <c r="R54" i="3"/>
  <c r="S59" i="3"/>
  <c r="R59" i="3"/>
  <c r="Z85" i="3"/>
  <c r="G84" i="3"/>
  <c r="E84" i="3"/>
  <c r="Y85" i="3"/>
  <c r="G79" i="2"/>
  <c r="AS80" i="2"/>
  <c r="E79" i="2"/>
  <c r="AA80" i="2"/>
  <c r="Z91" i="7" l="1"/>
  <c r="G90" i="7"/>
  <c r="Y91" i="7"/>
  <c r="E90" i="7"/>
  <c r="AS90" i="5"/>
  <c r="G89" i="5"/>
  <c r="E91" i="5"/>
  <c r="AA92" i="5"/>
  <c r="G90" i="4"/>
  <c r="Z91" i="4"/>
  <c r="Y93" i="4"/>
  <c r="E92" i="4"/>
  <c r="AF29" i="2"/>
  <c r="AE33" i="2"/>
  <c r="AE32" i="2"/>
  <c r="AE28" i="2"/>
  <c r="AF32" i="2"/>
  <c r="AE30" i="2"/>
  <c r="AF31" i="2"/>
  <c r="AF28" i="2"/>
  <c r="AE27" i="2"/>
  <c r="AE29" i="2"/>
  <c r="AH29" i="2" s="1"/>
  <c r="AF27" i="2"/>
  <c r="AF30" i="2"/>
  <c r="AE31" i="2"/>
  <c r="AF33" i="2"/>
  <c r="E85" i="3"/>
  <c r="Y86" i="3"/>
  <c r="Z86" i="3"/>
  <c r="G85" i="3"/>
  <c r="G80" i="2"/>
  <c r="AS81" i="2"/>
  <c r="AA81" i="2"/>
  <c r="E80" i="2"/>
  <c r="Z92" i="7" l="1"/>
  <c r="G91" i="7"/>
  <c r="Y92" i="7"/>
  <c r="E91" i="7"/>
  <c r="AA93" i="5"/>
  <c r="E92" i="5"/>
  <c r="AS91" i="5"/>
  <c r="G90" i="5"/>
  <c r="Z92" i="4"/>
  <c r="G91" i="4"/>
  <c r="Y94" i="4"/>
  <c r="E93" i="4"/>
  <c r="AH27" i="2"/>
  <c r="AH30" i="2"/>
  <c r="AH31" i="2"/>
  <c r="AH28" i="2"/>
  <c r="AH32" i="2"/>
  <c r="AH33" i="2"/>
  <c r="Z87" i="3"/>
  <c r="G86" i="3"/>
  <c r="Y87" i="3"/>
  <c r="E86" i="3"/>
  <c r="AA82" i="2"/>
  <c r="E81" i="2"/>
  <c r="G81" i="2"/>
  <c r="AS82" i="2"/>
  <c r="Z93" i="7" l="1"/>
  <c r="G92" i="7"/>
  <c r="Y93" i="7"/>
  <c r="E92" i="7"/>
  <c r="AS92" i="5"/>
  <c r="G91" i="5"/>
  <c r="AA94" i="5"/>
  <c r="E93" i="5"/>
  <c r="Y95" i="4"/>
  <c r="E94" i="4"/>
  <c r="Z93" i="4"/>
  <c r="G92" i="4"/>
  <c r="Z88" i="3"/>
  <c r="G87" i="3"/>
  <c r="Y88" i="3"/>
  <c r="E87" i="3"/>
  <c r="G82" i="2"/>
  <c r="AS83" i="2"/>
  <c r="AA83" i="2"/>
  <c r="E82" i="2"/>
  <c r="Z94" i="7" l="1"/>
  <c r="G93" i="7"/>
  <c r="E93" i="7"/>
  <c r="Y94" i="7"/>
  <c r="AA95" i="5"/>
  <c r="E94" i="5"/>
  <c r="AS93" i="5"/>
  <c r="G92" i="5"/>
  <c r="Z94" i="4"/>
  <c r="G93" i="4"/>
  <c r="Y96" i="4"/>
  <c r="E95" i="4"/>
  <c r="Y89" i="3"/>
  <c r="E88" i="3"/>
  <c r="Z89" i="3"/>
  <c r="G88" i="3"/>
  <c r="E83" i="2"/>
  <c r="AA84" i="2"/>
  <c r="AS84" i="2"/>
  <c r="G83" i="2"/>
  <c r="Z95" i="7" l="1"/>
  <c r="G94" i="7"/>
  <c r="Y95" i="7"/>
  <c r="E94" i="7"/>
  <c r="AS94" i="5"/>
  <c r="G93" i="5"/>
  <c r="E95" i="5"/>
  <c r="AA96" i="5"/>
  <c r="E96" i="4"/>
  <c r="Y97" i="4"/>
  <c r="Z95" i="4"/>
  <c r="G94" i="4"/>
  <c r="Z90" i="3"/>
  <c r="G89" i="3"/>
  <c r="Y90" i="3"/>
  <c r="E89" i="3"/>
  <c r="G84" i="2"/>
  <c r="AS85" i="2"/>
  <c r="E84" i="2"/>
  <c r="AA85" i="2"/>
  <c r="Z96" i="7" l="1"/>
  <c r="G95" i="7"/>
  <c r="Y96" i="7"/>
  <c r="E95" i="7"/>
  <c r="E96" i="5"/>
  <c r="AA97" i="5"/>
  <c r="G94" i="5"/>
  <c r="AS95" i="5"/>
  <c r="Z96" i="4"/>
  <c r="G95" i="4"/>
  <c r="E97" i="4"/>
  <c r="Y98" i="4"/>
  <c r="Y91" i="3"/>
  <c r="E90" i="3"/>
  <c r="Z91" i="3"/>
  <c r="G90" i="3"/>
  <c r="AA86" i="2"/>
  <c r="E85" i="2"/>
  <c r="AS86" i="2"/>
  <c r="G85" i="2"/>
  <c r="Z97" i="7" l="1"/>
  <c r="G96" i="7"/>
  <c r="Y97" i="7"/>
  <c r="E96" i="7"/>
  <c r="G95" i="5"/>
  <c r="AS96" i="5"/>
  <c r="AA98" i="5"/>
  <c r="E97" i="5"/>
  <c r="E98" i="4"/>
  <c r="Y99" i="4"/>
  <c r="Z97" i="4"/>
  <c r="G96" i="4"/>
  <c r="Z92" i="3"/>
  <c r="G91" i="3"/>
  <c r="E91" i="3"/>
  <c r="Y92" i="3"/>
  <c r="G86" i="2"/>
  <c r="AS87" i="2"/>
  <c r="AA87" i="2"/>
  <c r="E86" i="2"/>
  <c r="Z98" i="7" l="1"/>
  <c r="G97" i="7"/>
  <c r="Y98" i="7"/>
  <c r="E97" i="7"/>
  <c r="AA99" i="5"/>
  <c r="E98" i="5"/>
  <c r="G96" i="5"/>
  <c r="AS97" i="5"/>
  <c r="Y100" i="4"/>
  <c r="E99" i="4"/>
  <c r="G97" i="4"/>
  <c r="Z98" i="4"/>
  <c r="E92" i="3"/>
  <c r="Y93" i="3"/>
  <c r="Z93" i="3"/>
  <c r="G92" i="3"/>
  <c r="AS88" i="2"/>
  <c r="G87" i="2"/>
  <c r="E87" i="2"/>
  <c r="AA88" i="2"/>
  <c r="Z99" i="7" l="1"/>
  <c r="G98" i="7"/>
  <c r="Y99" i="7"/>
  <c r="E98" i="7"/>
  <c r="G97" i="5"/>
  <c r="AS98" i="5"/>
  <c r="AA100" i="5"/>
  <c r="E99" i="5"/>
  <c r="Z99" i="4"/>
  <c r="G98" i="4"/>
  <c r="Y101" i="4"/>
  <c r="E100" i="4"/>
  <c r="Z94" i="3"/>
  <c r="G93" i="3"/>
  <c r="E93" i="3"/>
  <c r="Y94" i="3"/>
  <c r="AA89" i="2"/>
  <c r="E88" i="2"/>
  <c r="G88" i="2"/>
  <c r="AS89" i="2"/>
  <c r="Z100" i="7" l="1"/>
  <c r="G99" i="7"/>
  <c r="Y100" i="7"/>
  <c r="E99" i="7"/>
  <c r="AA101" i="5"/>
  <c r="E100" i="5"/>
  <c r="AS99" i="5"/>
  <c r="G98" i="5"/>
  <c r="E101" i="4"/>
  <c r="Y102" i="4"/>
  <c r="Z100" i="4"/>
  <c r="G99" i="4"/>
  <c r="E94" i="3"/>
  <c r="Y95" i="3"/>
  <c r="Z95" i="3"/>
  <c r="G94" i="3"/>
  <c r="G89" i="2"/>
  <c r="AS90" i="2"/>
  <c r="E89" i="2"/>
  <c r="AA90" i="2"/>
  <c r="Z101" i="7" l="1"/>
  <c r="G100" i="7"/>
  <c r="Y101" i="7"/>
  <c r="E100" i="7"/>
  <c r="AS100" i="5"/>
  <c r="G99" i="5"/>
  <c r="AA102" i="5"/>
  <c r="E101" i="5"/>
  <c r="Z101" i="4"/>
  <c r="G100" i="4"/>
  <c r="Y103" i="4"/>
  <c r="E102" i="4"/>
  <c r="Z96" i="3"/>
  <c r="G95" i="3"/>
  <c r="Y96" i="3"/>
  <c r="E95" i="3"/>
  <c r="G90" i="2"/>
  <c r="AS91" i="2"/>
  <c r="AA91" i="2"/>
  <c r="E90" i="2"/>
  <c r="Z102" i="7" l="1"/>
  <c r="G101" i="7"/>
  <c r="Y102" i="7"/>
  <c r="E101" i="7"/>
  <c r="AA103" i="5"/>
  <c r="E102" i="5"/>
  <c r="AS101" i="5"/>
  <c r="G100" i="5"/>
  <c r="Y104" i="4"/>
  <c r="E103" i="4"/>
  <c r="Z102" i="4"/>
  <c r="G101" i="4"/>
  <c r="Y97" i="3"/>
  <c r="E96" i="3"/>
  <c r="Z97" i="3"/>
  <c r="G96" i="3"/>
  <c r="E91" i="2"/>
  <c r="AA92" i="2"/>
  <c r="G91" i="2"/>
  <c r="AS92" i="2"/>
  <c r="G102" i="7" l="1"/>
  <c r="Z103" i="7"/>
  <c r="E102" i="7"/>
  <c r="Y103" i="7"/>
  <c r="AS102" i="5"/>
  <c r="G101" i="5"/>
  <c r="AA104" i="5"/>
  <c r="E103" i="5"/>
  <c r="Z103" i="4"/>
  <c r="G102" i="4"/>
  <c r="Y105" i="4"/>
  <c r="E104" i="4"/>
  <c r="Z98" i="3"/>
  <c r="G97" i="3"/>
  <c r="Y98" i="3"/>
  <c r="E97" i="3"/>
  <c r="AA93" i="2"/>
  <c r="E92" i="2"/>
  <c r="G92" i="2"/>
  <c r="AS93" i="2"/>
  <c r="Z104" i="7" l="1"/>
  <c r="G103" i="7"/>
  <c r="Y104" i="7"/>
  <c r="E103" i="7"/>
  <c r="AA105" i="5"/>
  <c r="E104" i="5"/>
  <c r="AS103" i="5"/>
  <c r="G102" i="5"/>
  <c r="Y106" i="4"/>
  <c r="E105" i="4"/>
  <c r="Z104" i="4"/>
  <c r="G103" i="4"/>
  <c r="Y99" i="3"/>
  <c r="E98" i="3"/>
  <c r="Z99" i="3"/>
  <c r="G98" i="3"/>
  <c r="AS94" i="2"/>
  <c r="G93" i="2"/>
  <c r="E93" i="2"/>
  <c r="AA94" i="2"/>
  <c r="Z105" i="7" l="1"/>
  <c r="G104" i="7"/>
  <c r="Y105" i="7"/>
  <c r="E104" i="7"/>
  <c r="G103" i="5"/>
  <c r="AS104" i="5"/>
  <c r="AA106" i="5"/>
  <c r="E105" i="5"/>
  <c r="G104" i="4"/>
  <c r="Z105" i="4"/>
  <c r="Y107" i="4"/>
  <c r="E106" i="4"/>
  <c r="Z100" i="3"/>
  <c r="G99" i="3"/>
  <c r="E99" i="3"/>
  <c r="Y100" i="3"/>
  <c r="AA95" i="2"/>
  <c r="E94" i="2"/>
  <c r="G94" i="2"/>
  <c r="AS95" i="2"/>
  <c r="Z106" i="7" l="1"/>
  <c r="G105" i="7"/>
  <c r="Y106" i="7"/>
  <c r="E105" i="7"/>
  <c r="AA107" i="5"/>
  <c r="E106" i="5"/>
  <c r="AS105" i="5"/>
  <c r="G104" i="5"/>
  <c r="Y108" i="4"/>
  <c r="E107" i="4"/>
  <c r="G105" i="4"/>
  <c r="Z106" i="4"/>
  <c r="E100" i="3"/>
  <c r="Y101" i="3"/>
  <c r="Z101" i="3"/>
  <c r="G100" i="3"/>
  <c r="AS96" i="2"/>
  <c r="G95" i="2"/>
  <c r="E95" i="2"/>
  <c r="AA96" i="2"/>
  <c r="Z107" i="7" l="1"/>
  <c r="G106" i="7"/>
  <c r="Y107" i="7"/>
  <c r="E106" i="7"/>
  <c r="AS106" i="5"/>
  <c r="G105" i="5"/>
  <c r="AA108" i="5"/>
  <c r="E107" i="5"/>
  <c r="Z107" i="4"/>
  <c r="G106" i="4"/>
  <c r="Y109" i="4"/>
  <c r="E108" i="4"/>
  <c r="Z102" i="3"/>
  <c r="G101" i="3"/>
  <c r="E101" i="3"/>
  <c r="Y102" i="3"/>
  <c r="E96" i="2"/>
  <c r="AA97" i="2"/>
  <c r="G96" i="2"/>
  <c r="AS97" i="2"/>
  <c r="Z108" i="7" l="1"/>
  <c r="G107" i="7"/>
  <c r="Y108" i="7"/>
  <c r="E107" i="7"/>
  <c r="E108" i="5"/>
  <c r="AA109" i="5"/>
  <c r="AS107" i="5"/>
  <c r="G106" i="5"/>
  <c r="Y110" i="4"/>
  <c r="E109" i="4"/>
  <c r="G107" i="4"/>
  <c r="Z108" i="4"/>
  <c r="Y103" i="3"/>
  <c r="E102" i="3"/>
  <c r="Z103" i="3"/>
  <c r="G102" i="3"/>
  <c r="E97" i="2"/>
  <c r="AA98" i="2"/>
  <c r="AS98" i="2"/>
  <c r="G97" i="2"/>
  <c r="Z109" i="7" l="1"/>
  <c r="G108" i="7"/>
  <c r="Y109" i="7"/>
  <c r="E108" i="7"/>
  <c r="G107" i="5"/>
  <c r="AS108" i="5"/>
  <c r="E109" i="5"/>
  <c r="AA110" i="5"/>
  <c r="Z109" i="4"/>
  <c r="G108" i="4"/>
  <c r="Y111" i="4"/>
  <c r="E110" i="4"/>
  <c r="Z104" i="3"/>
  <c r="G103" i="3"/>
  <c r="Y104" i="3"/>
  <c r="E103" i="3"/>
  <c r="G98" i="2"/>
  <c r="AS99" i="2"/>
  <c r="AA99" i="2"/>
  <c r="E98" i="2"/>
  <c r="Z110" i="7" l="1"/>
  <c r="G109" i="7"/>
  <c r="Y110" i="7"/>
  <c r="E109" i="7"/>
  <c r="E110" i="5"/>
  <c r="AA111" i="5"/>
  <c r="AS109" i="5"/>
  <c r="G108" i="5"/>
  <c r="Y112" i="4"/>
  <c r="E111" i="4"/>
  <c r="Z110" i="4"/>
  <c r="G109" i="4"/>
  <c r="Y105" i="3"/>
  <c r="E104" i="3"/>
  <c r="Z105" i="3"/>
  <c r="G104" i="3"/>
  <c r="AA100" i="2"/>
  <c r="E99" i="2"/>
  <c r="G99" i="2"/>
  <c r="AS100" i="2"/>
  <c r="Z111" i="7" l="1"/>
  <c r="G110" i="7"/>
  <c r="Y111" i="7"/>
  <c r="E110" i="7"/>
  <c r="G109" i="5"/>
  <c r="AS110" i="5"/>
  <c r="E111" i="5"/>
  <c r="AA112" i="5"/>
  <c r="G110" i="4"/>
  <c r="Z111" i="4"/>
  <c r="Y113" i="4"/>
  <c r="E112" i="4"/>
  <c r="Z106" i="3"/>
  <c r="G105" i="3"/>
  <c r="Y106" i="3"/>
  <c r="E105" i="3"/>
  <c r="AA101" i="2"/>
  <c r="E100" i="2"/>
  <c r="AS101" i="2"/>
  <c r="G100" i="2"/>
  <c r="Z112" i="7" l="1"/>
  <c r="G111" i="7"/>
  <c r="AC37" i="7"/>
  <c r="AC41" i="7"/>
  <c r="AD40" i="7"/>
  <c r="AD41" i="7"/>
  <c r="AE41" i="7" s="1"/>
  <c r="AD39" i="7"/>
  <c r="AC39" i="7"/>
  <c r="AD38" i="7"/>
  <c r="AC38" i="7"/>
  <c r="AC35" i="7"/>
  <c r="AC40" i="7"/>
  <c r="AD36" i="7"/>
  <c r="AD37" i="7"/>
  <c r="AC36" i="7"/>
  <c r="AD35" i="7"/>
  <c r="Y112" i="7"/>
  <c r="E111" i="7"/>
  <c r="E112" i="5"/>
  <c r="AA113" i="5"/>
  <c r="G110" i="5"/>
  <c r="AS111" i="5"/>
  <c r="Y114" i="4"/>
  <c r="E113" i="4"/>
  <c r="Z112" i="4"/>
  <c r="G111" i="4"/>
  <c r="AD41" i="4"/>
  <c r="AE41" i="4" s="1"/>
  <c r="AC37" i="4"/>
  <c r="AD38" i="4"/>
  <c r="AD39" i="4"/>
  <c r="AC39" i="4"/>
  <c r="AC35" i="4"/>
  <c r="AC38" i="4"/>
  <c r="AC40" i="4"/>
  <c r="AD35" i="4"/>
  <c r="AD40" i="4"/>
  <c r="AC41" i="4"/>
  <c r="AD36" i="4"/>
  <c r="AD37" i="4"/>
  <c r="AC36" i="4"/>
  <c r="Y107" i="3"/>
  <c r="E106" i="3"/>
  <c r="Z107" i="3"/>
  <c r="G106" i="3"/>
  <c r="G101" i="2"/>
  <c r="AS102" i="2"/>
  <c r="AA102" i="2"/>
  <c r="E101" i="2"/>
  <c r="Z113" i="7" l="1"/>
  <c r="G112" i="7"/>
  <c r="AE40" i="7"/>
  <c r="AE39" i="7"/>
  <c r="L99" i="7" s="1"/>
  <c r="AE38" i="7"/>
  <c r="AE36" i="7"/>
  <c r="AE37" i="7"/>
  <c r="AE35" i="7"/>
  <c r="L109" i="7" s="1"/>
  <c r="Y113" i="7"/>
  <c r="E112" i="7"/>
  <c r="G111" i="5"/>
  <c r="AS112" i="5"/>
  <c r="AF35" i="5"/>
  <c r="AE35" i="5"/>
  <c r="AH35" i="5" s="1"/>
  <c r="AI35" i="5" s="1"/>
  <c r="AE38" i="5"/>
  <c r="AF38" i="5"/>
  <c r="AF40" i="5"/>
  <c r="AH40" i="5" s="1"/>
  <c r="AI40" i="5" s="1"/>
  <c r="AE37" i="5"/>
  <c r="AH37" i="5" s="1"/>
  <c r="AI37" i="5" s="1"/>
  <c r="AF37" i="5"/>
  <c r="AE34" i="5"/>
  <c r="AF36" i="5"/>
  <c r="AE36" i="5"/>
  <c r="AF34" i="5"/>
  <c r="AF39" i="5"/>
  <c r="AE39" i="5"/>
  <c r="E113" i="5"/>
  <c r="AA114" i="5"/>
  <c r="AE40" i="4"/>
  <c r="AE35" i="4"/>
  <c r="AE39" i="4"/>
  <c r="AE38" i="4"/>
  <c r="G112" i="4"/>
  <c r="Z113" i="4"/>
  <c r="AE37" i="4"/>
  <c r="Y115" i="4"/>
  <c r="E114" i="4"/>
  <c r="AE36" i="4"/>
  <c r="Z108" i="3"/>
  <c r="G107" i="3"/>
  <c r="Y108" i="3"/>
  <c r="E107" i="3"/>
  <c r="E102" i="2"/>
  <c r="AA103" i="2"/>
  <c r="G102" i="2"/>
  <c r="AS103" i="2"/>
  <c r="N109" i="7" l="1"/>
  <c r="M109" i="7"/>
  <c r="L95" i="7"/>
  <c r="L102" i="7"/>
  <c r="N99" i="7"/>
  <c r="M99" i="7"/>
  <c r="L81" i="7"/>
  <c r="L88" i="7"/>
  <c r="AF40" i="7"/>
  <c r="AF35" i="7"/>
  <c r="AF39" i="7"/>
  <c r="AF36" i="7"/>
  <c r="AF37" i="7"/>
  <c r="Z114" i="7"/>
  <c r="G113" i="7"/>
  <c r="L108" i="7"/>
  <c r="L101" i="7"/>
  <c r="L94" i="7"/>
  <c r="L87" i="7"/>
  <c r="L80" i="7"/>
  <c r="L107" i="7"/>
  <c r="L100" i="7"/>
  <c r="L93" i="7"/>
  <c r="L86" i="7"/>
  <c r="L106" i="7"/>
  <c r="L92" i="7"/>
  <c r="L85" i="7"/>
  <c r="L104" i="7"/>
  <c r="L97" i="7"/>
  <c r="L90" i="7"/>
  <c r="L83" i="7"/>
  <c r="L105" i="7"/>
  <c r="L98" i="7"/>
  <c r="L91" i="7"/>
  <c r="L84" i="7"/>
  <c r="L110" i="7"/>
  <c r="L103" i="7"/>
  <c r="L96" i="7"/>
  <c r="L89" i="7"/>
  <c r="L82" i="7"/>
  <c r="Y114" i="7"/>
  <c r="E113" i="7"/>
  <c r="AF38" i="7"/>
  <c r="AH39" i="5"/>
  <c r="AI39" i="5" s="1"/>
  <c r="AH34" i="5"/>
  <c r="AI34" i="5" s="1"/>
  <c r="AH36" i="5"/>
  <c r="AI36" i="5" s="1"/>
  <c r="G112" i="5"/>
  <c r="AS113" i="5"/>
  <c r="AH38" i="5"/>
  <c r="AI38" i="5" s="1"/>
  <c r="E114" i="5"/>
  <c r="AA115" i="5"/>
  <c r="L85" i="4"/>
  <c r="L92" i="4"/>
  <c r="L106" i="4"/>
  <c r="AF38" i="4"/>
  <c r="L86" i="4"/>
  <c r="L93" i="4"/>
  <c r="L100" i="4"/>
  <c r="L107" i="4"/>
  <c r="AF39" i="4"/>
  <c r="L82" i="4"/>
  <c r="L89" i="4"/>
  <c r="L96" i="4"/>
  <c r="L103" i="4"/>
  <c r="L110" i="4"/>
  <c r="AF35" i="4"/>
  <c r="L80" i="4"/>
  <c r="L87" i="4"/>
  <c r="L94" i="4"/>
  <c r="L101" i="4"/>
  <c r="L108" i="4"/>
  <c r="L83" i="4"/>
  <c r="L90" i="4"/>
  <c r="L97" i="4"/>
  <c r="L104" i="4"/>
  <c r="AF36" i="4"/>
  <c r="Y116" i="4"/>
  <c r="E115" i="4"/>
  <c r="L84" i="4"/>
  <c r="L91" i="4"/>
  <c r="L98" i="4"/>
  <c r="L105" i="4"/>
  <c r="AF37" i="4"/>
  <c r="Z114" i="4"/>
  <c r="G113" i="4"/>
  <c r="AF40" i="4"/>
  <c r="Y109" i="3"/>
  <c r="E108" i="3"/>
  <c r="Z109" i="3"/>
  <c r="G108" i="3"/>
  <c r="E103" i="2"/>
  <c r="AA104" i="2"/>
  <c r="G103" i="2"/>
  <c r="AS104" i="2"/>
  <c r="P109" i="7" l="1"/>
  <c r="U109" i="7"/>
  <c r="N95" i="7"/>
  <c r="M95" i="7"/>
  <c r="N102" i="7"/>
  <c r="M102" i="7"/>
  <c r="AF41" i="7"/>
  <c r="P102" i="7"/>
  <c r="U102" i="7"/>
  <c r="P99" i="7"/>
  <c r="U99" i="7"/>
  <c r="P95" i="7"/>
  <c r="U95" i="7"/>
  <c r="N81" i="7"/>
  <c r="M81" i="7"/>
  <c r="N88" i="7"/>
  <c r="M88" i="7"/>
  <c r="P88" i="7"/>
  <c r="U88" i="7"/>
  <c r="P81" i="7"/>
  <c r="U81" i="7"/>
  <c r="Z115" i="7"/>
  <c r="G114" i="7"/>
  <c r="N108" i="7"/>
  <c r="M108" i="7"/>
  <c r="M101" i="7"/>
  <c r="N101" i="7"/>
  <c r="M94" i="7"/>
  <c r="N94" i="7"/>
  <c r="N87" i="7"/>
  <c r="M87" i="7"/>
  <c r="U108" i="7"/>
  <c r="U103" i="7"/>
  <c r="U97" i="7"/>
  <c r="U91" i="7"/>
  <c r="U83" i="7"/>
  <c r="U89" i="7"/>
  <c r="U87" i="7"/>
  <c r="U104" i="7"/>
  <c r="U110" i="7"/>
  <c r="U98" i="7"/>
  <c r="U94" i="7"/>
  <c r="U84" i="7"/>
  <c r="U101" i="7"/>
  <c r="U107" i="7"/>
  <c r="U93" i="7"/>
  <c r="U82" i="7"/>
  <c r="U90" i="7"/>
  <c r="U86" i="7"/>
  <c r="U96" i="7"/>
  <c r="U100" i="7"/>
  <c r="U80" i="7"/>
  <c r="U85" i="7"/>
  <c r="U106" i="7"/>
  <c r="U105" i="7"/>
  <c r="U92" i="7"/>
  <c r="P110" i="7"/>
  <c r="P100" i="7"/>
  <c r="P104" i="7"/>
  <c r="P101" i="7"/>
  <c r="P98" i="7"/>
  <c r="P94" i="7"/>
  <c r="P86" i="7"/>
  <c r="P83" i="7"/>
  <c r="P84" i="7"/>
  <c r="P97" i="7"/>
  <c r="P93" i="7"/>
  <c r="P91" i="7"/>
  <c r="P82" i="7"/>
  <c r="P96" i="7"/>
  <c r="P103" i="7"/>
  <c r="P85" i="7"/>
  <c r="P108" i="7"/>
  <c r="P107" i="7"/>
  <c r="P106" i="7"/>
  <c r="P105" i="7"/>
  <c r="P92" i="7"/>
  <c r="P90" i="7"/>
  <c r="P89" i="7"/>
  <c r="P87" i="7"/>
  <c r="P80" i="7"/>
  <c r="M80" i="7"/>
  <c r="N80" i="7"/>
  <c r="N107" i="7"/>
  <c r="M107" i="7"/>
  <c r="M100" i="7"/>
  <c r="N100" i="7"/>
  <c r="M93" i="7"/>
  <c r="N93" i="7"/>
  <c r="N86" i="7"/>
  <c r="M86" i="7"/>
  <c r="M106" i="7"/>
  <c r="N106" i="7"/>
  <c r="M92" i="7"/>
  <c r="N92" i="7"/>
  <c r="N85" i="7"/>
  <c r="M85" i="7"/>
  <c r="N104" i="7"/>
  <c r="M104" i="7"/>
  <c r="M97" i="7"/>
  <c r="N97" i="7"/>
  <c r="N90" i="7"/>
  <c r="M90" i="7"/>
  <c r="N83" i="7"/>
  <c r="M83" i="7"/>
  <c r="N105" i="7"/>
  <c r="M105" i="7"/>
  <c r="M98" i="7"/>
  <c r="N98" i="7"/>
  <c r="M91" i="7"/>
  <c r="N91" i="7"/>
  <c r="M84" i="7"/>
  <c r="N84" i="7"/>
  <c r="N110" i="7"/>
  <c r="M110" i="7"/>
  <c r="M103" i="7"/>
  <c r="N103" i="7"/>
  <c r="M96" i="7"/>
  <c r="N96" i="7"/>
  <c r="N89" i="7"/>
  <c r="M89" i="7"/>
  <c r="M82" i="7"/>
  <c r="N82" i="7"/>
  <c r="Y115" i="7"/>
  <c r="E114" i="7"/>
  <c r="AA116" i="5"/>
  <c r="E115" i="5"/>
  <c r="G113" i="5"/>
  <c r="AS114" i="5"/>
  <c r="AJ34" i="5"/>
  <c r="G114" i="4"/>
  <c r="Z115" i="4"/>
  <c r="N103" i="4"/>
  <c r="M103" i="4"/>
  <c r="N84" i="4"/>
  <c r="M84" i="4"/>
  <c r="M96" i="4"/>
  <c r="N96" i="4"/>
  <c r="N89" i="4"/>
  <c r="M89" i="4"/>
  <c r="N82" i="4"/>
  <c r="M82" i="4"/>
  <c r="N91" i="4"/>
  <c r="M91" i="4"/>
  <c r="Y117" i="4"/>
  <c r="E116" i="4"/>
  <c r="N87" i="4"/>
  <c r="M87" i="4"/>
  <c r="M104" i="4"/>
  <c r="N104" i="4"/>
  <c r="M97" i="4"/>
  <c r="N97" i="4"/>
  <c r="N107" i="4"/>
  <c r="M107" i="4"/>
  <c r="N83" i="4"/>
  <c r="M83" i="4"/>
  <c r="N100" i="4"/>
  <c r="M100" i="4"/>
  <c r="N90" i="4"/>
  <c r="M90" i="4"/>
  <c r="N108" i="4"/>
  <c r="M108" i="4"/>
  <c r="N93" i="4"/>
  <c r="M93" i="4"/>
  <c r="N101" i="4"/>
  <c r="M101" i="4"/>
  <c r="N86" i="4"/>
  <c r="M86" i="4"/>
  <c r="N94" i="4"/>
  <c r="M94" i="4"/>
  <c r="N106" i="4"/>
  <c r="M106" i="4"/>
  <c r="N105" i="4"/>
  <c r="M105" i="4"/>
  <c r="P103" i="4"/>
  <c r="P98" i="4"/>
  <c r="P110" i="4"/>
  <c r="P108" i="4"/>
  <c r="P107" i="4"/>
  <c r="P106" i="4"/>
  <c r="P105" i="4"/>
  <c r="P84" i="4"/>
  <c r="P94" i="4"/>
  <c r="P80" i="4"/>
  <c r="N80" i="4"/>
  <c r="P93" i="4"/>
  <c r="P87" i="4"/>
  <c r="P83" i="4"/>
  <c r="P92" i="4"/>
  <c r="P101" i="4"/>
  <c r="P100" i="4"/>
  <c r="P91" i="4"/>
  <c r="P86" i="4"/>
  <c r="P82" i="4"/>
  <c r="P97" i="4"/>
  <c r="P90" i="4"/>
  <c r="P104" i="4"/>
  <c r="P85" i="4"/>
  <c r="P96" i="4"/>
  <c r="M80" i="4"/>
  <c r="P89" i="4"/>
  <c r="U98" i="4"/>
  <c r="U105" i="4"/>
  <c r="U100" i="4"/>
  <c r="U103" i="4"/>
  <c r="U108" i="4"/>
  <c r="U101" i="4"/>
  <c r="U104" i="4"/>
  <c r="U106" i="4"/>
  <c r="U83" i="4"/>
  <c r="U84" i="4"/>
  <c r="U89" i="4"/>
  <c r="U86" i="4"/>
  <c r="U80" i="4"/>
  <c r="U82" i="4"/>
  <c r="U92" i="4"/>
  <c r="U110" i="4"/>
  <c r="U91" i="4"/>
  <c r="U87" i="4"/>
  <c r="U93" i="4"/>
  <c r="U90" i="4"/>
  <c r="U97" i="4"/>
  <c r="U96" i="4"/>
  <c r="U85" i="4"/>
  <c r="U107" i="4"/>
  <c r="U94" i="4"/>
  <c r="N92" i="4"/>
  <c r="M92" i="4"/>
  <c r="N85" i="4"/>
  <c r="M85" i="4"/>
  <c r="N98" i="4"/>
  <c r="M98" i="4"/>
  <c r="AF41" i="4"/>
  <c r="N110" i="4"/>
  <c r="M110" i="4"/>
  <c r="Z110" i="3"/>
  <c r="G109" i="3"/>
  <c r="Y110" i="3"/>
  <c r="E109" i="3"/>
  <c r="E104" i="2"/>
  <c r="AA105" i="2"/>
  <c r="G104" i="2"/>
  <c r="AS105" i="2"/>
  <c r="R109" i="7" l="1"/>
  <c r="S109" i="7"/>
  <c r="W109" i="7"/>
  <c r="X109" i="7"/>
  <c r="R102" i="7"/>
  <c r="S102" i="7"/>
  <c r="W102" i="7"/>
  <c r="X102" i="7"/>
  <c r="R99" i="7"/>
  <c r="S99" i="7"/>
  <c r="W99" i="7"/>
  <c r="X99" i="7"/>
  <c r="R95" i="7"/>
  <c r="S95" i="7"/>
  <c r="W95" i="7"/>
  <c r="X95" i="7"/>
  <c r="R88" i="7"/>
  <c r="S88" i="7"/>
  <c r="W88" i="7"/>
  <c r="X88" i="7"/>
  <c r="S81" i="7"/>
  <c r="R81" i="7"/>
  <c r="W81" i="7"/>
  <c r="X81" i="7"/>
  <c r="Z116" i="7"/>
  <c r="G115" i="7"/>
  <c r="X108" i="7"/>
  <c r="W108" i="7"/>
  <c r="W103" i="7"/>
  <c r="X103" i="7"/>
  <c r="X97" i="7"/>
  <c r="W97" i="7"/>
  <c r="X91" i="7"/>
  <c r="W91" i="7"/>
  <c r="X83" i="7"/>
  <c r="W83" i="7"/>
  <c r="X89" i="7"/>
  <c r="W89" i="7"/>
  <c r="X87" i="7"/>
  <c r="W87" i="7"/>
  <c r="X104" i="7"/>
  <c r="W104" i="7"/>
  <c r="W110" i="7"/>
  <c r="X110" i="7"/>
  <c r="W98" i="7"/>
  <c r="X98" i="7"/>
  <c r="W94" i="7"/>
  <c r="X94" i="7"/>
  <c r="X84" i="7"/>
  <c r="W84" i="7"/>
  <c r="X101" i="7"/>
  <c r="W101" i="7"/>
  <c r="X107" i="7"/>
  <c r="W107" i="7"/>
  <c r="W93" i="7"/>
  <c r="X93" i="7"/>
  <c r="W82" i="7"/>
  <c r="X82" i="7"/>
  <c r="X90" i="7"/>
  <c r="W90" i="7"/>
  <c r="X86" i="7"/>
  <c r="W86" i="7"/>
  <c r="W96" i="7"/>
  <c r="X96" i="7"/>
  <c r="X100" i="7"/>
  <c r="W100" i="7"/>
  <c r="X80" i="7"/>
  <c r="W80" i="7"/>
  <c r="W85" i="7"/>
  <c r="X85" i="7"/>
  <c r="X106" i="7"/>
  <c r="W106" i="7"/>
  <c r="X105" i="7"/>
  <c r="W105" i="7"/>
  <c r="X92" i="7"/>
  <c r="W92" i="7"/>
  <c r="R110" i="7"/>
  <c r="S110" i="7"/>
  <c r="S100" i="7"/>
  <c r="R100" i="7"/>
  <c r="S104" i="7"/>
  <c r="R104" i="7"/>
  <c r="S101" i="7"/>
  <c r="R101" i="7"/>
  <c r="S98" i="7"/>
  <c r="R98" i="7"/>
  <c r="S94" i="7"/>
  <c r="R94" i="7"/>
  <c r="R86" i="7"/>
  <c r="S86" i="7"/>
  <c r="R83" i="7"/>
  <c r="S83" i="7"/>
  <c r="R84" i="7"/>
  <c r="S84" i="7"/>
  <c r="S97" i="7"/>
  <c r="R97" i="7"/>
  <c r="S93" i="7"/>
  <c r="R93" i="7"/>
  <c r="S91" i="7"/>
  <c r="R91" i="7"/>
  <c r="R82" i="7"/>
  <c r="S82" i="7"/>
  <c r="S96" i="7"/>
  <c r="R96" i="7"/>
  <c r="R103" i="7"/>
  <c r="S103" i="7"/>
  <c r="R85" i="7"/>
  <c r="S85" i="7"/>
  <c r="S108" i="7"/>
  <c r="R108" i="7"/>
  <c r="S107" i="7"/>
  <c r="R107" i="7"/>
  <c r="S106" i="7"/>
  <c r="R106" i="7"/>
  <c r="S105" i="7"/>
  <c r="R105" i="7"/>
  <c r="S92" i="7"/>
  <c r="R92" i="7"/>
  <c r="S90" i="7"/>
  <c r="R90" i="7"/>
  <c r="S89" i="7"/>
  <c r="R89" i="7"/>
  <c r="S87" i="7"/>
  <c r="R87" i="7"/>
  <c r="S80" i="7"/>
  <c r="R80" i="7"/>
  <c r="Y116" i="7"/>
  <c r="E115" i="7"/>
  <c r="G114" i="5"/>
  <c r="AS115" i="5"/>
  <c r="E116" i="5"/>
  <c r="AA117" i="5"/>
  <c r="X106" i="4"/>
  <c r="W106" i="4"/>
  <c r="S83" i="4"/>
  <c r="R83" i="4"/>
  <c r="X85" i="4"/>
  <c r="W85" i="4"/>
  <c r="X80" i="4"/>
  <c r="W80" i="4"/>
  <c r="X93" i="4"/>
  <c r="W93" i="4"/>
  <c r="W103" i="4"/>
  <c r="X103" i="4"/>
  <c r="R97" i="4"/>
  <c r="S97" i="4"/>
  <c r="S107" i="4"/>
  <c r="R107" i="4"/>
  <c r="S80" i="4"/>
  <c r="R80" i="4"/>
  <c r="X107" i="4"/>
  <c r="W107" i="4"/>
  <c r="S82" i="4"/>
  <c r="R82" i="4"/>
  <c r="R108" i="4"/>
  <c r="S108" i="4"/>
  <c r="Z116" i="4"/>
  <c r="G115" i="4"/>
  <c r="X100" i="4"/>
  <c r="W100" i="4"/>
  <c r="S86" i="4"/>
  <c r="R86" i="4"/>
  <c r="W105" i="4"/>
  <c r="X105" i="4"/>
  <c r="S91" i="4"/>
  <c r="R91" i="4"/>
  <c r="S98" i="4"/>
  <c r="R98" i="4"/>
  <c r="R110" i="4"/>
  <c r="S110" i="4"/>
  <c r="S100" i="4"/>
  <c r="R100" i="4"/>
  <c r="S103" i="4"/>
  <c r="R103" i="4"/>
  <c r="Y118" i="4"/>
  <c r="E117" i="4"/>
  <c r="S101" i="4"/>
  <c r="R101" i="4"/>
  <c r="W91" i="4"/>
  <c r="X91" i="4"/>
  <c r="S87" i="4"/>
  <c r="R87" i="4"/>
  <c r="X87" i="4"/>
  <c r="W87" i="4"/>
  <c r="X110" i="4"/>
  <c r="W110" i="4"/>
  <c r="S92" i="4"/>
  <c r="R92" i="4"/>
  <c r="X82" i="4"/>
  <c r="W82" i="4"/>
  <c r="W108" i="4"/>
  <c r="X108" i="4"/>
  <c r="R93" i="4"/>
  <c r="S93" i="4"/>
  <c r="S89" i="4"/>
  <c r="R89" i="4"/>
  <c r="X83" i="4"/>
  <c r="W83" i="4"/>
  <c r="S94" i="4"/>
  <c r="R94" i="4"/>
  <c r="X92" i="4"/>
  <c r="W92" i="4"/>
  <c r="S85" i="4"/>
  <c r="R85" i="4"/>
  <c r="S84" i="4"/>
  <c r="R84" i="4"/>
  <c r="X89" i="4"/>
  <c r="W89" i="4"/>
  <c r="W96" i="4"/>
  <c r="X96" i="4"/>
  <c r="X101" i="4"/>
  <c r="W101" i="4"/>
  <c r="W90" i="4"/>
  <c r="X90" i="4"/>
  <c r="W104" i="4"/>
  <c r="X104" i="4"/>
  <c r="S96" i="4"/>
  <c r="R96" i="4"/>
  <c r="X94" i="4"/>
  <c r="W94" i="4"/>
  <c r="X84" i="4"/>
  <c r="W84" i="4"/>
  <c r="R104" i="4"/>
  <c r="S104" i="4"/>
  <c r="R105" i="4"/>
  <c r="S105" i="4"/>
  <c r="X98" i="4"/>
  <c r="W98" i="4"/>
  <c r="X97" i="4"/>
  <c r="W97" i="4"/>
  <c r="W86" i="4"/>
  <c r="X86" i="4"/>
  <c r="S90" i="4"/>
  <c r="R90" i="4"/>
  <c r="R106" i="4"/>
  <c r="S106" i="4"/>
  <c r="Y111" i="3"/>
  <c r="E110" i="3"/>
  <c r="Z111" i="3"/>
  <c r="G110" i="3"/>
  <c r="G105" i="2"/>
  <c r="AS106" i="2"/>
  <c r="E105" i="2"/>
  <c r="AA106" i="2"/>
  <c r="Z117" i="7" l="1"/>
  <c r="G116" i="7"/>
  <c r="Y117" i="7"/>
  <c r="E116" i="7"/>
  <c r="AA118" i="5"/>
  <c r="E117" i="5"/>
  <c r="G115" i="5"/>
  <c r="AS116" i="5"/>
  <c r="Y119" i="4"/>
  <c r="E118" i="4"/>
  <c r="Z117" i="4"/>
  <c r="G116" i="4"/>
  <c r="AD36" i="3"/>
  <c r="AD39" i="3"/>
  <c r="AC35" i="3"/>
  <c r="AD37" i="3"/>
  <c r="AC38" i="3"/>
  <c r="AD38" i="3"/>
  <c r="AC37" i="3"/>
  <c r="AC36" i="3"/>
  <c r="AD35" i="3"/>
  <c r="AD40" i="3"/>
  <c r="AC41" i="3"/>
  <c r="AC40" i="3"/>
  <c r="AC39" i="3"/>
  <c r="AD41" i="3"/>
  <c r="AE41" i="3" s="1"/>
  <c r="Z112" i="3"/>
  <c r="G111" i="3"/>
  <c r="Y112" i="3"/>
  <c r="E111" i="3"/>
  <c r="E106" i="2"/>
  <c r="AA107" i="2"/>
  <c r="G106" i="2"/>
  <c r="AS107" i="2"/>
  <c r="Z118" i="7" l="1"/>
  <c r="G117" i="7"/>
  <c r="Y118" i="7"/>
  <c r="E117" i="7"/>
  <c r="AS117" i="5"/>
  <c r="G116" i="5"/>
  <c r="E118" i="5"/>
  <c r="AA119" i="5"/>
  <c r="G117" i="4"/>
  <c r="Z118" i="4"/>
  <c r="Y120" i="4"/>
  <c r="E119" i="4"/>
  <c r="AE40" i="3"/>
  <c r="AE38" i="3"/>
  <c r="AE37" i="3"/>
  <c r="AE39" i="3"/>
  <c r="AE35" i="3"/>
  <c r="AE36" i="3"/>
  <c r="Y113" i="3"/>
  <c r="E112" i="3"/>
  <c r="Z113" i="3"/>
  <c r="G112" i="3"/>
  <c r="G107" i="2"/>
  <c r="AS108" i="2"/>
  <c r="E107" i="2"/>
  <c r="AA108" i="2"/>
  <c r="Z119" i="7" l="1"/>
  <c r="G118" i="7"/>
  <c r="Y119" i="7"/>
  <c r="E118" i="7"/>
  <c r="E119" i="5"/>
  <c r="AA120" i="5"/>
  <c r="G117" i="5"/>
  <c r="AS118" i="5"/>
  <c r="Y121" i="4"/>
  <c r="E120" i="4"/>
  <c r="G118" i="4"/>
  <c r="Z119" i="4"/>
  <c r="L85" i="3"/>
  <c r="L106" i="3"/>
  <c r="L92" i="3"/>
  <c r="L97" i="3"/>
  <c r="L83" i="3"/>
  <c r="L104" i="3"/>
  <c r="L90" i="3"/>
  <c r="L96" i="3"/>
  <c r="L82" i="3"/>
  <c r="L103" i="3"/>
  <c r="L89" i="3"/>
  <c r="L110" i="3"/>
  <c r="L100" i="3"/>
  <c r="L86" i="3"/>
  <c r="L107" i="3"/>
  <c r="L93" i="3"/>
  <c r="L98" i="3"/>
  <c r="L84" i="3"/>
  <c r="L105" i="3"/>
  <c r="L91" i="3"/>
  <c r="L80" i="3"/>
  <c r="L101" i="3"/>
  <c r="L87" i="3"/>
  <c r="L108" i="3"/>
  <c r="L94" i="3"/>
  <c r="AF36" i="3"/>
  <c r="AF35" i="3"/>
  <c r="AF39" i="3"/>
  <c r="AF37" i="3"/>
  <c r="AF38" i="3"/>
  <c r="AF40" i="3"/>
  <c r="Z114" i="3"/>
  <c r="G113" i="3"/>
  <c r="Y114" i="3"/>
  <c r="E113" i="3"/>
  <c r="G108" i="2"/>
  <c r="AS109" i="2"/>
  <c r="E108" i="2"/>
  <c r="AA109" i="2"/>
  <c r="Z120" i="7" l="1"/>
  <c r="G119" i="7"/>
  <c r="Y120" i="7"/>
  <c r="E119" i="7"/>
  <c r="G118" i="5"/>
  <c r="AS119" i="5"/>
  <c r="E120" i="5"/>
  <c r="AA121" i="5"/>
  <c r="G119" i="4"/>
  <c r="Z120" i="4"/>
  <c r="Y122" i="4"/>
  <c r="E121" i="4"/>
  <c r="AF41" i="3"/>
  <c r="N86" i="3"/>
  <c r="M86" i="3"/>
  <c r="M82" i="3"/>
  <c r="N82" i="3"/>
  <c r="N100" i="3"/>
  <c r="M100" i="3"/>
  <c r="N85" i="3"/>
  <c r="M85" i="3"/>
  <c r="M110" i="3"/>
  <c r="N110" i="3"/>
  <c r="N106" i="3"/>
  <c r="M106" i="3"/>
  <c r="M87" i="3"/>
  <c r="N87" i="3"/>
  <c r="N91" i="3"/>
  <c r="M91" i="3"/>
  <c r="N90" i="3"/>
  <c r="M90" i="3"/>
  <c r="N84" i="3"/>
  <c r="M84" i="3"/>
  <c r="M83" i="3"/>
  <c r="N83" i="3"/>
  <c r="M105" i="3"/>
  <c r="N105" i="3"/>
  <c r="N98" i="3"/>
  <c r="M98" i="3"/>
  <c r="M97" i="3"/>
  <c r="N97" i="3"/>
  <c r="M107" i="3"/>
  <c r="N107" i="3"/>
  <c r="N108" i="3"/>
  <c r="M108" i="3"/>
  <c r="M93" i="3"/>
  <c r="N93" i="3"/>
  <c r="M94" i="3"/>
  <c r="N94" i="3"/>
  <c r="M101" i="3"/>
  <c r="N101" i="3"/>
  <c r="M103" i="3"/>
  <c r="N103" i="3"/>
  <c r="M104" i="3"/>
  <c r="N104" i="3"/>
  <c r="M96" i="3"/>
  <c r="N96" i="3"/>
  <c r="N92" i="3"/>
  <c r="M92" i="3"/>
  <c r="N89" i="3"/>
  <c r="M89" i="3"/>
  <c r="Y115" i="3"/>
  <c r="E114" i="3"/>
  <c r="Z115" i="3"/>
  <c r="G114" i="3"/>
  <c r="AS110" i="2"/>
  <c r="G109" i="2"/>
  <c r="AA110" i="2"/>
  <c r="E109" i="2"/>
  <c r="Z121" i="7" l="1"/>
  <c r="G120" i="7"/>
  <c r="Y121" i="7"/>
  <c r="E120" i="7"/>
  <c r="E121" i="5"/>
  <c r="AA122" i="5"/>
  <c r="G119" i="5"/>
  <c r="AS120" i="5"/>
  <c r="Y123" i="4"/>
  <c r="E122" i="4"/>
  <c r="G120" i="4"/>
  <c r="Z121" i="4"/>
  <c r="Z116" i="3"/>
  <c r="G115" i="3"/>
  <c r="Y116" i="3"/>
  <c r="E115" i="3"/>
  <c r="E110" i="2"/>
  <c r="AA111" i="2"/>
  <c r="G110" i="2"/>
  <c r="AS111" i="2"/>
  <c r="Z122" i="7" l="1"/>
  <c r="G121" i="7"/>
  <c r="Y122" i="7"/>
  <c r="E121" i="7"/>
  <c r="G120" i="5"/>
  <c r="AS121" i="5"/>
  <c r="E122" i="5"/>
  <c r="AA123" i="5"/>
  <c r="Z122" i="4"/>
  <c r="G121" i="4"/>
  <c r="Y124" i="4"/>
  <c r="E123" i="4"/>
  <c r="AF35" i="2"/>
  <c r="AF39" i="2"/>
  <c r="AE34" i="2"/>
  <c r="AE37" i="2"/>
  <c r="AF38" i="2"/>
  <c r="AE35" i="2"/>
  <c r="AH35" i="2" s="1"/>
  <c r="AF36" i="2"/>
  <c r="AF40" i="2"/>
  <c r="AH40" i="2" s="1"/>
  <c r="AF34" i="2"/>
  <c r="AF37" i="2"/>
  <c r="AE38" i="2"/>
  <c r="AE39" i="2"/>
  <c r="AE36" i="2"/>
  <c r="Y117" i="3"/>
  <c r="E116" i="3"/>
  <c r="Z117" i="3"/>
  <c r="G116" i="3"/>
  <c r="G111" i="2"/>
  <c r="AS112" i="2"/>
  <c r="E111" i="2"/>
  <c r="AA112" i="2"/>
  <c r="Z123" i="7" l="1"/>
  <c r="G122" i="7"/>
  <c r="Y123" i="7"/>
  <c r="E122" i="7"/>
  <c r="AA124" i="5"/>
  <c r="E123" i="5"/>
  <c r="G121" i="5"/>
  <c r="AS122" i="5"/>
  <c r="Y125" i="4"/>
  <c r="E124" i="4"/>
  <c r="Z123" i="4"/>
  <c r="G122" i="4"/>
  <c r="AH39" i="2"/>
  <c r="AH38" i="2"/>
  <c r="AH36" i="2"/>
  <c r="AH37" i="2"/>
  <c r="AH34" i="2"/>
  <c r="Z118" i="3"/>
  <c r="G117" i="3"/>
  <c r="Y118" i="3"/>
  <c r="E117" i="3"/>
  <c r="E112" i="2"/>
  <c r="AA113" i="2"/>
  <c r="AS113" i="2"/>
  <c r="G112" i="2"/>
  <c r="Z124" i="7" l="1"/>
  <c r="G123" i="7"/>
  <c r="Y124" i="7"/>
  <c r="E123" i="7"/>
  <c r="G122" i="5"/>
  <c r="AS123" i="5"/>
  <c r="AA125" i="5"/>
  <c r="E124" i="5"/>
  <c r="Z124" i="4"/>
  <c r="G123" i="4"/>
  <c r="E125" i="4"/>
  <c r="Y126" i="4"/>
  <c r="Y119" i="3"/>
  <c r="E118" i="3"/>
  <c r="Z119" i="3"/>
  <c r="G118" i="3"/>
  <c r="G113" i="2"/>
  <c r="AS114" i="2"/>
  <c r="E113" i="2"/>
  <c r="AA114" i="2"/>
  <c r="Z125" i="7" l="1"/>
  <c r="G124" i="7"/>
  <c r="Y125" i="7"/>
  <c r="E124" i="7"/>
  <c r="AA126" i="5"/>
  <c r="E125" i="5"/>
  <c r="G123" i="5"/>
  <c r="AS124" i="5"/>
  <c r="E126" i="4"/>
  <c r="Y127" i="4"/>
  <c r="Z125" i="4"/>
  <c r="G124" i="4"/>
  <c r="Z120" i="3"/>
  <c r="G119" i="3"/>
  <c r="Y120" i="3"/>
  <c r="E119" i="3"/>
  <c r="AA115" i="2"/>
  <c r="E114" i="2"/>
  <c r="G114" i="2"/>
  <c r="AS115" i="2"/>
  <c r="Z126" i="7" l="1"/>
  <c r="G125" i="7"/>
  <c r="Y126" i="7"/>
  <c r="E125" i="7"/>
  <c r="AS125" i="5"/>
  <c r="G124" i="5"/>
  <c r="E126" i="5"/>
  <c r="AA127" i="5"/>
  <c r="Z126" i="4"/>
  <c r="G125" i="4"/>
  <c r="E127" i="4"/>
  <c r="Y128" i="4"/>
  <c r="Y121" i="3"/>
  <c r="E120" i="3"/>
  <c r="Z121" i="3"/>
  <c r="G120" i="3"/>
  <c r="G115" i="2"/>
  <c r="AS116" i="2"/>
  <c r="E115" i="2"/>
  <c r="AA116" i="2"/>
  <c r="Z127" i="7" l="1"/>
  <c r="G126" i="7"/>
  <c r="Y127" i="7"/>
  <c r="E126" i="7"/>
  <c r="E127" i="5"/>
  <c r="AA128" i="5"/>
  <c r="AS126" i="5"/>
  <c r="G125" i="5"/>
  <c r="E128" i="4"/>
  <c r="Y129" i="4"/>
  <c r="Z127" i="4"/>
  <c r="G126" i="4"/>
  <c r="Z122" i="3"/>
  <c r="G121" i="3"/>
  <c r="Y122" i="3"/>
  <c r="E121" i="3"/>
  <c r="AS117" i="2"/>
  <c r="G116" i="2"/>
  <c r="E116" i="2"/>
  <c r="AA117" i="2"/>
  <c r="Z128" i="7" l="1"/>
  <c r="G127" i="7"/>
  <c r="Y128" i="7"/>
  <c r="E127" i="7"/>
  <c r="AS127" i="5"/>
  <c r="G126" i="5"/>
  <c r="E128" i="5"/>
  <c r="AA129" i="5"/>
  <c r="E129" i="4"/>
  <c r="Y130" i="4"/>
  <c r="G127" i="4"/>
  <c r="Z128" i="4"/>
  <c r="Y123" i="3"/>
  <c r="E122" i="3"/>
  <c r="Z123" i="3"/>
  <c r="G122" i="3"/>
  <c r="E117" i="2"/>
  <c r="AA118" i="2"/>
  <c r="AS118" i="2"/>
  <c r="G117" i="2"/>
  <c r="Z129" i="7" l="1"/>
  <c r="G128" i="7"/>
  <c r="Y129" i="7"/>
  <c r="E128" i="7"/>
  <c r="E129" i="5"/>
  <c r="AA130" i="5"/>
  <c r="AS128" i="5"/>
  <c r="G127" i="5"/>
  <c r="E130" i="4"/>
  <c r="Y131" i="4"/>
  <c r="G128" i="4"/>
  <c r="Z129" i="4"/>
  <c r="Z124" i="3"/>
  <c r="G123" i="3"/>
  <c r="Y124" i="3"/>
  <c r="E123" i="3"/>
  <c r="E118" i="2"/>
  <c r="AA119" i="2"/>
  <c r="G118" i="2"/>
  <c r="AS119" i="2"/>
  <c r="Z130" i="7" l="1"/>
  <c r="G129" i="7"/>
  <c r="Y130" i="7"/>
  <c r="E129" i="7"/>
  <c r="AS129" i="5"/>
  <c r="G128" i="5"/>
  <c r="E130" i="5"/>
  <c r="AA131" i="5"/>
  <c r="G129" i="4"/>
  <c r="Z130" i="4"/>
  <c r="E131" i="4"/>
  <c r="Y132" i="4"/>
  <c r="Y125" i="3"/>
  <c r="E124" i="3"/>
  <c r="Z125" i="3"/>
  <c r="G124" i="3"/>
  <c r="E119" i="2"/>
  <c r="AA120" i="2"/>
  <c r="G119" i="2"/>
  <c r="AS120" i="2"/>
  <c r="Z131" i="7" l="1"/>
  <c r="G130" i="7"/>
  <c r="Y131" i="7"/>
  <c r="E130" i="7"/>
  <c r="AA132" i="5"/>
  <c r="E131" i="5"/>
  <c r="AS130" i="5"/>
  <c r="G129" i="5"/>
  <c r="E132" i="4"/>
  <c r="Y133" i="4"/>
  <c r="G130" i="4"/>
  <c r="Z131" i="4"/>
  <c r="Z126" i="3"/>
  <c r="G125" i="3"/>
  <c r="Y126" i="3"/>
  <c r="E125" i="3"/>
  <c r="G120" i="2"/>
  <c r="AS121" i="2"/>
  <c r="E120" i="2"/>
  <c r="AA121" i="2"/>
  <c r="Z132" i="7" l="1"/>
  <c r="G131" i="7"/>
  <c r="Y132" i="7"/>
  <c r="E131" i="7"/>
  <c r="AS131" i="5"/>
  <c r="G130" i="5"/>
  <c r="E132" i="5"/>
  <c r="AA133" i="5"/>
  <c r="G131" i="4"/>
  <c r="Z132" i="4"/>
  <c r="E133" i="4"/>
  <c r="Y134" i="4"/>
  <c r="Y127" i="3"/>
  <c r="E126" i="3"/>
  <c r="Z127" i="3"/>
  <c r="G126" i="3"/>
  <c r="E121" i="2"/>
  <c r="AA122" i="2"/>
  <c r="G121" i="2"/>
  <c r="AS122" i="2"/>
  <c r="Z133" i="7" l="1"/>
  <c r="G132" i="7"/>
  <c r="Y133" i="7"/>
  <c r="E132" i="7"/>
  <c r="AA134" i="5"/>
  <c r="E133" i="5"/>
  <c r="G131" i="5"/>
  <c r="AS132" i="5"/>
  <c r="E134" i="4"/>
  <c r="Y135" i="4"/>
  <c r="G132" i="4"/>
  <c r="Z133" i="4"/>
  <c r="Z128" i="3"/>
  <c r="G127" i="3"/>
  <c r="Y128" i="3"/>
  <c r="E127" i="3"/>
  <c r="G122" i="2"/>
  <c r="AS123" i="2"/>
  <c r="E122" i="2"/>
  <c r="AA123" i="2"/>
  <c r="Z134" i="7" l="1"/>
  <c r="G133" i="7"/>
  <c r="Y134" i="7"/>
  <c r="E133" i="7"/>
  <c r="AS133" i="5"/>
  <c r="G132" i="5"/>
  <c r="AA135" i="5"/>
  <c r="E134" i="5"/>
  <c r="Y136" i="4"/>
  <c r="E135" i="4"/>
  <c r="G133" i="4"/>
  <c r="Z134" i="4"/>
  <c r="Y129" i="3"/>
  <c r="E128" i="3"/>
  <c r="Z129" i="3"/>
  <c r="G128" i="3"/>
  <c r="E123" i="2"/>
  <c r="AA124" i="2"/>
  <c r="G123" i="2"/>
  <c r="AS124" i="2"/>
  <c r="Z135" i="7" l="1"/>
  <c r="G134" i="7"/>
  <c r="Y135" i="7"/>
  <c r="E134" i="7"/>
  <c r="AA136" i="5"/>
  <c r="E135" i="5"/>
  <c r="AS134" i="5"/>
  <c r="G133" i="5"/>
  <c r="G134" i="4"/>
  <c r="Z135" i="4"/>
  <c r="Y137" i="4"/>
  <c r="E136" i="4"/>
  <c r="Z130" i="3"/>
  <c r="G129" i="3"/>
  <c r="Y130" i="3"/>
  <c r="E129" i="3"/>
  <c r="G124" i="2"/>
  <c r="AS125" i="2"/>
  <c r="E124" i="2"/>
  <c r="AA125" i="2"/>
  <c r="Z136" i="7" l="1"/>
  <c r="G135" i="7"/>
  <c r="Y136" i="7"/>
  <c r="E135" i="7"/>
  <c r="AS135" i="5"/>
  <c r="G134" i="5"/>
  <c r="E136" i="5"/>
  <c r="AA137" i="5"/>
  <c r="Y138" i="4"/>
  <c r="E137" i="4"/>
  <c r="G135" i="4"/>
  <c r="Z136" i="4"/>
  <c r="Y131" i="3"/>
  <c r="E130" i="3"/>
  <c r="Z131" i="3"/>
  <c r="G130" i="3"/>
  <c r="E125" i="2"/>
  <c r="AA126" i="2"/>
  <c r="G125" i="2"/>
  <c r="AS126" i="2"/>
  <c r="Z137" i="7" l="1"/>
  <c r="G136" i="7"/>
  <c r="Y137" i="7"/>
  <c r="E136" i="7"/>
  <c r="E137" i="5"/>
  <c r="AA138" i="5"/>
  <c r="AS136" i="5"/>
  <c r="G135" i="5"/>
  <c r="Z137" i="4"/>
  <c r="G136" i="4"/>
  <c r="E138" i="4"/>
  <c r="Y139" i="4"/>
  <c r="Z132" i="3"/>
  <c r="G131" i="3"/>
  <c r="Y132" i="3"/>
  <c r="E131" i="3"/>
  <c r="E126" i="2"/>
  <c r="AA127" i="2"/>
  <c r="G126" i="2"/>
  <c r="AS127" i="2"/>
  <c r="Z138" i="7" l="1"/>
  <c r="G137" i="7"/>
  <c r="Y138" i="7"/>
  <c r="E137" i="7"/>
  <c r="AS137" i="5"/>
  <c r="G136" i="5"/>
  <c r="E138" i="5"/>
  <c r="AA139" i="5"/>
  <c r="E139" i="4"/>
  <c r="Y140" i="4"/>
  <c r="Z138" i="4"/>
  <c r="G137" i="4"/>
  <c r="Y133" i="3"/>
  <c r="E132" i="3"/>
  <c r="Z133" i="3"/>
  <c r="G132" i="3"/>
  <c r="G127" i="2"/>
  <c r="AS128" i="2"/>
  <c r="E127" i="2"/>
  <c r="AA128" i="2"/>
  <c r="Z139" i="7" l="1"/>
  <c r="G138" i="7"/>
  <c r="Y139" i="7"/>
  <c r="E138" i="7"/>
  <c r="AA140" i="5"/>
  <c r="E139" i="5"/>
  <c r="AS138" i="5"/>
  <c r="G137" i="5"/>
  <c r="Z139" i="4"/>
  <c r="G138" i="4"/>
  <c r="E140" i="4"/>
  <c r="Y141" i="4"/>
  <c r="Z134" i="3"/>
  <c r="G133" i="3"/>
  <c r="Y134" i="3"/>
  <c r="E133" i="3"/>
  <c r="E128" i="2"/>
  <c r="AA129" i="2"/>
  <c r="G128" i="2"/>
  <c r="AS129" i="2"/>
  <c r="Z140" i="7" l="1"/>
  <c r="G139" i="7"/>
  <c r="Y140" i="7"/>
  <c r="E139" i="7"/>
  <c r="AS139" i="5"/>
  <c r="G138" i="5"/>
  <c r="AA141" i="5"/>
  <c r="E140" i="5"/>
  <c r="E141" i="4"/>
  <c r="Y142" i="4"/>
  <c r="G139" i="4"/>
  <c r="Z140" i="4"/>
  <c r="Y135" i="3"/>
  <c r="E134" i="3"/>
  <c r="Z135" i="3"/>
  <c r="G134" i="3"/>
  <c r="AS130" i="2"/>
  <c r="G129" i="2"/>
  <c r="AA130" i="2"/>
  <c r="E129" i="2"/>
  <c r="Z141" i="7" l="1"/>
  <c r="G140" i="7"/>
  <c r="Y141" i="7"/>
  <c r="E140" i="7"/>
  <c r="AA142" i="5"/>
  <c r="E141" i="5"/>
  <c r="G139" i="5"/>
  <c r="AS140" i="5"/>
  <c r="G140" i="4"/>
  <c r="Z141" i="4"/>
  <c r="Y143" i="4"/>
  <c r="E142" i="4"/>
  <c r="Z136" i="3"/>
  <c r="G135" i="3"/>
  <c r="Y136" i="3"/>
  <c r="E135" i="3"/>
  <c r="E130" i="2"/>
  <c r="AA131" i="2"/>
  <c r="G130" i="2"/>
  <c r="AS131" i="2"/>
  <c r="Z142" i="7" l="1"/>
  <c r="G141" i="7"/>
  <c r="AC42" i="7"/>
  <c r="AD42" i="7"/>
  <c r="AD43" i="7"/>
  <c r="AD44" i="7"/>
  <c r="AC48" i="7"/>
  <c r="AD45" i="7"/>
  <c r="AD47" i="7"/>
  <c r="AC44" i="7"/>
  <c r="AC46" i="7"/>
  <c r="AC43" i="7"/>
  <c r="AC47" i="7"/>
  <c r="AD46" i="7"/>
  <c r="AD48" i="7"/>
  <c r="AE48" i="7" s="1"/>
  <c r="AC45" i="7"/>
  <c r="Y142" i="7"/>
  <c r="E141" i="7"/>
  <c r="AS141" i="5"/>
  <c r="G140" i="5"/>
  <c r="AA143" i="5"/>
  <c r="E142" i="5"/>
  <c r="Y144" i="4"/>
  <c r="E143" i="4"/>
  <c r="G141" i="4"/>
  <c r="Z142" i="4"/>
  <c r="AD48" i="4"/>
  <c r="AE48" i="4" s="1"/>
  <c r="AC43" i="4"/>
  <c r="AC48" i="4"/>
  <c r="AD46" i="4"/>
  <c r="AC46" i="4"/>
  <c r="AC45" i="4"/>
  <c r="AD47" i="4"/>
  <c r="AC42" i="4"/>
  <c r="AD42" i="4"/>
  <c r="AC47" i="4"/>
  <c r="AC44" i="4"/>
  <c r="AD44" i="4"/>
  <c r="AD43" i="4"/>
  <c r="AD45" i="4"/>
  <c r="E136" i="3"/>
  <c r="Y137" i="3"/>
  <c r="Z137" i="3"/>
  <c r="G136" i="3"/>
  <c r="AA132" i="2"/>
  <c r="E131" i="2"/>
  <c r="G131" i="2"/>
  <c r="AS132" i="2"/>
  <c r="Z143" i="7" l="1"/>
  <c r="G142" i="7"/>
  <c r="AE42" i="7"/>
  <c r="AE43" i="7"/>
  <c r="AE44" i="7"/>
  <c r="AE45" i="7"/>
  <c r="AE47" i="7"/>
  <c r="AE46" i="7"/>
  <c r="Y143" i="7"/>
  <c r="E142" i="7"/>
  <c r="AA144" i="5"/>
  <c r="E143" i="5"/>
  <c r="AF42" i="5"/>
  <c r="AE44" i="5"/>
  <c r="AH44" i="5" s="1"/>
  <c r="AI44" i="5" s="1"/>
  <c r="AF41" i="5"/>
  <c r="AE47" i="5"/>
  <c r="AF46" i="5"/>
  <c r="AF47" i="5"/>
  <c r="AE41" i="5"/>
  <c r="AF44" i="5"/>
  <c r="AE42" i="5"/>
  <c r="AH42" i="5" s="1"/>
  <c r="AI42" i="5" s="1"/>
  <c r="AF45" i="5"/>
  <c r="AE43" i="5"/>
  <c r="AH43" i="5" s="1"/>
  <c r="AI43" i="5" s="1"/>
  <c r="AF43" i="5"/>
  <c r="AE46" i="5"/>
  <c r="AE45" i="5"/>
  <c r="AH45" i="5" s="1"/>
  <c r="AI45" i="5" s="1"/>
  <c r="AS142" i="5"/>
  <c r="G141" i="5"/>
  <c r="AE42" i="4"/>
  <c r="AE47" i="4"/>
  <c r="AE46" i="4"/>
  <c r="G142" i="4"/>
  <c r="Z143" i="4"/>
  <c r="AE45" i="4"/>
  <c r="AE43" i="4"/>
  <c r="AE44" i="4"/>
  <c r="Y145" i="4"/>
  <c r="E144" i="4"/>
  <c r="Z138" i="3"/>
  <c r="G137" i="3"/>
  <c r="E137" i="3"/>
  <c r="Y138" i="3"/>
  <c r="G132" i="2"/>
  <c r="AS133" i="2"/>
  <c r="E132" i="2"/>
  <c r="AA133" i="2"/>
  <c r="L130" i="7" l="1"/>
  <c r="L137" i="7"/>
  <c r="L116" i="7"/>
  <c r="L123" i="7"/>
  <c r="AF45" i="7"/>
  <c r="AF42" i="7"/>
  <c r="AF46" i="7"/>
  <c r="AF43" i="7"/>
  <c r="AF47" i="7"/>
  <c r="Z144" i="7"/>
  <c r="G143" i="7"/>
  <c r="L138" i="7"/>
  <c r="L131" i="7"/>
  <c r="L124" i="7"/>
  <c r="L117" i="7"/>
  <c r="L132" i="7"/>
  <c r="L125" i="7"/>
  <c r="L118" i="7"/>
  <c r="L111" i="7"/>
  <c r="L140" i="7"/>
  <c r="L133" i="7"/>
  <c r="L126" i="7"/>
  <c r="L119" i="7"/>
  <c r="L112" i="7"/>
  <c r="L134" i="7"/>
  <c r="L127" i="7"/>
  <c r="L120" i="7"/>
  <c r="L113" i="7"/>
  <c r="L136" i="7"/>
  <c r="L129" i="7"/>
  <c r="L122" i="7"/>
  <c r="L115" i="7"/>
  <c r="L135" i="7"/>
  <c r="L128" i="7"/>
  <c r="L121" i="7"/>
  <c r="L114" i="7"/>
  <c r="Y144" i="7"/>
  <c r="E143" i="7"/>
  <c r="AF44" i="7"/>
  <c r="AH46" i="5"/>
  <c r="AI46" i="5" s="1"/>
  <c r="AH41" i="5"/>
  <c r="AI41" i="5" s="1"/>
  <c r="AH47" i="5"/>
  <c r="AI47" i="5" s="1"/>
  <c r="AS143" i="5"/>
  <c r="G142" i="5"/>
  <c r="E144" i="5"/>
  <c r="AA145" i="5"/>
  <c r="E145" i="4"/>
  <c r="Y146" i="4"/>
  <c r="L112" i="4"/>
  <c r="L119" i="4"/>
  <c r="L126" i="4"/>
  <c r="L133" i="4"/>
  <c r="L140" i="4"/>
  <c r="AF44" i="4"/>
  <c r="L111" i="4"/>
  <c r="L118" i="4"/>
  <c r="L125" i="4"/>
  <c r="L132" i="4"/>
  <c r="AF43" i="4"/>
  <c r="L113" i="4"/>
  <c r="L120" i="4"/>
  <c r="L127" i="4"/>
  <c r="L134" i="4"/>
  <c r="AF45" i="4"/>
  <c r="Z144" i="4"/>
  <c r="G143" i="4"/>
  <c r="L114" i="4"/>
  <c r="L121" i="4"/>
  <c r="L128" i="4"/>
  <c r="L135" i="4"/>
  <c r="AF46" i="4"/>
  <c r="L115" i="4"/>
  <c r="L122" i="4"/>
  <c r="L129" i="4"/>
  <c r="L136" i="4"/>
  <c r="AF47" i="4"/>
  <c r="L117" i="4"/>
  <c r="L124" i="4"/>
  <c r="L131" i="4"/>
  <c r="L138" i="4"/>
  <c r="AF42" i="4"/>
  <c r="E138" i="3"/>
  <c r="Y139" i="3"/>
  <c r="G138" i="3"/>
  <c r="Z139" i="3"/>
  <c r="E133" i="2"/>
  <c r="AA134" i="2"/>
  <c r="G133" i="2"/>
  <c r="AS134" i="2"/>
  <c r="AF48" i="7" l="1"/>
  <c r="U137" i="7"/>
  <c r="N130" i="7"/>
  <c r="M130" i="7"/>
  <c r="N137" i="7"/>
  <c r="M137" i="7"/>
  <c r="U130" i="7"/>
  <c r="P130" i="7"/>
  <c r="P123" i="7"/>
  <c r="U123" i="7"/>
  <c r="N116" i="7"/>
  <c r="M116" i="7"/>
  <c r="N123" i="7"/>
  <c r="M123" i="7"/>
  <c r="R123" i="7"/>
  <c r="S123" i="7"/>
  <c r="P116" i="7"/>
  <c r="U116" i="7"/>
  <c r="Z145" i="7"/>
  <c r="G144" i="7"/>
  <c r="U140" i="7"/>
  <c r="N138" i="7"/>
  <c r="M138" i="7"/>
  <c r="U132" i="7"/>
  <c r="M131" i="7"/>
  <c r="N131" i="7"/>
  <c r="U125" i="7"/>
  <c r="M124" i="7"/>
  <c r="N124" i="7"/>
  <c r="U118" i="7"/>
  <c r="M117" i="7"/>
  <c r="N117" i="7"/>
  <c r="U133" i="7"/>
  <c r="N132" i="7"/>
  <c r="M132" i="7"/>
  <c r="U126" i="7"/>
  <c r="M125" i="7"/>
  <c r="N125" i="7"/>
  <c r="N118" i="7"/>
  <c r="M118" i="7"/>
  <c r="U119" i="7"/>
  <c r="U112" i="7"/>
  <c r="U111" i="7"/>
  <c r="P113" i="7"/>
  <c r="P112" i="7"/>
  <c r="P135" i="7"/>
  <c r="P134" i="7"/>
  <c r="P133" i="7"/>
  <c r="P132" i="7"/>
  <c r="P131" i="7"/>
  <c r="P129" i="7"/>
  <c r="P128" i="7"/>
  <c r="P127" i="7"/>
  <c r="P126" i="7"/>
  <c r="P125" i="7"/>
  <c r="P124" i="7"/>
  <c r="P122" i="7"/>
  <c r="P121" i="7"/>
  <c r="P120" i="7"/>
  <c r="P119" i="7"/>
  <c r="P118" i="7"/>
  <c r="P117" i="7"/>
  <c r="P115" i="7"/>
  <c r="P114" i="7"/>
  <c r="P111" i="7"/>
  <c r="N111" i="7"/>
  <c r="M111" i="7"/>
  <c r="M140" i="7"/>
  <c r="N140" i="7"/>
  <c r="U134" i="7"/>
  <c r="M133" i="7"/>
  <c r="N133" i="7"/>
  <c r="U127" i="7"/>
  <c r="M126" i="7"/>
  <c r="N126" i="7"/>
  <c r="U120" i="7"/>
  <c r="M119" i="7"/>
  <c r="N119" i="7"/>
  <c r="U113" i="7"/>
  <c r="M112" i="7"/>
  <c r="N112" i="7"/>
  <c r="U135" i="7"/>
  <c r="M134" i="7"/>
  <c r="N134" i="7"/>
  <c r="U128" i="7"/>
  <c r="M127" i="7"/>
  <c r="N127" i="7"/>
  <c r="U121" i="7"/>
  <c r="N120" i="7"/>
  <c r="M120" i="7"/>
  <c r="U114" i="7"/>
  <c r="N113" i="7"/>
  <c r="M113" i="7"/>
  <c r="N136" i="7"/>
  <c r="M136" i="7"/>
  <c r="U138" i="7"/>
  <c r="N129" i="7"/>
  <c r="M129" i="7"/>
  <c r="U131" i="7"/>
  <c r="U124" i="7"/>
  <c r="N122" i="7"/>
  <c r="M122" i="7"/>
  <c r="U117" i="7"/>
  <c r="N115" i="7"/>
  <c r="M115" i="7"/>
  <c r="N135" i="7"/>
  <c r="M135" i="7"/>
  <c r="U136" i="7"/>
  <c r="U129" i="7"/>
  <c r="M128" i="7"/>
  <c r="N128" i="7"/>
  <c r="U122" i="7"/>
  <c r="M121" i="7"/>
  <c r="N121" i="7"/>
  <c r="U115" i="7"/>
  <c r="M114" i="7"/>
  <c r="N114" i="7"/>
  <c r="Y145" i="7"/>
  <c r="E144" i="7"/>
  <c r="AA146" i="5"/>
  <c r="E145" i="5"/>
  <c r="AS144" i="5"/>
  <c r="G143" i="5"/>
  <c r="AJ41" i="5"/>
  <c r="N127" i="4"/>
  <c r="M127" i="4"/>
  <c r="N120" i="4"/>
  <c r="M120" i="4"/>
  <c r="N117" i="4"/>
  <c r="M117" i="4"/>
  <c r="N113" i="4"/>
  <c r="M113" i="4"/>
  <c r="M136" i="4"/>
  <c r="N136" i="4"/>
  <c r="M129" i="4"/>
  <c r="N129" i="4"/>
  <c r="N132" i="4"/>
  <c r="M132" i="4"/>
  <c r="N122" i="4"/>
  <c r="M122" i="4"/>
  <c r="N115" i="4"/>
  <c r="M115" i="4"/>
  <c r="N125" i="4"/>
  <c r="M125" i="4"/>
  <c r="N118" i="4"/>
  <c r="M118" i="4"/>
  <c r="P135" i="4"/>
  <c r="P134" i="4"/>
  <c r="P133" i="4"/>
  <c r="P132" i="4"/>
  <c r="P131" i="4"/>
  <c r="P129" i="4"/>
  <c r="P128" i="4"/>
  <c r="P127" i="4"/>
  <c r="P126" i="4"/>
  <c r="P125" i="4"/>
  <c r="P124" i="4"/>
  <c r="P122" i="4"/>
  <c r="P121" i="4"/>
  <c r="P120" i="4"/>
  <c r="P119" i="4"/>
  <c r="P118" i="4"/>
  <c r="P117" i="4"/>
  <c r="P115" i="4"/>
  <c r="P114" i="4"/>
  <c r="P113" i="4"/>
  <c r="P112" i="4"/>
  <c r="P111" i="4"/>
  <c r="N111" i="4"/>
  <c r="M111" i="4"/>
  <c r="U134" i="4"/>
  <c r="U120" i="4"/>
  <c r="U115" i="4"/>
  <c r="U127" i="4"/>
  <c r="U113" i="4"/>
  <c r="U132" i="4"/>
  <c r="U125" i="4"/>
  <c r="U128" i="4"/>
  <c r="U136" i="4"/>
  <c r="U111" i="4"/>
  <c r="U114" i="4"/>
  <c r="U135" i="4"/>
  <c r="U140" i="4"/>
  <c r="U119" i="4"/>
  <c r="U117" i="4"/>
  <c r="U129" i="4"/>
  <c r="U131" i="4"/>
  <c r="U121" i="4"/>
  <c r="U112" i="4"/>
  <c r="U138" i="4"/>
  <c r="U133" i="4"/>
  <c r="U122" i="4"/>
  <c r="U126" i="4"/>
  <c r="U118" i="4"/>
  <c r="U124" i="4"/>
  <c r="N128" i="4"/>
  <c r="M128" i="4"/>
  <c r="M140" i="4"/>
  <c r="N140" i="4"/>
  <c r="N124" i="4"/>
  <c r="M124" i="4"/>
  <c r="N121" i="4"/>
  <c r="M121" i="4"/>
  <c r="N133" i="4"/>
  <c r="M133" i="4"/>
  <c r="N126" i="4"/>
  <c r="M126" i="4"/>
  <c r="N114" i="4"/>
  <c r="M114" i="4"/>
  <c r="N119" i="4"/>
  <c r="M119" i="4"/>
  <c r="M135" i="4"/>
  <c r="N135" i="4"/>
  <c r="AF48" i="4"/>
  <c r="N112" i="4"/>
  <c r="M112" i="4"/>
  <c r="N138" i="4"/>
  <c r="M138" i="4"/>
  <c r="Z145" i="4"/>
  <c r="G144" i="4"/>
  <c r="N131" i="4"/>
  <c r="M131" i="4"/>
  <c r="E146" i="4"/>
  <c r="Y147" i="4"/>
  <c r="N134" i="4"/>
  <c r="M134" i="4"/>
  <c r="G139" i="3"/>
  <c r="Z140" i="3"/>
  <c r="E139" i="3"/>
  <c r="Y140" i="3"/>
  <c r="G134" i="2"/>
  <c r="AS135" i="2"/>
  <c r="AA135" i="2"/>
  <c r="E134" i="2"/>
  <c r="W130" i="7" l="1"/>
  <c r="W123" i="7"/>
  <c r="X130" i="7"/>
  <c r="X123" i="7"/>
  <c r="W137" i="7"/>
  <c r="R130" i="7"/>
  <c r="S130" i="7"/>
  <c r="X137" i="7"/>
  <c r="S116" i="7"/>
  <c r="R116" i="7"/>
  <c r="W116" i="7"/>
  <c r="X116" i="7"/>
  <c r="Z146" i="7"/>
  <c r="G145" i="7"/>
  <c r="W140" i="7"/>
  <c r="X140" i="7"/>
  <c r="W132" i="7"/>
  <c r="X132" i="7"/>
  <c r="W125" i="7"/>
  <c r="X125" i="7"/>
  <c r="W118" i="7"/>
  <c r="X118" i="7"/>
  <c r="W133" i="7"/>
  <c r="X133" i="7"/>
  <c r="W126" i="7"/>
  <c r="X126" i="7"/>
  <c r="W119" i="7"/>
  <c r="X119" i="7"/>
  <c r="X112" i="7"/>
  <c r="W112" i="7"/>
  <c r="X111" i="7"/>
  <c r="W111" i="7"/>
  <c r="S113" i="7"/>
  <c r="R113" i="7"/>
  <c r="R112" i="7"/>
  <c r="S112" i="7"/>
  <c r="S135" i="7"/>
  <c r="R135" i="7"/>
  <c r="S134" i="7"/>
  <c r="R134" i="7"/>
  <c r="S133" i="7"/>
  <c r="R133" i="7"/>
  <c r="R132" i="7"/>
  <c r="S132" i="7"/>
  <c r="S131" i="7"/>
  <c r="R131" i="7"/>
  <c r="S129" i="7"/>
  <c r="R129" i="7"/>
  <c r="S128" i="7"/>
  <c r="R128" i="7"/>
  <c r="S127" i="7"/>
  <c r="R127" i="7"/>
  <c r="S126" i="7"/>
  <c r="R126" i="7"/>
  <c r="S125" i="7"/>
  <c r="R125" i="7"/>
  <c r="S124" i="7"/>
  <c r="R124" i="7"/>
  <c r="S122" i="7"/>
  <c r="R122" i="7"/>
  <c r="S121" i="7"/>
  <c r="R121" i="7"/>
  <c r="S120" i="7"/>
  <c r="R120" i="7"/>
  <c r="S119" i="7"/>
  <c r="R119" i="7"/>
  <c r="S118" i="7"/>
  <c r="R118" i="7"/>
  <c r="S117" i="7"/>
  <c r="R117" i="7"/>
  <c r="S115" i="7"/>
  <c r="R115" i="7"/>
  <c r="S114" i="7"/>
  <c r="R114" i="7"/>
  <c r="R111" i="7"/>
  <c r="S111" i="7"/>
  <c r="W134" i="7"/>
  <c r="X134" i="7"/>
  <c r="W127" i="7"/>
  <c r="X127" i="7"/>
  <c r="W120" i="7"/>
  <c r="X120" i="7"/>
  <c r="W113" i="7"/>
  <c r="X113" i="7"/>
  <c r="W135" i="7"/>
  <c r="X135" i="7"/>
  <c r="W128" i="7"/>
  <c r="X128" i="7"/>
  <c r="W121" i="7"/>
  <c r="X121" i="7"/>
  <c r="W114" i="7"/>
  <c r="X114" i="7"/>
  <c r="X138" i="7"/>
  <c r="W138" i="7"/>
  <c r="X131" i="7"/>
  <c r="W131" i="7"/>
  <c r="W124" i="7"/>
  <c r="X124" i="7"/>
  <c r="W117" i="7"/>
  <c r="X117" i="7"/>
  <c r="W136" i="7"/>
  <c r="X136" i="7"/>
  <c r="W129" i="7"/>
  <c r="X129" i="7"/>
  <c r="W122" i="7"/>
  <c r="X122" i="7"/>
  <c r="W115" i="7"/>
  <c r="X115" i="7"/>
  <c r="Y146" i="7"/>
  <c r="E145" i="7"/>
  <c r="AS145" i="5"/>
  <c r="G144" i="5"/>
  <c r="E146" i="5"/>
  <c r="AA147" i="5"/>
  <c r="S125" i="4"/>
  <c r="R125" i="4"/>
  <c r="X140" i="4"/>
  <c r="W140" i="4"/>
  <c r="X113" i="4"/>
  <c r="W113" i="4"/>
  <c r="S126" i="4"/>
  <c r="R126" i="4"/>
  <c r="S127" i="4"/>
  <c r="R127" i="4"/>
  <c r="W117" i="4"/>
  <c r="X117" i="4"/>
  <c r="S128" i="4"/>
  <c r="R128" i="4"/>
  <c r="X135" i="4"/>
  <c r="W135" i="4"/>
  <c r="S111" i="4"/>
  <c r="R111" i="4"/>
  <c r="S129" i="4"/>
  <c r="R129" i="4"/>
  <c r="W122" i="4"/>
  <c r="X122" i="4"/>
  <c r="S112" i="4"/>
  <c r="R112" i="4"/>
  <c r="S131" i="4"/>
  <c r="R131" i="4"/>
  <c r="X118" i="4"/>
  <c r="W118" i="4"/>
  <c r="X119" i="4"/>
  <c r="W119" i="4"/>
  <c r="X128" i="4"/>
  <c r="W128" i="4"/>
  <c r="W127" i="4"/>
  <c r="X127" i="4"/>
  <c r="S113" i="4"/>
  <c r="R113" i="4"/>
  <c r="S132" i="4"/>
  <c r="R132" i="4"/>
  <c r="X133" i="4"/>
  <c r="W133" i="4"/>
  <c r="X112" i="4"/>
  <c r="W112" i="4"/>
  <c r="X132" i="4"/>
  <c r="W132" i="4"/>
  <c r="S114" i="4"/>
  <c r="R114" i="4"/>
  <c r="R133" i="4"/>
  <c r="S133" i="4"/>
  <c r="X120" i="4"/>
  <c r="W120" i="4"/>
  <c r="S115" i="4"/>
  <c r="R115" i="4"/>
  <c r="S134" i="4"/>
  <c r="R134" i="4"/>
  <c r="W115" i="4"/>
  <c r="X115" i="4"/>
  <c r="R117" i="4"/>
  <c r="S117" i="4"/>
  <c r="S135" i="4"/>
  <c r="R135" i="4"/>
  <c r="W121" i="4"/>
  <c r="X121" i="4"/>
  <c r="W114" i="4"/>
  <c r="X114" i="4"/>
  <c r="W125" i="4"/>
  <c r="X125" i="4"/>
  <c r="X134" i="4"/>
  <c r="W134" i="4"/>
  <c r="R118" i="4"/>
  <c r="S118" i="4"/>
  <c r="Z146" i="4"/>
  <c r="G145" i="4"/>
  <c r="X138" i="4"/>
  <c r="W138" i="4"/>
  <c r="X131" i="4"/>
  <c r="W131" i="4"/>
  <c r="R119" i="4"/>
  <c r="S119" i="4"/>
  <c r="X126" i="4"/>
  <c r="W126" i="4"/>
  <c r="R120" i="4"/>
  <c r="S120" i="4"/>
  <c r="X124" i="4"/>
  <c r="W124" i="4"/>
  <c r="E147" i="4"/>
  <c r="Y148" i="4"/>
  <c r="X111" i="4"/>
  <c r="W111" i="4"/>
  <c r="S121" i="4"/>
  <c r="R121" i="4"/>
  <c r="X129" i="4"/>
  <c r="W129" i="4"/>
  <c r="X136" i="4"/>
  <c r="W136" i="4"/>
  <c r="S122" i="4"/>
  <c r="R122" i="4"/>
  <c r="S124" i="4"/>
  <c r="R124" i="4"/>
  <c r="Y141" i="3"/>
  <c r="E140" i="3"/>
  <c r="G140" i="3"/>
  <c r="Z141" i="3"/>
  <c r="AA136" i="2"/>
  <c r="E135" i="2"/>
  <c r="G135" i="2"/>
  <c r="AS136" i="2"/>
  <c r="Z147" i="7" l="1"/>
  <c r="G146" i="7"/>
  <c r="Y147" i="7"/>
  <c r="E146" i="7"/>
  <c r="AA148" i="5"/>
  <c r="E147" i="5"/>
  <c r="AS146" i="5"/>
  <c r="G145" i="5"/>
  <c r="E148" i="4"/>
  <c r="Y149" i="4"/>
  <c r="Z147" i="4"/>
  <c r="G146" i="4"/>
  <c r="AD44" i="3"/>
  <c r="AC43" i="3"/>
  <c r="AD45" i="3"/>
  <c r="AC44" i="3"/>
  <c r="AC48" i="3"/>
  <c r="AD47" i="3"/>
  <c r="AC45" i="3"/>
  <c r="AC46" i="3"/>
  <c r="AD48" i="3"/>
  <c r="AE48" i="3" s="1"/>
  <c r="AD46" i="3"/>
  <c r="AC47" i="3"/>
  <c r="AC42" i="3"/>
  <c r="AD42" i="3"/>
  <c r="AD43" i="3"/>
  <c r="G141" i="3"/>
  <c r="Z142" i="3"/>
  <c r="Y142" i="3"/>
  <c r="E141" i="3"/>
  <c r="G136" i="2"/>
  <c r="AS137" i="2"/>
  <c r="E136" i="2"/>
  <c r="AA137" i="2"/>
  <c r="Z148" i="7" l="1"/>
  <c r="G147" i="7"/>
  <c r="Y148" i="7"/>
  <c r="E147" i="7"/>
  <c r="AS147" i="5"/>
  <c r="G146" i="5"/>
  <c r="AA149" i="5"/>
  <c r="E148" i="5"/>
  <c r="E149" i="4"/>
  <c r="Y150" i="4"/>
  <c r="Z148" i="4"/>
  <c r="G147" i="4"/>
  <c r="AE47" i="3"/>
  <c r="AE42" i="3"/>
  <c r="AE45" i="3"/>
  <c r="AE43" i="3"/>
  <c r="AE46" i="3"/>
  <c r="AE44" i="3"/>
  <c r="Y143" i="3"/>
  <c r="E142" i="3"/>
  <c r="Z143" i="3"/>
  <c r="G142" i="3"/>
  <c r="E137" i="2"/>
  <c r="AA138" i="2"/>
  <c r="G137" i="2"/>
  <c r="AS138" i="2"/>
  <c r="Z149" i="7" l="1"/>
  <c r="G148" i="7"/>
  <c r="Y149" i="7"/>
  <c r="E148" i="7"/>
  <c r="AA150" i="5"/>
  <c r="E149" i="5"/>
  <c r="AS148" i="5"/>
  <c r="G147" i="5"/>
  <c r="E150" i="4"/>
  <c r="Y151" i="4"/>
  <c r="Z149" i="4"/>
  <c r="G148" i="4"/>
  <c r="L112" i="3"/>
  <c r="L133" i="3"/>
  <c r="L119" i="3"/>
  <c r="L140" i="3"/>
  <c r="L126" i="3"/>
  <c r="L131" i="3"/>
  <c r="L117" i="3"/>
  <c r="L138" i="3"/>
  <c r="L124" i="3"/>
  <c r="L128" i="3"/>
  <c r="L114" i="3"/>
  <c r="L135" i="3"/>
  <c r="L121" i="3"/>
  <c r="L132" i="3"/>
  <c r="L118" i="3"/>
  <c r="L125" i="3"/>
  <c r="L111" i="3"/>
  <c r="L113" i="3"/>
  <c r="L134" i="3"/>
  <c r="L120" i="3"/>
  <c r="L127" i="3"/>
  <c r="L129" i="3"/>
  <c r="L115" i="3"/>
  <c r="L136" i="3"/>
  <c r="L122" i="3"/>
  <c r="AF46" i="3"/>
  <c r="AF44" i="3"/>
  <c r="AF43" i="3"/>
  <c r="AF45" i="3"/>
  <c r="AF42" i="3"/>
  <c r="AF47" i="3"/>
  <c r="Z144" i="3"/>
  <c r="G143" i="3"/>
  <c r="Y144" i="3"/>
  <c r="E143" i="3"/>
  <c r="G138" i="2"/>
  <c r="AS139" i="2"/>
  <c r="E138" i="2"/>
  <c r="AA139" i="2"/>
  <c r="Z150" i="7" l="1"/>
  <c r="G149" i="7"/>
  <c r="Y150" i="7"/>
  <c r="E149" i="7"/>
  <c r="AS149" i="5"/>
  <c r="G148" i="5"/>
  <c r="E150" i="5"/>
  <c r="AA151" i="5"/>
  <c r="Z150" i="4"/>
  <c r="G149" i="4"/>
  <c r="E151" i="4"/>
  <c r="Y152" i="4"/>
  <c r="M138" i="3"/>
  <c r="N138" i="3"/>
  <c r="M140" i="3"/>
  <c r="N140" i="3"/>
  <c r="AF48" i="3"/>
  <c r="N131" i="3"/>
  <c r="M131" i="3"/>
  <c r="M126" i="3"/>
  <c r="N126" i="3"/>
  <c r="M133" i="3"/>
  <c r="N133" i="3"/>
  <c r="N132" i="3"/>
  <c r="M132" i="3"/>
  <c r="N114" i="3"/>
  <c r="M114" i="3"/>
  <c r="N136" i="3"/>
  <c r="M136" i="3"/>
  <c r="N125" i="3"/>
  <c r="M125" i="3"/>
  <c r="M129" i="3"/>
  <c r="N129" i="3"/>
  <c r="N124" i="3"/>
  <c r="M124" i="3"/>
  <c r="M118" i="3"/>
  <c r="N118" i="3"/>
  <c r="N117" i="3"/>
  <c r="M117" i="3"/>
  <c r="M115" i="3"/>
  <c r="N115" i="3"/>
  <c r="M111" i="3"/>
  <c r="P118" i="3"/>
  <c r="P120" i="3"/>
  <c r="P132" i="3"/>
  <c r="P124" i="3"/>
  <c r="P117" i="3"/>
  <c r="N111" i="3"/>
  <c r="P121" i="3"/>
  <c r="P114" i="3"/>
  <c r="P115" i="3"/>
  <c r="P126" i="3"/>
  <c r="P111" i="3"/>
  <c r="P128" i="3"/>
  <c r="P133" i="3"/>
  <c r="P131" i="3"/>
  <c r="P127" i="3"/>
  <c r="P112" i="3"/>
  <c r="P129" i="3"/>
  <c r="P125" i="3"/>
  <c r="P122" i="3"/>
  <c r="P135" i="3"/>
  <c r="P134" i="3"/>
  <c r="P113" i="3"/>
  <c r="P119" i="3"/>
  <c r="M127" i="3"/>
  <c r="N127" i="3"/>
  <c r="M135" i="3"/>
  <c r="N135" i="3"/>
  <c r="N113" i="3"/>
  <c r="M113" i="3"/>
  <c r="N128" i="3"/>
  <c r="M128" i="3"/>
  <c r="N122" i="3"/>
  <c r="M122" i="3"/>
  <c r="N134" i="3"/>
  <c r="M134" i="3"/>
  <c r="M119" i="3"/>
  <c r="N119" i="3"/>
  <c r="N121" i="3"/>
  <c r="M121" i="3"/>
  <c r="M120" i="3"/>
  <c r="N120" i="3"/>
  <c r="N112" i="3"/>
  <c r="M112" i="3"/>
  <c r="E144" i="3"/>
  <c r="Y145" i="3"/>
  <c r="Z145" i="3"/>
  <c r="G144" i="3"/>
  <c r="AA140" i="2"/>
  <c r="E139" i="2"/>
  <c r="G139" i="2"/>
  <c r="AS140" i="2"/>
  <c r="Z151" i="7" l="1"/>
  <c r="G150" i="7"/>
  <c r="Y151" i="7"/>
  <c r="E150" i="7"/>
  <c r="AA152" i="5"/>
  <c r="E151" i="5"/>
  <c r="G149" i="5"/>
  <c r="AS150" i="5"/>
  <c r="E152" i="4"/>
  <c r="Y153" i="4"/>
  <c r="Z151" i="4"/>
  <c r="G150" i="4"/>
  <c r="R119" i="3"/>
  <c r="S119" i="3"/>
  <c r="R134" i="3"/>
  <c r="S134" i="3"/>
  <c r="R128" i="3"/>
  <c r="S128" i="3"/>
  <c r="R132" i="3"/>
  <c r="S132" i="3"/>
  <c r="R125" i="3"/>
  <c r="S125" i="3"/>
  <c r="R121" i="3"/>
  <c r="S121" i="3"/>
  <c r="R113" i="3"/>
  <c r="S113" i="3"/>
  <c r="R117" i="3"/>
  <c r="S117" i="3"/>
  <c r="R135" i="3"/>
  <c r="S135" i="3"/>
  <c r="R111" i="3"/>
  <c r="S111" i="3"/>
  <c r="R126" i="3"/>
  <c r="S126" i="3"/>
  <c r="R115" i="3"/>
  <c r="S115" i="3"/>
  <c r="R118" i="3"/>
  <c r="S118" i="3"/>
  <c r="R127" i="3"/>
  <c r="S127" i="3"/>
  <c r="S131" i="3"/>
  <c r="R131" i="3"/>
  <c r="S133" i="3"/>
  <c r="R133" i="3"/>
  <c r="R124" i="3"/>
  <c r="S124" i="3"/>
  <c r="R122" i="3"/>
  <c r="S122" i="3"/>
  <c r="R120" i="3"/>
  <c r="S120" i="3"/>
  <c r="R129" i="3"/>
  <c r="S129" i="3"/>
  <c r="S112" i="3"/>
  <c r="R112" i="3"/>
  <c r="S114" i="3"/>
  <c r="R114" i="3"/>
  <c r="Z146" i="3"/>
  <c r="G145" i="3"/>
  <c r="E145" i="3"/>
  <c r="Y146" i="3"/>
  <c r="G140" i="2"/>
  <c r="AS141" i="2"/>
  <c r="E140" i="2"/>
  <c r="AA141" i="2"/>
  <c r="Z152" i="7" l="1"/>
  <c r="G151" i="7"/>
  <c r="Y152" i="7"/>
  <c r="E151" i="7"/>
  <c r="AS151" i="5"/>
  <c r="G150" i="5"/>
  <c r="AA153" i="5"/>
  <c r="E152" i="5"/>
  <c r="G151" i="4"/>
  <c r="Z152" i="4"/>
  <c r="E153" i="4"/>
  <c r="Y154" i="4"/>
  <c r="AF43" i="2"/>
  <c r="AF45" i="2"/>
  <c r="AF44" i="2"/>
  <c r="AF46" i="2"/>
  <c r="AE41" i="2"/>
  <c r="AF47" i="2"/>
  <c r="AF42" i="2"/>
  <c r="AE47" i="2"/>
  <c r="AE43" i="2"/>
  <c r="AH43" i="2" s="1"/>
  <c r="AE42" i="2"/>
  <c r="AE45" i="2"/>
  <c r="AE44" i="2"/>
  <c r="AH44" i="2" s="1"/>
  <c r="AF41" i="2"/>
  <c r="AE46" i="2"/>
  <c r="E146" i="3"/>
  <c r="Y147" i="3"/>
  <c r="G146" i="3"/>
  <c r="Z147" i="3"/>
  <c r="E141" i="2"/>
  <c r="AA142" i="2"/>
  <c r="AS142" i="2"/>
  <c r="G141" i="2"/>
  <c r="Z153" i="7" l="1"/>
  <c r="G152" i="7"/>
  <c r="Y153" i="7"/>
  <c r="E152" i="7"/>
  <c r="AA154" i="5"/>
  <c r="E153" i="5"/>
  <c r="AS152" i="5"/>
  <c r="G151" i="5"/>
  <c r="E154" i="4"/>
  <c r="Y155" i="4"/>
  <c r="G152" i="4"/>
  <c r="Z153" i="4"/>
  <c r="AH47" i="2"/>
  <c r="AH45" i="2"/>
  <c r="AH41" i="2"/>
  <c r="AH46" i="2"/>
  <c r="AH42" i="2"/>
  <c r="G147" i="3"/>
  <c r="Z148" i="3"/>
  <c r="E147" i="3"/>
  <c r="Y148" i="3"/>
  <c r="AS143" i="2"/>
  <c r="G142" i="2"/>
  <c r="E142" i="2"/>
  <c r="AA143" i="2"/>
  <c r="Z154" i="7" l="1"/>
  <c r="G153" i="7"/>
  <c r="Y154" i="7"/>
  <c r="E153" i="7"/>
  <c r="AS153" i="5"/>
  <c r="G152" i="5"/>
  <c r="E154" i="5"/>
  <c r="AA155" i="5"/>
  <c r="G153" i="4"/>
  <c r="Z154" i="4"/>
  <c r="E155" i="4"/>
  <c r="Y156" i="4"/>
  <c r="Y149" i="3"/>
  <c r="E148" i="3"/>
  <c r="G148" i="3"/>
  <c r="Z149" i="3"/>
  <c r="E143" i="2"/>
  <c r="AA144" i="2"/>
  <c r="G143" i="2"/>
  <c r="AS144" i="2"/>
  <c r="Z155" i="7" l="1"/>
  <c r="G154" i="7"/>
  <c r="Y155" i="7"/>
  <c r="E154" i="7"/>
  <c r="AA156" i="5"/>
  <c r="E155" i="5"/>
  <c r="AS154" i="5"/>
  <c r="G153" i="5"/>
  <c r="E156" i="4"/>
  <c r="Y157" i="4"/>
  <c r="Z155" i="4"/>
  <c r="G154" i="4"/>
  <c r="G149" i="3"/>
  <c r="Z150" i="3"/>
  <c r="Y150" i="3"/>
  <c r="E149" i="3"/>
  <c r="E144" i="2"/>
  <c r="AA145" i="2"/>
  <c r="AS145" i="2"/>
  <c r="G144" i="2"/>
  <c r="Z156" i="7" l="1"/>
  <c r="G155" i="7"/>
  <c r="Y156" i="7"/>
  <c r="E155" i="7"/>
  <c r="AS155" i="5"/>
  <c r="G154" i="5"/>
  <c r="AA157" i="5"/>
  <c r="E156" i="5"/>
  <c r="Z156" i="4"/>
  <c r="G155" i="4"/>
  <c r="Y158" i="4"/>
  <c r="E157" i="4"/>
  <c r="Y151" i="3"/>
  <c r="E150" i="3"/>
  <c r="Z151" i="3"/>
  <c r="G150" i="3"/>
  <c r="G145" i="2"/>
  <c r="AS146" i="2"/>
  <c r="E145" i="2"/>
  <c r="AA146" i="2"/>
  <c r="Z157" i="7" l="1"/>
  <c r="G156" i="7"/>
  <c r="Y157" i="7"/>
  <c r="E156" i="7"/>
  <c r="AA158" i="5"/>
  <c r="E157" i="5"/>
  <c r="AS156" i="5"/>
  <c r="G155" i="5"/>
  <c r="Y159" i="4"/>
  <c r="E158" i="4"/>
  <c r="G156" i="4"/>
  <c r="Z157" i="4"/>
  <c r="Z152" i="3"/>
  <c r="G151" i="3"/>
  <c r="Y152" i="3"/>
  <c r="E151" i="3"/>
  <c r="E146" i="2"/>
  <c r="AA147" i="2"/>
  <c r="G146" i="2"/>
  <c r="AS147" i="2"/>
  <c r="Z158" i="7" l="1"/>
  <c r="G157" i="7"/>
  <c r="Y158" i="7"/>
  <c r="E157" i="7"/>
  <c r="AS157" i="5"/>
  <c r="G156" i="5"/>
  <c r="E158" i="5"/>
  <c r="AA159" i="5"/>
  <c r="G157" i="4"/>
  <c r="Z158" i="4"/>
  <c r="Y160" i="4"/>
  <c r="E159" i="4"/>
  <c r="E152" i="3"/>
  <c r="Y153" i="3"/>
  <c r="Z153" i="3"/>
  <c r="G152" i="3"/>
  <c r="AS148" i="2"/>
  <c r="G147" i="2"/>
  <c r="E147" i="2"/>
  <c r="AA148" i="2"/>
  <c r="Z159" i="7" l="1"/>
  <c r="G158" i="7"/>
  <c r="Y159" i="7"/>
  <c r="E158" i="7"/>
  <c r="AA160" i="5"/>
  <c r="E159" i="5"/>
  <c r="G157" i="5"/>
  <c r="AS158" i="5"/>
  <c r="Y161" i="4"/>
  <c r="E160" i="4"/>
  <c r="Z159" i="4"/>
  <c r="G158" i="4"/>
  <c r="G153" i="3"/>
  <c r="Z154" i="3"/>
  <c r="E153" i="3"/>
  <c r="Y154" i="3"/>
  <c r="G148" i="2"/>
  <c r="AS149" i="2"/>
  <c r="AA149" i="2"/>
  <c r="E148" i="2"/>
  <c r="Z160" i="7" l="1"/>
  <c r="G159" i="7"/>
  <c r="Y160" i="7"/>
  <c r="E159" i="7"/>
  <c r="G158" i="5"/>
  <c r="AS159" i="5"/>
  <c r="AA161" i="5"/>
  <c r="E160" i="5"/>
  <c r="Y162" i="4"/>
  <c r="E161" i="4"/>
  <c r="G159" i="4"/>
  <c r="Z160" i="4"/>
  <c r="E154" i="3"/>
  <c r="Y155" i="3"/>
  <c r="G154" i="3"/>
  <c r="Z155" i="3"/>
  <c r="E149" i="2"/>
  <c r="AA150" i="2"/>
  <c r="G149" i="2"/>
  <c r="AS150" i="2"/>
  <c r="Z161" i="7" l="1"/>
  <c r="G160" i="7"/>
  <c r="Y161" i="7"/>
  <c r="E160" i="7"/>
  <c r="AA162" i="5"/>
  <c r="E161" i="5"/>
  <c r="AS160" i="5"/>
  <c r="G159" i="5"/>
  <c r="G160" i="4"/>
  <c r="Z161" i="4"/>
  <c r="Y163" i="4"/>
  <c r="E162" i="4"/>
  <c r="G155" i="3"/>
  <c r="Z156" i="3"/>
  <c r="E155" i="3"/>
  <c r="Y156" i="3"/>
  <c r="G150" i="2"/>
  <c r="AS151" i="2"/>
  <c r="E150" i="2"/>
  <c r="AA151" i="2"/>
  <c r="Z162" i="7" l="1"/>
  <c r="G161" i="7"/>
  <c r="Y162" i="7"/>
  <c r="E161" i="7"/>
  <c r="AS161" i="5"/>
  <c r="G160" i="5"/>
  <c r="E162" i="5"/>
  <c r="AA163" i="5"/>
  <c r="Y164" i="4"/>
  <c r="E163" i="4"/>
  <c r="G161" i="4"/>
  <c r="Z162" i="4"/>
  <c r="Y157" i="3"/>
  <c r="E156" i="3"/>
  <c r="G156" i="3"/>
  <c r="Z157" i="3"/>
  <c r="E151" i="2"/>
  <c r="AA152" i="2"/>
  <c r="AS152" i="2"/>
  <c r="G151" i="2"/>
  <c r="Z163" i="7" l="1"/>
  <c r="G162" i="7"/>
  <c r="Y163" i="7"/>
  <c r="E162" i="7"/>
  <c r="AA164" i="5"/>
  <c r="E163" i="5"/>
  <c r="AS162" i="5"/>
  <c r="G161" i="5"/>
  <c r="Z163" i="4"/>
  <c r="G162" i="4"/>
  <c r="Y165" i="4"/>
  <c r="E164" i="4"/>
  <c r="G157" i="3"/>
  <c r="Z158" i="3"/>
  <c r="Y158" i="3"/>
  <c r="E157" i="3"/>
  <c r="G152" i="2"/>
  <c r="AS153" i="2"/>
  <c r="AA153" i="2"/>
  <c r="E152" i="2"/>
  <c r="Z164" i="7" l="1"/>
  <c r="G163" i="7"/>
  <c r="Y164" i="7"/>
  <c r="E163" i="7"/>
  <c r="AS163" i="5"/>
  <c r="G162" i="5"/>
  <c r="AA165" i="5"/>
  <c r="E164" i="5"/>
  <c r="Y166" i="4"/>
  <c r="E165" i="4"/>
  <c r="Z164" i="4"/>
  <c r="G163" i="4"/>
  <c r="Y159" i="3"/>
  <c r="E158" i="3"/>
  <c r="Z159" i="3"/>
  <c r="G158" i="3"/>
  <c r="AA154" i="2"/>
  <c r="E153" i="2"/>
  <c r="G153" i="2"/>
  <c r="AS154" i="2"/>
  <c r="Z165" i="7" l="1"/>
  <c r="G164" i="7"/>
  <c r="Y165" i="7"/>
  <c r="E164" i="7"/>
  <c r="AA166" i="5"/>
  <c r="E165" i="5"/>
  <c r="AS164" i="5"/>
  <c r="G163" i="5"/>
  <c r="Z165" i="4"/>
  <c r="G164" i="4"/>
  <c r="Y167" i="4"/>
  <c r="E166" i="4"/>
  <c r="Z160" i="3"/>
  <c r="G159" i="3"/>
  <c r="Y160" i="3"/>
  <c r="E159" i="3"/>
  <c r="G154" i="2"/>
  <c r="AS155" i="2"/>
  <c r="E154" i="2"/>
  <c r="AA155" i="2"/>
  <c r="Z166" i="7" l="1"/>
  <c r="G165" i="7"/>
  <c r="Y166" i="7"/>
  <c r="E165" i="7"/>
  <c r="AS165" i="5"/>
  <c r="G164" i="5"/>
  <c r="AA167" i="5"/>
  <c r="E166" i="5"/>
  <c r="Y168" i="4"/>
  <c r="E167" i="4"/>
  <c r="Z166" i="4"/>
  <c r="G165" i="4"/>
  <c r="E160" i="3"/>
  <c r="Y161" i="3"/>
  <c r="Z161" i="3"/>
  <c r="G160" i="3"/>
  <c r="E155" i="2"/>
  <c r="AA156" i="2"/>
  <c r="G155" i="2"/>
  <c r="AS156" i="2"/>
  <c r="Z167" i="7" l="1"/>
  <c r="G166" i="7"/>
  <c r="Y167" i="7"/>
  <c r="E166" i="7"/>
  <c r="E167" i="5"/>
  <c r="AA168" i="5"/>
  <c r="AS166" i="5"/>
  <c r="G165" i="5"/>
  <c r="G166" i="4"/>
  <c r="Z167" i="4"/>
  <c r="E168" i="4"/>
  <c r="Y169" i="4"/>
  <c r="G161" i="3"/>
  <c r="Z162" i="3"/>
  <c r="E161" i="3"/>
  <c r="Y162" i="3"/>
  <c r="AS157" i="2"/>
  <c r="G156" i="2"/>
  <c r="E156" i="2"/>
  <c r="AA157" i="2"/>
  <c r="Z168" i="7" l="1"/>
  <c r="G167" i="7"/>
  <c r="Y168" i="7"/>
  <c r="E167" i="7"/>
  <c r="AS167" i="5"/>
  <c r="G166" i="5"/>
  <c r="AA169" i="5"/>
  <c r="E168" i="5"/>
  <c r="Y170" i="4"/>
  <c r="E169" i="4"/>
  <c r="Z168" i="4"/>
  <c r="G167" i="4"/>
  <c r="E162" i="3"/>
  <c r="Y163" i="3"/>
  <c r="G162" i="3"/>
  <c r="Z163" i="3"/>
  <c r="AA158" i="2"/>
  <c r="E157" i="2"/>
  <c r="G157" i="2"/>
  <c r="AS158" i="2"/>
  <c r="Z169" i="7" l="1"/>
  <c r="G168" i="7"/>
  <c r="Y169" i="7"/>
  <c r="E168" i="7"/>
  <c r="AA170" i="5"/>
  <c r="E169" i="5"/>
  <c r="AS168" i="5"/>
  <c r="G167" i="5"/>
  <c r="G168" i="4"/>
  <c r="Z169" i="4"/>
  <c r="Y171" i="4"/>
  <c r="E170" i="4"/>
  <c r="G163" i="3"/>
  <c r="Z164" i="3"/>
  <c r="E163" i="3"/>
  <c r="Y164" i="3"/>
  <c r="G158" i="2"/>
  <c r="AS159" i="2"/>
  <c r="E158" i="2"/>
  <c r="AA159" i="2"/>
  <c r="Z170" i="7" l="1"/>
  <c r="G169" i="7"/>
  <c r="Y170" i="7"/>
  <c r="E169" i="7"/>
  <c r="AS169" i="5"/>
  <c r="G168" i="5"/>
  <c r="E170" i="5"/>
  <c r="AA171" i="5"/>
  <c r="E171" i="4"/>
  <c r="Y172" i="4"/>
  <c r="Z170" i="4"/>
  <c r="G169" i="4"/>
  <c r="Y165" i="3"/>
  <c r="E164" i="3"/>
  <c r="G164" i="3"/>
  <c r="Z165" i="3"/>
  <c r="E159" i="2"/>
  <c r="AA160" i="2"/>
  <c r="G159" i="2"/>
  <c r="AS160" i="2"/>
  <c r="Z171" i="7" l="1"/>
  <c r="G170" i="7"/>
  <c r="Y171" i="7"/>
  <c r="E170" i="7"/>
  <c r="AA172" i="5"/>
  <c r="E171" i="5"/>
  <c r="AS170" i="5"/>
  <c r="G169" i="5"/>
  <c r="E172" i="4"/>
  <c r="Y173" i="4"/>
  <c r="Z171" i="4"/>
  <c r="G170" i="4"/>
  <c r="G165" i="3"/>
  <c r="Z166" i="3"/>
  <c r="Y166" i="3"/>
  <c r="E165" i="3"/>
  <c r="AA161" i="2"/>
  <c r="E160" i="2"/>
  <c r="AS161" i="2"/>
  <c r="G160" i="2"/>
  <c r="Z172" i="7" l="1"/>
  <c r="G171" i="7"/>
  <c r="Y172" i="7"/>
  <c r="E171" i="7"/>
  <c r="AS171" i="5"/>
  <c r="G170" i="5"/>
  <c r="AA173" i="5"/>
  <c r="E172" i="5"/>
  <c r="Z172" i="4"/>
  <c r="G171" i="4"/>
  <c r="Y174" i="4"/>
  <c r="E173" i="4"/>
  <c r="Y167" i="3"/>
  <c r="E166" i="3"/>
  <c r="Z167" i="3"/>
  <c r="G166" i="3"/>
  <c r="G161" i="2"/>
  <c r="AS162" i="2"/>
  <c r="E161" i="2"/>
  <c r="AA162" i="2"/>
  <c r="Z173" i="7" l="1"/>
  <c r="G172" i="7"/>
  <c r="AC50" i="7"/>
  <c r="AD53" i="7"/>
  <c r="AD52" i="7"/>
  <c r="AC54" i="7"/>
  <c r="AC53" i="7"/>
  <c r="AD55" i="7"/>
  <c r="AE55" i="7" s="1"/>
  <c r="AC52" i="7"/>
  <c r="AC55" i="7"/>
  <c r="AD54" i="7"/>
  <c r="AD49" i="7"/>
  <c r="AD51" i="7"/>
  <c r="AD50" i="7"/>
  <c r="AC51" i="7"/>
  <c r="AC49" i="7"/>
  <c r="Y173" i="7"/>
  <c r="E172" i="7"/>
  <c r="AA174" i="5"/>
  <c r="E173" i="5"/>
  <c r="AS172" i="5"/>
  <c r="G171" i="5"/>
  <c r="AD54" i="4"/>
  <c r="AD53" i="4"/>
  <c r="AD52" i="4"/>
  <c r="AD50" i="4"/>
  <c r="AD51" i="4"/>
  <c r="AD49" i="4"/>
  <c r="AD55" i="4"/>
  <c r="AE55" i="4" s="1"/>
  <c r="AC55" i="4"/>
  <c r="Y175" i="4"/>
  <c r="E174" i="4"/>
  <c r="G172" i="4"/>
  <c r="Z173" i="4"/>
  <c r="Z168" i="3"/>
  <c r="G167" i="3"/>
  <c r="Y168" i="3"/>
  <c r="E167" i="3"/>
  <c r="E162" i="2"/>
  <c r="AA163" i="2"/>
  <c r="G162" i="2"/>
  <c r="AS163" i="2"/>
  <c r="Z174" i="7" l="1"/>
  <c r="G173" i="7"/>
  <c r="AE53" i="7"/>
  <c r="AE52" i="7"/>
  <c r="AE54" i="7"/>
  <c r="AE49" i="7"/>
  <c r="AE51" i="7"/>
  <c r="AE50" i="7"/>
  <c r="Y174" i="7"/>
  <c r="E173" i="7"/>
  <c r="AF50" i="5"/>
  <c r="AE54" i="5"/>
  <c r="AF53" i="5"/>
  <c r="AF54" i="5"/>
  <c r="AE48" i="5"/>
  <c r="AF48" i="5"/>
  <c r="AE52" i="5"/>
  <c r="AF52" i="5"/>
  <c r="AF51" i="5"/>
  <c r="AE51" i="5"/>
  <c r="AE53" i="5"/>
  <c r="AH53" i="5" s="1"/>
  <c r="AI53" i="5" s="1"/>
  <c r="AE50" i="5"/>
  <c r="AH50" i="5" s="1"/>
  <c r="AI50" i="5" s="1"/>
  <c r="AF49" i="5"/>
  <c r="AE49" i="5"/>
  <c r="AH49" i="5" s="1"/>
  <c r="AI49" i="5" s="1"/>
  <c r="AS173" i="5"/>
  <c r="G172" i="5"/>
  <c r="E174" i="5"/>
  <c r="AA175" i="5"/>
  <c r="Y176" i="4"/>
  <c r="E175" i="4"/>
  <c r="Z174" i="4"/>
  <c r="G173" i="4"/>
  <c r="AE49" i="4"/>
  <c r="AF49" i="4" s="1"/>
  <c r="AE51" i="4"/>
  <c r="AE50" i="4"/>
  <c r="AE52" i="4"/>
  <c r="AE53" i="4"/>
  <c r="AE54" i="4"/>
  <c r="AF54" i="4" s="1"/>
  <c r="Y169" i="3"/>
  <c r="E168" i="3"/>
  <c r="Z169" i="3"/>
  <c r="G168" i="3"/>
  <c r="AS164" i="2"/>
  <c r="G163" i="2"/>
  <c r="E163" i="2"/>
  <c r="AA164" i="2"/>
  <c r="L158" i="7" l="1"/>
  <c r="L165" i="7"/>
  <c r="L144" i="7"/>
  <c r="L151" i="7"/>
  <c r="AF53" i="7"/>
  <c r="AF54" i="7"/>
  <c r="AF52" i="7"/>
  <c r="Z175" i="7"/>
  <c r="G174" i="7"/>
  <c r="L170" i="7"/>
  <c r="L163" i="7"/>
  <c r="L156" i="7"/>
  <c r="L149" i="7"/>
  <c r="L142" i="7"/>
  <c r="L169" i="7"/>
  <c r="L162" i="7"/>
  <c r="L155" i="7"/>
  <c r="L148" i="7"/>
  <c r="L141" i="7"/>
  <c r="L171" i="7"/>
  <c r="L164" i="7"/>
  <c r="L157" i="7"/>
  <c r="L150" i="7"/>
  <c r="L166" i="7"/>
  <c r="L159" i="7"/>
  <c r="L152" i="7"/>
  <c r="L168" i="7"/>
  <c r="L161" i="7"/>
  <c r="L154" i="7"/>
  <c r="L147" i="7"/>
  <c r="L167" i="7"/>
  <c r="L160" i="7"/>
  <c r="L153" i="7"/>
  <c r="Y175" i="7"/>
  <c r="E174" i="7"/>
  <c r="AF50" i="7"/>
  <c r="AF49" i="7"/>
  <c r="AF51" i="7"/>
  <c r="AS174" i="5"/>
  <c r="G173" i="5"/>
  <c r="AH51" i="5"/>
  <c r="AI51" i="5" s="1"/>
  <c r="AH52" i="5"/>
  <c r="AI52" i="5" s="1"/>
  <c r="AH48" i="5"/>
  <c r="AI48" i="5" s="1"/>
  <c r="AH54" i="5"/>
  <c r="AI54" i="5" s="1"/>
  <c r="E175" i="5"/>
  <c r="AA176" i="5"/>
  <c r="L142" i="4"/>
  <c r="L149" i="4"/>
  <c r="L156" i="4"/>
  <c r="L163" i="4"/>
  <c r="L170" i="4"/>
  <c r="L147" i="4"/>
  <c r="L154" i="4"/>
  <c r="L161" i="4"/>
  <c r="L168" i="4"/>
  <c r="Z175" i="4"/>
  <c r="G174" i="4"/>
  <c r="L141" i="4"/>
  <c r="L148" i="4"/>
  <c r="L155" i="4"/>
  <c r="L162" i="4"/>
  <c r="L169" i="4"/>
  <c r="AF52" i="4"/>
  <c r="L152" i="4"/>
  <c r="L159" i="4"/>
  <c r="L166" i="4"/>
  <c r="AF53" i="4"/>
  <c r="L153" i="4"/>
  <c r="L160" i="4"/>
  <c r="L167" i="4"/>
  <c r="AF50" i="4"/>
  <c r="AF51" i="4"/>
  <c r="L150" i="4"/>
  <c r="L157" i="4"/>
  <c r="L164" i="4"/>
  <c r="L171" i="4"/>
  <c r="Y177" i="4"/>
  <c r="E176" i="4"/>
  <c r="Z170" i="3"/>
  <c r="G169" i="3"/>
  <c r="E169" i="3"/>
  <c r="Y170" i="3"/>
  <c r="E164" i="2"/>
  <c r="AA165" i="2"/>
  <c r="G164" i="2"/>
  <c r="AS165" i="2"/>
  <c r="N158" i="7" l="1"/>
  <c r="M158" i="7"/>
  <c r="U165" i="7"/>
  <c r="N165" i="7"/>
  <c r="M165" i="7"/>
  <c r="U158" i="7"/>
  <c r="N144" i="7"/>
  <c r="M144" i="7"/>
  <c r="U151" i="7"/>
  <c r="N151" i="7"/>
  <c r="M151" i="7"/>
  <c r="U144" i="7"/>
  <c r="Z176" i="7"/>
  <c r="G175" i="7"/>
  <c r="U171" i="7"/>
  <c r="M170" i="7"/>
  <c r="N170" i="7"/>
  <c r="U164" i="7"/>
  <c r="M163" i="7"/>
  <c r="N163" i="7"/>
  <c r="U157" i="7"/>
  <c r="M156" i="7"/>
  <c r="N156" i="7"/>
  <c r="U150" i="7"/>
  <c r="M149" i="7"/>
  <c r="N149" i="7"/>
  <c r="U147" i="7"/>
  <c r="M142" i="7"/>
  <c r="N142" i="7"/>
  <c r="U170" i="7"/>
  <c r="M169" i="7"/>
  <c r="N169" i="7"/>
  <c r="N162" i="7"/>
  <c r="M162" i="7"/>
  <c r="U163" i="7"/>
  <c r="M155" i="7"/>
  <c r="N155" i="7"/>
  <c r="U156" i="7"/>
  <c r="N148" i="7"/>
  <c r="M148" i="7"/>
  <c r="U149" i="7"/>
  <c r="U141" i="7"/>
  <c r="P171" i="7"/>
  <c r="P170" i="7"/>
  <c r="P169" i="7"/>
  <c r="P168" i="7"/>
  <c r="P167" i="7"/>
  <c r="M141" i="7"/>
  <c r="N141" i="7"/>
  <c r="U142" i="7"/>
  <c r="M171" i="7"/>
  <c r="N171" i="7"/>
  <c r="U166" i="7"/>
  <c r="M164" i="7"/>
  <c r="N164" i="7"/>
  <c r="U159" i="7"/>
  <c r="N157" i="7"/>
  <c r="M157" i="7"/>
  <c r="N150" i="7"/>
  <c r="M150" i="7"/>
  <c r="U152" i="7"/>
  <c r="U167" i="7"/>
  <c r="N166" i="7"/>
  <c r="M166" i="7"/>
  <c r="U160" i="7"/>
  <c r="N159" i="7"/>
  <c r="M159" i="7"/>
  <c r="U153" i="7"/>
  <c r="N152" i="7"/>
  <c r="M152" i="7"/>
  <c r="U169" i="7"/>
  <c r="M168" i="7"/>
  <c r="N168" i="7"/>
  <c r="U162" i="7"/>
  <c r="M161" i="7"/>
  <c r="N161" i="7"/>
  <c r="U155" i="7"/>
  <c r="M154" i="7"/>
  <c r="N154" i="7"/>
  <c r="U148" i="7"/>
  <c r="M147" i="7"/>
  <c r="N147" i="7"/>
  <c r="U168" i="7"/>
  <c r="M167" i="7"/>
  <c r="N167" i="7"/>
  <c r="U161" i="7"/>
  <c r="M160" i="7"/>
  <c r="N160" i="7"/>
  <c r="N153" i="7"/>
  <c r="M153" i="7"/>
  <c r="U154" i="7"/>
  <c r="Y176" i="7"/>
  <c r="E175" i="7"/>
  <c r="AF55" i="7"/>
  <c r="G174" i="5"/>
  <c r="AS175" i="5"/>
  <c r="AA177" i="5"/>
  <c r="E176" i="5"/>
  <c r="AJ48" i="5"/>
  <c r="AF55" i="4"/>
  <c r="U157" i="4"/>
  <c r="U168" i="4"/>
  <c r="M157" i="4"/>
  <c r="N157" i="4"/>
  <c r="N152" i="4"/>
  <c r="M152" i="4"/>
  <c r="AC49" i="4"/>
  <c r="N164" i="4"/>
  <c r="M164" i="4"/>
  <c r="N159" i="4"/>
  <c r="M159" i="4"/>
  <c r="U154" i="4"/>
  <c r="U169" i="4"/>
  <c r="N154" i="4"/>
  <c r="M154" i="4"/>
  <c r="U167" i="4"/>
  <c r="U162" i="4"/>
  <c r="N147" i="4"/>
  <c r="M147" i="4"/>
  <c r="AC51" i="4"/>
  <c r="U160" i="4"/>
  <c r="U155" i="4"/>
  <c r="N161" i="4"/>
  <c r="M161" i="4"/>
  <c r="U170" i="4"/>
  <c r="P170" i="4"/>
  <c r="P171" i="4"/>
  <c r="P169" i="4"/>
  <c r="P167" i="4"/>
  <c r="P168" i="4"/>
  <c r="U141" i="4"/>
  <c r="U163" i="4"/>
  <c r="U156" i="4"/>
  <c r="U149" i="4"/>
  <c r="U153" i="4"/>
  <c r="U171" i="4"/>
  <c r="N162" i="4"/>
  <c r="M162" i="4"/>
  <c r="U142" i="4"/>
  <c r="U147" i="4"/>
  <c r="U148" i="4"/>
  <c r="M168" i="4"/>
  <c r="N168" i="4"/>
  <c r="M160" i="4"/>
  <c r="N160" i="4"/>
  <c r="N153" i="4"/>
  <c r="M153" i="4"/>
  <c r="AC50" i="4"/>
  <c r="N155" i="4"/>
  <c r="M155" i="4"/>
  <c r="E177" i="4"/>
  <c r="Y178" i="4"/>
  <c r="N167" i="4"/>
  <c r="M167" i="4"/>
  <c r="N148" i="4"/>
  <c r="M148" i="4"/>
  <c r="U164" i="4"/>
  <c r="V381" i="4"/>
  <c r="V380" i="4"/>
  <c r="V379" i="4"/>
  <c r="V378" i="4"/>
  <c r="V377" i="4"/>
  <c r="V376" i="4"/>
  <c r="V374" i="4"/>
  <c r="V373" i="4"/>
  <c r="V372" i="4"/>
  <c r="V371" i="4"/>
  <c r="V364" i="4"/>
  <c r="V314" i="4"/>
  <c r="V349" i="4"/>
  <c r="V334" i="4"/>
  <c r="V328" i="4"/>
  <c r="V324" i="4"/>
  <c r="V318" i="4"/>
  <c r="V304" i="4"/>
  <c r="V362" i="4"/>
  <c r="V359" i="4"/>
  <c r="V310" i="4"/>
  <c r="V343" i="4"/>
  <c r="V337" i="4"/>
  <c r="V331" i="4"/>
  <c r="V357" i="4"/>
  <c r="V315" i="4"/>
  <c r="V370" i="4"/>
  <c r="V367" i="4"/>
  <c r="V322" i="4"/>
  <c r="V355" i="4"/>
  <c r="V352" i="4"/>
  <c r="V346" i="4"/>
  <c r="V311" i="4"/>
  <c r="V365" i="4"/>
  <c r="V341" i="4"/>
  <c r="V335" i="4"/>
  <c r="V329" i="4"/>
  <c r="V325" i="4"/>
  <c r="V307" i="4"/>
  <c r="V363" i="4"/>
  <c r="V360" i="4"/>
  <c r="V344" i="4"/>
  <c r="V338" i="4"/>
  <c r="V332" i="4"/>
  <c r="V308" i="4"/>
  <c r="V358" i="4"/>
  <c r="V323" i="4"/>
  <c r="V301" i="4"/>
  <c r="V317" i="4"/>
  <c r="V313" i="4"/>
  <c r="V288" i="4"/>
  <c r="V276" i="4"/>
  <c r="V259" i="4"/>
  <c r="V241" i="4"/>
  <c r="V240" i="4"/>
  <c r="V239" i="4"/>
  <c r="V238" i="4"/>
  <c r="V237" i="4"/>
  <c r="V236" i="4"/>
  <c r="V234" i="4"/>
  <c r="V233" i="4"/>
  <c r="V232" i="4"/>
  <c r="V231" i="4"/>
  <c r="V230" i="4"/>
  <c r="V229" i="4"/>
  <c r="V227" i="4"/>
  <c r="V226" i="4"/>
  <c r="V225" i="4"/>
  <c r="V224" i="4"/>
  <c r="V223" i="4"/>
  <c r="V220" i="4"/>
  <c r="V219" i="4"/>
  <c r="V342" i="4"/>
  <c r="V299" i="4"/>
  <c r="V356" i="4"/>
  <c r="V353" i="4"/>
  <c r="V316" i="4"/>
  <c r="V280" i="4"/>
  <c r="V271" i="4"/>
  <c r="V268" i="4"/>
  <c r="V260" i="4"/>
  <c r="V297" i="4"/>
  <c r="V295" i="4"/>
  <c r="V293" i="4"/>
  <c r="V283" i="4"/>
  <c r="V251" i="4"/>
  <c r="V339" i="4"/>
  <c r="V261" i="4"/>
  <c r="V252" i="4"/>
  <c r="V321" i="4"/>
  <c r="V303" i="4"/>
  <c r="V289" i="4"/>
  <c r="V266" i="4"/>
  <c r="V253" i="4"/>
  <c r="V351" i="4"/>
  <c r="V345" i="4"/>
  <c r="V309" i="4"/>
  <c r="V281" i="4"/>
  <c r="V272" i="4"/>
  <c r="V254" i="4"/>
  <c r="V300" i="4"/>
  <c r="V287" i="4"/>
  <c r="V269" i="4"/>
  <c r="V262" i="4"/>
  <c r="V255" i="4"/>
  <c r="V350" i="4"/>
  <c r="V330" i="4"/>
  <c r="V320" i="4"/>
  <c r="V275" i="4"/>
  <c r="V302" i="4"/>
  <c r="V296" i="4"/>
  <c r="V294" i="4"/>
  <c r="V292" i="4"/>
  <c r="V279" i="4"/>
  <c r="V257" i="4"/>
  <c r="V369" i="4"/>
  <c r="V366" i="4"/>
  <c r="V336" i="4"/>
  <c r="V258" i="4"/>
  <c r="V198" i="4"/>
  <c r="V170" i="4"/>
  <c r="V199" i="4"/>
  <c r="V169" i="4"/>
  <c r="V285" i="4"/>
  <c r="V282" i="4"/>
  <c r="V273" i="4"/>
  <c r="V216" i="4"/>
  <c r="V290" i="4"/>
  <c r="V264" i="4"/>
  <c r="V191" i="4"/>
  <c r="V182" i="4"/>
  <c r="V173" i="4"/>
  <c r="Q171" i="4"/>
  <c r="V163" i="4"/>
  <c r="Q161" i="4"/>
  <c r="V206" i="4"/>
  <c r="V201" i="4"/>
  <c r="V142" i="4"/>
  <c r="V141" i="4"/>
  <c r="V250" i="4"/>
  <c r="V192" i="4"/>
  <c r="V183" i="4"/>
  <c r="V174" i="4"/>
  <c r="V215" i="4"/>
  <c r="V211" i="4"/>
  <c r="V218" i="4"/>
  <c r="V267" i="4"/>
  <c r="Q141" i="4"/>
  <c r="V194" i="4"/>
  <c r="V180" i="4"/>
  <c r="V162" i="4"/>
  <c r="V154" i="4"/>
  <c r="V149" i="4"/>
  <c r="N141" i="4"/>
  <c r="V213" i="4"/>
  <c r="Q169" i="4"/>
  <c r="V166" i="4"/>
  <c r="V159" i="4"/>
  <c r="Q153" i="4"/>
  <c r="Q148" i="4"/>
  <c r="M141" i="4"/>
  <c r="V265" i="4"/>
  <c r="V197" i="4"/>
  <c r="V187" i="4"/>
  <c r="V184" i="4"/>
  <c r="V177" i="4"/>
  <c r="Q162" i="4"/>
  <c r="Q142" i="4"/>
  <c r="V209" i="4"/>
  <c r="V190" i="4"/>
  <c r="V155" i="4"/>
  <c r="V150" i="4"/>
  <c r="Q154" i="4"/>
  <c r="Q149" i="4"/>
  <c r="V204" i="4"/>
  <c r="V181" i="4"/>
  <c r="V167" i="4"/>
  <c r="Q166" i="4"/>
  <c r="Q159" i="4"/>
  <c r="V195" i="4"/>
  <c r="V175" i="4"/>
  <c r="Q170" i="4"/>
  <c r="Q163" i="4"/>
  <c r="V160" i="4"/>
  <c r="V156" i="4"/>
  <c r="V202" i="4"/>
  <c r="Q155" i="4"/>
  <c r="Q150" i="4"/>
  <c r="V274" i="4"/>
  <c r="V212" i="4"/>
  <c r="V188" i="4"/>
  <c r="V185" i="4"/>
  <c r="V178" i="4"/>
  <c r="V164" i="4"/>
  <c r="V210" i="4"/>
  <c r="V171" i="4"/>
  <c r="V168" i="4"/>
  <c r="Q167" i="4"/>
  <c r="V157" i="4"/>
  <c r="Q160" i="4"/>
  <c r="Q156" i="4"/>
  <c r="V152" i="4"/>
  <c r="V147" i="4"/>
  <c r="V208" i="4"/>
  <c r="V205" i="4"/>
  <c r="Q164" i="4"/>
  <c r="V161" i="4"/>
  <c r="V196" i="4"/>
  <c r="V176" i="4"/>
  <c r="V148" i="4"/>
  <c r="V153" i="4"/>
  <c r="Q147" i="4"/>
  <c r="Q152" i="4"/>
  <c r="V189" i="4"/>
  <c r="V203" i="4"/>
  <c r="V217" i="4"/>
  <c r="Q168" i="4"/>
  <c r="Q157" i="4"/>
  <c r="K3" i="4"/>
  <c r="M11" i="4"/>
  <c r="AC52" i="4"/>
  <c r="N156" i="4"/>
  <c r="M156" i="4"/>
  <c r="U166" i="4"/>
  <c r="N169" i="4"/>
  <c r="M169" i="4"/>
  <c r="N163" i="4"/>
  <c r="M163" i="4"/>
  <c r="U159" i="4"/>
  <c r="N149" i="4"/>
  <c r="M149" i="4"/>
  <c r="U152" i="4"/>
  <c r="Z176" i="4"/>
  <c r="G175" i="4"/>
  <c r="N170" i="4"/>
  <c r="M170" i="4"/>
  <c r="N142" i="4"/>
  <c r="M142" i="4"/>
  <c r="AC53" i="4"/>
  <c r="U150" i="4"/>
  <c r="N171" i="4"/>
  <c r="M171" i="4"/>
  <c r="N150" i="4"/>
  <c r="M150" i="4"/>
  <c r="AC54" i="4"/>
  <c r="N166" i="4"/>
  <c r="M166" i="4"/>
  <c r="U161" i="4"/>
  <c r="E170" i="3"/>
  <c r="Y171" i="3"/>
  <c r="G170" i="3"/>
  <c r="Z171" i="3"/>
  <c r="G165" i="2"/>
  <c r="AS166" i="2"/>
  <c r="E165" i="2"/>
  <c r="AA166" i="2"/>
  <c r="W158" i="7" l="1"/>
  <c r="X165" i="7"/>
  <c r="W165" i="7"/>
  <c r="X158" i="7"/>
  <c r="X151" i="7"/>
  <c r="W151" i="7"/>
  <c r="W144" i="7"/>
  <c r="X144" i="7"/>
  <c r="Z177" i="7"/>
  <c r="G176" i="7"/>
  <c r="W171" i="7"/>
  <c r="X171" i="7"/>
  <c r="W164" i="7"/>
  <c r="X164" i="7"/>
  <c r="W157" i="7"/>
  <c r="X157" i="7"/>
  <c r="W150" i="7"/>
  <c r="X150" i="7"/>
  <c r="W147" i="7"/>
  <c r="X147" i="7"/>
  <c r="W170" i="7"/>
  <c r="X170" i="7"/>
  <c r="W163" i="7"/>
  <c r="X163" i="7"/>
  <c r="W156" i="7"/>
  <c r="X156" i="7"/>
  <c r="W149" i="7"/>
  <c r="X149" i="7"/>
  <c r="X141" i="7"/>
  <c r="W141" i="7"/>
  <c r="S171" i="7"/>
  <c r="R171" i="7"/>
  <c r="S170" i="7"/>
  <c r="R170" i="7"/>
  <c r="S169" i="7"/>
  <c r="R169" i="7"/>
  <c r="S168" i="7"/>
  <c r="R168" i="7"/>
  <c r="S167" i="7"/>
  <c r="R167" i="7"/>
  <c r="W142" i="7"/>
  <c r="X142" i="7"/>
  <c r="W166" i="7"/>
  <c r="X166" i="7"/>
  <c r="W159" i="7"/>
  <c r="X159" i="7"/>
  <c r="W152" i="7"/>
  <c r="X152" i="7"/>
  <c r="W167" i="7"/>
  <c r="X167" i="7"/>
  <c r="W160" i="7"/>
  <c r="X160" i="7"/>
  <c r="W153" i="7"/>
  <c r="X153" i="7"/>
  <c r="W169" i="7"/>
  <c r="X169" i="7"/>
  <c r="W162" i="7"/>
  <c r="X162" i="7"/>
  <c r="W155" i="7"/>
  <c r="X155" i="7"/>
  <c r="W148" i="7"/>
  <c r="X148" i="7"/>
  <c r="W168" i="7"/>
  <c r="X168" i="7"/>
  <c r="W161" i="7"/>
  <c r="X161" i="7"/>
  <c r="W154" i="7"/>
  <c r="X154" i="7"/>
  <c r="Y177" i="7"/>
  <c r="E176" i="7"/>
  <c r="AA178" i="5"/>
  <c r="E177" i="5"/>
  <c r="AS176" i="5"/>
  <c r="G175" i="5"/>
  <c r="M3" i="4"/>
  <c r="N3" i="4"/>
  <c r="X156" i="4"/>
  <c r="W156" i="4"/>
  <c r="X157" i="4"/>
  <c r="W157" i="4"/>
  <c r="S171" i="4"/>
  <c r="R171" i="4"/>
  <c r="S156" i="4"/>
  <c r="R156" i="4"/>
  <c r="S161" i="4"/>
  <c r="R161" i="4"/>
  <c r="X168" i="4"/>
  <c r="W168" i="4"/>
  <c r="S147" i="4"/>
  <c r="R147" i="4"/>
  <c r="S141" i="4"/>
  <c r="R141" i="4"/>
  <c r="S162" i="4"/>
  <c r="R162" i="4"/>
  <c r="X171" i="4"/>
  <c r="W171" i="4"/>
  <c r="S159" i="4"/>
  <c r="R159" i="4"/>
  <c r="X153" i="4"/>
  <c r="W153" i="4"/>
  <c r="X148" i="4"/>
  <c r="W148" i="4"/>
  <c r="X164" i="4"/>
  <c r="W164" i="4"/>
  <c r="S166" i="4"/>
  <c r="R166" i="4"/>
  <c r="X149" i="4"/>
  <c r="W149" i="4"/>
  <c r="R163" i="4"/>
  <c r="S163" i="4"/>
  <c r="X167" i="4"/>
  <c r="W167" i="4"/>
  <c r="S164" i="4"/>
  <c r="R164" i="4"/>
  <c r="S149" i="4"/>
  <c r="R149" i="4"/>
  <c r="X162" i="4"/>
  <c r="W162" i="4"/>
  <c r="S152" i="4"/>
  <c r="R152" i="4"/>
  <c r="S148" i="4"/>
  <c r="R148" i="4"/>
  <c r="X161" i="4"/>
  <c r="W161" i="4"/>
  <c r="S153" i="4"/>
  <c r="R153" i="4"/>
  <c r="S154" i="4"/>
  <c r="R154" i="4"/>
  <c r="X166" i="4"/>
  <c r="W166" i="4"/>
  <c r="P11" i="4"/>
  <c r="N11" i="4"/>
  <c r="Q11" i="4"/>
  <c r="S169" i="4"/>
  <c r="R169" i="4"/>
  <c r="S150" i="4"/>
  <c r="R150" i="4"/>
  <c r="X147" i="4"/>
  <c r="W147" i="4"/>
  <c r="S155" i="4"/>
  <c r="R155" i="4"/>
  <c r="X155" i="4"/>
  <c r="W155" i="4"/>
  <c r="W141" i="4"/>
  <c r="X141" i="4"/>
  <c r="W169" i="4"/>
  <c r="X169" i="4"/>
  <c r="E178" i="4"/>
  <c r="Y179" i="4"/>
  <c r="G176" i="4"/>
  <c r="Z177" i="4"/>
  <c r="X150" i="4"/>
  <c r="W150" i="4"/>
  <c r="S157" i="4"/>
  <c r="R157" i="4"/>
  <c r="X152" i="4"/>
  <c r="W152" i="4"/>
  <c r="W142" i="4"/>
  <c r="X142" i="4"/>
  <c r="X159" i="4"/>
  <c r="W159" i="4"/>
  <c r="S168" i="4"/>
  <c r="R168" i="4"/>
  <c r="X170" i="4"/>
  <c r="W170" i="4"/>
  <c r="S160" i="4"/>
  <c r="R160" i="4"/>
  <c r="X160" i="4"/>
  <c r="W160" i="4"/>
  <c r="S142" i="4"/>
  <c r="R142" i="4"/>
  <c r="W154" i="4"/>
  <c r="X154" i="4"/>
  <c r="S167" i="4"/>
  <c r="R167" i="4"/>
  <c r="S170" i="4"/>
  <c r="R170" i="4"/>
  <c r="X163" i="4"/>
  <c r="W163" i="4"/>
  <c r="G171" i="3"/>
  <c r="Z172" i="3"/>
  <c r="E171" i="3"/>
  <c r="Y172" i="3"/>
  <c r="E166" i="2"/>
  <c r="AA167" i="2"/>
  <c r="G166" i="2"/>
  <c r="AS167" i="2"/>
  <c r="Z178" i="7" l="1"/>
  <c r="G177" i="7"/>
  <c r="Y178" i="7"/>
  <c r="E177" i="7"/>
  <c r="AS177" i="5"/>
  <c r="G176" i="5"/>
  <c r="E178" i="5"/>
  <c r="AA179" i="5"/>
  <c r="E179" i="4"/>
  <c r="Y180" i="4"/>
  <c r="Z178" i="4"/>
  <c r="G177" i="4"/>
  <c r="AD53" i="3"/>
  <c r="AC55" i="3"/>
  <c r="AD49" i="3"/>
  <c r="AD51" i="3"/>
  <c r="AD52" i="3"/>
  <c r="AD50" i="3"/>
  <c r="AD54" i="3"/>
  <c r="AD55" i="3"/>
  <c r="AE55" i="3" s="1"/>
  <c r="Y173" i="3"/>
  <c r="E172" i="3"/>
  <c r="G172" i="3"/>
  <c r="Z173" i="3"/>
  <c r="G167" i="2"/>
  <c r="AS168" i="2"/>
  <c r="E167" i="2"/>
  <c r="AA168" i="2"/>
  <c r="Z179" i="7" l="1"/>
  <c r="G178" i="7"/>
  <c r="Y179" i="7"/>
  <c r="E178" i="7"/>
  <c r="AA180" i="5"/>
  <c r="E179" i="5"/>
  <c r="AS178" i="5"/>
  <c r="G177" i="5"/>
  <c r="Y181" i="4"/>
  <c r="E180" i="4"/>
  <c r="G178" i="4"/>
  <c r="Z179" i="4"/>
  <c r="AE52" i="3"/>
  <c r="AE51" i="3"/>
  <c r="AE49" i="3"/>
  <c r="AE54" i="3"/>
  <c r="AE50" i="3"/>
  <c r="AE53" i="3"/>
  <c r="Z174" i="3"/>
  <c r="G173" i="3"/>
  <c r="Y174" i="3"/>
  <c r="E173" i="3"/>
  <c r="E168" i="2"/>
  <c r="AA169" i="2"/>
  <c r="AS169" i="2"/>
  <c r="G168" i="2"/>
  <c r="Z180" i="7" l="1"/>
  <c r="G179" i="7"/>
  <c r="Y180" i="7"/>
  <c r="E179" i="7"/>
  <c r="AS179" i="5"/>
  <c r="G178" i="5"/>
  <c r="AA181" i="5"/>
  <c r="E180" i="5"/>
  <c r="G179" i="4"/>
  <c r="Z180" i="4"/>
  <c r="Y182" i="4"/>
  <c r="E181" i="4"/>
  <c r="L164" i="3"/>
  <c r="L150" i="3"/>
  <c r="L171" i="3"/>
  <c r="L157" i="3"/>
  <c r="L163" i="3"/>
  <c r="L149" i="3"/>
  <c r="L170" i="3"/>
  <c r="L156" i="3"/>
  <c r="L142" i="3"/>
  <c r="L161" i="3"/>
  <c r="L147" i="3"/>
  <c r="L168" i="3"/>
  <c r="L154" i="3"/>
  <c r="L160" i="3"/>
  <c r="L167" i="3"/>
  <c r="L153" i="3"/>
  <c r="L166" i="3"/>
  <c r="L152" i="3"/>
  <c r="L159" i="3"/>
  <c r="L162" i="3"/>
  <c r="L148" i="3"/>
  <c r="L169" i="3"/>
  <c r="L155" i="3"/>
  <c r="L141" i="3"/>
  <c r="AF53" i="3"/>
  <c r="J170" i="3"/>
  <c r="J156" i="3"/>
  <c r="J142" i="3"/>
  <c r="J149" i="3"/>
  <c r="J163" i="3"/>
  <c r="AF50" i="3"/>
  <c r="J153" i="3"/>
  <c r="J160" i="3"/>
  <c r="J167" i="3"/>
  <c r="AF54" i="3"/>
  <c r="J164" i="3"/>
  <c r="J171" i="3"/>
  <c r="J157" i="3"/>
  <c r="J150" i="3"/>
  <c r="AF49" i="3"/>
  <c r="J159" i="3"/>
  <c r="J166" i="3"/>
  <c r="J152" i="3"/>
  <c r="AF51" i="3"/>
  <c r="J154" i="3"/>
  <c r="J161" i="3"/>
  <c r="J147" i="3"/>
  <c r="J168" i="3"/>
  <c r="AF52" i="3"/>
  <c r="J169" i="3"/>
  <c r="J148" i="3"/>
  <c r="J155" i="3"/>
  <c r="J141" i="3"/>
  <c r="J162" i="3"/>
  <c r="E174" i="3"/>
  <c r="Y175" i="3"/>
  <c r="Z175" i="3"/>
  <c r="G174" i="3"/>
  <c r="G169" i="2"/>
  <c r="AS170" i="2"/>
  <c r="AA170" i="2"/>
  <c r="E169" i="2"/>
  <c r="Z181" i="7" l="1"/>
  <c r="G180" i="7"/>
  <c r="Y181" i="7"/>
  <c r="E180" i="7"/>
  <c r="AA182" i="5"/>
  <c r="E181" i="5"/>
  <c r="AS180" i="5"/>
  <c r="G179" i="5"/>
  <c r="E182" i="4"/>
  <c r="Y183" i="4"/>
  <c r="G180" i="4"/>
  <c r="Z181" i="4"/>
  <c r="P168" i="3"/>
  <c r="P171" i="3"/>
  <c r="P167" i="3"/>
  <c r="P169" i="3"/>
  <c r="P170" i="3"/>
  <c r="AF55" i="3"/>
  <c r="M162" i="3"/>
  <c r="N162" i="3"/>
  <c r="M168" i="3"/>
  <c r="N168" i="3"/>
  <c r="N153" i="3"/>
  <c r="M153" i="3"/>
  <c r="AC50" i="3"/>
  <c r="N147" i="3"/>
  <c r="M147" i="3"/>
  <c r="AC51" i="3"/>
  <c r="N150" i="3"/>
  <c r="M150" i="3"/>
  <c r="AC54" i="3"/>
  <c r="M157" i="3"/>
  <c r="N157" i="3"/>
  <c r="V381" i="3"/>
  <c r="V377" i="3"/>
  <c r="V373" i="3"/>
  <c r="V369" i="3"/>
  <c r="V365" i="3"/>
  <c r="V357" i="3"/>
  <c r="V353" i="3"/>
  <c r="V349" i="3"/>
  <c r="V345" i="3"/>
  <c r="V341" i="3"/>
  <c r="V337" i="3"/>
  <c r="V329" i="3"/>
  <c r="V325" i="3"/>
  <c r="V321" i="3"/>
  <c r="V317" i="3"/>
  <c r="V313" i="3"/>
  <c r="V309" i="3"/>
  <c r="V301" i="3"/>
  <c r="V289" i="3"/>
  <c r="V285" i="3"/>
  <c r="V281" i="3"/>
  <c r="V273" i="3"/>
  <c r="V257" i="3"/>
  <c r="V225" i="3"/>
  <c r="V169" i="3"/>
  <c r="Q169" i="3"/>
  <c r="V164" i="3"/>
  <c r="V160" i="3"/>
  <c r="Q156" i="3"/>
  <c r="Q152" i="3"/>
  <c r="V147" i="3"/>
  <c r="V141" i="3"/>
  <c r="V380" i="3"/>
  <c r="V376" i="3"/>
  <c r="V372" i="3"/>
  <c r="V364" i="3"/>
  <c r="V360" i="3"/>
  <c r="V356" i="3"/>
  <c r="V352" i="3"/>
  <c r="V344" i="3"/>
  <c r="V336" i="3"/>
  <c r="V332" i="3"/>
  <c r="V328" i="3"/>
  <c r="V324" i="3"/>
  <c r="V320" i="3"/>
  <c r="V316" i="3"/>
  <c r="V308" i="3"/>
  <c r="V304" i="3"/>
  <c r="V300" i="3"/>
  <c r="V296" i="3"/>
  <c r="V292" i="3"/>
  <c r="V288" i="3"/>
  <c r="V280" i="3"/>
  <c r="V276" i="3"/>
  <c r="V272" i="3"/>
  <c r="V268" i="3"/>
  <c r="V264" i="3"/>
  <c r="V260" i="3"/>
  <c r="V252" i="3"/>
  <c r="V240" i="3"/>
  <c r="V236" i="3"/>
  <c r="V232" i="3"/>
  <c r="V224" i="3"/>
  <c r="V220" i="3"/>
  <c r="V216" i="3"/>
  <c r="V212" i="3"/>
  <c r="V208" i="3"/>
  <c r="V204" i="3"/>
  <c r="V196" i="3"/>
  <c r="V192" i="3"/>
  <c r="V188" i="3"/>
  <c r="V184" i="3"/>
  <c r="V180" i="3"/>
  <c r="V176" i="3"/>
  <c r="V168" i="3"/>
  <c r="Q164" i="3"/>
  <c r="Q160" i="3"/>
  <c r="V155" i="3"/>
  <c r="Q147" i="3"/>
  <c r="Q141" i="3"/>
  <c r="M11" i="3"/>
  <c r="N11" i="3" s="1"/>
  <c r="V177" i="3"/>
  <c r="Q161" i="3"/>
  <c r="K3" i="3"/>
  <c r="Q168" i="3"/>
  <c r="V163" i="3"/>
  <c r="V159" i="3"/>
  <c r="Q155" i="3"/>
  <c r="V150" i="3"/>
  <c r="V379" i="3"/>
  <c r="V371" i="3"/>
  <c r="V367" i="3"/>
  <c r="V363" i="3"/>
  <c r="V359" i="3"/>
  <c r="V355" i="3"/>
  <c r="V351" i="3"/>
  <c r="V343" i="3"/>
  <c r="V339" i="3"/>
  <c r="V335" i="3"/>
  <c r="V331" i="3"/>
  <c r="V323" i="3"/>
  <c r="V315" i="3"/>
  <c r="V311" i="3"/>
  <c r="V307" i="3"/>
  <c r="V303" i="3"/>
  <c r="V299" i="3"/>
  <c r="V295" i="3"/>
  <c r="V287" i="3"/>
  <c r="V283" i="3"/>
  <c r="V279" i="3"/>
  <c r="V275" i="3"/>
  <c r="V271" i="3"/>
  <c r="V267" i="3"/>
  <c r="V259" i="3"/>
  <c r="V255" i="3"/>
  <c r="V251" i="3"/>
  <c r="V239" i="3"/>
  <c r="V231" i="3"/>
  <c r="C27" i="1" s="1"/>
  <c r="C33" i="1" s="1"/>
  <c r="C36" i="1" s="1"/>
  <c r="V227" i="3"/>
  <c r="V223" i="3"/>
  <c r="V219" i="3"/>
  <c r="V215" i="3"/>
  <c r="V211" i="3"/>
  <c r="V203" i="3"/>
  <c r="V199" i="3"/>
  <c r="V195" i="3"/>
  <c r="V191" i="3"/>
  <c r="V187" i="3"/>
  <c r="V183" i="3"/>
  <c r="V175" i="3"/>
  <c r="V171" i="3"/>
  <c r="V167" i="3"/>
  <c r="Q163" i="3"/>
  <c r="Q159" i="3"/>
  <c r="V154" i="3"/>
  <c r="Q150" i="3"/>
  <c r="V209" i="3"/>
  <c r="V197" i="3"/>
  <c r="V181" i="3"/>
  <c r="Q148" i="3"/>
  <c r="Q171" i="3"/>
  <c r="Q167" i="3"/>
  <c r="V162" i="3"/>
  <c r="Q154" i="3"/>
  <c r="V149" i="3"/>
  <c r="V198" i="3"/>
  <c r="V182" i="3"/>
  <c r="V178" i="3"/>
  <c r="V170" i="3"/>
  <c r="Q162" i="3"/>
  <c r="V157" i="3"/>
  <c r="V297" i="3"/>
  <c r="V265" i="3"/>
  <c r="V253" i="3"/>
  <c r="V237" i="3"/>
  <c r="V233" i="3"/>
  <c r="V217" i="3"/>
  <c r="V201" i="3"/>
  <c r="V189" i="3"/>
  <c r="V173" i="3"/>
  <c r="V152" i="3"/>
  <c r="V378" i="3"/>
  <c r="V374" i="3"/>
  <c r="V370" i="3"/>
  <c r="V366" i="3"/>
  <c r="V362" i="3"/>
  <c r="V358" i="3"/>
  <c r="V350" i="3"/>
  <c r="V346" i="3"/>
  <c r="V342" i="3"/>
  <c r="V338" i="3"/>
  <c r="V334" i="3"/>
  <c r="V330" i="3"/>
  <c r="V322" i="3"/>
  <c r="V318" i="3"/>
  <c r="V314" i="3"/>
  <c r="V310" i="3"/>
  <c r="V302" i="3"/>
  <c r="V294" i="3"/>
  <c r="V290" i="3"/>
  <c r="V282" i="3"/>
  <c r="V274" i="3"/>
  <c r="V266" i="3"/>
  <c r="V262" i="3"/>
  <c r="V258" i="3"/>
  <c r="V254" i="3"/>
  <c r="V250" i="3"/>
  <c r="V238" i="3"/>
  <c r="V234" i="3"/>
  <c r="V230" i="3"/>
  <c r="V226" i="3"/>
  <c r="V218" i="3"/>
  <c r="V210" i="3"/>
  <c r="V206" i="3"/>
  <c r="V202" i="3"/>
  <c r="V194" i="3"/>
  <c r="V190" i="3"/>
  <c r="V174" i="3"/>
  <c r="V166" i="3"/>
  <c r="V153" i="3"/>
  <c r="Q149" i="3"/>
  <c r="V293" i="3"/>
  <c r="V269" i="3"/>
  <c r="V261" i="3"/>
  <c r="V241" i="3"/>
  <c r="V229" i="3"/>
  <c r="V213" i="3"/>
  <c r="V205" i="3"/>
  <c r="V185" i="3"/>
  <c r="V156" i="3"/>
  <c r="Q142" i="3"/>
  <c r="Q170" i="3"/>
  <c r="Q166" i="3"/>
  <c r="V161" i="3"/>
  <c r="Q157" i="3"/>
  <c r="Q153" i="3"/>
  <c r="V148" i="3"/>
  <c r="V142" i="3"/>
  <c r="M141" i="3"/>
  <c r="N141" i="3"/>
  <c r="AC52" i="3"/>
  <c r="N154" i="3"/>
  <c r="M154" i="3"/>
  <c r="M171" i="3"/>
  <c r="N171" i="3"/>
  <c r="M149" i="3"/>
  <c r="N149" i="3"/>
  <c r="N155" i="3"/>
  <c r="M155" i="3"/>
  <c r="N142" i="3"/>
  <c r="M142" i="3"/>
  <c r="AC53" i="3"/>
  <c r="M161" i="3"/>
  <c r="N161" i="3"/>
  <c r="M163" i="3"/>
  <c r="N163" i="3"/>
  <c r="N164" i="3"/>
  <c r="M164" i="3"/>
  <c r="N148" i="3"/>
  <c r="M148" i="3"/>
  <c r="M152" i="3"/>
  <c r="N152" i="3"/>
  <c r="AC49" i="3"/>
  <c r="N156" i="3"/>
  <c r="M156" i="3"/>
  <c r="N169" i="3"/>
  <c r="M169" i="3"/>
  <c r="M166" i="3"/>
  <c r="N166" i="3"/>
  <c r="M167" i="3"/>
  <c r="N167" i="3"/>
  <c r="N170" i="3"/>
  <c r="M170" i="3"/>
  <c r="M159" i="3"/>
  <c r="N159" i="3"/>
  <c r="N160" i="3"/>
  <c r="M160" i="3"/>
  <c r="G175" i="3"/>
  <c r="Z176" i="3"/>
  <c r="E175" i="3"/>
  <c r="Y176" i="3"/>
  <c r="E170" i="2"/>
  <c r="AA171" i="2"/>
  <c r="G170" i="2"/>
  <c r="AS171" i="2"/>
  <c r="Z182" i="7" l="1"/>
  <c r="G181" i="7"/>
  <c r="Y182" i="7"/>
  <c r="E181" i="7"/>
  <c r="AS181" i="5"/>
  <c r="G180" i="5"/>
  <c r="E182" i="5"/>
  <c r="AA183" i="5"/>
  <c r="M3" i="3"/>
  <c r="N3" i="3"/>
  <c r="Z182" i="4"/>
  <c r="G181" i="4"/>
  <c r="Y184" i="4"/>
  <c r="E183" i="4"/>
  <c r="C35" i="1"/>
  <c r="S153" i="3"/>
  <c r="R153" i="3"/>
  <c r="S154" i="3"/>
  <c r="R154" i="3"/>
  <c r="S150" i="3"/>
  <c r="R150" i="3"/>
  <c r="S166" i="3"/>
  <c r="R166" i="3"/>
  <c r="S149" i="3"/>
  <c r="R149" i="3"/>
  <c r="P11" i="3"/>
  <c r="Q11" i="3"/>
  <c r="S155" i="3"/>
  <c r="R155" i="3"/>
  <c r="S141" i="3"/>
  <c r="R141" i="3"/>
  <c r="R157" i="3"/>
  <c r="S157" i="3"/>
  <c r="S147" i="3"/>
  <c r="R147" i="3"/>
  <c r="R160" i="3"/>
  <c r="S160" i="3"/>
  <c r="S156" i="3"/>
  <c r="R156" i="3"/>
  <c r="R171" i="3"/>
  <c r="S171" i="3"/>
  <c r="S163" i="3"/>
  <c r="R163" i="3"/>
  <c r="R168" i="3"/>
  <c r="S168" i="3"/>
  <c r="R170" i="3"/>
  <c r="S170" i="3"/>
  <c r="S148" i="3"/>
  <c r="R148" i="3"/>
  <c r="R164" i="3"/>
  <c r="S164" i="3"/>
  <c r="S161" i="3"/>
  <c r="R161" i="3"/>
  <c r="S162" i="3"/>
  <c r="R162" i="3"/>
  <c r="R167" i="3"/>
  <c r="S167" i="3"/>
  <c r="S159" i="3"/>
  <c r="R159" i="3"/>
  <c r="R152" i="3"/>
  <c r="S152" i="3"/>
  <c r="S142" i="3"/>
  <c r="R142" i="3"/>
  <c r="R169" i="3"/>
  <c r="S169" i="3"/>
  <c r="Y177" i="3"/>
  <c r="E176" i="3"/>
  <c r="G176" i="3"/>
  <c r="Z177" i="3"/>
  <c r="AS172" i="2"/>
  <c r="G171" i="2"/>
  <c r="E171" i="2"/>
  <c r="AA172" i="2"/>
  <c r="Z183" i="7" l="1"/>
  <c r="G182" i="7"/>
  <c r="Y183" i="7"/>
  <c r="E182" i="7"/>
  <c r="E183" i="5"/>
  <c r="AA184" i="5"/>
  <c r="G181" i="5"/>
  <c r="AS182" i="5"/>
  <c r="Y185" i="4"/>
  <c r="E184" i="4"/>
  <c r="Z183" i="4"/>
  <c r="G182" i="4"/>
  <c r="AF53" i="2"/>
  <c r="AF52" i="2"/>
  <c r="AE54" i="2"/>
  <c r="AF48" i="2"/>
  <c r="AE53" i="2"/>
  <c r="AH53" i="2" s="1"/>
  <c r="AE48" i="2"/>
  <c r="AE51" i="2"/>
  <c r="AE49" i="2"/>
  <c r="AE52" i="2"/>
  <c r="AF49" i="2"/>
  <c r="AF50" i="2"/>
  <c r="AE50" i="2"/>
  <c r="AF51" i="2"/>
  <c r="AF54" i="2"/>
  <c r="Z178" i="3"/>
  <c r="G177" i="3"/>
  <c r="Y178" i="3"/>
  <c r="E177" i="3"/>
  <c r="E172" i="2"/>
  <c r="AA173" i="2"/>
  <c r="G172" i="2"/>
  <c r="AS173" i="2"/>
  <c r="Z184" i="7" l="1"/>
  <c r="G183" i="7"/>
  <c r="Y184" i="7"/>
  <c r="E183" i="7"/>
  <c r="G182" i="5"/>
  <c r="AS183" i="5"/>
  <c r="E184" i="5"/>
  <c r="AA185" i="5"/>
  <c r="Z184" i="4"/>
  <c r="G183" i="4"/>
  <c r="Y186" i="4"/>
  <c r="E185" i="4"/>
  <c r="AH52" i="2"/>
  <c r="AH49" i="2"/>
  <c r="AH51" i="2"/>
  <c r="AH48" i="2"/>
  <c r="AH54" i="2"/>
  <c r="AH50" i="2"/>
  <c r="Y179" i="3"/>
  <c r="E178" i="3"/>
  <c r="Z179" i="3"/>
  <c r="G178" i="3"/>
  <c r="G173" i="2"/>
  <c r="AS174" i="2"/>
  <c r="E173" i="2"/>
  <c r="AA174" i="2"/>
  <c r="Z185" i="7" l="1"/>
  <c r="G184" i="7"/>
  <c r="Y185" i="7"/>
  <c r="E184" i="7"/>
  <c r="G183" i="5"/>
  <c r="AS184" i="5"/>
  <c r="E185" i="5"/>
  <c r="AA186" i="5"/>
  <c r="E186" i="4"/>
  <c r="Y187" i="4"/>
  <c r="Z185" i="4"/>
  <c r="G184" i="4"/>
  <c r="Z180" i="3"/>
  <c r="G179" i="3"/>
  <c r="E179" i="3"/>
  <c r="Y180" i="3"/>
  <c r="G174" i="2"/>
  <c r="AS175" i="2"/>
  <c r="E174" i="2"/>
  <c r="AA175" i="2"/>
  <c r="Z186" i="7" l="1"/>
  <c r="G185" i="7"/>
  <c r="Y186" i="7"/>
  <c r="E185" i="7"/>
  <c r="AA187" i="5"/>
  <c r="E186" i="5"/>
  <c r="AS185" i="5"/>
  <c r="G184" i="5"/>
  <c r="E187" i="4"/>
  <c r="Y188" i="4"/>
  <c r="Z186" i="4"/>
  <c r="G185" i="4"/>
  <c r="E180" i="3"/>
  <c r="Y181" i="3"/>
  <c r="G180" i="3"/>
  <c r="Z181" i="3"/>
  <c r="G175" i="2"/>
  <c r="AS176" i="2"/>
  <c r="E175" i="2"/>
  <c r="AA176" i="2"/>
  <c r="Z187" i="7" l="1"/>
  <c r="G186" i="7"/>
  <c r="Y187" i="7"/>
  <c r="E186" i="7"/>
  <c r="G185" i="5"/>
  <c r="AS186" i="5"/>
  <c r="E187" i="5"/>
  <c r="AA188" i="5"/>
  <c r="G186" i="4"/>
  <c r="Z187" i="4"/>
  <c r="E188" i="4"/>
  <c r="Y189" i="4"/>
  <c r="Z182" i="3"/>
  <c r="G181" i="3"/>
  <c r="Y182" i="3"/>
  <c r="E181" i="3"/>
  <c r="AA177" i="2"/>
  <c r="E176" i="2"/>
  <c r="AS177" i="2"/>
  <c r="G176" i="2"/>
  <c r="Z188" i="7" l="1"/>
  <c r="G187" i="7"/>
  <c r="Y188" i="7"/>
  <c r="E187" i="7"/>
  <c r="AA189" i="5"/>
  <c r="E188" i="5"/>
  <c r="G186" i="5"/>
  <c r="AS187" i="5"/>
  <c r="Y190" i="4"/>
  <c r="E189" i="4"/>
  <c r="Z188" i="4"/>
  <c r="G187" i="4"/>
  <c r="Y183" i="3"/>
  <c r="E182" i="3"/>
  <c r="Z183" i="3"/>
  <c r="G182" i="3"/>
  <c r="G177" i="2"/>
  <c r="AS178" i="2"/>
  <c r="E177" i="2"/>
  <c r="AA178" i="2"/>
  <c r="Z189" i="7" l="1"/>
  <c r="G188" i="7"/>
  <c r="Y189" i="7"/>
  <c r="E188" i="7"/>
  <c r="G187" i="5"/>
  <c r="AS188" i="5"/>
  <c r="AA190" i="5"/>
  <c r="E189" i="5"/>
  <c r="G188" i="4"/>
  <c r="Z189" i="4"/>
  <c r="Y191" i="4"/>
  <c r="E190" i="4"/>
  <c r="G183" i="3"/>
  <c r="Z184" i="3"/>
  <c r="E183" i="3"/>
  <c r="Y184" i="3"/>
  <c r="G178" i="2"/>
  <c r="AS179" i="2"/>
  <c r="E178" i="2"/>
  <c r="AA179" i="2"/>
  <c r="Z190" i="7" l="1"/>
  <c r="G189" i="7"/>
  <c r="Y190" i="7"/>
  <c r="E189" i="7"/>
  <c r="AA191" i="5"/>
  <c r="E190" i="5"/>
  <c r="G188" i="5"/>
  <c r="AS189" i="5"/>
  <c r="Y192" i="4"/>
  <c r="E191" i="4"/>
  <c r="G189" i="4"/>
  <c r="Z190" i="4"/>
  <c r="E184" i="3"/>
  <c r="Y185" i="3"/>
  <c r="G184" i="3"/>
  <c r="Z185" i="3"/>
  <c r="E179" i="2"/>
  <c r="AA180" i="2"/>
  <c r="G179" i="2"/>
  <c r="AS180" i="2"/>
  <c r="Z191" i="7" l="1"/>
  <c r="G190" i="7"/>
  <c r="Y191" i="7"/>
  <c r="E190" i="7"/>
  <c r="AS190" i="5"/>
  <c r="G189" i="5"/>
  <c r="E191" i="5"/>
  <c r="AA192" i="5"/>
  <c r="Z191" i="4"/>
  <c r="G190" i="4"/>
  <c r="E192" i="4"/>
  <c r="Y193" i="4"/>
  <c r="G185" i="3"/>
  <c r="Z186" i="3"/>
  <c r="Y186" i="3"/>
  <c r="E185" i="3"/>
  <c r="G180" i="2"/>
  <c r="AS181" i="2"/>
  <c r="AA181" i="2"/>
  <c r="E180" i="2"/>
  <c r="Z192" i="7" l="1"/>
  <c r="G191" i="7"/>
  <c r="Y192" i="7"/>
  <c r="E191" i="7"/>
  <c r="E192" i="5"/>
  <c r="AA193" i="5"/>
  <c r="AS191" i="5"/>
  <c r="G190" i="5"/>
  <c r="Y194" i="4"/>
  <c r="E193" i="4"/>
  <c r="Z192" i="4"/>
  <c r="G191" i="4"/>
  <c r="Y187" i="3"/>
  <c r="E186" i="3"/>
  <c r="Z187" i="3"/>
  <c r="G186" i="3"/>
  <c r="AA182" i="2"/>
  <c r="E181" i="2"/>
  <c r="G181" i="2"/>
  <c r="AS182" i="2"/>
  <c r="Z193" i="7" l="1"/>
  <c r="G192" i="7"/>
  <c r="Y193" i="7"/>
  <c r="E192" i="7"/>
  <c r="AS192" i="5"/>
  <c r="G191" i="5"/>
  <c r="E193" i="5"/>
  <c r="AA194" i="5"/>
  <c r="G192" i="4"/>
  <c r="Z193" i="4"/>
  <c r="Y195" i="4"/>
  <c r="E194" i="4"/>
  <c r="G187" i="3"/>
  <c r="Z188" i="3"/>
  <c r="Y188" i="3"/>
  <c r="E187" i="3"/>
  <c r="G182" i="2"/>
  <c r="AS183" i="2"/>
  <c r="E182" i="2"/>
  <c r="AA183" i="2"/>
  <c r="Z194" i="7" l="1"/>
  <c r="G193" i="7"/>
  <c r="Y194" i="7"/>
  <c r="E193" i="7"/>
  <c r="AA195" i="5"/>
  <c r="E194" i="5"/>
  <c r="AS193" i="5"/>
  <c r="G192" i="5"/>
  <c r="E195" i="4"/>
  <c r="Y196" i="4"/>
  <c r="Z194" i="4"/>
  <c r="G193" i="4"/>
  <c r="E188" i="3"/>
  <c r="Y189" i="3"/>
  <c r="Z189" i="3"/>
  <c r="G188" i="3"/>
  <c r="E183" i="2"/>
  <c r="AA184" i="2"/>
  <c r="G183" i="2"/>
  <c r="AS184" i="2"/>
  <c r="Z195" i="7" l="1"/>
  <c r="G194" i="7"/>
  <c r="Y195" i="7"/>
  <c r="E194" i="7"/>
  <c r="G193" i="5"/>
  <c r="AS194" i="5"/>
  <c r="AA196" i="5"/>
  <c r="E195" i="5"/>
  <c r="Z195" i="4"/>
  <c r="G194" i="4"/>
  <c r="E196" i="4"/>
  <c r="Y197" i="4"/>
  <c r="G189" i="3"/>
  <c r="Z190" i="3"/>
  <c r="Y190" i="3"/>
  <c r="E189" i="3"/>
  <c r="G184" i="2"/>
  <c r="AS185" i="2"/>
  <c r="AA185" i="2"/>
  <c r="E184" i="2"/>
  <c r="Z196" i="7" l="1"/>
  <c r="G195" i="7"/>
  <c r="Y196" i="7"/>
  <c r="E195" i="7"/>
  <c r="E196" i="5"/>
  <c r="AA197" i="5"/>
  <c r="G194" i="5"/>
  <c r="AS195" i="5"/>
  <c r="E197" i="4"/>
  <c r="Y198" i="4"/>
  <c r="Z196" i="4"/>
  <c r="G195" i="4"/>
  <c r="Y191" i="3"/>
  <c r="E190" i="3"/>
  <c r="Z191" i="3"/>
  <c r="G190" i="3"/>
  <c r="AA186" i="2"/>
  <c r="E185" i="2"/>
  <c r="G185" i="2"/>
  <c r="AS186" i="2"/>
  <c r="Z197" i="7" l="1"/>
  <c r="G196" i="7"/>
  <c r="Y197" i="7"/>
  <c r="E196" i="7"/>
  <c r="AS196" i="5"/>
  <c r="G195" i="5"/>
  <c r="E197" i="5"/>
  <c r="AA198" i="5"/>
  <c r="G196" i="4"/>
  <c r="Z197" i="4"/>
  <c r="Y199" i="4"/>
  <c r="E198" i="4"/>
  <c r="Z192" i="3"/>
  <c r="G191" i="3"/>
  <c r="Y192" i="3"/>
  <c r="E191" i="3"/>
  <c r="AS187" i="2"/>
  <c r="G186" i="2"/>
  <c r="E186" i="2"/>
  <c r="AA187" i="2"/>
  <c r="Z198" i="7" l="1"/>
  <c r="G197" i="7"/>
  <c r="Y198" i="7"/>
  <c r="E197" i="7"/>
  <c r="AA199" i="5"/>
  <c r="E198" i="5"/>
  <c r="AS197" i="5"/>
  <c r="G196" i="5"/>
  <c r="E199" i="4"/>
  <c r="Y200" i="4"/>
  <c r="G197" i="4"/>
  <c r="Z198" i="4"/>
  <c r="E192" i="3"/>
  <c r="Y193" i="3"/>
  <c r="Z193" i="3"/>
  <c r="G192" i="3"/>
  <c r="AA188" i="2"/>
  <c r="E187" i="2"/>
  <c r="AS188" i="2"/>
  <c r="G187" i="2"/>
  <c r="Z199" i="7" l="1"/>
  <c r="G198" i="7"/>
  <c r="Y199" i="7"/>
  <c r="E198" i="7"/>
  <c r="AS198" i="5"/>
  <c r="G197" i="5"/>
  <c r="E199" i="5"/>
  <c r="AA200" i="5"/>
  <c r="G198" i="4"/>
  <c r="Z199" i="4"/>
  <c r="Y201" i="4"/>
  <c r="E200" i="4"/>
  <c r="G193" i="3"/>
  <c r="Z194" i="3"/>
  <c r="E193" i="3"/>
  <c r="Y194" i="3"/>
  <c r="AS189" i="2"/>
  <c r="G188" i="2"/>
  <c r="AA189" i="2"/>
  <c r="E188" i="2"/>
  <c r="Z200" i="7" l="1"/>
  <c r="G199" i="7"/>
  <c r="Y200" i="7"/>
  <c r="E199" i="7"/>
  <c r="E200" i="5"/>
  <c r="AA201" i="5"/>
  <c r="AS199" i="5"/>
  <c r="G198" i="5"/>
  <c r="Y202" i="4"/>
  <c r="E201" i="4"/>
  <c r="G199" i="4"/>
  <c r="Z200" i="4"/>
  <c r="Y195" i="3"/>
  <c r="E194" i="3"/>
  <c r="Z195" i="3"/>
  <c r="G194" i="3"/>
  <c r="AA190" i="2"/>
  <c r="E189" i="2"/>
  <c r="G189" i="2"/>
  <c r="AS190" i="2"/>
  <c r="Z201" i="7" l="1"/>
  <c r="G200" i="7"/>
  <c r="Y201" i="7"/>
  <c r="E200" i="7"/>
  <c r="AS200" i="5"/>
  <c r="G199" i="5"/>
  <c r="AA202" i="5"/>
  <c r="E201" i="5"/>
  <c r="Z201" i="4"/>
  <c r="G200" i="4"/>
  <c r="Y203" i="4"/>
  <c r="E202" i="4"/>
  <c r="Z196" i="3"/>
  <c r="G195" i="3"/>
  <c r="Y196" i="3"/>
  <c r="E195" i="3"/>
  <c r="AS191" i="2"/>
  <c r="G190" i="2"/>
  <c r="E190" i="2"/>
  <c r="AA191" i="2"/>
  <c r="Z202" i="7" l="1"/>
  <c r="G201" i="7"/>
  <c r="Y202" i="7"/>
  <c r="E201" i="7"/>
  <c r="AA203" i="5"/>
  <c r="E202" i="5"/>
  <c r="AS201" i="5"/>
  <c r="G200" i="5"/>
  <c r="E203" i="4"/>
  <c r="Y204" i="4"/>
  <c r="Z202" i="4"/>
  <c r="G201" i="4"/>
  <c r="Y197" i="3"/>
  <c r="E196" i="3"/>
  <c r="Z197" i="3"/>
  <c r="G196" i="3"/>
  <c r="E191" i="2"/>
  <c r="AA192" i="2"/>
  <c r="AS192" i="2"/>
  <c r="G191" i="2"/>
  <c r="Z203" i="7" l="1"/>
  <c r="G202" i="7"/>
  <c r="AC58" i="7"/>
  <c r="AD62" i="7"/>
  <c r="AE62" i="7" s="1"/>
  <c r="AC56" i="7"/>
  <c r="AD61" i="7"/>
  <c r="AD58" i="7"/>
  <c r="AC60" i="7"/>
  <c r="AD57" i="7"/>
  <c r="AC57" i="7"/>
  <c r="AC59" i="7"/>
  <c r="AD60" i="7"/>
  <c r="AD56" i="7"/>
  <c r="AD59" i="7"/>
  <c r="AC61" i="7"/>
  <c r="AC62" i="7"/>
  <c r="Y203" i="7"/>
  <c r="E202" i="7"/>
  <c r="AS202" i="5"/>
  <c r="G201" i="5"/>
  <c r="AA204" i="5"/>
  <c r="E203" i="5"/>
  <c r="AD62" i="4"/>
  <c r="AE62" i="4" s="1"/>
  <c r="AD59" i="4"/>
  <c r="AC57" i="4"/>
  <c r="AC60" i="4"/>
  <c r="AC59" i="4"/>
  <c r="AD60" i="4"/>
  <c r="AD57" i="4"/>
  <c r="AD61" i="4"/>
  <c r="AC58" i="4"/>
  <c r="AC61" i="4"/>
  <c r="AC56" i="4"/>
  <c r="AD56" i="4"/>
  <c r="AD58" i="4"/>
  <c r="AC62" i="4"/>
  <c r="Z203" i="4"/>
  <c r="G202" i="4"/>
  <c r="Y205" i="4"/>
  <c r="E204" i="4"/>
  <c r="Z198" i="3"/>
  <c r="G197" i="3"/>
  <c r="Y198" i="3"/>
  <c r="E197" i="3"/>
  <c r="AS193" i="2"/>
  <c r="G192" i="2"/>
  <c r="E192" i="2"/>
  <c r="AA193" i="2"/>
  <c r="Z204" i="7" l="1"/>
  <c r="G203" i="7"/>
  <c r="AE61" i="7"/>
  <c r="AE58" i="7"/>
  <c r="AE57" i="7"/>
  <c r="AE60" i="7"/>
  <c r="AE56" i="7"/>
  <c r="L200" i="7" s="1"/>
  <c r="AE59" i="7"/>
  <c r="Y204" i="7"/>
  <c r="E203" i="7"/>
  <c r="AE55" i="5"/>
  <c r="AF57" i="5"/>
  <c r="AF60" i="5"/>
  <c r="AE60" i="5"/>
  <c r="AH60" i="5" s="1"/>
  <c r="AI60" i="5" s="1"/>
  <c r="AF55" i="5"/>
  <c r="AF59" i="5"/>
  <c r="AE59" i="5"/>
  <c r="AE58" i="5"/>
  <c r="AH58" i="5" s="1"/>
  <c r="AI58" i="5" s="1"/>
  <c r="AF58" i="5"/>
  <c r="AF61" i="5"/>
  <c r="AE57" i="5"/>
  <c r="AH57" i="5" s="1"/>
  <c r="AI57" i="5" s="1"/>
  <c r="AE61" i="5"/>
  <c r="AH61" i="5" s="1"/>
  <c r="AI61" i="5" s="1"/>
  <c r="AF56" i="5"/>
  <c r="AE56" i="5"/>
  <c r="AH56" i="5" s="1"/>
  <c r="AI56" i="5" s="1"/>
  <c r="E204" i="5"/>
  <c r="AA205" i="5"/>
  <c r="AS203" i="5"/>
  <c r="G202" i="5"/>
  <c r="AE58" i="4"/>
  <c r="AE56" i="4"/>
  <c r="AE61" i="4"/>
  <c r="AE57" i="4"/>
  <c r="AE60" i="4"/>
  <c r="AE59" i="4"/>
  <c r="E205" i="4"/>
  <c r="Y206" i="4"/>
  <c r="Z204" i="4"/>
  <c r="G203" i="4"/>
  <c r="Y199" i="3"/>
  <c r="E198" i="3"/>
  <c r="G198" i="3"/>
  <c r="Z199" i="3"/>
  <c r="AA194" i="2"/>
  <c r="E193" i="2"/>
  <c r="G193" i="2"/>
  <c r="AS194" i="2"/>
  <c r="N200" i="7" l="1"/>
  <c r="M200" i="7"/>
  <c r="L186" i="7"/>
  <c r="L193" i="7"/>
  <c r="L172" i="7"/>
  <c r="L179" i="7"/>
  <c r="AF56" i="7"/>
  <c r="AF60" i="7"/>
  <c r="AF61" i="7"/>
  <c r="AF58" i="7"/>
  <c r="AF59" i="7"/>
  <c r="AF57" i="7"/>
  <c r="Z205" i="7"/>
  <c r="G204" i="7"/>
  <c r="L199" i="7"/>
  <c r="L192" i="7"/>
  <c r="L185" i="7"/>
  <c r="L178" i="7"/>
  <c r="L196" i="7"/>
  <c r="L189" i="7"/>
  <c r="L182" i="7"/>
  <c r="L175" i="7"/>
  <c r="L195" i="7"/>
  <c r="L188" i="7"/>
  <c r="L181" i="7"/>
  <c r="L174" i="7"/>
  <c r="L198" i="7"/>
  <c r="L191" i="7"/>
  <c r="L184" i="7"/>
  <c r="L177" i="7"/>
  <c r="L201" i="7"/>
  <c r="L194" i="7"/>
  <c r="L187" i="7"/>
  <c r="L180" i="7"/>
  <c r="L173" i="7"/>
  <c r="L197" i="7"/>
  <c r="L190" i="7"/>
  <c r="L183" i="7"/>
  <c r="L176" i="7"/>
  <c r="Y205" i="7"/>
  <c r="E204" i="7"/>
  <c r="AS204" i="5"/>
  <c r="G203" i="5"/>
  <c r="AA206" i="5"/>
  <c r="E205" i="5"/>
  <c r="AH59" i="5"/>
  <c r="AI59" i="5" s="1"/>
  <c r="AH55" i="5"/>
  <c r="AI55" i="5" s="1"/>
  <c r="G204" i="4"/>
  <c r="Z205" i="4"/>
  <c r="E206" i="4"/>
  <c r="Y207" i="4"/>
  <c r="L176" i="4"/>
  <c r="L183" i="4"/>
  <c r="L190" i="4"/>
  <c r="L197" i="4"/>
  <c r="AF59" i="4"/>
  <c r="L177" i="4"/>
  <c r="L184" i="4"/>
  <c r="L191" i="4"/>
  <c r="L198" i="4"/>
  <c r="AF60" i="4"/>
  <c r="L174" i="4"/>
  <c r="L181" i="4"/>
  <c r="L188" i="4"/>
  <c r="L195" i="4"/>
  <c r="AF57" i="4"/>
  <c r="L178" i="4"/>
  <c r="L185" i="4"/>
  <c r="L192" i="4"/>
  <c r="L199" i="4"/>
  <c r="AF61" i="4"/>
  <c r="L173" i="4"/>
  <c r="L180" i="4"/>
  <c r="L187" i="4"/>
  <c r="L194" i="4"/>
  <c r="L201" i="4"/>
  <c r="AF56" i="4"/>
  <c r="L175" i="4"/>
  <c r="L182" i="4"/>
  <c r="L189" i="4"/>
  <c r="L196" i="4"/>
  <c r="AF58" i="4"/>
  <c r="Z200" i="3"/>
  <c r="G199" i="3"/>
  <c r="Y200" i="3"/>
  <c r="E199" i="3"/>
  <c r="AS195" i="2"/>
  <c r="G194" i="2"/>
  <c r="E194" i="2"/>
  <c r="AA195" i="2"/>
  <c r="U200" i="7" l="1"/>
  <c r="P200" i="7"/>
  <c r="U193" i="7"/>
  <c r="N186" i="7"/>
  <c r="M186" i="7"/>
  <c r="P193" i="7"/>
  <c r="N193" i="7"/>
  <c r="M193" i="7"/>
  <c r="P186" i="7"/>
  <c r="U186" i="7"/>
  <c r="S193" i="7"/>
  <c r="W193" i="7"/>
  <c r="U172" i="7"/>
  <c r="N172" i="7"/>
  <c r="M172" i="7"/>
  <c r="P172" i="7"/>
  <c r="U179" i="7"/>
  <c r="R186" i="7"/>
  <c r="S186" i="7"/>
  <c r="N179" i="7"/>
  <c r="M179" i="7"/>
  <c r="P179" i="7"/>
  <c r="W172" i="7"/>
  <c r="X172" i="7"/>
  <c r="S172" i="7"/>
  <c r="R172" i="7"/>
  <c r="AF62" i="7"/>
  <c r="Z206" i="7"/>
  <c r="G205" i="7"/>
  <c r="U201" i="7"/>
  <c r="M199" i="7"/>
  <c r="N199" i="7"/>
  <c r="U194" i="7"/>
  <c r="M192" i="7"/>
  <c r="N192" i="7"/>
  <c r="U187" i="7"/>
  <c r="M185" i="7"/>
  <c r="N185" i="7"/>
  <c r="N178" i="7"/>
  <c r="M178" i="7"/>
  <c r="U180" i="7"/>
  <c r="U197" i="7"/>
  <c r="M196" i="7"/>
  <c r="N196" i="7"/>
  <c r="U190" i="7"/>
  <c r="M189" i="7"/>
  <c r="N189" i="7"/>
  <c r="U183" i="7"/>
  <c r="M182" i="7"/>
  <c r="N182" i="7"/>
  <c r="N175" i="7"/>
  <c r="M175" i="7"/>
  <c r="U176" i="7"/>
  <c r="U196" i="7"/>
  <c r="M195" i="7"/>
  <c r="N195" i="7"/>
  <c r="U189" i="7"/>
  <c r="M188" i="7"/>
  <c r="N188" i="7"/>
  <c r="N181" i="7"/>
  <c r="M181" i="7"/>
  <c r="U182" i="7"/>
  <c r="N174" i="7"/>
  <c r="M174" i="7"/>
  <c r="U175" i="7"/>
  <c r="U199" i="7"/>
  <c r="M198" i="7"/>
  <c r="N198" i="7"/>
  <c r="U192" i="7"/>
  <c r="M191" i="7"/>
  <c r="N191" i="7"/>
  <c r="U185" i="7"/>
  <c r="M184" i="7"/>
  <c r="N184" i="7"/>
  <c r="U178" i="7"/>
  <c r="M177" i="7"/>
  <c r="N177" i="7"/>
  <c r="M201" i="7"/>
  <c r="N201" i="7"/>
  <c r="U195" i="7"/>
  <c r="M194" i="7"/>
  <c r="N194" i="7"/>
  <c r="U188" i="7"/>
  <c r="M187" i="7"/>
  <c r="N187" i="7"/>
  <c r="N180" i="7"/>
  <c r="M180" i="7"/>
  <c r="U181" i="7"/>
  <c r="U173" i="7"/>
  <c r="U174" i="7"/>
  <c r="M173" i="7"/>
  <c r="N173" i="7"/>
  <c r="P173" i="7"/>
  <c r="P174" i="7"/>
  <c r="P175" i="7"/>
  <c r="P176" i="7"/>
  <c r="P177" i="7"/>
  <c r="P178" i="7"/>
  <c r="P180" i="7"/>
  <c r="P181" i="7"/>
  <c r="P182" i="7"/>
  <c r="P183" i="7"/>
  <c r="P184" i="7"/>
  <c r="P185" i="7"/>
  <c r="P187" i="7"/>
  <c r="P188" i="7"/>
  <c r="P189" i="7"/>
  <c r="P190" i="7"/>
  <c r="P191" i="7"/>
  <c r="P192" i="7"/>
  <c r="P194" i="7"/>
  <c r="P195" i="7"/>
  <c r="P196" i="7"/>
  <c r="P197" i="7"/>
  <c r="P198" i="7"/>
  <c r="P199" i="7"/>
  <c r="P201" i="7"/>
  <c r="U198" i="7"/>
  <c r="M197" i="7"/>
  <c r="N197" i="7"/>
  <c r="U191" i="7"/>
  <c r="M190" i="7"/>
  <c r="N190" i="7"/>
  <c r="N183" i="7"/>
  <c r="M183" i="7"/>
  <c r="U184" i="7"/>
  <c r="N176" i="7"/>
  <c r="M176" i="7"/>
  <c r="U177" i="7"/>
  <c r="Y206" i="7"/>
  <c r="E205" i="7"/>
  <c r="AJ55" i="5"/>
  <c r="G204" i="5"/>
  <c r="AS205" i="5"/>
  <c r="AA207" i="5"/>
  <c r="E206" i="5"/>
  <c r="N174" i="4"/>
  <c r="M174" i="4"/>
  <c r="U174" i="4"/>
  <c r="AF62" i="4"/>
  <c r="N198" i="4"/>
  <c r="M198" i="4"/>
  <c r="U198" i="4"/>
  <c r="N191" i="4"/>
  <c r="M191" i="4"/>
  <c r="U191" i="4"/>
  <c r="N184" i="4"/>
  <c r="M184" i="4"/>
  <c r="U184" i="4"/>
  <c r="N187" i="4"/>
  <c r="M187" i="4"/>
  <c r="U187" i="4"/>
  <c r="N177" i="4"/>
  <c r="M177" i="4"/>
  <c r="U177" i="4"/>
  <c r="N173" i="4"/>
  <c r="M173" i="4"/>
  <c r="P201" i="4"/>
  <c r="P197" i="4"/>
  <c r="P187" i="4"/>
  <c r="P184" i="4"/>
  <c r="P177" i="4"/>
  <c r="P195" i="4"/>
  <c r="P175" i="4"/>
  <c r="P198" i="4"/>
  <c r="P188" i="4"/>
  <c r="P185" i="4"/>
  <c r="P178" i="4"/>
  <c r="P192" i="4"/>
  <c r="P194" i="4"/>
  <c r="P191" i="4"/>
  <c r="P174" i="4"/>
  <c r="P190" i="4"/>
  <c r="P180" i="4"/>
  <c r="P176" i="4"/>
  <c r="P173" i="4"/>
  <c r="P181" i="4"/>
  <c r="P189" i="4"/>
  <c r="P199" i="4"/>
  <c r="P182" i="4"/>
  <c r="P183" i="4"/>
  <c r="P196" i="4"/>
  <c r="U173" i="4"/>
  <c r="N194" i="4"/>
  <c r="M194" i="4"/>
  <c r="U194" i="4"/>
  <c r="N180" i="4"/>
  <c r="M180" i="4"/>
  <c r="U180" i="4"/>
  <c r="N197" i="4"/>
  <c r="M197" i="4"/>
  <c r="U197" i="4"/>
  <c r="N190" i="4"/>
  <c r="M190" i="4"/>
  <c r="U190" i="4"/>
  <c r="M192" i="4"/>
  <c r="N192" i="4"/>
  <c r="U192" i="4"/>
  <c r="N183" i="4"/>
  <c r="M183" i="4"/>
  <c r="U183" i="4"/>
  <c r="N176" i="4"/>
  <c r="M176" i="4"/>
  <c r="U176" i="4"/>
  <c r="N185" i="4"/>
  <c r="M185" i="4"/>
  <c r="U185" i="4"/>
  <c r="N178" i="4"/>
  <c r="M178" i="4"/>
  <c r="U178" i="4"/>
  <c r="Y208" i="4"/>
  <c r="E207" i="4"/>
  <c r="N199" i="4"/>
  <c r="M199" i="4"/>
  <c r="U199" i="4"/>
  <c r="N196" i="4"/>
  <c r="M196" i="4"/>
  <c r="U196" i="4"/>
  <c r="N195" i="4"/>
  <c r="M195" i="4"/>
  <c r="U195" i="4"/>
  <c r="N189" i="4"/>
  <c r="M189" i="4"/>
  <c r="U189" i="4"/>
  <c r="N188" i="4"/>
  <c r="M188" i="4"/>
  <c r="U188" i="4"/>
  <c r="Z206" i="4"/>
  <c r="G205" i="4"/>
  <c r="N182" i="4"/>
  <c r="M182" i="4"/>
  <c r="U182" i="4"/>
  <c r="N181" i="4"/>
  <c r="M181" i="4"/>
  <c r="U181" i="4"/>
  <c r="N201" i="4"/>
  <c r="M201" i="4"/>
  <c r="U201" i="4"/>
  <c r="N175" i="4"/>
  <c r="M175" i="4"/>
  <c r="U175" i="4"/>
  <c r="Y201" i="3"/>
  <c r="E200" i="3"/>
  <c r="G200" i="3"/>
  <c r="Z201" i="3"/>
  <c r="E195" i="2"/>
  <c r="AA196" i="2"/>
  <c r="AS196" i="2"/>
  <c r="G195" i="2"/>
  <c r="X193" i="7" l="1"/>
  <c r="R200" i="7"/>
  <c r="S200" i="7"/>
  <c r="W186" i="7"/>
  <c r="X186" i="7"/>
  <c r="R193" i="7"/>
  <c r="W200" i="7"/>
  <c r="X200" i="7"/>
  <c r="X179" i="7"/>
  <c r="W179" i="7"/>
  <c r="S179" i="7"/>
  <c r="R179" i="7"/>
  <c r="Z207" i="7"/>
  <c r="G206" i="7"/>
  <c r="X201" i="7"/>
  <c r="W201" i="7"/>
  <c r="W194" i="7"/>
  <c r="X194" i="7"/>
  <c r="X187" i="7"/>
  <c r="W187" i="7"/>
  <c r="W180" i="7"/>
  <c r="X180" i="7"/>
  <c r="X197" i="7"/>
  <c r="W197" i="7"/>
  <c r="X190" i="7"/>
  <c r="W190" i="7"/>
  <c r="W183" i="7"/>
  <c r="X183" i="7"/>
  <c r="W176" i="7"/>
  <c r="X176" i="7"/>
  <c r="W196" i="7"/>
  <c r="X196" i="7"/>
  <c r="X189" i="7"/>
  <c r="W189" i="7"/>
  <c r="X182" i="7"/>
  <c r="W182" i="7"/>
  <c r="W175" i="7"/>
  <c r="X175" i="7"/>
  <c r="W199" i="7"/>
  <c r="X199" i="7"/>
  <c r="W192" i="7"/>
  <c r="X192" i="7"/>
  <c r="X185" i="7"/>
  <c r="W185" i="7"/>
  <c r="W178" i="7"/>
  <c r="X178" i="7"/>
  <c r="W195" i="7"/>
  <c r="X195" i="7"/>
  <c r="X188" i="7"/>
  <c r="W188" i="7"/>
  <c r="W181" i="7"/>
  <c r="X181" i="7"/>
  <c r="X173" i="7"/>
  <c r="W173" i="7"/>
  <c r="W174" i="7"/>
  <c r="X174" i="7"/>
  <c r="S173" i="7"/>
  <c r="R173" i="7"/>
  <c r="S174" i="7"/>
  <c r="R174" i="7"/>
  <c r="S175" i="7"/>
  <c r="R175" i="7"/>
  <c r="S176" i="7"/>
  <c r="R176" i="7"/>
  <c r="S177" i="7"/>
  <c r="R177" i="7"/>
  <c r="S178" i="7"/>
  <c r="R178" i="7"/>
  <c r="R180" i="7"/>
  <c r="S180" i="7"/>
  <c r="S181" i="7"/>
  <c r="R181" i="7"/>
  <c r="S182" i="7"/>
  <c r="R182" i="7"/>
  <c r="S183" i="7"/>
  <c r="R183" i="7"/>
  <c r="R184" i="7"/>
  <c r="S184" i="7"/>
  <c r="S185" i="7"/>
  <c r="R185" i="7"/>
  <c r="S187" i="7"/>
  <c r="R187" i="7"/>
  <c r="S188" i="7"/>
  <c r="R188" i="7"/>
  <c r="S189" i="7"/>
  <c r="R189" i="7"/>
  <c r="S190" i="7"/>
  <c r="R190" i="7"/>
  <c r="R191" i="7"/>
  <c r="S191" i="7"/>
  <c r="S192" i="7"/>
  <c r="R192" i="7"/>
  <c r="S194" i="7"/>
  <c r="R194" i="7"/>
  <c r="S195" i="7"/>
  <c r="R195" i="7"/>
  <c r="S196" i="7"/>
  <c r="R196" i="7"/>
  <c r="S197" i="7"/>
  <c r="R197" i="7"/>
  <c r="R198" i="7"/>
  <c r="S198" i="7"/>
  <c r="S199" i="7"/>
  <c r="R199" i="7"/>
  <c r="S201" i="7"/>
  <c r="R201" i="7"/>
  <c r="W198" i="7"/>
  <c r="X198" i="7"/>
  <c r="X191" i="7"/>
  <c r="W191" i="7"/>
  <c r="X184" i="7"/>
  <c r="W184" i="7"/>
  <c r="W177" i="7"/>
  <c r="X177" i="7"/>
  <c r="Y207" i="7"/>
  <c r="E206" i="7"/>
  <c r="AA208" i="5"/>
  <c r="E207" i="5"/>
  <c r="AS206" i="5"/>
  <c r="G205" i="5"/>
  <c r="R178" i="4"/>
  <c r="S178" i="4"/>
  <c r="W187" i="4"/>
  <c r="X187" i="4"/>
  <c r="W199" i="4"/>
  <c r="X199" i="4"/>
  <c r="X173" i="4"/>
  <c r="W173" i="4"/>
  <c r="R185" i="4"/>
  <c r="S185" i="4"/>
  <c r="X192" i="4"/>
  <c r="W192" i="4"/>
  <c r="R196" i="4"/>
  <c r="S196" i="4"/>
  <c r="R188" i="4"/>
  <c r="S188" i="4"/>
  <c r="S198" i="4"/>
  <c r="R198" i="4"/>
  <c r="X184" i="4"/>
  <c r="W184" i="4"/>
  <c r="S182" i="4"/>
  <c r="R182" i="4"/>
  <c r="R175" i="4"/>
  <c r="S175" i="4"/>
  <c r="Y209" i="4"/>
  <c r="E208" i="4"/>
  <c r="X190" i="4"/>
  <c r="W190" i="4"/>
  <c r="S199" i="4"/>
  <c r="R199" i="4"/>
  <c r="R195" i="4"/>
  <c r="S195" i="4"/>
  <c r="Z207" i="4"/>
  <c r="G206" i="4"/>
  <c r="S183" i="4"/>
  <c r="R183" i="4"/>
  <c r="X188" i="4"/>
  <c r="W188" i="4"/>
  <c r="X178" i="4"/>
  <c r="W178" i="4"/>
  <c r="R189" i="4"/>
  <c r="S189" i="4"/>
  <c r="X191" i="4"/>
  <c r="W191" i="4"/>
  <c r="X189" i="4"/>
  <c r="W189" i="4"/>
  <c r="R181" i="4"/>
  <c r="S181" i="4"/>
  <c r="R184" i="4"/>
  <c r="S184" i="4"/>
  <c r="S173" i="4"/>
  <c r="R173" i="4"/>
  <c r="R187" i="4"/>
  <c r="S187" i="4"/>
  <c r="W185" i="4"/>
  <c r="X185" i="4"/>
  <c r="S176" i="4"/>
  <c r="R176" i="4"/>
  <c r="R197" i="4"/>
  <c r="S197" i="4"/>
  <c r="X198" i="4"/>
  <c r="W198" i="4"/>
  <c r="R180" i="4"/>
  <c r="S180" i="4"/>
  <c r="R201" i="4"/>
  <c r="S201" i="4"/>
  <c r="R177" i="4"/>
  <c r="S177" i="4"/>
  <c r="X175" i="4"/>
  <c r="W175" i="4"/>
  <c r="X201" i="4"/>
  <c r="W201" i="4"/>
  <c r="X195" i="4"/>
  <c r="W195" i="4"/>
  <c r="X180" i="4"/>
  <c r="W180" i="4"/>
  <c r="R190" i="4"/>
  <c r="S190" i="4"/>
  <c r="X181" i="4"/>
  <c r="W181" i="4"/>
  <c r="W176" i="4"/>
  <c r="X176" i="4"/>
  <c r="S174" i="4"/>
  <c r="R174" i="4"/>
  <c r="X197" i="4"/>
  <c r="W197" i="4"/>
  <c r="S191" i="4"/>
  <c r="R191" i="4"/>
  <c r="X177" i="4"/>
  <c r="W177" i="4"/>
  <c r="X174" i="4"/>
  <c r="W174" i="4"/>
  <c r="X196" i="4"/>
  <c r="W196" i="4"/>
  <c r="X194" i="4"/>
  <c r="W194" i="4"/>
  <c r="S194" i="4"/>
  <c r="R194" i="4"/>
  <c r="X182" i="4"/>
  <c r="W182" i="4"/>
  <c r="X183" i="4"/>
  <c r="W183" i="4"/>
  <c r="S192" i="4"/>
  <c r="R192" i="4"/>
  <c r="Z202" i="3"/>
  <c r="G201" i="3"/>
  <c r="Y202" i="3"/>
  <c r="E201" i="3"/>
  <c r="AS197" i="2"/>
  <c r="G196" i="2"/>
  <c r="E196" i="2"/>
  <c r="AA197" i="2"/>
  <c r="Z208" i="7" l="1"/>
  <c r="G207" i="7"/>
  <c r="Y208" i="7"/>
  <c r="E207" i="7"/>
  <c r="AS207" i="5"/>
  <c r="G206" i="5"/>
  <c r="E208" i="5"/>
  <c r="AA209" i="5"/>
  <c r="E209" i="4"/>
  <c r="Y210" i="4"/>
  <c r="G207" i="4"/>
  <c r="Z208" i="4"/>
  <c r="AC57" i="3"/>
  <c r="AC58" i="3"/>
  <c r="AD61" i="3"/>
  <c r="AC61" i="3"/>
  <c r="AD59" i="3"/>
  <c r="AC62" i="3"/>
  <c r="AD57" i="3"/>
  <c r="AC59" i="3"/>
  <c r="AD60" i="3"/>
  <c r="AC60" i="3"/>
  <c r="AC56" i="3"/>
  <c r="AD58" i="3"/>
  <c r="AD56" i="3"/>
  <c r="AD62" i="3"/>
  <c r="AE62" i="3" s="1"/>
  <c r="Y203" i="3"/>
  <c r="E202" i="3"/>
  <c r="G202" i="3"/>
  <c r="Z203" i="3"/>
  <c r="E197" i="2"/>
  <c r="AA198" i="2"/>
  <c r="G197" i="2"/>
  <c r="AS198" i="2"/>
  <c r="Z209" i="7" l="1"/>
  <c r="G208" i="7"/>
  <c r="Y209" i="7"/>
  <c r="E208" i="7"/>
  <c r="AA210" i="5"/>
  <c r="E209" i="5"/>
  <c r="AS208" i="5"/>
  <c r="G207" i="5"/>
  <c r="Z209" i="4"/>
  <c r="G208" i="4"/>
  <c r="Y211" i="4"/>
  <c r="E210" i="4"/>
  <c r="AE57" i="3"/>
  <c r="AE59" i="3"/>
  <c r="AE58" i="3"/>
  <c r="AE56" i="3"/>
  <c r="AE61" i="3"/>
  <c r="AE60" i="3"/>
  <c r="Z204" i="3"/>
  <c r="G203" i="3"/>
  <c r="Y204" i="3"/>
  <c r="E203" i="3"/>
  <c r="AS199" i="2"/>
  <c r="G198" i="2"/>
  <c r="E198" i="2"/>
  <c r="AA199" i="2"/>
  <c r="Z210" i="7" l="1"/>
  <c r="G209" i="7"/>
  <c r="Y210" i="7"/>
  <c r="E209" i="7"/>
  <c r="AS209" i="5"/>
  <c r="G208" i="5"/>
  <c r="AA211" i="5"/>
  <c r="E210" i="5"/>
  <c r="Y212" i="4"/>
  <c r="E211" i="4"/>
  <c r="G209" i="4"/>
  <c r="Z210" i="4"/>
  <c r="L176" i="3"/>
  <c r="L197" i="3"/>
  <c r="L183" i="3"/>
  <c r="L190" i="3"/>
  <c r="L191" i="3"/>
  <c r="L177" i="3"/>
  <c r="L198" i="3"/>
  <c r="L184" i="3"/>
  <c r="L192" i="3"/>
  <c r="L178" i="3"/>
  <c r="L185" i="3"/>
  <c r="L199" i="3"/>
  <c r="L194" i="3"/>
  <c r="L180" i="3"/>
  <c r="L201" i="3"/>
  <c r="L187" i="3"/>
  <c r="L173" i="3"/>
  <c r="L175" i="3"/>
  <c r="L196" i="3"/>
  <c r="L182" i="3"/>
  <c r="L189" i="3"/>
  <c r="L195" i="3"/>
  <c r="L181" i="3"/>
  <c r="L188" i="3"/>
  <c r="L174" i="3"/>
  <c r="AF60" i="3"/>
  <c r="AF61" i="3"/>
  <c r="AF56" i="3"/>
  <c r="AF58" i="3"/>
  <c r="AF59" i="3"/>
  <c r="AF57" i="3"/>
  <c r="Y205" i="3"/>
  <c r="E204" i="3"/>
  <c r="G204" i="3"/>
  <c r="Z205" i="3"/>
  <c r="E199" i="2"/>
  <c r="AA200" i="2"/>
  <c r="AS200" i="2"/>
  <c r="G199" i="2"/>
  <c r="Z211" i="7" l="1"/>
  <c r="G210" i="7"/>
  <c r="Y211" i="7"/>
  <c r="E210" i="7"/>
  <c r="AA212" i="5"/>
  <c r="E211" i="5"/>
  <c r="AS210" i="5"/>
  <c r="G209" i="5"/>
  <c r="Z211" i="4"/>
  <c r="G210" i="4"/>
  <c r="E212" i="4"/>
  <c r="Y213" i="4"/>
  <c r="AF62" i="3"/>
  <c r="M185" i="3"/>
  <c r="N185" i="3"/>
  <c r="M197" i="3"/>
  <c r="N197" i="3"/>
  <c r="N181" i="3"/>
  <c r="M181" i="3"/>
  <c r="M187" i="3"/>
  <c r="N187" i="3"/>
  <c r="N195" i="3"/>
  <c r="M195" i="3"/>
  <c r="N173" i="3"/>
  <c r="P190" i="3"/>
  <c r="P175" i="3"/>
  <c r="P182" i="3"/>
  <c r="M173" i="3"/>
  <c r="P177" i="3"/>
  <c r="P191" i="3"/>
  <c r="P173" i="3"/>
  <c r="P185" i="3"/>
  <c r="P194" i="3"/>
  <c r="P187" i="3"/>
  <c r="P178" i="3"/>
  <c r="P174" i="3"/>
  <c r="P181" i="3"/>
  <c r="P198" i="3"/>
  <c r="P188" i="3"/>
  <c r="P201" i="3"/>
  <c r="P192" i="3"/>
  <c r="P195" i="3"/>
  <c r="P197" i="3"/>
  <c r="P189" i="3"/>
  <c r="P199" i="3"/>
  <c r="P184" i="3"/>
  <c r="P183" i="3"/>
  <c r="P176" i="3"/>
  <c r="P196" i="3"/>
  <c r="P180" i="3"/>
  <c r="N188" i="3"/>
  <c r="M188" i="3"/>
  <c r="M201" i="3"/>
  <c r="N201" i="3"/>
  <c r="N194" i="3"/>
  <c r="M194" i="3"/>
  <c r="N183" i="3"/>
  <c r="M183" i="3"/>
  <c r="N178" i="3"/>
  <c r="M178" i="3"/>
  <c r="N174" i="3"/>
  <c r="M174" i="3"/>
  <c r="M180" i="3"/>
  <c r="N180" i="3"/>
  <c r="M182" i="3"/>
  <c r="N182" i="3"/>
  <c r="N177" i="3"/>
  <c r="M177" i="3"/>
  <c r="N175" i="3"/>
  <c r="M175" i="3"/>
  <c r="N198" i="3"/>
  <c r="M198" i="3"/>
  <c r="N196" i="3"/>
  <c r="M196" i="3"/>
  <c r="N191" i="3"/>
  <c r="M191" i="3"/>
  <c r="N176" i="3"/>
  <c r="M176" i="3"/>
  <c r="N189" i="3"/>
  <c r="M189" i="3"/>
  <c r="N199" i="3"/>
  <c r="M199" i="3"/>
  <c r="N184" i="3"/>
  <c r="M184" i="3"/>
  <c r="M190" i="3"/>
  <c r="N190" i="3"/>
  <c r="N192" i="3"/>
  <c r="M192" i="3"/>
  <c r="Z206" i="3"/>
  <c r="G205" i="3"/>
  <c r="Y206" i="3"/>
  <c r="E205" i="3"/>
  <c r="AS201" i="2"/>
  <c r="G200" i="2"/>
  <c r="E200" i="2"/>
  <c r="AA201" i="2"/>
  <c r="Z212" i="7" l="1"/>
  <c r="G211" i="7"/>
  <c r="Y212" i="7"/>
  <c r="E211" i="7"/>
  <c r="AS211" i="5"/>
  <c r="G210" i="5"/>
  <c r="E212" i="5"/>
  <c r="AA213" i="5"/>
  <c r="E213" i="4"/>
  <c r="Y214" i="4"/>
  <c r="Z212" i="4"/>
  <c r="G211" i="4"/>
  <c r="R181" i="3"/>
  <c r="S181" i="3"/>
  <c r="R174" i="3"/>
  <c r="S174" i="3"/>
  <c r="S178" i="3"/>
  <c r="R178" i="3"/>
  <c r="R180" i="3"/>
  <c r="S180" i="3"/>
  <c r="R175" i="3"/>
  <c r="S175" i="3"/>
  <c r="S194" i="3"/>
  <c r="R194" i="3"/>
  <c r="S201" i="3"/>
  <c r="R201" i="3"/>
  <c r="S185" i="3"/>
  <c r="R185" i="3"/>
  <c r="R199" i="3"/>
  <c r="S199" i="3"/>
  <c r="S189" i="3"/>
  <c r="R189" i="3"/>
  <c r="S197" i="3"/>
  <c r="R197" i="3"/>
  <c r="S187" i="3"/>
  <c r="R187" i="3"/>
  <c r="S196" i="3"/>
  <c r="R196" i="3"/>
  <c r="S192" i="3"/>
  <c r="R192" i="3"/>
  <c r="R183" i="3"/>
  <c r="S183" i="3"/>
  <c r="S188" i="3"/>
  <c r="R188" i="3"/>
  <c r="S173" i="3"/>
  <c r="R173" i="3"/>
  <c r="S177" i="3"/>
  <c r="R177" i="3"/>
  <c r="R182" i="3"/>
  <c r="S182" i="3"/>
  <c r="R195" i="3"/>
  <c r="S195" i="3"/>
  <c r="S190" i="3"/>
  <c r="R190" i="3"/>
  <c r="S176" i="3"/>
  <c r="R176" i="3"/>
  <c r="R184" i="3"/>
  <c r="S184" i="3"/>
  <c r="S198" i="3"/>
  <c r="R198" i="3"/>
  <c r="R191" i="3"/>
  <c r="S191" i="3"/>
  <c r="Y207" i="3"/>
  <c r="E206" i="3"/>
  <c r="G206" i="3"/>
  <c r="Z207" i="3"/>
  <c r="E201" i="2"/>
  <c r="AA202" i="2"/>
  <c r="G201" i="2"/>
  <c r="AS202" i="2"/>
  <c r="Z213" i="7" l="1"/>
  <c r="G212" i="7"/>
  <c r="Y213" i="7"/>
  <c r="E212" i="7"/>
  <c r="AA214" i="5"/>
  <c r="E213" i="5"/>
  <c r="AS212" i="5"/>
  <c r="G211" i="5"/>
  <c r="Y215" i="4"/>
  <c r="E214" i="4"/>
  <c r="G212" i="4"/>
  <c r="Z213" i="4"/>
  <c r="AE55" i="2"/>
  <c r="AF61" i="2"/>
  <c r="AE61" i="2"/>
  <c r="AE59" i="2"/>
  <c r="AF59" i="2"/>
  <c r="AE60" i="2"/>
  <c r="AE57" i="2"/>
  <c r="AE56" i="2"/>
  <c r="AF60" i="2"/>
  <c r="AF58" i="2"/>
  <c r="AF56" i="2"/>
  <c r="AE58" i="2"/>
  <c r="AF55" i="2"/>
  <c r="AF57" i="2"/>
  <c r="Z208" i="3"/>
  <c r="G207" i="3"/>
  <c r="Y208" i="3"/>
  <c r="E207" i="3"/>
  <c r="AS203" i="2"/>
  <c r="G202" i="2"/>
  <c r="E202" i="2"/>
  <c r="AA203" i="2"/>
  <c r="Z214" i="7" l="1"/>
  <c r="G213" i="7"/>
  <c r="Y214" i="7"/>
  <c r="E213" i="7"/>
  <c r="AS213" i="5"/>
  <c r="G212" i="5"/>
  <c r="AA215" i="5"/>
  <c r="E214" i="5"/>
  <c r="G213" i="4"/>
  <c r="Z214" i="4"/>
  <c r="Y216" i="4"/>
  <c r="E215" i="4"/>
  <c r="AH56" i="2"/>
  <c r="AH60" i="2"/>
  <c r="AH58" i="2"/>
  <c r="AH59" i="2"/>
  <c r="AH57" i="2"/>
  <c r="AH61" i="2"/>
  <c r="AH55" i="2"/>
  <c r="Y209" i="3"/>
  <c r="E208" i="3"/>
  <c r="G208" i="3"/>
  <c r="Z209" i="3"/>
  <c r="AA204" i="2"/>
  <c r="E203" i="2"/>
  <c r="G203" i="2"/>
  <c r="AS204" i="2"/>
  <c r="Z215" i="7" l="1"/>
  <c r="G214" i="7"/>
  <c r="Y215" i="7"/>
  <c r="E214" i="7"/>
  <c r="AA216" i="5"/>
  <c r="E215" i="5"/>
  <c r="AS214" i="5"/>
  <c r="G213" i="5"/>
  <c r="Y217" i="4"/>
  <c r="E216" i="4"/>
  <c r="Z215" i="4"/>
  <c r="G214" i="4"/>
  <c r="G209" i="3"/>
  <c r="Z210" i="3"/>
  <c r="Y210" i="3"/>
  <c r="E209" i="3"/>
  <c r="G204" i="2"/>
  <c r="AS205" i="2"/>
  <c r="AA205" i="2"/>
  <c r="E204" i="2"/>
  <c r="Z216" i="7" l="1"/>
  <c r="G215" i="7"/>
  <c r="Y216" i="7"/>
  <c r="E215" i="7"/>
  <c r="AS215" i="5"/>
  <c r="G214" i="5"/>
  <c r="E216" i="5"/>
  <c r="AA217" i="5"/>
  <c r="Z216" i="4"/>
  <c r="G215" i="4"/>
  <c r="Y218" i="4"/>
  <c r="E217" i="4"/>
  <c r="Y211" i="3"/>
  <c r="E210" i="3"/>
  <c r="Z211" i="3"/>
  <c r="G210" i="3"/>
  <c r="E205" i="2"/>
  <c r="AA206" i="2"/>
  <c r="G205" i="2"/>
  <c r="AS206" i="2"/>
  <c r="Z217" i="7" l="1"/>
  <c r="G216" i="7"/>
  <c r="Y217" i="7"/>
  <c r="E216" i="7"/>
  <c r="AA218" i="5"/>
  <c r="E217" i="5"/>
  <c r="AS216" i="5"/>
  <c r="G215" i="5"/>
  <c r="E218" i="4"/>
  <c r="Y219" i="4"/>
  <c r="Z217" i="4"/>
  <c r="G216" i="4"/>
  <c r="Z212" i="3"/>
  <c r="G211" i="3"/>
  <c r="Y212" i="3"/>
  <c r="E211" i="3"/>
  <c r="E206" i="2"/>
  <c r="AA207" i="2"/>
  <c r="AS207" i="2"/>
  <c r="G206" i="2"/>
  <c r="Z218" i="7" l="1"/>
  <c r="G217" i="7"/>
  <c r="Y218" i="7"/>
  <c r="E217" i="7"/>
  <c r="AS217" i="5"/>
  <c r="G216" i="5"/>
  <c r="AA219" i="5"/>
  <c r="E218" i="5"/>
  <c r="Z218" i="4"/>
  <c r="G217" i="4"/>
  <c r="E219" i="4"/>
  <c r="Y220" i="4"/>
  <c r="Y213" i="3"/>
  <c r="E212" i="3"/>
  <c r="Z213" i="3"/>
  <c r="G212" i="3"/>
  <c r="G207" i="2"/>
  <c r="AS208" i="2"/>
  <c r="AA208" i="2"/>
  <c r="E207" i="2"/>
  <c r="Z219" i="7" l="1"/>
  <c r="G218" i="7"/>
  <c r="Y219" i="7"/>
  <c r="E218" i="7"/>
  <c r="AA220" i="5"/>
  <c r="E219" i="5"/>
  <c r="AS218" i="5"/>
  <c r="G217" i="5"/>
  <c r="Y221" i="4"/>
  <c r="E220" i="4"/>
  <c r="G218" i="4"/>
  <c r="Z219" i="4"/>
  <c r="Z214" i="3"/>
  <c r="G213" i="3"/>
  <c r="Y214" i="3"/>
  <c r="E213" i="3"/>
  <c r="AA209" i="2"/>
  <c r="E208" i="2"/>
  <c r="G208" i="2"/>
  <c r="AS209" i="2"/>
  <c r="Z220" i="7" l="1"/>
  <c r="G219" i="7"/>
  <c r="Y220" i="7"/>
  <c r="E219" i="7"/>
  <c r="G218" i="5"/>
  <c r="AS219" i="5"/>
  <c r="AA221" i="5"/>
  <c r="E220" i="5"/>
  <c r="G219" i="4"/>
  <c r="Z220" i="4"/>
  <c r="Y222" i="4"/>
  <c r="E221" i="4"/>
  <c r="Y215" i="3"/>
  <c r="E214" i="3"/>
  <c r="Z215" i="3"/>
  <c r="G214" i="3"/>
  <c r="G209" i="2"/>
  <c r="AS210" i="2"/>
  <c r="E209" i="2"/>
  <c r="AA210" i="2"/>
  <c r="Z221" i="7" l="1"/>
  <c r="G220" i="7"/>
  <c r="Y221" i="7"/>
  <c r="E220" i="7"/>
  <c r="E221" i="5"/>
  <c r="AA222" i="5"/>
  <c r="AS220" i="5"/>
  <c r="G219" i="5"/>
  <c r="Y223" i="4"/>
  <c r="E222" i="4"/>
  <c r="Z221" i="4"/>
  <c r="G220" i="4"/>
  <c r="Z216" i="3"/>
  <c r="G215" i="3"/>
  <c r="Y216" i="3"/>
  <c r="E215" i="3"/>
  <c r="E210" i="2"/>
  <c r="AA211" i="2"/>
  <c r="G210" i="2"/>
  <c r="AS211" i="2"/>
  <c r="Z222" i="7" l="1"/>
  <c r="G221" i="7"/>
  <c r="Y222" i="7"/>
  <c r="E221" i="7"/>
  <c r="AS221" i="5"/>
  <c r="G220" i="5"/>
  <c r="AA223" i="5"/>
  <c r="E222" i="5"/>
  <c r="Z222" i="4"/>
  <c r="G221" i="4"/>
  <c r="E223" i="4"/>
  <c r="Y224" i="4"/>
  <c r="Y217" i="3"/>
  <c r="E216" i="3"/>
  <c r="Z217" i="3"/>
  <c r="G216" i="3"/>
  <c r="E211" i="2"/>
  <c r="AA212" i="2"/>
  <c r="AS212" i="2"/>
  <c r="G211" i="2"/>
  <c r="Z223" i="7" l="1"/>
  <c r="G222" i="7"/>
  <c r="Y223" i="7"/>
  <c r="E222" i="7"/>
  <c r="E223" i="5"/>
  <c r="AA224" i="5"/>
  <c r="G221" i="5"/>
  <c r="AS222" i="5"/>
  <c r="E224" i="4"/>
  <c r="Y225" i="4"/>
  <c r="Z223" i="4"/>
  <c r="G222" i="4"/>
  <c r="Z218" i="3"/>
  <c r="G217" i="3"/>
  <c r="Y218" i="3"/>
  <c r="E217" i="3"/>
  <c r="G212" i="2"/>
  <c r="AS213" i="2"/>
  <c r="AA213" i="2"/>
  <c r="E212" i="2"/>
  <c r="Z224" i="7" l="1"/>
  <c r="G223" i="7"/>
  <c r="Y224" i="7"/>
  <c r="E223" i="7"/>
  <c r="G222" i="5"/>
  <c r="AS223" i="5"/>
  <c r="E224" i="5"/>
  <c r="AA225" i="5"/>
  <c r="G223" i="4"/>
  <c r="Z224" i="4"/>
  <c r="E225" i="4"/>
  <c r="Y226" i="4"/>
  <c r="Y219" i="3"/>
  <c r="E218" i="3"/>
  <c r="Z219" i="3"/>
  <c r="G218" i="3"/>
  <c r="E213" i="2"/>
  <c r="AA214" i="2"/>
  <c r="G213" i="2"/>
  <c r="AS214" i="2"/>
  <c r="Z225" i="7" l="1"/>
  <c r="G224" i="7"/>
  <c r="Y225" i="7"/>
  <c r="E224" i="7"/>
  <c r="E225" i="5"/>
  <c r="AA226" i="5"/>
  <c r="G223" i="5"/>
  <c r="AS224" i="5"/>
  <c r="Y227" i="4"/>
  <c r="E226" i="4"/>
  <c r="G224" i="4"/>
  <c r="Z225" i="4"/>
  <c r="Z220" i="3"/>
  <c r="G219" i="3"/>
  <c r="E219" i="3"/>
  <c r="Y220" i="3"/>
  <c r="E214" i="2"/>
  <c r="AA215" i="2"/>
  <c r="AS215" i="2"/>
  <c r="G214" i="2"/>
  <c r="Z226" i="7" l="1"/>
  <c r="G225" i="7"/>
  <c r="Y226" i="7"/>
  <c r="E225" i="7"/>
  <c r="G224" i="5"/>
  <c r="AS225" i="5"/>
  <c r="E226" i="5"/>
  <c r="AA227" i="5"/>
  <c r="Y228" i="4"/>
  <c r="E227" i="4"/>
  <c r="G225" i="4"/>
  <c r="Z226" i="4"/>
  <c r="E220" i="3"/>
  <c r="Y221" i="3"/>
  <c r="Z221" i="3"/>
  <c r="G220" i="3"/>
  <c r="G215" i="2"/>
  <c r="AS216" i="2"/>
  <c r="E215" i="2"/>
  <c r="AA216" i="2"/>
  <c r="Z227" i="7" l="1"/>
  <c r="G226" i="7"/>
  <c r="Y227" i="7"/>
  <c r="E226" i="7"/>
  <c r="E227" i="5"/>
  <c r="AA228" i="5"/>
  <c r="G225" i="5"/>
  <c r="AS226" i="5"/>
  <c r="Z227" i="4"/>
  <c r="G226" i="4"/>
  <c r="E228" i="4"/>
  <c r="Y229" i="4"/>
  <c r="Z222" i="3"/>
  <c r="G221" i="3"/>
  <c r="E221" i="3"/>
  <c r="Y222" i="3"/>
  <c r="AA217" i="2"/>
  <c r="E216" i="2"/>
  <c r="G216" i="2"/>
  <c r="AS217" i="2"/>
  <c r="Z228" i="7" l="1"/>
  <c r="G227" i="7"/>
  <c r="Y228" i="7"/>
  <c r="E227" i="7"/>
  <c r="G226" i="5"/>
  <c r="AS227" i="5"/>
  <c r="E228" i="5"/>
  <c r="AA229" i="5"/>
  <c r="E229" i="4"/>
  <c r="Y230" i="4"/>
  <c r="Z228" i="4"/>
  <c r="G227" i="4"/>
  <c r="E222" i="3"/>
  <c r="Y223" i="3"/>
  <c r="Z223" i="3"/>
  <c r="G222" i="3"/>
  <c r="G217" i="2"/>
  <c r="AS218" i="2"/>
  <c r="E217" i="2"/>
  <c r="AA218" i="2"/>
  <c r="Z229" i="7" l="1"/>
  <c r="G228" i="7"/>
  <c r="Y229" i="7"/>
  <c r="E228" i="7"/>
  <c r="AA230" i="5"/>
  <c r="E229" i="5"/>
  <c r="G227" i="5"/>
  <c r="AS228" i="5"/>
  <c r="G228" i="4"/>
  <c r="Z229" i="4"/>
  <c r="Y231" i="4"/>
  <c r="E230" i="4"/>
  <c r="Z224" i="3"/>
  <c r="G223" i="3"/>
  <c r="Y224" i="3"/>
  <c r="E223" i="3"/>
  <c r="E218" i="2"/>
  <c r="AA219" i="2"/>
  <c r="AS219" i="2"/>
  <c r="G218" i="2"/>
  <c r="Z230" i="7" l="1"/>
  <c r="G229" i="7"/>
  <c r="Y230" i="7"/>
  <c r="E229" i="7"/>
  <c r="AS229" i="5"/>
  <c r="G228" i="5"/>
  <c r="AA231" i="5"/>
  <c r="E230" i="5"/>
  <c r="Y232" i="4"/>
  <c r="E231" i="4"/>
  <c r="G229" i="4"/>
  <c r="Z230" i="4"/>
  <c r="Y225" i="3"/>
  <c r="E224" i="3"/>
  <c r="Z225" i="3"/>
  <c r="G224" i="3"/>
  <c r="G219" i="2"/>
  <c r="AS220" i="2"/>
  <c r="AA220" i="2"/>
  <c r="E219" i="2"/>
  <c r="Z231" i="7" l="1"/>
  <c r="G230" i="7"/>
  <c r="Y231" i="7"/>
  <c r="E230" i="7"/>
  <c r="E231" i="5"/>
  <c r="AA232" i="5"/>
  <c r="AS230" i="5"/>
  <c r="G229" i="5"/>
  <c r="G230" i="4"/>
  <c r="Z231" i="4"/>
  <c r="Y233" i="4"/>
  <c r="E232" i="4"/>
  <c r="Z226" i="3"/>
  <c r="G225" i="3"/>
  <c r="E225" i="3"/>
  <c r="Y226" i="3"/>
  <c r="AA221" i="2"/>
  <c r="E220" i="2"/>
  <c r="G220" i="2"/>
  <c r="AS221" i="2"/>
  <c r="Z232" i="7" l="1"/>
  <c r="G231" i="7"/>
  <c r="Y232" i="7"/>
  <c r="E231" i="7"/>
  <c r="AS231" i="5"/>
  <c r="G230" i="5"/>
  <c r="E232" i="5"/>
  <c r="AA233" i="5"/>
  <c r="E233" i="4"/>
  <c r="Y234" i="4"/>
  <c r="Z232" i="4"/>
  <c r="G231" i="4"/>
  <c r="Y227" i="3"/>
  <c r="E226" i="3"/>
  <c r="Z227" i="3"/>
  <c r="G226" i="3"/>
  <c r="G221" i="2"/>
  <c r="AS222" i="2"/>
  <c r="E221" i="2"/>
  <c r="AA222" i="2"/>
  <c r="Z233" i="7" l="1"/>
  <c r="G232" i="7"/>
  <c r="Y233" i="7"/>
  <c r="E232" i="7"/>
  <c r="E233" i="5"/>
  <c r="AA234" i="5"/>
  <c r="AS232" i="5"/>
  <c r="G231" i="5"/>
  <c r="Z233" i="4"/>
  <c r="G232" i="4"/>
  <c r="Y235" i="4"/>
  <c r="E234" i="4"/>
  <c r="Z228" i="3"/>
  <c r="G227" i="3"/>
  <c r="Y228" i="3"/>
  <c r="E227" i="3"/>
  <c r="E222" i="2"/>
  <c r="AA223" i="2"/>
  <c r="AS223" i="2"/>
  <c r="G222" i="2"/>
  <c r="Z234" i="7" l="1"/>
  <c r="G233" i="7"/>
  <c r="AC69" i="7"/>
  <c r="AC67" i="7"/>
  <c r="AD63" i="7"/>
  <c r="AC64" i="7"/>
  <c r="AD65" i="7"/>
  <c r="AD68" i="7"/>
  <c r="AD64" i="7"/>
  <c r="AC66" i="7"/>
  <c r="AD67" i="7"/>
  <c r="AC63" i="7"/>
  <c r="AD66" i="7"/>
  <c r="AC65" i="7"/>
  <c r="AC68" i="7"/>
  <c r="AD69" i="7"/>
  <c r="AE69" i="7" s="1"/>
  <c r="Y234" i="7"/>
  <c r="E233" i="7"/>
  <c r="G232" i="5"/>
  <c r="AS233" i="5"/>
  <c r="E234" i="5"/>
  <c r="AA235" i="5"/>
  <c r="E235" i="4"/>
  <c r="Y236" i="4"/>
  <c r="AC65" i="4"/>
  <c r="AD66" i="4"/>
  <c r="AC67" i="4"/>
  <c r="AC63" i="4"/>
  <c r="AD64" i="4"/>
  <c r="AD67" i="4"/>
  <c r="AC68" i="4"/>
  <c r="AC66" i="4"/>
  <c r="AD69" i="4"/>
  <c r="AE69" i="4" s="1"/>
  <c r="AC69" i="4"/>
  <c r="AC64" i="4"/>
  <c r="AD65" i="4"/>
  <c r="AD68" i="4"/>
  <c r="AD63" i="4"/>
  <c r="G233" i="4"/>
  <c r="Z234" i="4"/>
  <c r="E228" i="3"/>
  <c r="Y229" i="3"/>
  <c r="Z229" i="3"/>
  <c r="G228" i="3"/>
  <c r="G223" i="2"/>
  <c r="AS224" i="2"/>
  <c r="AA224" i="2"/>
  <c r="E223" i="2"/>
  <c r="Z235" i="7" l="1"/>
  <c r="G234" i="7"/>
  <c r="AE63" i="7"/>
  <c r="AE65" i="7"/>
  <c r="AE68" i="7"/>
  <c r="AE64" i="7"/>
  <c r="AE67" i="7"/>
  <c r="AE66" i="7"/>
  <c r="Y235" i="7"/>
  <c r="E234" i="7"/>
  <c r="E235" i="5"/>
  <c r="AA236" i="5"/>
  <c r="G233" i="5"/>
  <c r="AS234" i="5"/>
  <c r="AF65" i="5"/>
  <c r="AF67" i="5"/>
  <c r="AF63" i="5"/>
  <c r="AE62" i="5"/>
  <c r="AH62" i="5" s="1"/>
  <c r="AI62" i="5" s="1"/>
  <c r="AE65" i="5"/>
  <c r="AF62" i="5"/>
  <c r="AE68" i="5"/>
  <c r="AF68" i="5"/>
  <c r="AE64" i="5"/>
  <c r="AH64" i="5" s="1"/>
  <c r="AI64" i="5" s="1"/>
  <c r="AF66" i="5"/>
  <c r="AE67" i="5"/>
  <c r="AE63" i="5"/>
  <c r="AH63" i="5" s="1"/>
  <c r="AI63" i="5" s="1"/>
  <c r="AE66" i="5"/>
  <c r="AF64" i="5"/>
  <c r="AE68" i="4"/>
  <c r="AE65" i="4"/>
  <c r="AE67" i="4"/>
  <c r="AE64" i="4"/>
  <c r="AE66" i="4"/>
  <c r="Z235" i="4"/>
  <c r="G234" i="4"/>
  <c r="Y237" i="4"/>
  <c r="E236" i="4"/>
  <c r="AE63" i="4"/>
  <c r="Z230" i="3"/>
  <c r="G229" i="3"/>
  <c r="Y230" i="3"/>
  <c r="E229" i="3"/>
  <c r="AA225" i="2"/>
  <c r="E224" i="2"/>
  <c r="G224" i="2"/>
  <c r="AS225" i="2"/>
  <c r="L221" i="7" l="1"/>
  <c r="L228" i="7"/>
  <c r="L207" i="7"/>
  <c r="L214" i="7"/>
  <c r="AF67" i="7"/>
  <c r="AF64" i="7"/>
  <c r="AF66" i="7"/>
  <c r="AF63" i="7"/>
  <c r="AF65" i="7"/>
  <c r="AF68" i="7"/>
  <c r="Z236" i="7"/>
  <c r="G235" i="7"/>
  <c r="L229" i="7"/>
  <c r="L215" i="7"/>
  <c r="L208" i="7"/>
  <c r="L231" i="7"/>
  <c r="L224" i="7"/>
  <c r="L217" i="7"/>
  <c r="L210" i="7"/>
  <c r="L203" i="7"/>
  <c r="L227" i="7"/>
  <c r="L220" i="7"/>
  <c r="L213" i="7"/>
  <c r="L206" i="7"/>
  <c r="L230" i="7"/>
  <c r="L223" i="7"/>
  <c r="L216" i="7"/>
  <c r="L209" i="7"/>
  <c r="L202" i="7"/>
  <c r="L226" i="7"/>
  <c r="L219" i="7"/>
  <c r="L212" i="7"/>
  <c r="L205" i="7"/>
  <c r="L232" i="7"/>
  <c r="L225" i="7"/>
  <c r="L218" i="7"/>
  <c r="L211" i="7"/>
  <c r="L204" i="7"/>
  <c r="Y236" i="7"/>
  <c r="E235" i="7"/>
  <c r="AH67" i="5"/>
  <c r="AI67" i="5" s="1"/>
  <c r="AH68" i="5"/>
  <c r="AI68" i="5" s="1"/>
  <c r="AH65" i="5"/>
  <c r="AI65" i="5" s="1"/>
  <c r="AS235" i="5"/>
  <c r="G234" i="5"/>
  <c r="AA237" i="5"/>
  <c r="E236" i="5"/>
  <c r="AH66" i="5"/>
  <c r="AI66" i="5" s="1"/>
  <c r="Z236" i="4"/>
  <c r="G235" i="4"/>
  <c r="L204" i="4"/>
  <c r="L211" i="4"/>
  <c r="L218" i="4"/>
  <c r="L225" i="4"/>
  <c r="L232" i="4"/>
  <c r="AF66" i="4"/>
  <c r="L202" i="4"/>
  <c r="L209" i="4"/>
  <c r="L216" i="4"/>
  <c r="L223" i="4"/>
  <c r="L230" i="4"/>
  <c r="AF64" i="4"/>
  <c r="L205" i="4"/>
  <c r="L212" i="4"/>
  <c r="L219" i="4"/>
  <c r="L226" i="4"/>
  <c r="AF67" i="4"/>
  <c r="L203" i="4"/>
  <c r="L210" i="4"/>
  <c r="L217" i="4"/>
  <c r="L224" i="4"/>
  <c r="L231" i="4"/>
  <c r="AF65" i="4"/>
  <c r="L206" i="4"/>
  <c r="L213" i="4"/>
  <c r="L220" i="4"/>
  <c r="L227" i="4"/>
  <c r="L208" i="4"/>
  <c r="L215" i="4"/>
  <c r="L229" i="4"/>
  <c r="AF63" i="4"/>
  <c r="E237" i="4"/>
  <c r="Y238" i="4"/>
  <c r="AF68" i="4"/>
  <c r="Y231" i="3"/>
  <c r="E230" i="3"/>
  <c r="G230" i="3"/>
  <c r="Z231" i="3"/>
  <c r="G225" i="2"/>
  <c r="AS226" i="2"/>
  <c r="E225" i="2"/>
  <c r="AA226" i="2"/>
  <c r="U228" i="7" l="1"/>
  <c r="N221" i="7"/>
  <c r="M221" i="7"/>
  <c r="P228" i="7"/>
  <c r="N228" i="7"/>
  <c r="M228" i="7"/>
  <c r="U221" i="7"/>
  <c r="N207" i="7"/>
  <c r="M207" i="7"/>
  <c r="U214" i="7"/>
  <c r="P214" i="7"/>
  <c r="P221" i="7"/>
  <c r="N214" i="7"/>
  <c r="M214" i="7"/>
  <c r="P207" i="7"/>
  <c r="AF69" i="7"/>
  <c r="U207" i="7"/>
  <c r="S207" i="7"/>
  <c r="R207" i="7"/>
  <c r="Z237" i="7"/>
  <c r="G236" i="7"/>
  <c r="U230" i="7"/>
  <c r="M229" i="7"/>
  <c r="N229" i="7"/>
  <c r="U216" i="7"/>
  <c r="M215" i="7"/>
  <c r="N215" i="7"/>
  <c r="N208" i="7"/>
  <c r="M208" i="7"/>
  <c r="U209" i="7"/>
  <c r="U232" i="7"/>
  <c r="M231" i="7"/>
  <c r="N231" i="7"/>
  <c r="U225" i="7"/>
  <c r="N224" i="7"/>
  <c r="M224" i="7"/>
  <c r="N217" i="7"/>
  <c r="M217" i="7"/>
  <c r="U218" i="7"/>
  <c r="U211" i="7"/>
  <c r="M210" i="7"/>
  <c r="N210" i="7"/>
  <c r="N203" i="7"/>
  <c r="M203" i="7"/>
  <c r="U204" i="7"/>
  <c r="U229" i="7"/>
  <c r="M227" i="7"/>
  <c r="N227" i="7"/>
  <c r="M220" i="7"/>
  <c r="N220" i="7"/>
  <c r="U223" i="7"/>
  <c r="U215" i="7"/>
  <c r="M213" i="7"/>
  <c r="N213" i="7"/>
  <c r="N206" i="7"/>
  <c r="M206" i="7"/>
  <c r="U208" i="7"/>
  <c r="U231" i="7"/>
  <c r="M230" i="7"/>
  <c r="N230" i="7"/>
  <c r="U224" i="7"/>
  <c r="M223" i="7"/>
  <c r="N223" i="7"/>
  <c r="U217" i="7"/>
  <c r="M216" i="7"/>
  <c r="N216" i="7"/>
  <c r="N209" i="7"/>
  <c r="M209" i="7"/>
  <c r="U210" i="7"/>
  <c r="U202" i="7"/>
  <c r="P225" i="7"/>
  <c r="P224" i="7"/>
  <c r="P223" i="7"/>
  <c r="P220" i="7"/>
  <c r="P232" i="7"/>
  <c r="P231" i="7"/>
  <c r="P230" i="7"/>
  <c r="P229" i="7"/>
  <c r="P227" i="7"/>
  <c r="P226" i="7"/>
  <c r="P219" i="7"/>
  <c r="P218" i="7"/>
  <c r="P217" i="7"/>
  <c r="P216" i="7"/>
  <c r="P215" i="7"/>
  <c r="P213" i="7"/>
  <c r="P212" i="7"/>
  <c r="P211" i="7"/>
  <c r="P210" i="7"/>
  <c r="P209" i="7"/>
  <c r="P208" i="7"/>
  <c r="P206" i="7"/>
  <c r="P205" i="7"/>
  <c r="P204" i="7"/>
  <c r="P203" i="7"/>
  <c r="P202" i="7"/>
  <c r="N202" i="7"/>
  <c r="M202" i="7"/>
  <c r="U203" i="7"/>
  <c r="U227" i="7"/>
  <c r="M226" i="7"/>
  <c r="N226" i="7"/>
  <c r="U220" i="7"/>
  <c r="M219" i="7"/>
  <c r="N219" i="7"/>
  <c r="U213" i="7"/>
  <c r="M212" i="7"/>
  <c r="N212" i="7"/>
  <c r="N205" i="7"/>
  <c r="M205" i="7"/>
  <c r="U206" i="7"/>
  <c r="M232" i="7"/>
  <c r="N232" i="7"/>
  <c r="U226" i="7"/>
  <c r="M225" i="7"/>
  <c r="N225" i="7"/>
  <c r="U219" i="7"/>
  <c r="M218" i="7"/>
  <c r="N218" i="7"/>
  <c r="U212" i="7"/>
  <c r="M211" i="7"/>
  <c r="N211" i="7"/>
  <c r="N204" i="7"/>
  <c r="M204" i="7"/>
  <c r="U205" i="7"/>
  <c r="Y237" i="7"/>
  <c r="E236" i="7"/>
  <c r="AJ62" i="5"/>
  <c r="AA238" i="5"/>
  <c r="E237" i="5"/>
  <c r="AS236" i="5"/>
  <c r="G235" i="5"/>
  <c r="N205" i="4"/>
  <c r="M205" i="4"/>
  <c r="U205" i="4"/>
  <c r="N208" i="4"/>
  <c r="M208" i="4"/>
  <c r="U208" i="4"/>
  <c r="N227" i="4"/>
  <c r="M227" i="4"/>
  <c r="U227" i="4"/>
  <c r="N230" i="4"/>
  <c r="M230" i="4"/>
  <c r="U230" i="4"/>
  <c r="N210" i="4"/>
  <c r="M210" i="4"/>
  <c r="U210" i="4"/>
  <c r="AF69" i="4"/>
  <c r="N213" i="4"/>
  <c r="M213" i="4"/>
  <c r="U213" i="4"/>
  <c r="N223" i="4"/>
  <c r="M223" i="4"/>
  <c r="U223" i="4"/>
  <c r="N216" i="4"/>
  <c r="M216" i="4"/>
  <c r="U216" i="4"/>
  <c r="N206" i="4"/>
  <c r="M206" i="4"/>
  <c r="U206" i="4"/>
  <c r="N209" i="4"/>
  <c r="M209" i="4"/>
  <c r="U209" i="4"/>
  <c r="P225" i="4"/>
  <c r="P230" i="4"/>
  <c r="P220" i="4"/>
  <c r="P226" i="4"/>
  <c r="P217" i="4"/>
  <c r="P213" i="4"/>
  <c r="P205" i="4"/>
  <c r="P210" i="4"/>
  <c r="P229" i="4"/>
  <c r="P224" i="4"/>
  <c r="P232" i="4"/>
  <c r="P227" i="4"/>
  <c r="P231" i="4"/>
  <c r="P211" i="4"/>
  <c r="P203" i="4"/>
  <c r="P216" i="4"/>
  <c r="P206" i="4"/>
  <c r="P219" i="4"/>
  <c r="P209" i="4"/>
  <c r="P218" i="4"/>
  <c r="P204" i="4"/>
  <c r="P215" i="4"/>
  <c r="P212" i="4"/>
  <c r="P202" i="4"/>
  <c r="N202" i="4"/>
  <c r="P223" i="4"/>
  <c r="P208" i="4"/>
  <c r="M202" i="4"/>
  <c r="U202" i="4"/>
  <c r="N220" i="4"/>
  <c r="M220" i="4"/>
  <c r="U220" i="4"/>
  <c r="N231" i="4"/>
  <c r="M231" i="4"/>
  <c r="U231" i="4"/>
  <c r="N232" i="4"/>
  <c r="M232" i="4"/>
  <c r="U232" i="4"/>
  <c r="N217" i="4"/>
  <c r="M217" i="4"/>
  <c r="U217" i="4"/>
  <c r="N225" i="4"/>
  <c r="M225" i="4"/>
  <c r="U225" i="4"/>
  <c r="N218" i="4"/>
  <c r="M218" i="4"/>
  <c r="U218" i="4"/>
  <c r="N224" i="4"/>
  <c r="M224" i="4"/>
  <c r="U224" i="4"/>
  <c r="Y239" i="4"/>
  <c r="E238" i="4"/>
  <c r="N211" i="4"/>
  <c r="M211" i="4"/>
  <c r="U211" i="4"/>
  <c r="N203" i="4"/>
  <c r="M203" i="4"/>
  <c r="U203" i="4"/>
  <c r="M204" i="4"/>
  <c r="N204" i="4"/>
  <c r="U204" i="4"/>
  <c r="N226" i="4"/>
  <c r="M226" i="4"/>
  <c r="U226" i="4"/>
  <c r="N229" i="4"/>
  <c r="M229" i="4"/>
  <c r="U229" i="4"/>
  <c r="N219" i="4"/>
  <c r="M219" i="4"/>
  <c r="U219" i="4"/>
  <c r="G236" i="4"/>
  <c r="Z237" i="4"/>
  <c r="N215" i="4"/>
  <c r="M215" i="4"/>
  <c r="U215" i="4"/>
  <c r="N212" i="4"/>
  <c r="M212" i="4"/>
  <c r="U212" i="4"/>
  <c r="Z232" i="3"/>
  <c r="G231" i="3"/>
  <c r="E231" i="3"/>
  <c r="Y232" i="3"/>
  <c r="E226" i="2"/>
  <c r="AA227" i="2"/>
  <c r="AS227" i="2"/>
  <c r="G226" i="2"/>
  <c r="W214" i="7" l="1"/>
  <c r="S228" i="7"/>
  <c r="X214" i="7"/>
  <c r="R214" i="7"/>
  <c r="R228" i="7"/>
  <c r="W221" i="7"/>
  <c r="X221" i="7"/>
  <c r="W228" i="7"/>
  <c r="X228" i="7"/>
  <c r="S214" i="7"/>
  <c r="S221" i="7"/>
  <c r="R221" i="7"/>
  <c r="W207" i="7"/>
  <c r="X207" i="7"/>
  <c r="Z238" i="7"/>
  <c r="G237" i="7"/>
  <c r="W230" i="7"/>
  <c r="X230" i="7"/>
  <c r="X216" i="7"/>
  <c r="W216" i="7"/>
  <c r="X209" i="7"/>
  <c r="W209" i="7"/>
  <c r="X232" i="7"/>
  <c r="W232" i="7"/>
  <c r="W225" i="7"/>
  <c r="X225" i="7"/>
  <c r="X218" i="7"/>
  <c r="W218" i="7"/>
  <c r="W211" i="7"/>
  <c r="X211" i="7"/>
  <c r="X204" i="7"/>
  <c r="W204" i="7"/>
  <c r="W229" i="7"/>
  <c r="X229" i="7"/>
  <c r="W223" i="7"/>
  <c r="X223" i="7"/>
  <c r="W215" i="7"/>
  <c r="X215" i="7"/>
  <c r="X208" i="7"/>
  <c r="W208" i="7"/>
  <c r="W231" i="7"/>
  <c r="X231" i="7"/>
  <c r="W224" i="7"/>
  <c r="X224" i="7"/>
  <c r="X217" i="7"/>
  <c r="W217" i="7"/>
  <c r="W210" i="7"/>
  <c r="X210" i="7"/>
  <c r="X202" i="7"/>
  <c r="W202" i="7"/>
  <c r="S225" i="7"/>
  <c r="R225" i="7"/>
  <c r="S224" i="7"/>
  <c r="R224" i="7"/>
  <c r="S223" i="7"/>
  <c r="R223" i="7"/>
  <c r="S220" i="7"/>
  <c r="R220" i="7"/>
  <c r="R232" i="7"/>
  <c r="S232" i="7"/>
  <c r="R231" i="7"/>
  <c r="S231" i="7"/>
  <c r="S230" i="7"/>
  <c r="R230" i="7"/>
  <c r="S229" i="7"/>
  <c r="R229" i="7"/>
  <c r="R227" i="7"/>
  <c r="S227" i="7"/>
  <c r="S226" i="7"/>
  <c r="R226" i="7"/>
  <c r="R219" i="7"/>
  <c r="S219" i="7"/>
  <c r="S218" i="7"/>
  <c r="R218" i="7"/>
  <c r="S217" i="7"/>
  <c r="R217" i="7"/>
  <c r="S216" i="7"/>
  <c r="R216" i="7"/>
  <c r="R215" i="7"/>
  <c r="S215" i="7"/>
  <c r="S213" i="7"/>
  <c r="R213" i="7"/>
  <c r="S212" i="7"/>
  <c r="R212" i="7"/>
  <c r="S211" i="7"/>
  <c r="R211" i="7"/>
  <c r="S210" i="7"/>
  <c r="R210" i="7"/>
  <c r="R209" i="7"/>
  <c r="S209" i="7"/>
  <c r="S208" i="7"/>
  <c r="R208" i="7"/>
  <c r="R206" i="7"/>
  <c r="S206" i="7"/>
  <c r="R205" i="7"/>
  <c r="S205" i="7"/>
  <c r="S204" i="7"/>
  <c r="R204" i="7"/>
  <c r="R203" i="7"/>
  <c r="S203" i="7"/>
  <c r="S202" i="7"/>
  <c r="R202" i="7"/>
  <c r="W203" i="7"/>
  <c r="X203" i="7"/>
  <c r="X227" i="7"/>
  <c r="W227" i="7"/>
  <c r="W220" i="7"/>
  <c r="X220" i="7"/>
  <c r="W213" i="7"/>
  <c r="X213" i="7"/>
  <c r="W206" i="7"/>
  <c r="X206" i="7"/>
  <c r="X226" i="7"/>
  <c r="W226" i="7"/>
  <c r="W219" i="7"/>
  <c r="X219" i="7"/>
  <c r="X212" i="7"/>
  <c r="W212" i="7"/>
  <c r="W205" i="7"/>
  <c r="X205" i="7"/>
  <c r="Y238" i="7"/>
  <c r="E237" i="7"/>
  <c r="AS237" i="5"/>
  <c r="G236" i="5"/>
  <c r="AA239" i="5"/>
  <c r="E238" i="5"/>
  <c r="X212" i="4"/>
  <c r="W212" i="4"/>
  <c r="X209" i="4"/>
  <c r="W209" i="4"/>
  <c r="S206" i="4"/>
  <c r="R206" i="4"/>
  <c r="R211" i="4"/>
  <c r="S211" i="4"/>
  <c r="W226" i="4"/>
  <c r="X226" i="4"/>
  <c r="X204" i="4"/>
  <c r="W204" i="4"/>
  <c r="X227" i="4"/>
  <c r="W227" i="4"/>
  <c r="X220" i="4"/>
  <c r="W220" i="4"/>
  <c r="R231" i="4"/>
  <c r="S231" i="4"/>
  <c r="R227" i="4"/>
  <c r="S227" i="4"/>
  <c r="X206" i="4"/>
  <c r="W206" i="4"/>
  <c r="R224" i="4"/>
  <c r="S224" i="4"/>
  <c r="S229" i="4"/>
  <c r="R229" i="4"/>
  <c r="R202" i="4"/>
  <c r="S202" i="4"/>
  <c r="R210" i="4"/>
  <c r="S210" i="4"/>
  <c r="W210" i="4"/>
  <c r="X210" i="4"/>
  <c r="X230" i="4"/>
  <c r="W230" i="4"/>
  <c r="R232" i="4"/>
  <c r="S232" i="4"/>
  <c r="X211" i="4"/>
  <c r="W211" i="4"/>
  <c r="S212" i="4"/>
  <c r="R212" i="4"/>
  <c r="S205" i="4"/>
  <c r="R205" i="4"/>
  <c r="X208" i="4"/>
  <c r="W208" i="4"/>
  <c r="X232" i="4"/>
  <c r="W232" i="4"/>
  <c r="S215" i="4"/>
  <c r="R215" i="4"/>
  <c r="S213" i="4"/>
  <c r="R213" i="4"/>
  <c r="S225" i="4"/>
  <c r="R225" i="4"/>
  <c r="X203" i="4"/>
  <c r="W203" i="4"/>
  <c r="X217" i="4"/>
  <c r="W217" i="4"/>
  <c r="X223" i="4"/>
  <c r="W223" i="4"/>
  <c r="S204" i="4"/>
  <c r="R204" i="4"/>
  <c r="S217" i="4"/>
  <c r="R217" i="4"/>
  <c r="S216" i="4"/>
  <c r="R216" i="4"/>
  <c r="X202" i="4"/>
  <c r="W202" i="4"/>
  <c r="X216" i="4"/>
  <c r="W216" i="4"/>
  <c r="W219" i="4"/>
  <c r="X219" i="4"/>
  <c r="W213" i="4"/>
  <c r="X213" i="4"/>
  <c r="X205" i="4"/>
  <c r="W205" i="4"/>
  <c r="X218" i="4"/>
  <c r="W218" i="4"/>
  <c r="X215" i="4"/>
  <c r="W215" i="4"/>
  <c r="S208" i="4"/>
  <c r="R208" i="4"/>
  <c r="R223" i="4"/>
  <c r="S223" i="4"/>
  <c r="R218" i="4"/>
  <c r="S218" i="4"/>
  <c r="E239" i="4"/>
  <c r="Y240" i="4"/>
  <c r="X231" i="4"/>
  <c r="W231" i="4"/>
  <c r="R209" i="4"/>
  <c r="S209" i="4"/>
  <c r="S220" i="4"/>
  <c r="R220" i="4"/>
  <c r="R203" i="4"/>
  <c r="S203" i="4"/>
  <c r="X225" i="4"/>
  <c r="W225" i="4"/>
  <c r="G237" i="4"/>
  <c r="Z238" i="4"/>
  <c r="W229" i="4"/>
  <c r="X229" i="4"/>
  <c r="S226" i="4"/>
  <c r="R226" i="4"/>
  <c r="X224" i="4"/>
  <c r="W224" i="4"/>
  <c r="R219" i="4"/>
  <c r="S219" i="4"/>
  <c r="S230" i="4"/>
  <c r="R230" i="4"/>
  <c r="E232" i="3"/>
  <c r="Y233" i="3"/>
  <c r="G232" i="3"/>
  <c r="Z233" i="3"/>
  <c r="G227" i="2"/>
  <c r="AS228" i="2"/>
  <c r="E227" i="2"/>
  <c r="AA228" i="2"/>
  <c r="Z239" i="7" l="1"/>
  <c r="G238" i="7"/>
  <c r="Y239" i="7"/>
  <c r="E238" i="7"/>
  <c r="E239" i="5"/>
  <c r="AA240" i="5"/>
  <c r="AS238" i="5"/>
  <c r="G237" i="5"/>
  <c r="E240" i="4"/>
  <c r="Y241" i="4"/>
  <c r="Z239" i="4"/>
  <c r="G238" i="4"/>
  <c r="AC69" i="3"/>
  <c r="AD69" i="3"/>
  <c r="AE69" i="3" s="1"/>
  <c r="AC64" i="3"/>
  <c r="AD68" i="3"/>
  <c r="AD65" i="3"/>
  <c r="AC65" i="3"/>
  <c r="AC66" i="3"/>
  <c r="AD64" i="3"/>
  <c r="AD66" i="3"/>
  <c r="AC67" i="3"/>
  <c r="AC63" i="3"/>
  <c r="AC68" i="3"/>
  <c r="AD67" i="3"/>
  <c r="AD63" i="3"/>
  <c r="G233" i="3"/>
  <c r="Z234" i="3"/>
  <c r="Y234" i="3"/>
  <c r="E233" i="3"/>
  <c r="E228" i="2"/>
  <c r="AA229" i="2"/>
  <c r="G228" i="2"/>
  <c r="AS229" i="2"/>
  <c r="Z240" i="7" l="1"/>
  <c r="G239" i="7"/>
  <c r="Y240" i="7"/>
  <c r="E239" i="7"/>
  <c r="G238" i="5"/>
  <c r="AS239" i="5"/>
  <c r="AA241" i="5"/>
  <c r="E240" i="5"/>
  <c r="G239" i="4"/>
  <c r="Z240" i="4"/>
  <c r="Y242" i="4"/>
  <c r="E241" i="4"/>
  <c r="AE64" i="3"/>
  <c r="AE63" i="3"/>
  <c r="AE67" i="3"/>
  <c r="AE65" i="3"/>
  <c r="AE68" i="3"/>
  <c r="AE66" i="3"/>
  <c r="Y235" i="3"/>
  <c r="E234" i="3"/>
  <c r="G234" i="3"/>
  <c r="Z235" i="3"/>
  <c r="E229" i="2"/>
  <c r="AA230" i="2"/>
  <c r="G229" i="2"/>
  <c r="AS230" i="2"/>
  <c r="Z241" i="7" l="1"/>
  <c r="G240" i="7"/>
  <c r="Y241" i="7"/>
  <c r="E240" i="7"/>
  <c r="G239" i="5"/>
  <c r="AS240" i="5"/>
  <c r="AA242" i="5"/>
  <c r="E241" i="5"/>
  <c r="G240" i="4"/>
  <c r="Z241" i="4"/>
  <c r="Y243" i="4"/>
  <c r="E242" i="4"/>
  <c r="L224" i="3"/>
  <c r="L210" i="3"/>
  <c r="L231" i="3"/>
  <c r="L217" i="3"/>
  <c r="L203" i="3"/>
  <c r="L225" i="3"/>
  <c r="L211" i="3"/>
  <c r="L232" i="3"/>
  <c r="L218" i="3"/>
  <c r="L204" i="3"/>
  <c r="L227" i="3"/>
  <c r="L213" i="3"/>
  <c r="L220" i="3"/>
  <c r="L206" i="3"/>
  <c r="L226" i="3"/>
  <c r="L212" i="3"/>
  <c r="L219" i="3"/>
  <c r="L205" i="3"/>
  <c r="L208" i="3"/>
  <c r="L229" i="3"/>
  <c r="L215" i="3"/>
  <c r="L223" i="3"/>
  <c r="L209" i="3"/>
  <c r="L230" i="3"/>
  <c r="L216" i="3"/>
  <c r="L202" i="3"/>
  <c r="AF66" i="3"/>
  <c r="AF68" i="3"/>
  <c r="AF65" i="3"/>
  <c r="AF67" i="3"/>
  <c r="AF63" i="3"/>
  <c r="AF64" i="3"/>
  <c r="G235" i="3"/>
  <c r="Z236" i="3"/>
  <c r="E235" i="3"/>
  <c r="Y236" i="3"/>
  <c r="E230" i="2"/>
  <c r="AA231" i="2"/>
  <c r="AS231" i="2"/>
  <c r="G230" i="2"/>
  <c r="Z242" i="7" l="1"/>
  <c r="G241" i="7"/>
  <c r="Y242" i="7"/>
  <c r="E241" i="7"/>
  <c r="AA243" i="5"/>
  <c r="E242" i="5"/>
  <c r="AS241" i="5"/>
  <c r="G240" i="5"/>
  <c r="Z242" i="4"/>
  <c r="G241" i="4"/>
  <c r="Y244" i="4"/>
  <c r="E243" i="4"/>
  <c r="AF69" i="3"/>
  <c r="M210" i="3"/>
  <c r="N210" i="3"/>
  <c r="M217" i="3"/>
  <c r="N217" i="3"/>
  <c r="N208" i="3"/>
  <c r="M208" i="3"/>
  <c r="N209" i="3"/>
  <c r="M209" i="3"/>
  <c r="N204" i="3"/>
  <c r="M204" i="3"/>
  <c r="N226" i="3"/>
  <c r="M226" i="3"/>
  <c r="M211" i="3"/>
  <c r="N211" i="3"/>
  <c r="M219" i="3"/>
  <c r="N219" i="3"/>
  <c r="M225" i="3"/>
  <c r="N225" i="3"/>
  <c r="N205" i="3"/>
  <c r="M205" i="3"/>
  <c r="N227" i="3"/>
  <c r="M227" i="3"/>
  <c r="N223" i="3"/>
  <c r="M223" i="3"/>
  <c r="M206" i="3"/>
  <c r="N206" i="3"/>
  <c r="N230" i="3"/>
  <c r="M230" i="3"/>
  <c r="M224" i="3"/>
  <c r="N224" i="3"/>
  <c r="M212" i="3"/>
  <c r="N212" i="3"/>
  <c r="P217" i="3"/>
  <c r="P208" i="3"/>
  <c r="P225" i="3"/>
  <c r="M202" i="3"/>
  <c r="P216" i="3"/>
  <c r="P206" i="3"/>
  <c r="P219" i="3"/>
  <c r="P220" i="3"/>
  <c r="P215" i="3"/>
  <c r="P205" i="3"/>
  <c r="P232" i="3"/>
  <c r="P227" i="3"/>
  <c r="P209" i="3"/>
  <c r="N202" i="3"/>
  <c r="P223" i="3"/>
  <c r="P212" i="3"/>
  <c r="P231" i="3"/>
  <c r="P211" i="3"/>
  <c r="P229" i="3"/>
  <c r="P210" i="3"/>
  <c r="P226" i="3"/>
  <c r="P204" i="3"/>
  <c r="P203" i="3"/>
  <c r="P202" i="3"/>
  <c r="P213" i="3"/>
  <c r="P224" i="3"/>
  <c r="P230" i="3"/>
  <c r="P218" i="3"/>
  <c r="N231" i="3"/>
  <c r="M231" i="3"/>
  <c r="M216" i="3"/>
  <c r="N216" i="3"/>
  <c r="M213" i="3"/>
  <c r="N213" i="3"/>
  <c r="M218" i="3"/>
  <c r="N218" i="3"/>
  <c r="N215" i="3"/>
  <c r="M215" i="3"/>
  <c r="M232" i="3"/>
  <c r="N232" i="3"/>
  <c r="N229" i="3"/>
  <c r="M229" i="3"/>
  <c r="N203" i="3"/>
  <c r="M203" i="3"/>
  <c r="N220" i="3"/>
  <c r="M220" i="3"/>
  <c r="Y237" i="3"/>
  <c r="E236" i="3"/>
  <c r="G236" i="3"/>
  <c r="Z237" i="3"/>
  <c r="G231" i="2"/>
  <c r="AS232" i="2"/>
  <c r="E231" i="2"/>
  <c r="AA232" i="2"/>
  <c r="Z243" i="7" l="1"/>
  <c r="G242" i="7"/>
  <c r="Y243" i="7"/>
  <c r="E242" i="7"/>
  <c r="AS242" i="5"/>
  <c r="G241" i="5"/>
  <c r="E243" i="5"/>
  <c r="AA244" i="5"/>
  <c r="Y245" i="4"/>
  <c r="E244" i="4"/>
  <c r="Z243" i="4"/>
  <c r="G242" i="4"/>
  <c r="R203" i="3"/>
  <c r="S203" i="3"/>
  <c r="R226" i="3"/>
  <c r="S226" i="3"/>
  <c r="S227" i="3"/>
  <c r="R227" i="3"/>
  <c r="S220" i="3"/>
  <c r="R220" i="3"/>
  <c r="S212" i="3"/>
  <c r="R212" i="3"/>
  <c r="S223" i="3"/>
  <c r="R223" i="3"/>
  <c r="R204" i="3"/>
  <c r="S204" i="3"/>
  <c r="S216" i="3"/>
  <c r="R216" i="3"/>
  <c r="R218" i="3"/>
  <c r="S218" i="3"/>
  <c r="S229" i="3"/>
  <c r="R229" i="3"/>
  <c r="R225" i="3"/>
  <c r="S225" i="3"/>
  <c r="R224" i="3"/>
  <c r="S224" i="3"/>
  <c r="S211" i="3"/>
  <c r="R211" i="3"/>
  <c r="S205" i="3"/>
  <c r="R205" i="3"/>
  <c r="S208" i="3"/>
  <c r="R208" i="3"/>
  <c r="R202" i="3"/>
  <c r="S202" i="3"/>
  <c r="R219" i="3"/>
  <c r="S219" i="3"/>
  <c r="R206" i="3"/>
  <c r="S206" i="3"/>
  <c r="R209" i="3"/>
  <c r="S209" i="3"/>
  <c r="S210" i="3"/>
  <c r="R210" i="3"/>
  <c r="R230" i="3"/>
  <c r="S230" i="3"/>
  <c r="S232" i="3"/>
  <c r="R232" i="3"/>
  <c r="S213" i="3"/>
  <c r="R213" i="3"/>
  <c r="R231" i="3"/>
  <c r="S231" i="3"/>
  <c r="R215" i="3"/>
  <c r="S215" i="3"/>
  <c r="R217" i="3"/>
  <c r="S217" i="3"/>
  <c r="G237" i="3"/>
  <c r="Z238" i="3"/>
  <c r="Y238" i="3"/>
  <c r="E237" i="3"/>
  <c r="E232" i="2"/>
  <c r="AA233" i="2"/>
  <c r="G232" i="2"/>
  <c r="AS233" i="2"/>
  <c r="Z244" i="7" l="1"/>
  <c r="G243" i="7"/>
  <c r="Y244" i="7"/>
  <c r="E243" i="7"/>
  <c r="E244" i="5"/>
  <c r="AA245" i="5"/>
  <c r="AS243" i="5"/>
  <c r="G242" i="5"/>
  <c r="Z244" i="4"/>
  <c r="G243" i="4"/>
  <c r="Y246" i="4"/>
  <c r="E245" i="4"/>
  <c r="AE63" i="2"/>
  <c r="AE65" i="2"/>
  <c r="AF63" i="2"/>
  <c r="AF66" i="2"/>
  <c r="AF67" i="2"/>
  <c r="AF68" i="2"/>
  <c r="AE68" i="2"/>
  <c r="AE64" i="2"/>
  <c r="AF64" i="2"/>
  <c r="AF65" i="2"/>
  <c r="AE66" i="2"/>
  <c r="AE67" i="2"/>
  <c r="AH67" i="2" s="1"/>
  <c r="AE62" i="2"/>
  <c r="AF62" i="2"/>
  <c r="E238" i="3"/>
  <c r="Y239" i="3"/>
  <c r="G238" i="3"/>
  <c r="Z239" i="3"/>
  <c r="E233" i="2"/>
  <c r="AA234" i="2"/>
  <c r="G233" i="2"/>
  <c r="AS234" i="2"/>
  <c r="Z245" i="7" l="1"/>
  <c r="G244" i="7"/>
  <c r="Y245" i="7"/>
  <c r="E244" i="7"/>
  <c r="AS244" i="5"/>
  <c r="G243" i="5"/>
  <c r="AA246" i="5"/>
  <c r="E245" i="5"/>
  <c r="Y247" i="4"/>
  <c r="E246" i="4"/>
  <c r="Z245" i="4"/>
  <c r="G244" i="4"/>
  <c r="AH64" i="2"/>
  <c r="AH63" i="2"/>
  <c r="AH68" i="2"/>
  <c r="AH62" i="2"/>
  <c r="AH66" i="2"/>
  <c r="AH65" i="2"/>
  <c r="G239" i="3"/>
  <c r="Z240" i="3"/>
  <c r="Y240" i="3"/>
  <c r="E239" i="3"/>
  <c r="E234" i="2"/>
  <c r="AA235" i="2"/>
  <c r="AS235" i="2"/>
  <c r="G234" i="2"/>
  <c r="Z246" i="7" l="1"/>
  <c r="G245" i="7"/>
  <c r="Y246" i="7"/>
  <c r="E245" i="7"/>
  <c r="AA247" i="5"/>
  <c r="E246" i="5"/>
  <c r="AS245" i="5"/>
  <c r="G244" i="5"/>
  <c r="Z246" i="4"/>
  <c r="G245" i="4"/>
  <c r="E247" i="4"/>
  <c r="Y248" i="4"/>
  <c r="E240" i="3"/>
  <c r="Y241" i="3"/>
  <c r="G240" i="3"/>
  <c r="Z241" i="3"/>
  <c r="AS236" i="2"/>
  <c r="G235" i="2"/>
  <c r="E235" i="2"/>
  <c r="AA236" i="2"/>
  <c r="Z247" i="7" l="1"/>
  <c r="G246" i="7"/>
  <c r="Y247" i="7"/>
  <c r="E246" i="7"/>
  <c r="AS246" i="5"/>
  <c r="G245" i="5"/>
  <c r="AA248" i="5"/>
  <c r="E247" i="5"/>
  <c r="Y249" i="4"/>
  <c r="E248" i="4"/>
  <c r="Z247" i="4"/>
  <c r="G246" i="4"/>
  <c r="G241" i="3"/>
  <c r="Z242" i="3"/>
  <c r="Y242" i="3"/>
  <c r="E241" i="3"/>
  <c r="E236" i="2"/>
  <c r="AA237" i="2"/>
  <c r="G236" i="2"/>
  <c r="AS237" i="2"/>
  <c r="Z248" i="7" l="1"/>
  <c r="G247" i="7"/>
  <c r="Y248" i="7"/>
  <c r="E247" i="7"/>
  <c r="E248" i="5"/>
  <c r="AA249" i="5"/>
  <c r="AS247" i="5"/>
  <c r="G246" i="5"/>
  <c r="Z248" i="4"/>
  <c r="G247" i="4"/>
  <c r="E249" i="4"/>
  <c r="Y250" i="4"/>
  <c r="Y243" i="3"/>
  <c r="E242" i="3"/>
  <c r="G242" i="3"/>
  <c r="Z243" i="3"/>
  <c r="E237" i="2"/>
  <c r="AA238" i="2"/>
  <c r="AS238" i="2"/>
  <c r="G237" i="2"/>
  <c r="Z249" i="7" l="1"/>
  <c r="G248" i="7"/>
  <c r="Y249" i="7"/>
  <c r="E248" i="7"/>
  <c r="AS248" i="5"/>
  <c r="G247" i="5"/>
  <c r="AA250" i="5"/>
  <c r="E249" i="5"/>
  <c r="Y251" i="4"/>
  <c r="E250" i="4"/>
  <c r="Z249" i="4"/>
  <c r="G248" i="4"/>
  <c r="G243" i="3"/>
  <c r="Z244" i="3"/>
  <c r="Y244" i="3"/>
  <c r="E243" i="3"/>
  <c r="AS239" i="2"/>
  <c r="G238" i="2"/>
  <c r="E238" i="2"/>
  <c r="AA239" i="2"/>
  <c r="Z250" i="7" l="1"/>
  <c r="G249" i="7"/>
  <c r="Y250" i="7"/>
  <c r="E249" i="7"/>
  <c r="E250" i="5"/>
  <c r="AA251" i="5"/>
  <c r="AS249" i="5"/>
  <c r="G248" i="5"/>
  <c r="Z250" i="4"/>
  <c r="G249" i="4"/>
  <c r="Y252" i="4"/>
  <c r="E251" i="4"/>
  <c r="Y245" i="3"/>
  <c r="E244" i="3"/>
  <c r="G244" i="3"/>
  <c r="Z245" i="3"/>
  <c r="E239" i="2"/>
  <c r="AA240" i="2"/>
  <c r="G239" i="2"/>
  <c r="AS240" i="2"/>
  <c r="Z251" i="7" l="1"/>
  <c r="G250" i="7"/>
  <c r="Y251" i="7"/>
  <c r="E250" i="7"/>
  <c r="AS250" i="5"/>
  <c r="G249" i="5"/>
  <c r="E251" i="5"/>
  <c r="AA252" i="5"/>
  <c r="E252" i="4"/>
  <c r="Y253" i="4"/>
  <c r="G250" i="4"/>
  <c r="Z251" i="4"/>
  <c r="G245" i="3"/>
  <c r="Z246" i="3"/>
  <c r="Y246" i="3"/>
  <c r="E245" i="3"/>
  <c r="E240" i="2"/>
  <c r="AA241" i="2"/>
  <c r="G240" i="2"/>
  <c r="AS241" i="2"/>
  <c r="Z252" i="7" l="1"/>
  <c r="G251" i="7"/>
  <c r="Y252" i="7"/>
  <c r="E251" i="7"/>
  <c r="AA253" i="5"/>
  <c r="E252" i="5"/>
  <c r="AS251" i="5"/>
  <c r="G250" i="5"/>
  <c r="Z252" i="4"/>
  <c r="G251" i="4"/>
  <c r="Y254" i="4"/>
  <c r="E253" i="4"/>
  <c r="Y247" i="3"/>
  <c r="E246" i="3"/>
  <c r="G246" i="3"/>
  <c r="Z247" i="3"/>
  <c r="E241" i="2"/>
  <c r="AA242" i="2"/>
  <c r="G241" i="2"/>
  <c r="AS242" i="2"/>
  <c r="Z253" i="7" l="1"/>
  <c r="G252" i="7"/>
  <c r="Y253" i="7"/>
  <c r="E252" i="7"/>
  <c r="AS252" i="5"/>
  <c r="G251" i="5"/>
  <c r="AA254" i="5"/>
  <c r="E253" i="5"/>
  <c r="E254" i="4"/>
  <c r="Y255" i="4"/>
  <c r="Z253" i="4"/>
  <c r="G252" i="4"/>
  <c r="G247" i="3"/>
  <c r="Z248" i="3"/>
  <c r="E247" i="3"/>
  <c r="Y248" i="3"/>
  <c r="AS243" i="2"/>
  <c r="G242" i="2"/>
  <c r="E242" i="2"/>
  <c r="AA243" i="2"/>
  <c r="Z254" i="7" l="1"/>
  <c r="G253" i="7"/>
  <c r="Y254" i="7"/>
  <c r="E253" i="7"/>
  <c r="AA255" i="5"/>
  <c r="E254" i="5"/>
  <c r="AS253" i="5"/>
  <c r="G252" i="5"/>
  <c r="G253" i="4"/>
  <c r="Z254" i="4"/>
  <c r="E255" i="4"/>
  <c r="Y256" i="4"/>
  <c r="E248" i="3"/>
  <c r="Y249" i="3"/>
  <c r="G248" i="3"/>
  <c r="Z249" i="3"/>
  <c r="E243" i="2"/>
  <c r="AA244" i="2"/>
  <c r="AS244" i="2"/>
  <c r="G243" i="2"/>
  <c r="Z255" i="7" l="1"/>
  <c r="G254" i="7"/>
  <c r="Y255" i="7"/>
  <c r="E254" i="7"/>
  <c r="AS254" i="5"/>
  <c r="G253" i="5"/>
  <c r="AA256" i="5"/>
  <c r="E255" i="5"/>
  <c r="Y257" i="4"/>
  <c r="E256" i="4"/>
  <c r="G254" i="4"/>
  <c r="Z255" i="4"/>
  <c r="G249" i="3"/>
  <c r="Z250" i="3"/>
  <c r="E249" i="3"/>
  <c r="Y250" i="3"/>
  <c r="G244" i="2"/>
  <c r="AS245" i="2"/>
  <c r="AA245" i="2"/>
  <c r="E244" i="2"/>
  <c r="Z256" i="7" l="1"/>
  <c r="G255" i="7"/>
  <c r="Y256" i="7"/>
  <c r="E255" i="7"/>
  <c r="AA257" i="5"/>
  <c r="E256" i="5"/>
  <c r="G254" i="5"/>
  <c r="AS255" i="5"/>
  <c r="Z256" i="4"/>
  <c r="G255" i="4"/>
  <c r="E257" i="4"/>
  <c r="Y258" i="4"/>
  <c r="Y251" i="3"/>
  <c r="E250" i="3"/>
  <c r="G250" i="3"/>
  <c r="Z251" i="3"/>
  <c r="E245" i="2"/>
  <c r="AA246" i="2"/>
  <c r="G245" i="2"/>
  <c r="AS246" i="2"/>
  <c r="Z257" i="7" l="1"/>
  <c r="G256" i="7"/>
  <c r="Y257" i="7"/>
  <c r="E256" i="7"/>
  <c r="AS256" i="5"/>
  <c r="G255" i="5"/>
  <c r="AA258" i="5"/>
  <c r="E257" i="5"/>
  <c r="E258" i="4"/>
  <c r="Y259" i="4"/>
  <c r="G256" i="4"/>
  <c r="Z257" i="4"/>
  <c r="G251" i="3"/>
  <c r="Z252" i="3"/>
  <c r="E251" i="3"/>
  <c r="Y252" i="3"/>
  <c r="G246" i="2"/>
  <c r="AS247" i="2"/>
  <c r="E246" i="2"/>
  <c r="AA247" i="2"/>
  <c r="Z258" i="7" l="1"/>
  <c r="G257" i="7"/>
  <c r="Y258" i="7"/>
  <c r="E257" i="7"/>
  <c r="E258" i="5"/>
  <c r="AA259" i="5"/>
  <c r="AS257" i="5"/>
  <c r="G256" i="5"/>
  <c r="G257" i="4"/>
  <c r="Z258" i="4"/>
  <c r="Y260" i="4"/>
  <c r="E259" i="4"/>
  <c r="E252" i="3"/>
  <c r="Y253" i="3"/>
  <c r="G252" i="3"/>
  <c r="Z253" i="3"/>
  <c r="AA248" i="2"/>
  <c r="E247" i="2"/>
  <c r="G247" i="2"/>
  <c r="AS248" i="2"/>
  <c r="Z259" i="7" l="1"/>
  <c r="G258" i="7"/>
  <c r="Y259" i="7"/>
  <c r="E258" i="7"/>
  <c r="AS258" i="5"/>
  <c r="G257" i="5"/>
  <c r="E259" i="5"/>
  <c r="AA260" i="5"/>
  <c r="Y261" i="4"/>
  <c r="E260" i="4"/>
  <c r="G258" i="4"/>
  <c r="Z259" i="4"/>
  <c r="G253" i="3"/>
  <c r="Z254" i="3"/>
  <c r="Y254" i="3"/>
  <c r="E253" i="3"/>
  <c r="G248" i="2"/>
  <c r="AS249" i="2"/>
  <c r="AA249" i="2"/>
  <c r="E248" i="2"/>
  <c r="Z260" i="7" l="1"/>
  <c r="G259" i="7"/>
  <c r="Y260" i="7"/>
  <c r="E259" i="7"/>
  <c r="AA261" i="5"/>
  <c r="E260" i="5"/>
  <c r="AS259" i="5"/>
  <c r="G258" i="5"/>
  <c r="G259" i="4"/>
  <c r="Z260" i="4"/>
  <c r="Y262" i="4"/>
  <c r="E261" i="4"/>
  <c r="E254" i="3"/>
  <c r="Y255" i="3"/>
  <c r="G254" i="3"/>
  <c r="Z255" i="3"/>
  <c r="E249" i="2"/>
  <c r="AA250" i="2"/>
  <c r="G249" i="2"/>
  <c r="AS250" i="2"/>
  <c r="Z261" i="7" l="1"/>
  <c r="G260" i="7"/>
  <c r="Y261" i="7"/>
  <c r="E260" i="7"/>
  <c r="AS260" i="5"/>
  <c r="G259" i="5"/>
  <c r="AA262" i="5"/>
  <c r="E261" i="5"/>
  <c r="Y263" i="4"/>
  <c r="E262" i="4"/>
  <c r="Z261" i="4"/>
  <c r="G260" i="4"/>
  <c r="Y256" i="3"/>
  <c r="E255" i="3"/>
  <c r="G255" i="3"/>
  <c r="Z256" i="3"/>
  <c r="AA251" i="2"/>
  <c r="E250" i="2"/>
  <c r="G250" i="2"/>
  <c r="AS251" i="2"/>
  <c r="Z262" i="7" l="1"/>
  <c r="G261" i="7"/>
  <c r="Y262" i="7"/>
  <c r="E261" i="7"/>
  <c r="AA263" i="5"/>
  <c r="E262" i="5"/>
  <c r="AS261" i="5"/>
  <c r="G260" i="5"/>
  <c r="Z262" i="4"/>
  <c r="G261" i="4"/>
  <c r="Y264" i="4"/>
  <c r="E263" i="4"/>
  <c r="G256" i="3"/>
  <c r="Z257" i="3"/>
  <c r="Y257" i="3"/>
  <c r="E256" i="3"/>
  <c r="AS252" i="2"/>
  <c r="G251" i="2"/>
  <c r="E251" i="2"/>
  <c r="AA252" i="2"/>
  <c r="Z263" i="7" l="1"/>
  <c r="G262" i="7"/>
  <c r="Y263" i="7"/>
  <c r="E262" i="7"/>
  <c r="AS262" i="5"/>
  <c r="G261" i="5"/>
  <c r="AA264" i="5"/>
  <c r="E263" i="5"/>
  <c r="E264" i="4"/>
  <c r="Y265" i="4"/>
  <c r="G262" i="4"/>
  <c r="Z263" i="4"/>
  <c r="Y258" i="3"/>
  <c r="E257" i="3"/>
  <c r="G257" i="3"/>
  <c r="Z258" i="3"/>
  <c r="E252" i="2"/>
  <c r="AA253" i="2"/>
  <c r="G252" i="2"/>
  <c r="AS253" i="2"/>
  <c r="Z264" i="7" l="1"/>
  <c r="G263" i="7"/>
  <c r="Y264" i="7"/>
  <c r="E263" i="7"/>
  <c r="AA265" i="5"/>
  <c r="E264" i="5"/>
  <c r="G262" i="5"/>
  <c r="AS263" i="5"/>
  <c r="G263" i="4"/>
  <c r="Z264" i="4"/>
  <c r="E265" i="4"/>
  <c r="Y266" i="4"/>
  <c r="G258" i="3"/>
  <c r="Z259" i="3"/>
  <c r="E258" i="3"/>
  <c r="Y259" i="3"/>
  <c r="AA254" i="2"/>
  <c r="E253" i="2"/>
  <c r="G253" i="2"/>
  <c r="AS254" i="2"/>
  <c r="Z265" i="7" l="1"/>
  <c r="G264" i="7"/>
  <c r="AC75" i="7"/>
  <c r="AC70" i="7"/>
  <c r="AD75" i="7"/>
  <c r="AC76" i="7"/>
  <c r="AC73" i="7"/>
  <c r="AD70" i="7"/>
  <c r="AC71" i="7"/>
  <c r="AC74" i="7"/>
  <c r="AD71" i="7"/>
  <c r="AD76" i="7"/>
  <c r="AE76" i="7" s="1"/>
  <c r="AD72" i="7"/>
  <c r="AD74" i="7"/>
  <c r="AD73" i="7"/>
  <c r="AC72" i="7"/>
  <c r="Y265" i="7"/>
  <c r="E264" i="7"/>
  <c r="G263" i="5"/>
  <c r="AS264" i="5"/>
  <c r="AA266" i="5"/>
  <c r="E265" i="5"/>
  <c r="E266" i="4"/>
  <c r="Y267" i="4"/>
  <c r="G264" i="4"/>
  <c r="Z265" i="4"/>
  <c r="AC72" i="4"/>
  <c r="AC75" i="4"/>
  <c r="AC74" i="4"/>
  <c r="AC70" i="4"/>
  <c r="AC71" i="4"/>
  <c r="AD75" i="4"/>
  <c r="AD74" i="4"/>
  <c r="AD73" i="4"/>
  <c r="AD72" i="4"/>
  <c r="AC73" i="4"/>
  <c r="AC76" i="4"/>
  <c r="AD70" i="4"/>
  <c r="AD71" i="4"/>
  <c r="AD76" i="4"/>
  <c r="AE76" i="4" s="1"/>
  <c r="Y260" i="3"/>
  <c r="E259" i="3"/>
  <c r="G259" i="3"/>
  <c r="Z260" i="3"/>
  <c r="G254" i="2"/>
  <c r="AS255" i="2"/>
  <c r="AA255" i="2"/>
  <c r="E254" i="2"/>
  <c r="Z266" i="7" l="1"/>
  <c r="G265" i="7"/>
  <c r="AE75" i="7"/>
  <c r="AE70" i="7"/>
  <c r="L263" i="7" s="1"/>
  <c r="AE71" i="7"/>
  <c r="AE72" i="7"/>
  <c r="AE74" i="7"/>
  <c r="AE73" i="7"/>
  <c r="Y266" i="7"/>
  <c r="E265" i="7"/>
  <c r="E266" i="5"/>
  <c r="AA267" i="5"/>
  <c r="AS265" i="5"/>
  <c r="G264" i="5"/>
  <c r="AF70" i="5"/>
  <c r="AF69" i="5"/>
  <c r="AE72" i="5"/>
  <c r="AH72" i="5" s="1"/>
  <c r="AI72" i="5" s="1"/>
  <c r="AF71" i="5"/>
  <c r="AE69" i="5"/>
  <c r="AH69" i="5" s="1"/>
  <c r="AI69" i="5" s="1"/>
  <c r="AE73" i="5"/>
  <c r="AF75" i="5"/>
  <c r="AF73" i="5"/>
  <c r="AE71" i="5"/>
  <c r="AE74" i="5"/>
  <c r="AH74" i="5" s="1"/>
  <c r="AI74" i="5" s="1"/>
  <c r="AE75" i="5"/>
  <c r="AH75" i="5" s="1"/>
  <c r="AI75" i="5" s="1"/>
  <c r="AF72" i="5"/>
  <c r="AF74" i="5"/>
  <c r="AE70" i="5"/>
  <c r="AE72" i="4"/>
  <c r="AE73" i="4"/>
  <c r="AE74" i="4"/>
  <c r="AE75" i="4"/>
  <c r="Z266" i="4"/>
  <c r="G265" i="4"/>
  <c r="E267" i="4"/>
  <c r="Y268" i="4"/>
  <c r="AE71" i="4"/>
  <c r="AE70" i="4"/>
  <c r="G260" i="3"/>
  <c r="Z261" i="3"/>
  <c r="E260" i="3"/>
  <c r="Y261" i="3"/>
  <c r="E255" i="2"/>
  <c r="AA256" i="2"/>
  <c r="AS256" i="2"/>
  <c r="G255" i="2"/>
  <c r="N263" i="7" l="1"/>
  <c r="M263" i="7"/>
  <c r="L249" i="7"/>
  <c r="L256" i="7"/>
  <c r="L235" i="7"/>
  <c r="L242" i="7"/>
  <c r="AF75" i="7"/>
  <c r="AF70" i="7"/>
  <c r="AF72" i="7"/>
  <c r="AF74" i="7"/>
  <c r="AF73" i="7"/>
  <c r="Z267" i="7"/>
  <c r="G266" i="7"/>
  <c r="L262" i="7"/>
  <c r="L255" i="7"/>
  <c r="L241" i="7"/>
  <c r="L234" i="7"/>
  <c r="L257" i="7"/>
  <c r="L250" i="7"/>
  <c r="L236" i="7"/>
  <c r="L258" i="7"/>
  <c r="L251" i="7"/>
  <c r="L237" i="7"/>
  <c r="L259" i="7"/>
  <c r="L252" i="7"/>
  <c r="L238" i="7"/>
  <c r="L261" i="7"/>
  <c r="L254" i="7"/>
  <c r="L240" i="7"/>
  <c r="L233" i="7"/>
  <c r="L260" i="7"/>
  <c r="L253" i="7"/>
  <c r="L239" i="7"/>
  <c r="Y267" i="7"/>
  <c r="E266" i="7"/>
  <c r="AF71" i="7"/>
  <c r="AH71" i="5"/>
  <c r="AI71" i="5" s="1"/>
  <c r="AH73" i="5"/>
  <c r="AI73" i="5" s="1"/>
  <c r="AS266" i="5"/>
  <c r="G265" i="5"/>
  <c r="AH70" i="5"/>
  <c r="AI70" i="5" s="1"/>
  <c r="E267" i="5"/>
  <c r="AA268" i="5"/>
  <c r="Z267" i="4"/>
  <c r="G266" i="4"/>
  <c r="L234" i="4"/>
  <c r="L241" i="4"/>
  <c r="L255" i="4"/>
  <c r="L262" i="4"/>
  <c r="AF75" i="4"/>
  <c r="L233" i="4"/>
  <c r="L240" i="4"/>
  <c r="L254" i="4"/>
  <c r="L261" i="4"/>
  <c r="AF74" i="4"/>
  <c r="L239" i="4"/>
  <c r="L253" i="4"/>
  <c r="L260" i="4"/>
  <c r="AF73" i="4"/>
  <c r="L238" i="4"/>
  <c r="L252" i="4"/>
  <c r="L259" i="4"/>
  <c r="L236" i="4"/>
  <c r="L250" i="4"/>
  <c r="L257" i="4"/>
  <c r="AF70" i="4"/>
  <c r="L237" i="4"/>
  <c r="L251" i="4"/>
  <c r="L258" i="4"/>
  <c r="AF71" i="4"/>
  <c r="E268" i="4"/>
  <c r="Y269" i="4"/>
  <c r="AF72" i="4"/>
  <c r="Y262" i="3"/>
  <c r="E261" i="3"/>
  <c r="G261" i="3"/>
  <c r="Z262" i="3"/>
  <c r="G256" i="2"/>
  <c r="AS257" i="2"/>
  <c r="E256" i="2"/>
  <c r="AA257" i="2"/>
  <c r="P263" i="7" l="1"/>
  <c r="U263" i="7"/>
  <c r="U256" i="7"/>
  <c r="AF76" i="7"/>
  <c r="N249" i="7"/>
  <c r="M249" i="7"/>
  <c r="P256" i="7"/>
  <c r="N256" i="7"/>
  <c r="M256" i="7"/>
  <c r="U249" i="7"/>
  <c r="P249" i="7"/>
  <c r="R256" i="7"/>
  <c r="S256" i="7"/>
  <c r="U242" i="7"/>
  <c r="N235" i="7"/>
  <c r="M235" i="7"/>
  <c r="R249" i="7"/>
  <c r="S249" i="7"/>
  <c r="N242" i="7"/>
  <c r="M242" i="7"/>
  <c r="U235" i="7"/>
  <c r="P235" i="7"/>
  <c r="P242" i="7"/>
  <c r="Z268" i="7"/>
  <c r="G267" i="7"/>
  <c r="M262" i="7"/>
  <c r="N262" i="7"/>
  <c r="U257" i="7"/>
  <c r="M255" i="7"/>
  <c r="N255" i="7"/>
  <c r="N241" i="7"/>
  <c r="M241" i="7"/>
  <c r="U250" i="7"/>
  <c r="U236" i="7"/>
  <c r="M234" i="7"/>
  <c r="N234" i="7"/>
  <c r="U258" i="7"/>
  <c r="M257" i="7"/>
  <c r="N257" i="7"/>
  <c r="U251" i="7"/>
  <c r="M250" i="7"/>
  <c r="N250" i="7"/>
  <c r="N236" i="7"/>
  <c r="M236" i="7"/>
  <c r="U237" i="7"/>
  <c r="U259" i="7"/>
  <c r="M258" i="7"/>
  <c r="N258" i="7"/>
  <c r="U252" i="7"/>
  <c r="M251" i="7"/>
  <c r="N251" i="7"/>
  <c r="U238" i="7"/>
  <c r="M237" i="7"/>
  <c r="N237" i="7"/>
  <c r="U260" i="7"/>
  <c r="M259" i="7"/>
  <c r="N259" i="7"/>
  <c r="U253" i="7"/>
  <c r="M252" i="7"/>
  <c r="N252" i="7"/>
  <c r="U239" i="7"/>
  <c r="M238" i="7"/>
  <c r="N238" i="7"/>
  <c r="U262" i="7"/>
  <c r="M261" i="7"/>
  <c r="N261" i="7"/>
  <c r="U255" i="7"/>
  <c r="N254" i="7"/>
  <c r="M254" i="7"/>
  <c r="U241" i="7"/>
  <c r="N240" i="7"/>
  <c r="M240" i="7"/>
  <c r="U233" i="7"/>
  <c r="U234" i="7"/>
  <c r="M233" i="7"/>
  <c r="N233" i="7"/>
  <c r="P233" i="7"/>
  <c r="P234" i="7"/>
  <c r="P236" i="7"/>
  <c r="P237" i="7"/>
  <c r="P238" i="7"/>
  <c r="P239" i="7"/>
  <c r="P240" i="7"/>
  <c r="P241" i="7"/>
  <c r="P250" i="7"/>
  <c r="P251" i="7"/>
  <c r="P252" i="7"/>
  <c r="P253" i="7"/>
  <c r="P254" i="7"/>
  <c r="P255" i="7"/>
  <c r="P257" i="7"/>
  <c r="P258" i="7"/>
  <c r="P259" i="7"/>
  <c r="P260" i="7"/>
  <c r="P261" i="7"/>
  <c r="P262" i="7"/>
  <c r="U261" i="7"/>
  <c r="M260" i="7"/>
  <c r="N260" i="7"/>
  <c r="U254" i="7"/>
  <c r="N253" i="7"/>
  <c r="M253" i="7"/>
  <c r="M239" i="7"/>
  <c r="N239" i="7"/>
  <c r="U240" i="7"/>
  <c r="Y268" i="7"/>
  <c r="E267" i="7"/>
  <c r="AJ69" i="5"/>
  <c r="AA269" i="5"/>
  <c r="E268" i="5"/>
  <c r="AS267" i="5"/>
  <c r="G266" i="5"/>
  <c r="N260" i="4"/>
  <c r="M260" i="4"/>
  <c r="U260" i="4"/>
  <c r="N253" i="4"/>
  <c r="M253" i="4"/>
  <c r="U253" i="4"/>
  <c r="N239" i="4"/>
  <c r="M239" i="4"/>
  <c r="U239" i="4"/>
  <c r="E269" i="4"/>
  <c r="Y270" i="4"/>
  <c r="N261" i="4"/>
  <c r="M261" i="4"/>
  <c r="U261" i="4"/>
  <c r="N254" i="4"/>
  <c r="M254" i="4"/>
  <c r="U254" i="4"/>
  <c r="N240" i="4"/>
  <c r="M240" i="4"/>
  <c r="U240" i="4"/>
  <c r="P262" i="4"/>
  <c r="P261" i="4"/>
  <c r="P260" i="4"/>
  <c r="P259" i="4"/>
  <c r="P258" i="4"/>
  <c r="P257" i="4"/>
  <c r="N233" i="4"/>
  <c r="M233" i="4"/>
  <c r="P241" i="4"/>
  <c r="P238" i="4"/>
  <c r="P234" i="4"/>
  <c r="P233" i="4"/>
  <c r="P250" i="4"/>
  <c r="P239" i="4"/>
  <c r="P255" i="4"/>
  <c r="P252" i="4"/>
  <c r="P237" i="4"/>
  <c r="P254" i="4"/>
  <c r="P236" i="4"/>
  <c r="P253" i="4"/>
  <c r="P251" i="4"/>
  <c r="P240" i="4"/>
  <c r="U233" i="4"/>
  <c r="N237" i="4"/>
  <c r="M237" i="4"/>
  <c r="U237" i="4"/>
  <c r="AF76" i="4"/>
  <c r="N262" i="4"/>
  <c r="M262" i="4"/>
  <c r="U262" i="4"/>
  <c r="N258" i="4"/>
  <c r="M258" i="4"/>
  <c r="U258" i="4"/>
  <c r="N250" i="4"/>
  <c r="M250" i="4"/>
  <c r="U250" i="4"/>
  <c r="N255" i="4"/>
  <c r="M255" i="4"/>
  <c r="U255" i="4"/>
  <c r="N241" i="4"/>
  <c r="M241" i="4"/>
  <c r="U241" i="4"/>
  <c r="N251" i="4"/>
  <c r="M251" i="4"/>
  <c r="U251" i="4"/>
  <c r="N234" i="4"/>
  <c r="M234" i="4"/>
  <c r="U234" i="4"/>
  <c r="N257" i="4"/>
  <c r="M257" i="4"/>
  <c r="U257" i="4"/>
  <c r="N252" i="4"/>
  <c r="M252" i="4"/>
  <c r="U252" i="4"/>
  <c r="N236" i="4"/>
  <c r="M236" i="4"/>
  <c r="U236" i="4"/>
  <c r="N238" i="4"/>
  <c r="M238" i="4"/>
  <c r="U238" i="4"/>
  <c r="G267" i="4"/>
  <c r="Z268" i="4"/>
  <c r="N259" i="4"/>
  <c r="M259" i="4"/>
  <c r="U259" i="4"/>
  <c r="G262" i="3"/>
  <c r="Z263" i="3"/>
  <c r="Y263" i="3"/>
  <c r="E262" i="3"/>
  <c r="E257" i="2"/>
  <c r="AA258" i="2"/>
  <c r="G257" i="2"/>
  <c r="AS258" i="2"/>
  <c r="R263" i="7" l="1"/>
  <c r="S263" i="7"/>
  <c r="X256" i="7"/>
  <c r="W256" i="7"/>
  <c r="W249" i="7"/>
  <c r="R235" i="7"/>
  <c r="S235" i="7"/>
  <c r="X263" i="7"/>
  <c r="X249" i="7"/>
  <c r="W263" i="7"/>
  <c r="W242" i="7"/>
  <c r="X242" i="7"/>
  <c r="W235" i="7"/>
  <c r="X235" i="7"/>
  <c r="R242" i="7"/>
  <c r="S242" i="7"/>
  <c r="Z269" i="7"/>
  <c r="G268" i="7"/>
  <c r="X257" i="7"/>
  <c r="W257" i="7"/>
  <c r="W250" i="7"/>
  <c r="X250" i="7"/>
  <c r="W236" i="7"/>
  <c r="X236" i="7"/>
  <c r="X258" i="7"/>
  <c r="W258" i="7"/>
  <c r="X251" i="7"/>
  <c r="W251" i="7"/>
  <c r="W237" i="7"/>
  <c r="X237" i="7"/>
  <c r="W259" i="7"/>
  <c r="X259" i="7"/>
  <c r="W252" i="7"/>
  <c r="X252" i="7"/>
  <c r="X238" i="7"/>
  <c r="W238" i="7"/>
  <c r="X260" i="7"/>
  <c r="W260" i="7"/>
  <c r="W253" i="7"/>
  <c r="X253" i="7"/>
  <c r="X239" i="7"/>
  <c r="W239" i="7"/>
  <c r="X262" i="7"/>
  <c r="W262" i="7"/>
  <c r="X255" i="7"/>
  <c r="W255" i="7"/>
  <c r="X241" i="7"/>
  <c r="W241" i="7"/>
  <c r="X233" i="7"/>
  <c r="W233" i="7"/>
  <c r="X234" i="7"/>
  <c r="W234" i="7"/>
  <c r="S233" i="7"/>
  <c r="R233" i="7"/>
  <c r="R234" i="7"/>
  <c r="S234" i="7"/>
  <c r="S236" i="7"/>
  <c r="R236" i="7"/>
  <c r="S237" i="7"/>
  <c r="R237" i="7"/>
  <c r="S238" i="7"/>
  <c r="R238" i="7"/>
  <c r="R239" i="7"/>
  <c r="S239" i="7"/>
  <c r="S240" i="7"/>
  <c r="R240" i="7"/>
  <c r="R241" i="7"/>
  <c r="S241" i="7"/>
  <c r="S250" i="7"/>
  <c r="R250" i="7"/>
  <c r="R251" i="7"/>
  <c r="S251" i="7"/>
  <c r="S252" i="7"/>
  <c r="R252" i="7"/>
  <c r="R253" i="7"/>
  <c r="S253" i="7"/>
  <c r="R254" i="7"/>
  <c r="S254" i="7"/>
  <c r="R255" i="7"/>
  <c r="S255" i="7"/>
  <c r="S257" i="7"/>
  <c r="R257" i="7"/>
  <c r="S258" i="7"/>
  <c r="R258" i="7"/>
  <c r="S259" i="7"/>
  <c r="R259" i="7"/>
  <c r="R260" i="7"/>
  <c r="S260" i="7"/>
  <c r="S261" i="7"/>
  <c r="R261" i="7"/>
  <c r="R262" i="7"/>
  <c r="S262" i="7"/>
  <c r="W261" i="7"/>
  <c r="X261" i="7"/>
  <c r="X254" i="7"/>
  <c r="W254" i="7"/>
  <c r="W240" i="7"/>
  <c r="X240" i="7"/>
  <c r="Y269" i="7"/>
  <c r="E268" i="7"/>
  <c r="AA270" i="5"/>
  <c r="E269" i="5"/>
  <c r="AS268" i="5"/>
  <c r="G267" i="5"/>
  <c r="S234" i="4"/>
  <c r="R234" i="4"/>
  <c r="X237" i="4"/>
  <c r="W237" i="4"/>
  <c r="S238" i="4"/>
  <c r="R238" i="4"/>
  <c r="W261" i="4"/>
  <c r="X261" i="4"/>
  <c r="S241" i="4"/>
  <c r="R241" i="4"/>
  <c r="X238" i="4"/>
  <c r="W238" i="4"/>
  <c r="X241" i="4"/>
  <c r="W241" i="4"/>
  <c r="X236" i="4"/>
  <c r="W236" i="4"/>
  <c r="X233" i="4"/>
  <c r="W233" i="4"/>
  <c r="W252" i="4"/>
  <c r="X252" i="4"/>
  <c r="S240" i="4"/>
  <c r="R240" i="4"/>
  <c r="S257" i="4"/>
  <c r="R257" i="4"/>
  <c r="E270" i="4"/>
  <c r="Y271" i="4"/>
  <c r="X255" i="4"/>
  <c r="W255" i="4"/>
  <c r="S251" i="4"/>
  <c r="R251" i="4"/>
  <c r="R258" i="4"/>
  <c r="S258" i="4"/>
  <c r="X250" i="4"/>
  <c r="W250" i="4"/>
  <c r="R253" i="4"/>
  <c r="S253" i="4"/>
  <c r="S259" i="4"/>
  <c r="R259" i="4"/>
  <c r="X239" i="4"/>
  <c r="W239" i="4"/>
  <c r="W257" i="4"/>
  <c r="X257" i="4"/>
  <c r="S236" i="4"/>
  <c r="R236" i="4"/>
  <c r="S260" i="4"/>
  <c r="R260" i="4"/>
  <c r="R254" i="4"/>
  <c r="S254" i="4"/>
  <c r="S261" i="4"/>
  <c r="R261" i="4"/>
  <c r="X258" i="4"/>
  <c r="W258" i="4"/>
  <c r="S237" i="4"/>
  <c r="R237" i="4"/>
  <c r="R262" i="4"/>
  <c r="S262" i="4"/>
  <c r="W253" i="4"/>
  <c r="X253" i="4"/>
  <c r="W234" i="4"/>
  <c r="X234" i="4"/>
  <c r="R252" i="4"/>
  <c r="S252" i="4"/>
  <c r="X240" i="4"/>
  <c r="W240" i="4"/>
  <c r="S255" i="4"/>
  <c r="R255" i="4"/>
  <c r="X262" i="4"/>
  <c r="W262" i="4"/>
  <c r="R239" i="4"/>
  <c r="S239" i="4"/>
  <c r="W260" i="4"/>
  <c r="X260" i="4"/>
  <c r="X251" i="4"/>
  <c r="W251" i="4"/>
  <c r="R250" i="4"/>
  <c r="S250" i="4"/>
  <c r="X254" i="4"/>
  <c r="W254" i="4"/>
  <c r="X259" i="4"/>
  <c r="W259" i="4"/>
  <c r="Z269" i="4"/>
  <c r="G268" i="4"/>
  <c r="S233" i="4"/>
  <c r="R233" i="4"/>
  <c r="E263" i="3"/>
  <c r="Y264" i="3"/>
  <c r="G263" i="3"/>
  <c r="Z264" i="3"/>
  <c r="AA259" i="2"/>
  <c r="E258" i="2"/>
  <c r="G258" i="2"/>
  <c r="AS259" i="2"/>
  <c r="Z270" i="7" l="1"/>
  <c r="G269" i="7"/>
  <c r="Y270" i="7"/>
  <c r="E269" i="7"/>
  <c r="AS269" i="5"/>
  <c r="G268" i="5"/>
  <c r="E270" i="5"/>
  <c r="AA271" i="5"/>
  <c r="E271" i="4"/>
  <c r="Y272" i="4"/>
  <c r="Z270" i="4"/>
  <c r="G269" i="4"/>
  <c r="AD76" i="3"/>
  <c r="AE76" i="3" s="1"/>
  <c r="AD73" i="3"/>
  <c r="AD71" i="3"/>
  <c r="AD74" i="3"/>
  <c r="AD72" i="3"/>
  <c r="AD75" i="3"/>
  <c r="AC73" i="3"/>
  <c r="AC70" i="3"/>
  <c r="AC74" i="3"/>
  <c r="AC75" i="3"/>
  <c r="AD70" i="3"/>
  <c r="AC72" i="3"/>
  <c r="AC71" i="3"/>
  <c r="AC76" i="3"/>
  <c r="G264" i="3"/>
  <c r="Z265" i="3"/>
  <c r="Y265" i="3"/>
  <c r="E264" i="3"/>
  <c r="G259" i="2"/>
  <c r="AS260" i="2"/>
  <c r="E259" i="2"/>
  <c r="AA260" i="2"/>
  <c r="Z271" i="7" l="1"/>
  <c r="G270" i="7"/>
  <c r="Y271" i="7"/>
  <c r="E270" i="7"/>
  <c r="E271" i="5"/>
  <c r="AA272" i="5"/>
  <c r="G269" i="5"/>
  <c r="AS270" i="5"/>
  <c r="Z271" i="4"/>
  <c r="G270" i="4"/>
  <c r="E272" i="4"/>
  <c r="Y273" i="4"/>
  <c r="AE75" i="3"/>
  <c r="AE72" i="3"/>
  <c r="AE74" i="3"/>
  <c r="AE70" i="3"/>
  <c r="AE71" i="3"/>
  <c r="AE73" i="3"/>
  <c r="E265" i="3"/>
  <c r="Y266" i="3"/>
  <c r="G265" i="3"/>
  <c r="Z266" i="3"/>
  <c r="E260" i="2"/>
  <c r="AA261" i="2"/>
  <c r="AS261" i="2"/>
  <c r="G260" i="2"/>
  <c r="Z272" i="7" l="1"/>
  <c r="G271" i="7"/>
  <c r="Y272" i="7"/>
  <c r="E271" i="7"/>
  <c r="AS271" i="5"/>
  <c r="G270" i="5"/>
  <c r="AA273" i="5"/>
  <c r="E272" i="5"/>
  <c r="E273" i="4"/>
  <c r="Y274" i="4"/>
  <c r="G271" i="4"/>
  <c r="Z272" i="4"/>
  <c r="C11" i="1"/>
  <c r="E53" i="1" s="1"/>
  <c r="L240" i="3"/>
  <c r="L261" i="3"/>
  <c r="L233" i="3"/>
  <c r="L254" i="3"/>
  <c r="C12" i="1"/>
  <c r="E61" i="1" s="1"/>
  <c r="L241" i="3"/>
  <c r="L262" i="3"/>
  <c r="L234" i="3"/>
  <c r="L255" i="3"/>
  <c r="C10" i="1"/>
  <c r="E66" i="1" s="1"/>
  <c r="L260" i="3"/>
  <c r="L253" i="3"/>
  <c r="L239" i="3"/>
  <c r="C8" i="1"/>
  <c r="E57" i="1" s="1"/>
  <c r="L258" i="3"/>
  <c r="L251" i="3"/>
  <c r="L237" i="3"/>
  <c r="C7" i="1"/>
  <c r="E56" i="1" s="1"/>
  <c r="L257" i="3"/>
  <c r="L250" i="3"/>
  <c r="L236" i="3"/>
  <c r="C9" i="1"/>
  <c r="E51" i="1" s="1"/>
  <c r="L259" i="3"/>
  <c r="L252" i="3"/>
  <c r="L238" i="3"/>
  <c r="AF70" i="3"/>
  <c r="AF73" i="3"/>
  <c r="AF72" i="3"/>
  <c r="AF71" i="3"/>
  <c r="AF74" i="3"/>
  <c r="AF75" i="3"/>
  <c r="G266" i="3"/>
  <c r="Z267" i="3"/>
  <c r="Y267" i="3"/>
  <c r="E266" i="3"/>
  <c r="E261" i="2"/>
  <c r="AA262" i="2"/>
  <c r="AS262" i="2"/>
  <c r="G261" i="2"/>
  <c r="Z273" i="7" l="1"/>
  <c r="G272" i="7"/>
  <c r="Y273" i="7"/>
  <c r="E272" i="7"/>
  <c r="E273" i="5"/>
  <c r="AA274" i="5"/>
  <c r="AS272" i="5"/>
  <c r="G271" i="5"/>
  <c r="E274" i="4"/>
  <c r="Y275" i="4"/>
  <c r="Z273" i="4"/>
  <c r="G272" i="4"/>
  <c r="C18" i="1"/>
  <c r="E58" i="1"/>
  <c r="E64" i="1"/>
  <c r="E71" i="1"/>
  <c r="F71" i="1" s="1"/>
  <c r="E78" i="1"/>
  <c r="F78" i="1" s="1"/>
  <c r="E50" i="1"/>
  <c r="F50" i="1" s="1"/>
  <c r="E52" i="1"/>
  <c r="G52" i="1" s="1"/>
  <c r="C4" i="1"/>
  <c r="E65" i="1"/>
  <c r="G65" i="1" s="1"/>
  <c r="E80" i="1"/>
  <c r="F80" i="1" s="1"/>
  <c r="E72" i="1"/>
  <c r="E54" i="1"/>
  <c r="F54" i="1" s="1"/>
  <c r="E75" i="1"/>
  <c r="F75" i="1" s="1"/>
  <c r="E68" i="1"/>
  <c r="G68" i="1" s="1"/>
  <c r="E60" i="1"/>
  <c r="G60" i="1" s="1"/>
  <c r="E77" i="1"/>
  <c r="F77" i="1" s="1"/>
  <c r="E74" i="1"/>
  <c r="F74" i="1" s="1"/>
  <c r="E59" i="1"/>
  <c r="F59" i="1" s="1"/>
  <c r="E67" i="1"/>
  <c r="F67" i="1" s="1"/>
  <c r="E73" i="1"/>
  <c r="G73" i="1" s="1"/>
  <c r="E63" i="1"/>
  <c r="F63" i="1" s="1"/>
  <c r="E79" i="1"/>
  <c r="F79" i="1" s="1"/>
  <c r="N259" i="3"/>
  <c r="M259" i="3"/>
  <c r="AF76" i="3"/>
  <c r="F61" i="1"/>
  <c r="G61" i="1"/>
  <c r="I56" i="1"/>
  <c r="G56" i="1"/>
  <c r="F56" i="1"/>
  <c r="F64" i="1"/>
  <c r="G64" i="1"/>
  <c r="F53" i="1"/>
  <c r="G53" i="1"/>
  <c r="G50" i="1"/>
  <c r="I50" i="1"/>
  <c r="F66" i="1"/>
  <c r="G66" i="1"/>
  <c r="F57" i="1"/>
  <c r="G57" i="1"/>
  <c r="F52" i="1"/>
  <c r="F51" i="1"/>
  <c r="G51" i="1"/>
  <c r="M254" i="3"/>
  <c r="N254" i="3"/>
  <c r="N257" i="3"/>
  <c r="M257" i="3"/>
  <c r="M241" i="3"/>
  <c r="N241" i="3"/>
  <c r="N252" i="3"/>
  <c r="M252" i="3"/>
  <c r="P255" i="3"/>
  <c r="P253" i="3"/>
  <c r="P252" i="3"/>
  <c r="P258" i="3"/>
  <c r="P240" i="3"/>
  <c r="P241" i="3"/>
  <c r="P250" i="3"/>
  <c r="M233" i="3"/>
  <c r="P259" i="3"/>
  <c r="P257" i="3"/>
  <c r="P251" i="3"/>
  <c r="P254" i="3"/>
  <c r="P237" i="3"/>
  <c r="P238" i="3"/>
  <c r="P233" i="3"/>
  <c r="P234" i="3"/>
  <c r="P236" i="3"/>
  <c r="P239" i="3"/>
  <c r="N233" i="3"/>
  <c r="N234" i="3"/>
  <c r="M234" i="3"/>
  <c r="M253" i="3"/>
  <c r="N253" i="3"/>
  <c r="N255" i="3"/>
  <c r="M255" i="3"/>
  <c r="N239" i="3"/>
  <c r="M239" i="3"/>
  <c r="N237" i="3"/>
  <c r="M237" i="3"/>
  <c r="M258" i="3"/>
  <c r="N258" i="3"/>
  <c r="N251" i="3"/>
  <c r="M251" i="3"/>
  <c r="M236" i="3"/>
  <c r="N236" i="3"/>
  <c r="N250" i="3"/>
  <c r="M250" i="3"/>
  <c r="N240" i="3"/>
  <c r="M240" i="3"/>
  <c r="M238" i="3"/>
  <c r="N238" i="3"/>
  <c r="E267" i="3"/>
  <c r="Y268" i="3"/>
  <c r="G267" i="3"/>
  <c r="Z268" i="3"/>
  <c r="AS263" i="2"/>
  <c r="G262" i="2"/>
  <c r="AA263" i="2"/>
  <c r="E262" i="2"/>
  <c r="Z274" i="7" l="1"/>
  <c r="G273" i="7"/>
  <c r="Y274" i="7"/>
  <c r="E273" i="7"/>
  <c r="G58" i="1"/>
  <c r="F58" i="1"/>
  <c r="G72" i="1"/>
  <c r="F72" i="1"/>
  <c r="AS273" i="5"/>
  <c r="G272" i="5"/>
  <c r="E274" i="5"/>
  <c r="AA275" i="5"/>
  <c r="G71" i="1"/>
  <c r="G78" i="1"/>
  <c r="G79" i="1"/>
  <c r="E275" i="4"/>
  <c r="Y276" i="4"/>
  <c r="Z274" i="4"/>
  <c r="G273" i="4"/>
  <c r="F68" i="1"/>
  <c r="G54" i="1"/>
  <c r="F65" i="1"/>
  <c r="G75" i="1"/>
  <c r="G74" i="1"/>
  <c r="G77" i="1"/>
  <c r="F60" i="1"/>
  <c r="G80" i="1"/>
  <c r="G63" i="1"/>
  <c r="F73" i="1"/>
  <c r="G67" i="1"/>
  <c r="E81" i="1"/>
  <c r="E82" i="1" s="1"/>
  <c r="G59" i="1"/>
  <c r="C23" i="1"/>
  <c r="C25" i="1" s="1"/>
  <c r="J56" i="1"/>
  <c r="I57" i="1"/>
  <c r="K56" i="1"/>
  <c r="I51" i="1"/>
  <c r="J50" i="1"/>
  <c r="K50" i="1"/>
  <c r="S233" i="3"/>
  <c r="R233" i="3"/>
  <c r="R238" i="3"/>
  <c r="S238" i="3"/>
  <c r="S240" i="3"/>
  <c r="R240" i="3"/>
  <c r="R254" i="3"/>
  <c r="S254" i="3"/>
  <c r="S252" i="3"/>
  <c r="R252" i="3"/>
  <c r="S236" i="3"/>
  <c r="R236" i="3"/>
  <c r="R253" i="3"/>
  <c r="S253" i="3"/>
  <c r="S250" i="3"/>
  <c r="R250" i="3"/>
  <c r="R237" i="3"/>
  <c r="S237" i="3"/>
  <c r="S258" i="3"/>
  <c r="R258" i="3"/>
  <c r="R234" i="3"/>
  <c r="S234" i="3"/>
  <c r="R259" i="3"/>
  <c r="S259" i="3"/>
  <c r="S241" i="3"/>
  <c r="R241" i="3"/>
  <c r="R239" i="3"/>
  <c r="S239" i="3"/>
  <c r="S251" i="3"/>
  <c r="R251" i="3"/>
  <c r="S257" i="3"/>
  <c r="R257" i="3"/>
  <c r="S255" i="3"/>
  <c r="R255" i="3"/>
  <c r="G268" i="3"/>
  <c r="Z269" i="3"/>
  <c r="Y269" i="3"/>
  <c r="E268" i="3"/>
  <c r="E263" i="2"/>
  <c r="AA264" i="2"/>
  <c r="AS264" i="2"/>
  <c r="G263" i="2"/>
  <c r="Z275" i="7" l="1"/>
  <c r="G274" i="7"/>
  <c r="Y275" i="7"/>
  <c r="E274" i="7"/>
  <c r="E275" i="5"/>
  <c r="AA276" i="5"/>
  <c r="G273" i="5"/>
  <c r="AS274" i="5"/>
  <c r="Z275" i="4"/>
  <c r="G274" i="4"/>
  <c r="E276" i="4"/>
  <c r="Y277" i="4"/>
  <c r="J51" i="1"/>
  <c r="K51" i="1"/>
  <c r="I52" i="1"/>
  <c r="K57" i="1"/>
  <c r="I58" i="1"/>
  <c r="J57" i="1"/>
  <c r="AE73" i="2"/>
  <c r="AF69" i="2"/>
  <c r="AE72" i="2"/>
  <c r="AF73" i="2"/>
  <c r="AF72" i="2"/>
  <c r="AE71" i="2"/>
  <c r="AF71" i="2"/>
  <c r="AF75" i="2"/>
  <c r="AF70" i="2"/>
  <c r="AE75" i="2"/>
  <c r="AE69" i="2"/>
  <c r="AH69" i="2" s="1"/>
  <c r="AF74" i="2"/>
  <c r="AE74" i="2"/>
  <c r="AE70" i="2"/>
  <c r="Y270" i="3"/>
  <c r="E269" i="3"/>
  <c r="G269" i="3"/>
  <c r="Z270" i="3"/>
  <c r="AS265" i="2"/>
  <c r="G264" i="2"/>
  <c r="AA265" i="2"/>
  <c r="E264" i="2"/>
  <c r="Z276" i="7" l="1"/>
  <c r="G275" i="7"/>
  <c r="Y276" i="7"/>
  <c r="E275" i="7"/>
  <c r="E276" i="5"/>
  <c r="AA277" i="5"/>
  <c r="G274" i="5"/>
  <c r="AS275" i="5"/>
  <c r="E277" i="4"/>
  <c r="Y278" i="4"/>
  <c r="Z276" i="4"/>
  <c r="G275" i="4"/>
  <c r="J58" i="1"/>
  <c r="K58" i="1"/>
  <c r="J52" i="1"/>
  <c r="I53" i="1"/>
  <c r="K52" i="1"/>
  <c r="AH72" i="2"/>
  <c r="AH71" i="2"/>
  <c r="AH70" i="2"/>
  <c r="AH74" i="2"/>
  <c r="AH75" i="2"/>
  <c r="AH73" i="2"/>
  <c r="G270" i="3"/>
  <c r="Z271" i="3"/>
  <c r="Y271" i="3"/>
  <c r="E270" i="3"/>
  <c r="AA266" i="2"/>
  <c r="E265" i="2"/>
  <c r="AS266" i="2"/>
  <c r="G265" i="2"/>
  <c r="Z277" i="7" l="1"/>
  <c r="G276" i="7"/>
  <c r="Y277" i="7"/>
  <c r="E276" i="7"/>
  <c r="G275" i="5"/>
  <c r="AS276" i="5"/>
  <c r="AA278" i="5"/>
  <c r="E277" i="5"/>
  <c r="G276" i="4"/>
  <c r="Z277" i="4"/>
  <c r="E278" i="4"/>
  <c r="Y279" i="4"/>
  <c r="J53" i="1"/>
  <c r="K53" i="1"/>
  <c r="I54" i="1"/>
  <c r="E271" i="3"/>
  <c r="Y272" i="3"/>
  <c r="G271" i="3"/>
  <c r="Z272" i="3"/>
  <c r="AS267" i="2"/>
  <c r="G266" i="2"/>
  <c r="AA267" i="2"/>
  <c r="E266" i="2"/>
  <c r="Z278" i="7" l="1"/>
  <c r="G277" i="7"/>
  <c r="Y278" i="7"/>
  <c r="E277" i="7"/>
  <c r="E278" i="5"/>
  <c r="AA279" i="5"/>
  <c r="G276" i="5"/>
  <c r="AS277" i="5"/>
  <c r="E279" i="4"/>
  <c r="Y280" i="4"/>
  <c r="Z278" i="4"/>
  <c r="G277" i="4"/>
  <c r="J54" i="1"/>
  <c r="K54" i="1"/>
  <c r="E272" i="3"/>
  <c r="Y273" i="3"/>
  <c r="G272" i="3"/>
  <c r="Z273" i="3"/>
  <c r="AA268" i="2"/>
  <c r="E267" i="2"/>
  <c r="AS268" i="2"/>
  <c r="G267" i="2"/>
  <c r="Z279" i="7" l="1"/>
  <c r="G278" i="7"/>
  <c r="Y279" i="7"/>
  <c r="E278" i="7"/>
  <c r="G277" i="5"/>
  <c r="AS278" i="5"/>
  <c r="E279" i="5"/>
  <c r="AA280" i="5"/>
  <c r="Z279" i="4"/>
  <c r="G278" i="4"/>
  <c r="E280" i="4"/>
  <c r="Y281" i="4"/>
  <c r="G273" i="3"/>
  <c r="Z274" i="3"/>
  <c r="E273" i="3"/>
  <c r="Y274" i="3"/>
  <c r="AS269" i="2"/>
  <c r="G268" i="2"/>
  <c r="AA269" i="2"/>
  <c r="E268" i="2"/>
  <c r="Z280" i="7" l="1"/>
  <c r="G279" i="7"/>
  <c r="Y280" i="7"/>
  <c r="E279" i="7"/>
  <c r="AA281" i="5"/>
  <c r="E280" i="5"/>
  <c r="AS279" i="5"/>
  <c r="G278" i="5"/>
  <c r="E281" i="4"/>
  <c r="Y282" i="4"/>
  <c r="G279" i="4"/>
  <c r="Z280" i="4"/>
  <c r="E274" i="3"/>
  <c r="Y275" i="3"/>
  <c r="G274" i="3"/>
  <c r="Z275" i="3"/>
  <c r="E269" i="2"/>
  <c r="AA270" i="2"/>
  <c r="G269" i="2"/>
  <c r="AS270" i="2"/>
  <c r="Z281" i="7" l="1"/>
  <c r="G280" i="7"/>
  <c r="Y281" i="7"/>
  <c r="E280" i="7"/>
  <c r="AS280" i="5"/>
  <c r="G279" i="5"/>
  <c r="AA282" i="5"/>
  <c r="E281" i="5"/>
  <c r="G280" i="4"/>
  <c r="Z281" i="4"/>
  <c r="E282" i="4"/>
  <c r="Y283" i="4"/>
  <c r="G275" i="3"/>
  <c r="Z276" i="3"/>
  <c r="E275" i="3"/>
  <c r="Y276" i="3"/>
  <c r="AS271" i="2"/>
  <c r="G270" i="2"/>
  <c r="AA271" i="2"/>
  <c r="E270" i="2"/>
  <c r="Z282" i="7" l="1"/>
  <c r="G281" i="7"/>
  <c r="Y282" i="7"/>
  <c r="E281" i="7"/>
  <c r="AA283" i="5"/>
  <c r="E282" i="5"/>
  <c r="AS281" i="5"/>
  <c r="G280" i="5"/>
  <c r="E283" i="4"/>
  <c r="Y284" i="4"/>
  <c r="Z282" i="4"/>
  <c r="G281" i="4"/>
  <c r="Y277" i="3"/>
  <c r="E276" i="3"/>
  <c r="G276" i="3"/>
  <c r="Z277" i="3"/>
  <c r="AA272" i="2"/>
  <c r="E271" i="2"/>
  <c r="G271" i="2"/>
  <c r="AS272" i="2"/>
  <c r="Z283" i="7" l="1"/>
  <c r="G282" i="7"/>
  <c r="Y283" i="7"/>
  <c r="E282" i="7"/>
  <c r="AS282" i="5"/>
  <c r="G281" i="5"/>
  <c r="E283" i="5"/>
  <c r="AA284" i="5"/>
  <c r="Z283" i="4"/>
  <c r="G282" i="4"/>
  <c r="E284" i="4"/>
  <c r="Y285" i="4"/>
  <c r="G277" i="3"/>
  <c r="Z278" i="3"/>
  <c r="E277" i="3"/>
  <c r="Y278" i="3"/>
  <c r="G272" i="2"/>
  <c r="AS273" i="2"/>
  <c r="E272" i="2"/>
  <c r="AA273" i="2"/>
  <c r="Z284" i="7" l="1"/>
  <c r="G283" i="7"/>
  <c r="Y284" i="7"/>
  <c r="E283" i="7"/>
  <c r="E284" i="5"/>
  <c r="AA285" i="5"/>
  <c r="AS283" i="5"/>
  <c r="G282" i="5"/>
  <c r="E285" i="4"/>
  <c r="Y286" i="4"/>
  <c r="Z284" i="4"/>
  <c r="G283" i="4"/>
  <c r="Y279" i="3"/>
  <c r="E278" i="3"/>
  <c r="G278" i="3"/>
  <c r="Z279" i="3"/>
  <c r="AS274" i="2"/>
  <c r="G273" i="2"/>
  <c r="E273" i="2"/>
  <c r="AA274" i="2"/>
  <c r="Z285" i="7" l="1"/>
  <c r="G284" i="7"/>
  <c r="Y285" i="7"/>
  <c r="E284" i="7"/>
  <c r="AS284" i="5"/>
  <c r="G283" i="5"/>
  <c r="E285" i="5"/>
  <c r="AA286" i="5"/>
  <c r="E286" i="4"/>
  <c r="Y287" i="4"/>
  <c r="Z285" i="4"/>
  <c r="G284" i="4"/>
  <c r="G279" i="3"/>
  <c r="Z280" i="3"/>
  <c r="E279" i="3"/>
  <c r="Y280" i="3"/>
  <c r="AA275" i="2"/>
  <c r="E274" i="2"/>
  <c r="G274" i="2"/>
  <c r="AS275" i="2"/>
  <c r="Z286" i="7" l="1"/>
  <c r="G285" i="7"/>
  <c r="Y286" i="7"/>
  <c r="E285" i="7"/>
  <c r="E286" i="5"/>
  <c r="AA287" i="5"/>
  <c r="AS285" i="5"/>
  <c r="G284" i="5"/>
  <c r="E287" i="4"/>
  <c r="Y288" i="4"/>
  <c r="Z286" i="4"/>
  <c r="G285" i="4"/>
  <c r="E280" i="3"/>
  <c r="Y281" i="3"/>
  <c r="G280" i="3"/>
  <c r="Z281" i="3"/>
  <c r="G275" i="2"/>
  <c r="AS276" i="2"/>
  <c r="AA276" i="2"/>
  <c r="E275" i="2"/>
  <c r="Z287" i="7" l="1"/>
  <c r="G286" i="7"/>
  <c r="Y287" i="7"/>
  <c r="E286" i="7"/>
  <c r="G285" i="5"/>
  <c r="AS286" i="5"/>
  <c r="E287" i="5"/>
  <c r="AA288" i="5"/>
  <c r="Z287" i="4"/>
  <c r="G286" i="4"/>
  <c r="E288" i="4"/>
  <c r="Y289" i="4"/>
  <c r="G281" i="3"/>
  <c r="Z282" i="3"/>
  <c r="Y282" i="3"/>
  <c r="E281" i="3"/>
  <c r="E276" i="2"/>
  <c r="AA277" i="2"/>
  <c r="G276" i="2"/>
  <c r="AS277" i="2"/>
  <c r="Z288" i="7" l="1"/>
  <c r="G287" i="7"/>
  <c r="Y288" i="7"/>
  <c r="E287" i="7"/>
  <c r="AA289" i="5"/>
  <c r="E288" i="5"/>
  <c r="AS287" i="5"/>
  <c r="G286" i="5"/>
  <c r="E289" i="4"/>
  <c r="Y290" i="4"/>
  <c r="Z288" i="4"/>
  <c r="G287" i="4"/>
  <c r="E282" i="3"/>
  <c r="Y283" i="3"/>
  <c r="G282" i="3"/>
  <c r="Z283" i="3"/>
  <c r="E277" i="2"/>
  <c r="AA278" i="2"/>
  <c r="G277" i="2"/>
  <c r="AS278" i="2"/>
  <c r="Z289" i="7" l="1"/>
  <c r="G288" i="7"/>
  <c r="Y289" i="7"/>
  <c r="E288" i="7"/>
  <c r="G287" i="5"/>
  <c r="AS288" i="5"/>
  <c r="AA290" i="5"/>
  <c r="E289" i="5"/>
  <c r="Z289" i="4"/>
  <c r="G288" i="4"/>
  <c r="E290" i="4"/>
  <c r="Y291" i="4"/>
  <c r="G283" i="3"/>
  <c r="Z284" i="3"/>
  <c r="E283" i="3"/>
  <c r="Y284" i="3"/>
  <c r="AA279" i="2"/>
  <c r="E278" i="2"/>
  <c r="G278" i="2"/>
  <c r="AS279" i="2"/>
  <c r="Z290" i="7" l="1"/>
  <c r="G289" i="7"/>
  <c r="Y290" i="7"/>
  <c r="E289" i="7"/>
  <c r="AA291" i="5"/>
  <c r="E290" i="5"/>
  <c r="AS289" i="5"/>
  <c r="G288" i="5"/>
  <c r="E291" i="4"/>
  <c r="Y292" i="4"/>
  <c r="Z290" i="4"/>
  <c r="G289" i="4"/>
  <c r="Y285" i="3"/>
  <c r="E284" i="3"/>
  <c r="Z285" i="3"/>
  <c r="G284" i="3"/>
  <c r="G279" i="2"/>
  <c r="AS280" i="2"/>
  <c r="AA280" i="2"/>
  <c r="E279" i="2"/>
  <c r="Z291" i="7" l="1"/>
  <c r="G290" i="7"/>
  <c r="Y291" i="7"/>
  <c r="E290" i="7"/>
  <c r="G289" i="5"/>
  <c r="AS290" i="5"/>
  <c r="AA292" i="5"/>
  <c r="E291" i="5"/>
  <c r="G290" i="4"/>
  <c r="Z291" i="4"/>
  <c r="E292" i="4"/>
  <c r="Y293" i="4"/>
  <c r="Z286" i="3"/>
  <c r="G285" i="3"/>
  <c r="Y286" i="3"/>
  <c r="E285" i="3"/>
  <c r="E280" i="2"/>
  <c r="AA281" i="2"/>
  <c r="G280" i="2"/>
  <c r="AS281" i="2"/>
  <c r="Z292" i="7" l="1"/>
  <c r="G291" i="7"/>
  <c r="Y292" i="7"/>
  <c r="E291" i="7"/>
  <c r="AA293" i="5"/>
  <c r="E292" i="5"/>
  <c r="AS291" i="5"/>
  <c r="G290" i="5"/>
  <c r="E293" i="4"/>
  <c r="Y294" i="4"/>
  <c r="G291" i="4"/>
  <c r="Z292" i="4"/>
  <c r="E286" i="3"/>
  <c r="Y287" i="3"/>
  <c r="Z287" i="3"/>
  <c r="G286" i="3"/>
  <c r="E281" i="2"/>
  <c r="AA282" i="2"/>
  <c r="AS282" i="2"/>
  <c r="G281" i="2"/>
  <c r="Z293" i="7" l="1"/>
  <c r="G292" i="7"/>
  <c r="Y293" i="7"/>
  <c r="E292" i="7"/>
  <c r="AS292" i="5"/>
  <c r="G291" i="5"/>
  <c r="AA294" i="5"/>
  <c r="E293" i="5"/>
  <c r="E294" i="4"/>
  <c r="Y295" i="4"/>
  <c r="G292" i="4"/>
  <c r="Z293" i="4"/>
  <c r="G287" i="3"/>
  <c r="Z288" i="3"/>
  <c r="E287" i="3"/>
  <c r="Y288" i="3"/>
  <c r="G282" i="2"/>
  <c r="AS283" i="2"/>
  <c r="AA283" i="2"/>
  <c r="E282" i="2"/>
  <c r="Z294" i="7" l="1"/>
  <c r="G293" i="7"/>
  <c r="Y294" i="7"/>
  <c r="E293" i="7"/>
  <c r="E294" i="5"/>
  <c r="AA295" i="5"/>
  <c r="AS293" i="5"/>
  <c r="G292" i="5"/>
  <c r="E295" i="4"/>
  <c r="Y296" i="4"/>
  <c r="G293" i="4"/>
  <c r="Z294" i="4"/>
  <c r="E288" i="3"/>
  <c r="Y289" i="3"/>
  <c r="Z289" i="3"/>
  <c r="G288" i="3"/>
  <c r="AA284" i="2"/>
  <c r="E283" i="2"/>
  <c r="G283" i="2"/>
  <c r="AS284" i="2"/>
  <c r="Z295" i="7" l="1"/>
  <c r="G294" i="7"/>
  <c r="AD82" i="7"/>
  <c r="AC83" i="7"/>
  <c r="AC79" i="7"/>
  <c r="AD83" i="7"/>
  <c r="AE83" i="7" s="1"/>
  <c r="AC81" i="7"/>
  <c r="AC78" i="7"/>
  <c r="AC77" i="7"/>
  <c r="AD77" i="7"/>
  <c r="AD81" i="7"/>
  <c r="AC80" i="7"/>
  <c r="AD79" i="7"/>
  <c r="AC82" i="7"/>
  <c r="AD78" i="7"/>
  <c r="AD80" i="7"/>
  <c r="Y295" i="7"/>
  <c r="E294" i="7"/>
  <c r="AS294" i="5"/>
  <c r="G293" i="5"/>
  <c r="AA296" i="5"/>
  <c r="E295" i="5"/>
  <c r="AC83" i="4"/>
  <c r="AD78" i="4"/>
  <c r="AC80" i="4"/>
  <c r="AD82" i="4"/>
  <c r="AC79" i="4"/>
  <c r="AD81" i="4"/>
  <c r="AC77" i="4"/>
  <c r="AC82" i="4"/>
  <c r="AD77" i="4"/>
  <c r="AD80" i="4"/>
  <c r="AD83" i="4"/>
  <c r="AE83" i="4" s="1"/>
  <c r="AD79" i="4"/>
  <c r="AC78" i="4"/>
  <c r="AC81" i="4"/>
  <c r="E296" i="4"/>
  <c r="Y297" i="4"/>
  <c r="G294" i="4"/>
  <c r="Z295" i="4"/>
  <c r="G289" i="3"/>
  <c r="Z290" i="3"/>
  <c r="Y290" i="3"/>
  <c r="E289" i="3"/>
  <c r="G284" i="2"/>
  <c r="AS285" i="2"/>
  <c r="E284" i="2"/>
  <c r="AA285" i="2"/>
  <c r="Z296" i="7" l="1"/>
  <c r="G295" i="7"/>
  <c r="AE82" i="7"/>
  <c r="AE77" i="7"/>
  <c r="AE81" i="7"/>
  <c r="AE79" i="7"/>
  <c r="AE78" i="7"/>
  <c r="AE80" i="7"/>
  <c r="Y296" i="7"/>
  <c r="E295" i="7"/>
  <c r="AF78" i="5"/>
  <c r="AE81" i="5"/>
  <c r="AH81" i="5" s="1"/>
  <c r="AI81" i="5" s="1"/>
  <c r="AF80" i="5"/>
  <c r="AF81" i="5"/>
  <c r="AE82" i="5"/>
  <c r="AF77" i="5"/>
  <c r="AE78" i="5"/>
  <c r="AH78" i="5" s="1"/>
  <c r="AI78" i="5" s="1"/>
  <c r="AE80" i="5"/>
  <c r="AH80" i="5" s="1"/>
  <c r="AI80" i="5" s="1"/>
  <c r="AF79" i="5"/>
  <c r="AF76" i="5"/>
  <c r="AF82" i="5"/>
  <c r="AE77" i="5"/>
  <c r="AE76" i="5"/>
  <c r="AH76" i="5" s="1"/>
  <c r="AI76" i="5" s="1"/>
  <c r="AE79" i="5"/>
  <c r="AH79" i="5" s="1"/>
  <c r="AI79" i="5" s="1"/>
  <c r="AA297" i="5"/>
  <c r="E296" i="5"/>
  <c r="AS295" i="5"/>
  <c r="G294" i="5"/>
  <c r="G295" i="4"/>
  <c r="Z296" i="4"/>
  <c r="E297" i="4"/>
  <c r="Y298" i="4"/>
  <c r="AE79" i="4"/>
  <c r="AE80" i="4"/>
  <c r="AE77" i="4"/>
  <c r="AE81" i="4"/>
  <c r="AE82" i="4"/>
  <c r="AE78" i="4"/>
  <c r="Y291" i="3"/>
  <c r="E290" i="3"/>
  <c r="Z291" i="3"/>
  <c r="G290" i="3"/>
  <c r="E285" i="2"/>
  <c r="AA286" i="2"/>
  <c r="AS286" i="2"/>
  <c r="G285" i="2"/>
  <c r="L284" i="7" l="1"/>
  <c r="L291" i="7"/>
  <c r="L270" i="7"/>
  <c r="L277" i="7"/>
  <c r="AF82" i="7"/>
  <c r="AF78" i="7"/>
  <c r="AF80" i="7"/>
  <c r="AF77" i="7"/>
  <c r="AF79" i="7"/>
  <c r="Z297" i="7"/>
  <c r="G296" i="7"/>
  <c r="L290" i="7"/>
  <c r="L283" i="7"/>
  <c r="L276" i="7"/>
  <c r="L269" i="7"/>
  <c r="L292" i="7"/>
  <c r="L285" i="7"/>
  <c r="L271" i="7"/>
  <c r="L264" i="7"/>
  <c r="L289" i="7"/>
  <c r="L282" i="7"/>
  <c r="L275" i="7"/>
  <c r="L268" i="7"/>
  <c r="L287" i="7"/>
  <c r="L280" i="7"/>
  <c r="L273" i="7"/>
  <c r="L266" i="7"/>
  <c r="L293" i="7"/>
  <c r="L279" i="7"/>
  <c r="L272" i="7"/>
  <c r="L265" i="7"/>
  <c r="L288" i="7"/>
  <c r="L281" i="7"/>
  <c r="L274" i="7"/>
  <c r="L267" i="7"/>
  <c r="Y297" i="7"/>
  <c r="E296" i="7"/>
  <c r="AF81" i="7"/>
  <c r="G295" i="5"/>
  <c r="AS296" i="5"/>
  <c r="AA298" i="5"/>
  <c r="E297" i="5"/>
  <c r="AH77" i="5"/>
  <c r="AI77" i="5" s="1"/>
  <c r="AH82" i="5"/>
  <c r="AI82" i="5" s="1"/>
  <c r="L265" i="4"/>
  <c r="L272" i="4"/>
  <c r="L279" i="4"/>
  <c r="L293" i="4"/>
  <c r="AF78" i="4"/>
  <c r="L269" i="4"/>
  <c r="L276" i="4"/>
  <c r="L283" i="4"/>
  <c r="L290" i="4"/>
  <c r="AF82" i="4"/>
  <c r="L268" i="4"/>
  <c r="L275" i="4"/>
  <c r="L282" i="4"/>
  <c r="L289" i="4"/>
  <c r="AF81" i="4"/>
  <c r="L264" i="4"/>
  <c r="L271" i="4"/>
  <c r="L285" i="4"/>
  <c r="L292" i="4"/>
  <c r="AF77" i="4"/>
  <c r="L267" i="4"/>
  <c r="L274" i="4"/>
  <c r="L281" i="4"/>
  <c r="L288" i="4"/>
  <c r="AF80" i="4"/>
  <c r="L266" i="4"/>
  <c r="L273" i="4"/>
  <c r="L280" i="4"/>
  <c r="L287" i="4"/>
  <c r="AF79" i="4"/>
  <c r="E298" i="4"/>
  <c r="Y299" i="4"/>
  <c r="G296" i="4"/>
  <c r="Z297" i="4"/>
  <c r="Z292" i="3"/>
  <c r="G291" i="3"/>
  <c r="E291" i="3"/>
  <c r="Y292" i="3"/>
  <c r="AS287" i="2"/>
  <c r="G286" i="2"/>
  <c r="E286" i="2"/>
  <c r="AA287" i="2"/>
  <c r="M270" i="7" l="1"/>
  <c r="U291" i="7"/>
  <c r="P291" i="7"/>
  <c r="N284" i="7"/>
  <c r="M284" i="7"/>
  <c r="N270" i="7"/>
  <c r="N291" i="7"/>
  <c r="M291" i="7"/>
  <c r="AF83" i="7"/>
  <c r="P284" i="7"/>
  <c r="U284" i="7"/>
  <c r="R291" i="7"/>
  <c r="S291" i="7"/>
  <c r="U277" i="7"/>
  <c r="R284" i="7"/>
  <c r="S284" i="7"/>
  <c r="N277" i="7"/>
  <c r="M277" i="7"/>
  <c r="U270" i="7"/>
  <c r="P270" i="7"/>
  <c r="P277" i="7"/>
  <c r="Z298" i="7"/>
  <c r="G297" i="7"/>
  <c r="U292" i="7"/>
  <c r="M290" i="7"/>
  <c r="N290" i="7"/>
  <c r="N283" i="7"/>
  <c r="M283" i="7"/>
  <c r="U285" i="7"/>
  <c r="U279" i="7"/>
  <c r="M276" i="7"/>
  <c r="N276" i="7"/>
  <c r="N269" i="7"/>
  <c r="M269" i="7"/>
  <c r="U271" i="7"/>
  <c r="U293" i="7"/>
  <c r="M292" i="7"/>
  <c r="N292" i="7"/>
  <c r="N285" i="7"/>
  <c r="M285" i="7"/>
  <c r="U287" i="7"/>
  <c r="U272" i="7"/>
  <c r="N271" i="7"/>
  <c r="M271" i="7"/>
  <c r="U264" i="7"/>
  <c r="P293" i="7"/>
  <c r="P292" i="7"/>
  <c r="P290" i="7"/>
  <c r="P289" i="7"/>
  <c r="P288" i="7"/>
  <c r="P287" i="7"/>
  <c r="P285" i="7"/>
  <c r="P283" i="7"/>
  <c r="P282" i="7"/>
  <c r="P281" i="7"/>
  <c r="P280" i="7"/>
  <c r="P279" i="7"/>
  <c r="P276" i="7"/>
  <c r="P275" i="7"/>
  <c r="P274" i="7"/>
  <c r="P273" i="7"/>
  <c r="P272" i="7"/>
  <c r="P271" i="7"/>
  <c r="P269" i="7"/>
  <c r="P268" i="7"/>
  <c r="P267" i="7"/>
  <c r="P266" i="7"/>
  <c r="P265" i="7"/>
  <c r="P264" i="7"/>
  <c r="M264" i="7"/>
  <c r="N264" i="7"/>
  <c r="U265" i="7"/>
  <c r="U290" i="7"/>
  <c r="M289" i="7"/>
  <c r="N289" i="7"/>
  <c r="U283" i="7"/>
  <c r="M282" i="7"/>
  <c r="N282" i="7"/>
  <c r="U276" i="7"/>
  <c r="N275" i="7"/>
  <c r="M275" i="7"/>
  <c r="U269" i="7"/>
  <c r="M268" i="7"/>
  <c r="N268" i="7"/>
  <c r="U288" i="7"/>
  <c r="M287" i="7"/>
  <c r="N287" i="7"/>
  <c r="U281" i="7"/>
  <c r="M280" i="7"/>
  <c r="N280" i="7"/>
  <c r="U274" i="7"/>
  <c r="M273" i="7"/>
  <c r="N273" i="7"/>
  <c r="N266" i="7"/>
  <c r="M266" i="7"/>
  <c r="U267" i="7"/>
  <c r="M293" i="7"/>
  <c r="N293" i="7"/>
  <c r="U280" i="7"/>
  <c r="M279" i="7"/>
  <c r="N279" i="7"/>
  <c r="N272" i="7"/>
  <c r="M272" i="7"/>
  <c r="U273" i="7"/>
  <c r="N265" i="7"/>
  <c r="M265" i="7"/>
  <c r="U266" i="7"/>
  <c r="U289" i="7"/>
  <c r="M288" i="7"/>
  <c r="N288" i="7"/>
  <c r="U282" i="7"/>
  <c r="M281" i="7"/>
  <c r="N281" i="7"/>
  <c r="U275" i="7"/>
  <c r="M274" i="7"/>
  <c r="N274" i="7"/>
  <c r="M267" i="7"/>
  <c r="N267" i="7"/>
  <c r="U268" i="7"/>
  <c r="Y298" i="7"/>
  <c r="E297" i="7"/>
  <c r="AJ76" i="5"/>
  <c r="AS297" i="5"/>
  <c r="G296" i="5"/>
  <c r="E298" i="5"/>
  <c r="AA299" i="5"/>
  <c r="AF83" i="4"/>
  <c r="P293" i="4"/>
  <c r="P292" i="4"/>
  <c r="P290" i="4"/>
  <c r="P289" i="4"/>
  <c r="P288" i="4"/>
  <c r="P287" i="4"/>
  <c r="P285" i="4"/>
  <c r="P283" i="4"/>
  <c r="P282" i="4"/>
  <c r="P281" i="4"/>
  <c r="P280" i="4"/>
  <c r="P279" i="4"/>
  <c r="P276" i="4"/>
  <c r="P275" i="4"/>
  <c r="P274" i="4"/>
  <c r="P273" i="4"/>
  <c r="P272" i="4"/>
  <c r="P271" i="4"/>
  <c r="P269" i="4"/>
  <c r="P268" i="4"/>
  <c r="P267" i="4"/>
  <c r="P266" i="4"/>
  <c r="P265" i="4"/>
  <c r="P264" i="4"/>
  <c r="N264" i="4"/>
  <c r="M264" i="4"/>
  <c r="U264" i="4"/>
  <c r="N271" i="4"/>
  <c r="M271" i="4"/>
  <c r="U271" i="4"/>
  <c r="E299" i="4"/>
  <c r="Y300" i="4"/>
  <c r="N289" i="4"/>
  <c r="M289" i="4"/>
  <c r="U289" i="4"/>
  <c r="G297" i="4"/>
  <c r="Z298" i="4"/>
  <c r="N282" i="4"/>
  <c r="M282" i="4"/>
  <c r="U282" i="4"/>
  <c r="N275" i="4"/>
  <c r="M275" i="4"/>
  <c r="U275" i="4"/>
  <c r="N287" i="4"/>
  <c r="M287" i="4"/>
  <c r="U287" i="4"/>
  <c r="N268" i="4"/>
  <c r="M268" i="4"/>
  <c r="U268" i="4"/>
  <c r="N280" i="4"/>
  <c r="M280" i="4"/>
  <c r="U280" i="4"/>
  <c r="N266" i="4"/>
  <c r="M266" i="4"/>
  <c r="U266" i="4"/>
  <c r="N273" i="4"/>
  <c r="M273" i="4"/>
  <c r="U273" i="4"/>
  <c r="N290" i="4"/>
  <c r="M290" i="4"/>
  <c r="U290" i="4"/>
  <c r="N288" i="4"/>
  <c r="M288" i="4"/>
  <c r="U288" i="4"/>
  <c r="N283" i="4"/>
  <c r="M283" i="4"/>
  <c r="U283" i="4"/>
  <c r="N281" i="4"/>
  <c r="M281" i="4"/>
  <c r="U281" i="4"/>
  <c r="N276" i="4"/>
  <c r="M276" i="4"/>
  <c r="U276" i="4"/>
  <c r="N269" i="4"/>
  <c r="M269" i="4"/>
  <c r="U269" i="4"/>
  <c r="N267" i="4"/>
  <c r="M267" i="4"/>
  <c r="U267" i="4"/>
  <c r="N293" i="4"/>
  <c r="M293" i="4"/>
  <c r="U293" i="4"/>
  <c r="N279" i="4"/>
  <c r="M279" i="4"/>
  <c r="U279" i="4"/>
  <c r="N274" i="4"/>
  <c r="M274" i="4"/>
  <c r="U274" i="4"/>
  <c r="N292" i="4"/>
  <c r="M292" i="4"/>
  <c r="U292" i="4"/>
  <c r="N272" i="4"/>
  <c r="M272" i="4"/>
  <c r="U272" i="4"/>
  <c r="N285" i="4"/>
  <c r="M285" i="4"/>
  <c r="U285" i="4"/>
  <c r="N265" i="4"/>
  <c r="M265" i="4"/>
  <c r="U265" i="4"/>
  <c r="Y293" i="3"/>
  <c r="E292" i="3"/>
  <c r="Z293" i="3"/>
  <c r="G292" i="3"/>
  <c r="AA288" i="2"/>
  <c r="E287" i="2"/>
  <c r="G287" i="2"/>
  <c r="AS288" i="2"/>
  <c r="R270" i="7" l="1"/>
  <c r="W284" i="7"/>
  <c r="S270" i="7"/>
  <c r="X291" i="7"/>
  <c r="W291" i="7"/>
  <c r="X284" i="7"/>
  <c r="X277" i="7"/>
  <c r="W277" i="7"/>
  <c r="X270" i="7"/>
  <c r="R277" i="7"/>
  <c r="S277" i="7"/>
  <c r="W270" i="7"/>
  <c r="Z299" i="7"/>
  <c r="G298" i="7"/>
  <c r="X292" i="7"/>
  <c r="W292" i="7"/>
  <c r="W285" i="7"/>
  <c r="X285" i="7"/>
  <c r="X279" i="7"/>
  <c r="W279" i="7"/>
  <c r="X271" i="7"/>
  <c r="W271" i="7"/>
  <c r="W293" i="7"/>
  <c r="X293" i="7"/>
  <c r="X287" i="7"/>
  <c r="W287" i="7"/>
  <c r="W272" i="7"/>
  <c r="X272" i="7"/>
  <c r="W264" i="7"/>
  <c r="X264" i="7"/>
  <c r="S293" i="7"/>
  <c r="R293" i="7"/>
  <c r="R292" i="7"/>
  <c r="S292" i="7"/>
  <c r="R290" i="7"/>
  <c r="S290" i="7"/>
  <c r="S289" i="7"/>
  <c r="R289" i="7"/>
  <c r="S288" i="7"/>
  <c r="R288" i="7"/>
  <c r="S287" i="7"/>
  <c r="R287" i="7"/>
  <c r="S285" i="7"/>
  <c r="R285" i="7"/>
  <c r="R283" i="7"/>
  <c r="S283" i="7"/>
  <c r="S282" i="7"/>
  <c r="R282" i="7"/>
  <c r="S281" i="7"/>
  <c r="R281" i="7"/>
  <c r="R280" i="7"/>
  <c r="S280" i="7"/>
  <c r="S279" i="7"/>
  <c r="R279" i="7"/>
  <c r="R276" i="7"/>
  <c r="S276" i="7"/>
  <c r="R275" i="7"/>
  <c r="S275" i="7"/>
  <c r="S274" i="7"/>
  <c r="R274" i="7"/>
  <c r="S273" i="7"/>
  <c r="R273" i="7"/>
  <c r="S272" i="7"/>
  <c r="R272" i="7"/>
  <c r="R271" i="7"/>
  <c r="S271" i="7"/>
  <c r="S269" i="7"/>
  <c r="R269" i="7"/>
  <c r="S268" i="7"/>
  <c r="R268" i="7"/>
  <c r="R267" i="7"/>
  <c r="S267" i="7"/>
  <c r="S266" i="7"/>
  <c r="R266" i="7"/>
  <c r="R265" i="7"/>
  <c r="S265" i="7"/>
  <c r="R264" i="7"/>
  <c r="S264" i="7"/>
  <c r="X265" i="7"/>
  <c r="W265" i="7"/>
  <c r="W290" i="7"/>
  <c r="X290" i="7"/>
  <c r="W283" i="7"/>
  <c r="X283" i="7"/>
  <c r="W276" i="7"/>
  <c r="X276" i="7"/>
  <c r="W269" i="7"/>
  <c r="X269" i="7"/>
  <c r="W288" i="7"/>
  <c r="X288" i="7"/>
  <c r="W281" i="7"/>
  <c r="X281" i="7"/>
  <c r="X274" i="7"/>
  <c r="W274" i="7"/>
  <c r="W267" i="7"/>
  <c r="X267" i="7"/>
  <c r="W280" i="7"/>
  <c r="X280" i="7"/>
  <c r="X273" i="7"/>
  <c r="W273" i="7"/>
  <c r="W266" i="7"/>
  <c r="X266" i="7"/>
  <c r="W289" i="7"/>
  <c r="X289" i="7"/>
  <c r="X282" i="7"/>
  <c r="W282" i="7"/>
  <c r="X275" i="7"/>
  <c r="W275" i="7"/>
  <c r="W268" i="7"/>
  <c r="X268" i="7"/>
  <c r="Y299" i="7"/>
  <c r="E298" i="7"/>
  <c r="E299" i="5"/>
  <c r="AA300" i="5"/>
  <c r="AS298" i="5"/>
  <c r="G297" i="5"/>
  <c r="X288" i="4"/>
  <c r="W288" i="4"/>
  <c r="Y301" i="4"/>
  <c r="E300" i="4"/>
  <c r="R273" i="4"/>
  <c r="S273" i="4"/>
  <c r="X267" i="4"/>
  <c r="W267" i="4"/>
  <c r="R274" i="4"/>
  <c r="S274" i="4"/>
  <c r="X287" i="4"/>
  <c r="W287" i="4"/>
  <c r="X271" i="4"/>
  <c r="W271" i="4"/>
  <c r="S275" i="4"/>
  <c r="R275" i="4"/>
  <c r="W290" i="4"/>
  <c r="X290" i="4"/>
  <c r="S276" i="4"/>
  <c r="R276" i="4"/>
  <c r="X269" i="4"/>
  <c r="W269" i="4"/>
  <c r="S279" i="4"/>
  <c r="R279" i="4"/>
  <c r="X280" i="4"/>
  <c r="W280" i="4"/>
  <c r="X285" i="4"/>
  <c r="W285" i="4"/>
  <c r="X272" i="4"/>
  <c r="W272" i="4"/>
  <c r="X292" i="4"/>
  <c r="W292" i="4"/>
  <c r="X275" i="4"/>
  <c r="W275" i="4"/>
  <c r="X264" i="4"/>
  <c r="W264" i="4"/>
  <c r="R280" i="4"/>
  <c r="S280" i="4"/>
  <c r="X273" i="4"/>
  <c r="W273" i="4"/>
  <c r="S281" i="4"/>
  <c r="R281" i="4"/>
  <c r="X276" i="4"/>
  <c r="W276" i="4"/>
  <c r="R282" i="4"/>
  <c r="S282" i="4"/>
  <c r="X274" i="4"/>
  <c r="W274" i="4"/>
  <c r="X282" i="4"/>
  <c r="W282" i="4"/>
  <c r="R264" i="4"/>
  <c r="S264" i="4"/>
  <c r="R283" i="4"/>
  <c r="S283" i="4"/>
  <c r="W266" i="4"/>
  <c r="X266" i="4"/>
  <c r="R265" i="4"/>
  <c r="S265" i="4"/>
  <c r="R285" i="4"/>
  <c r="S285" i="4"/>
  <c r="X281" i="4"/>
  <c r="W281" i="4"/>
  <c r="R266" i="4"/>
  <c r="S266" i="4"/>
  <c r="S287" i="4"/>
  <c r="R287" i="4"/>
  <c r="X279" i="4"/>
  <c r="W279" i="4"/>
  <c r="G298" i="4"/>
  <c r="Z299" i="4"/>
  <c r="S267" i="4"/>
  <c r="R267" i="4"/>
  <c r="R288" i="4"/>
  <c r="S288" i="4"/>
  <c r="S268" i="4"/>
  <c r="R268" i="4"/>
  <c r="R289" i="4"/>
  <c r="S289" i="4"/>
  <c r="X283" i="4"/>
  <c r="W283" i="4"/>
  <c r="W289" i="4"/>
  <c r="X289" i="4"/>
  <c r="S269" i="4"/>
  <c r="R269" i="4"/>
  <c r="S290" i="4"/>
  <c r="R290" i="4"/>
  <c r="W265" i="4"/>
  <c r="X265" i="4"/>
  <c r="X293" i="4"/>
  <c r="W293" i="4"/>
  <c r="R271" i="4"/>
  <c r="S271" i="4"/>
  <c r="S292" i="4"/>
  <c r="R292" i="4"/>
  <c r="W268" i="4"/>
  <c r="X268" i="4"/>
  <c r="S272" i="4"/>
  <c r="R272" i="4"/>
  <c r="R293" i="4"/>
  <c r="S293" i="4"/>
  <c r="G293" i="3"/>
  <c r="Z294" i="3"/>
  <c r="E293" i="3"/>
  <c r="Y294" i="3"/>
  <c r="G288" i="2"/>
  <c r="AS289" i="2"/>
  <c r="E288" i="2"/>
  <c r="AA289" i="2"/>
  <c r="Z300" i="7" l="1"/>
  <c r="G299" i="7"/>
  <c r="Y300" i="7"/>
  <c r="E299" i="7"/>
  <c r="E300" i="5"/>
  <c r="AA301" i="5"/>
  <c r="AS299" i="5"/>
  <c r="G298" i="5"/>
  <c r="G299" i="4"/>
  <c r="Z300" i="4"/>
  <c r="Y302" i="4"/>
  <c r="E301" i="4"/>
  <c r="AD77" i="3"/>
  <c r="AD82" i="3"/>
  <c r="AC81" i="3"/>
  <c r="AD83" i="3"/>
  <c r="AE83" i="3" s="1"/>
  <c r="AC80" i="3"/>
  <c r="AC83" i="3"/>
  <c r="AD80" i="3"/>
  <c r="AC79" i="3"/>
  <c r="AC78" i="3"/>
  <c r="AC82" i="3"/>
  <c r="AD79" i="3"/>
  <c r="AD81" i="3"/>
  <c r="AC77" i="3"/>
  <c r="AD78" i="3"/>
  <c r="Y295" i="3"/>
  <c r="E294" i="3"/>
  <c r="G294" i="3"/>
  <c r="Z295" i="3"/>
  <c r="E289" i="2"/>
  <c r="AA290" i="2"/>
  <c r="G289" i="2"/>
  <c r="AS290" i="2"/>
  <c r="Z301" i="7" l="1"/>
  <c r="G300" i="7"/>
  <c r="Y301" i="7"/>
  <c r="E300" i="7"/>
  <c r="G299" i="5"/>
  <c r="AS300" i="5"/>
  <c r="E301" i="5"/>
  <c r="AA302" i="5"/>
  <c r="Y303" i="4"/>
  <c r="E302" i="4"/>
  <c r="G300" i="4"/>
  <c r="Z301" i="4"/>
  <c r="AE80" i="3"/>
  <c r="AE78" i="3"/>
  <c r="AE81" i="3"/>
  <c r="AE79" i="3"/>
  <c r="AE82" i="3"/>
  <c r="AE77" i="3"/>
  <c r="Z296" i="3"/>
  <c r="G295" i="3"/>
  <c r="Y296" i="3"/>
  <c r="E295" i="3"/>
  <c r="AA291" i="2"/>
  <c r="E290" i="2"/>
  <c r="AS291" i="2"/>
  <c r="G290" i="2"/>
  <c r="Z302" i="7" l="1"/>
  <c r="G301" i="7"/>
  <c r="Y302" i="7"/>
  <c r="E301" i="7"/>
  <c r="E302" i="5"/>
  <c r="AA303" i="5"/>
  <c r="G300" i="5"/>
  <c r="AS301" i="5"/>
  <c r="G301" i="4"/>
  <c r="Z302" i="4"/>
  <c r="Y304" i="4"/>
  <c r="E303" i="4"/>
  <c r="L292" i="3"/>
  <c r="L264" i="3"/>
  <c r="L285" i="3"/>
  <c r="L271" i="3"/>
  <c r="L272" i="3"/>
  <c r="L293" i="3"/>
  <c r="L279" i="3"/>
  <c r="L265" i="3"/>
  <c r="L290" i="3"/>
  <c r="L276" i="3"/>
  <c r="L283" i="3"/>
  <c r="L269" i="3"/>
  <c r="L273" i="3"/>
  <c r="L280" i="3"/>
  <c r="L266" i="3"/>
  <c r="L287" i="3"/>
  <c r="L289" i="3"/>
  <c r="L275" i="3"/>
  <c r="L282" i="3"/>
  <c r="L268" i="3"/>
  <c r="L288" i="3"/>
  <c r="L274" i="3"/>
  <c r="L281" i="3"/>
  <c r="L267" i="3"/>
  <c r="AF77" i="3"/>
  <c r="AF82" i="3"/>
  <c r="AF79" i="3"/>
  <c r="AF81" i="3"/>
  <c r="AF78" i="3"/>
  <c r="AF80" i="3"/>
  <c r="E296" i="3"/>
  <c r="Y297" i="3"/>
  <c r="G296" i="3"/>
  <c r="Z297" i="3"/>
  <c r="G291" i="2"/>
  <c r="AS292" i="2"/>
  <c r="AA292" i="2"/>
  <c r="E291" i="2"/>
  <c r="Z303" i="7" l="1"/>
  <c r="G302" i="7"/>
  <c r="Y303" i="7"/>
  <c r="E302" i="7"/>
  <c r="G301" i="5"/>
  <c r="AS302" i="5"/>
  <c r="E303" i="5"/>
  <c r="AA304" i="5"/>
  <c r="Y305" i="4"/>
  <c r="E304" i="4"/>
  <c r="G302" i="4"/>
  <c r="Z303" i="4"/>
  <c r="M266" i="3"/>
  <c r="N266" i="3"/>
  <c r="M273" i="3"/>
  <c r="N273" i="3"/>
  <c r="N289" i="3"/>
  <c r="M289" i="3"/>
  <c r="M293" i="3"/>
  <c r="N293" i="3"/>
  <c r="N281" i="3"/>
  <c r="M281" i="3"/>
  <c r="M280" i="3"/>
  <c r="N280" i="3"/>
  <c r="M287" i="3"/>
  <c r="N287" i="3"/>
  <c r="M261" i="3"/>
  <c r="N261" i="3"/>
  <c r="M292" i="3"/>
  <c r="N292" i="3"/>
  <c r="N285" i="3"/>
  <c r="M285" i="3"/>
  <c r="M288" i="3"/>
  <c r="N288" i="3"/>
  <c r="M269" i="3"/>
  <c r="N269" i="3"/>
  <c r="N274" i="3"/>
  <c r="M274" i="3"/>
  <c r="N260" i="3"/>
  <c r="M260" i="3"/>
  <c r="P261" i="3"/>
  <c r="P260" i="3"/>
  <c r="P262" i="3"/>
  <c r="M282" i="3"/>
  <c r="N282" i="3"/>
  <c r="N271" i="3"/>
  <c r="M271" i="3"/>
  <c r="N268" i="3"/>
  <c r="M268" i="3"/>
  <c r="M279" i="3"/>
  <c r="N279" i="3"/>
  <c r="N275" i="3"/>
  <c r="M275" i="3"/>
  <c r="M276" i="3"/>
  <c r="N276" i="3"/>
  <c r="P264" i="3"/>
  <c r="P276" i="3"/>
  <c r="P271" i="3"/>
  <c r="P285" i="3"/>
  <c r="N264" i="3"/>
  <c r="P266" i="3"/>
  <c r="P274" i="3"/>
  <c r="M264" i="3"/>
  <c r="P283" i="3"/>
  <c r="P265" i="3"/>
  <c r="P279" i="3"/>
  <c r="P267" i="3"/>
  <c r="P292" i="3"/>
  <c r="P287" i="3"/>
  <c r="P289" i="3"/>
  <c r="P282" i="3"/>
  <c r="P268" i="3"/>
  <c r="P290" i="3"/>
  <c r="P280" i="3"/>
  <c r="P273" i="3"/>
  <c r="P288" i="3"/>
  <c r="P269" i="3"/>
  <c r="P293" i="3"/>
  <c r="P275" i="3"/>
  <c r="P272" i="3"/>
  <c r="P281" i="3"/>
  <c r="M265" i="3"/>
  <c r="N265" i="3"/>
  <c r="M290" i="3"/>
  <c r="N290" i="3"/>
  <c r="N267" i="3"/>
  <c r="M267" i="3"/>
  <c r="N272" i="3"/>
  <c r="M272" i="3"/>
  <c r="M262" i="3"/>
  <c r="N262" i="3"/>
  <c r="M283" i="3"/>
  <c r="N283" i="3"/>
  <c r="AF83" i="3"/>
  <c r="Z298" i="3"/>
  <c r="G297" i="3"/>
  <c r="E297" i="3"/>
  <c r="Y298" i="3"/>
  <c r="E292" i="2"/>
  <c r="AA293" i="2"/>
  <c r="G292" i="2"/>
  <c r="AS293" i="2"/>
  <c r="Z304" i="7" l="1"/>
  <c r="G303" i="7"/>
  <c r="Y304" i="7"/>
  <c r="E303" i="7"/>
  <c r="AS303" i="5"/>
  <c r="G302" i="5"/>
  <c r="E304" i="5"/>
  <c r="AA305" i="5"/>
  <c r="Z304" i="4"/>
  <c r="G303" i="4"/>
  <c r="Y306" i="4"/>
  <c r="E305" i="4"/>
  <c r="S267" i="3"/>
  <c r="R267" i="3"/>
  <c r="S271" i="3"/>
  <c r="R271" i="3"/>
  <c r="R265" i="3"/>
  <c r="S265" i="3"/>
  <c r="R268" i="3"/>
  <c r="S268" i="3"/>
  <c r="R264" i="3"/>
  <c r="S264" i="3"/>
  <c r="S282" i="3"/>
  <c r="R282" i="3"/>
  <c r="R288" i="3"/>
  <c r="S288" i="3"/>
  <c r="R273" i="3"/>
  <c r="S273" i="3"/>
  <c r="S285" i="3"/>
  <c r="R285" i="3"/>
  <c r="R279" i="3"/>
  <c r="S279" i="3"/>
  <c r="S260" i="3"/>
  <c r="R260" i="3"/>
  <c r="S290" i="3"/>
  <c r="R290" i="3"/>
  <c r="R261" i="3"/>
  <c r="S261" i="3"/>
  <c r="S272" i="3"/>
  <c r="R272" i="3"/>
  <c r="S275" i="3"/>
  <c r="R275" i="3"/>
  <c r="R293" i="3"/>
  <c r="S293" i="3"/>
  <c r="S289" i="3"/>
  <c r="R289" i="3"/>
  <c r="R274" i="3"/>
  <c r="S274" i="3"/>
  <c r="R292" i="3"/>
  <c r="S292" i="3"/>
  <c r="R262" i="3"/>
  <c r="S262" i="3"/>
  <c r="S280" i="3"/>
  <c r="R280" i="3"/>
  <c r="R281" i="3"/>
  <c r="S281" i="3"/>
  <c r="R276" i="3"/>
  <c r="S276" i="3"/>
  <c r="R283" i="3"/>
  <c r="S283" i="3"/>
  <c r="R269" i="3"/>
  <c r="S269" i="3"/>
  <c r="R287" i="3"/>
  <c r="S287" i="3"/>
  <c r="R266" i="3"/>
  <c r="S266" i="3"/>
  <c r="Y299" i="3"/>
  <c r="E298" i="3"/>
  <c r="G298" i="3"/>
  <c r="Z299" i="3"/>
  <c r="E293" i="2"/>
  <c r="AA294" i="2"/>
  <c r="AS294" i="2"/>
  <c r="G293" i="2"/>
  <c r="Z305" i="7" l="1"/>
  <c r="G304" i="7"/>
  <c r="Y305" i="7"/>
  <c r="E304" i="7"/>
  <c r="E305" i="5"/>
  <c r="AA306" i="5"/>
  <c r="AS304" i="5"/>
  <c r="G303" i="5"/>
  <c r="Y307" i="4"/>
  <c r="E306" i="4"/>
  <c r="Z305" i="4"/>
  <c r="G304" i="4"/>
  <c r="AE81" i="2"/>
  <c r="AF77" i="2"/>
  <c r="AF76" i="2"/>
  <c r="AF81" i="2"/>
  <c r="AE77" i="2"/>
  <c r="AF79" i="2"/>
  <c r="AE79" i="2"/>
  <c r="AE76" i="2"/>
  <c r="AE78" i="2"/>
  <c r="AF78" i="2"/>
  <c r="AE80" i="2"/>
  <c r="AF82" i="2"/>
  <c r="AE82" i="2"/>
  <c r="AF80" i="2"/>
  <c r="G299" i="3"/>
  <c r="Z300" i="3"/>
  <c r="Y300" i="3"/>
  <c r="E299" i="3"/>
  <c r="G294" i="2"/>
  <c r="AS295" i="2"/>
  <c r="AA295" i="2"/>
  <c r="E294" i="2"/>
  <c r="Z306" i="7" l="1"/>
  <c r="G305" i="7"/>
  <c r="Y306" i="7"/>
  <c r="E305" i="7"/>
  <c r="AS305" i="5"/>
  <c r="G304" i="5"/>
  <c r="E306" i="5"/>
  <c r="AA307" i="5"/>
  <c r="Z306" i="4"/>
  <c r="G305" i="4"/>
  <c r="Y308" i="4"/>
  <c r="E307" i="4"/>
  <c r="AH82" i="2"/>
  <c r="AH77" i="2"/>
  <c r="AH79" i="2"/>
  <c r="AH80" i="2"/>
  <c r="AH76" i="2"/>
  <c r="AH78" i="2"/>
  <c r="AH81" i="2"/>
  <c r="E300" i="3"/>
  <c r="Y301" i="3"/>
  <c r="Z301" i="3"/>
  <c r="G300" i="3"/>
  <c r="AA296" i="2"/>
  <c r="E295" i="2"/>
  <c r="G295" i="2"/>
  <c r="AS296" i="2"/>
  <c r="Z307" i="7" l="1"/>
  <c r="G306" i="7"/>
  <c r="Y307" i="7"/>
  <c r="E306" i="7"/>
  <c r="AA308" i="5"/>
  <c r="E307" i="5"/>
  <c r="G305" i="5"/>
  <c r="AS306" i="5"/>
  <c r="Y309" i="4"/>
  <c r="E308" i="4"/>
  <c r="Z307" i="4"/>
  <c r="G306" i="4"/>
  <c r="G301" i="3"/>
  <c r="Z302" i="3"/>
  <c r="E301" i="3"/>
  <c r="Y302" i="3"/>
  <c r="G296" i="2"/>
  <c r="AS297" i="2"/>
  <c r="E296" i="2"/>
  <c r="AA297" i="2"/>
  <c r="Z308" i="7" l="1"/>
  <c r="G307" i="7"/>
  <c r="Y308" i="7"/>
  <c r="E307" i="7"/>
  <c r="G306" i="5"/>
  <c r="AS307" i="5"/>
  <c r="E308" i="5"/>
  <c r="AA309" i="5"/>
  <c r="Z308" i="4"/>
  <c r="G307" i="4"/>
  <c r="Y310" i="4"/>
  <c r="E309" i="4"/>
  <c r="E302" i="3"/>
  <c r="Y303" i="3"/>
  <c r="Z303" i="3"/>
  <c r="G302" i="3"/>
  <c r="E297" i="2"/>
  <c r="AA298" i="2"/>
  <c r="AS298" i="2"/>
  <c r="G297" i="2"/>
  <c r="Z309" i="7" l="1"/>
  <c r="G308" i="7"/>
  <c r="Y309" i="7"/>
  <c r="E308" i="7"/>
  <c r="E309" i="5"/>
  <c r="AA310" i="5"/>
  <c r="G307" i="5"/>
  <c r="AS308" i="5"/>
  <c r="Y311" i="4"/>
  <c r="E310" i="4"/>
  <c r="Z309" i="4"/>
  <c r="G308" i="4"/>
  <c r="G303" i="3"/>
  <c r="Z304" i="3"/>
  <c r="Y304" i="3"/>
  <c r="E303" i="3"/>
  <c r="G298" i="2"/>
  <c r="AS299" i="2"/>
  <c r="E298" i="2"/>
  <c r="AA299" i="2"/>
  <c r="Z310" i="7" l="1"/>
  <c r="G309" i="7"/>
  <c r="Y310" i="7"/>
  <c r="E309" i="7"/>
  <c r="AS309" i="5"/>
  <c r="G308" i="5"/>
  <c r="AA311" i="5"/>
  <c r="E310" i="5"/>
  <c r="Y312" i="4"/>
  <c r="E311" i="4"/>
  <c r="Z310" i="4"/>
  <c r="G309" i="4"/>
  <c r="Y305" i="3"/>
  <c r="E304" i="3"/>
  <c r="Z305" i="3"/>
  <c r="G304" i="3"/>
  <c r="G299" i="2"/>
  <c r="AS300" i="2"/>
  <c r="AA300" i="2"/>
  <c r="E299" i="2"/>
  <c r="Z311" i="7" l="1"/>
  <c r="G310" i="7"/>
  <c r="E310" i="7"/>
  <c r="Y311" i="7"/>
  <c r="E311" i="5"/>
  <c r="AA312" i="5"/>
  <c r="G309" i="5"/>
  <c r="AS310" i="5"/>
  <c r="Z311" i="4"/>
  <c r="G310" i="4"/>
  <c r="Y313" i="4"/>
  <c r="E312" i="4"/>
  <c r="Z306" i="3"/>
  <c r="G305" i="3"/>
  <c r="Y306" i="3"/>
  <c r="E305" i="3"/>
  <c r="E300" i="2"/>
  <c r="AA301" i="2"/>
  <c r="G300" i="2"/>
  <c r="AS301" i="2"/>
  <c r="Z312" i="7" l="1"/>
  <c r="G311" i="7"/>
  <c r="Y312" i="7"/>
  <c r="E311" i="7"/>
  <c r="AS311" i="5"/>
  <c r="G310" i="5"/>
  <c r="E312" i="5"/>
  <c r="AA313" i="5"/>
  <c r="Y314" i="4"/>
  <c r="E313" i="4"/>
  <c r="Z312" i="4"/>
  <c r="G311" i="4"/>
  <c r="E306" i="3"/>
  <c r="Y307" i="3"/>
  <c r="Z307" i="3"/>
  <c r="G306" i="3"/>
  <c r="E301" i="2"/>
  <c r="AA302" i="2"/>
  <c r="G301" i="2"/>
  <c r="AS302" i="2"/>
  <c r="G312" i="7" l="1"/>
  <c r="Z313" i="7"/>
  <c r="E312" i="7"/>
  <c r="Y313" i="7"/>
  <c r="E313" i="5"/>
  <c r="AA314" i="5"/>
  <c r="AS312" i="5"/>
  <c r="G311" i="5"/>
  <c r="Z313" i="4"/>
  <c r="G312" i="4"/>
  <c r="Y315" i="4"/>
  <c r="E314" i="4"/>
  <c r="G307" i="3"/>
  <c r="Z308" i="3"/>
  <c r="E307" i="3"/>
  <c r="Y308" i="3"/>
  <c r="AS303" i="2"/>
  <c r="G302" i="2"/>
  <c r="E302" i="2"/>
  <c r="AA303" i="2"/>
  <c r="Z314" i="7" l="1"/>
  <c r="G313" i="7"/>
  <c r="E313" i="7"/>
  <c r="Y314" i="7"/>
  <c r="AS313" i="5"/>
  <c r="G312" i="5"/>
  <c r="E314" i="5"/>
  <c r="AA315" i="5"/>
  <c r="Y316" i="4"/>
  <c r="E315" i="4"/>
  <c r="Z314" i="4"/>
  <c r="G313" i="4"/>
  <c r="E308" i="3"/>
  <c r="Y309" i="3"/>
  <c r="Z309" i="3"/>
  <c r="G308" i="3"/>
  <c r="AA304" i="2"/>
  <c r="E303" i="2"/>
  <c r="G303" i="2"/>
  <c r="AS304" i="2"/>
  <c r="Z315" i="7" l="1"/>
  <c r="G314" i="7"/>
  <c r="Y315" i="7"/>
  <c r="E314" i="7"/>
  <c r="E315" i="5"/>
  <c r="AA316" i="5"/>
  <c r="G313" i="5"/>
  <c r="AS314" i="5"/>
  <c r="Z315" i="4"/>
  <c r="G314" i="4"/>
  <c r="Y317" i="4"/>
  <c r="E316" i="4"/>
  <c r="E309" i="3"/>
  <c r="Y310" i="3"/>
  <c r="G309" i="3"/>
  <c r="Z310" i="3"/>
  <c r="G304" i="2"/>
  <c r="AS305" i="2"/>
  <c r="E304" i="2"/>
  <c r="AA305" i="2"/>
  <c r="Z316" i="7" l="1"/>
  <c r="G315" i="7"/>
  <c r="Y316" i="7"/>
  <c r="E315" i="7"/>
  <c r="G314" i="5"/>
  <c r="AS315" i="5"/>
  <c r="E316" i="5"/>
  <c r="AA317" i="5"/>
  <c r="Y318" i="4"/>
  <c r="E317" i="4"/>
  <c r="Z316" i="4"/>
  <c r="G315" i="4"/>
  <c r="Y311" i="3"/>
  <c r="E310" i="3"/>
  <c r="G310" i="3"/>
  <c r="Z311" i="3"/>
  <c r="E305" i="2"/>
  <c r="AA306" i="2"/>
  <c r="G305" i="2"/>
  <c r="AS306" i="2"/>
  <c r="Z317" i="7" l="1"/>
  <c r="G316" i="7"/>
  <c r="Y317" i="7"/>
  <c r="E316" i="7"/>
  <c r="E317" i="5"/>
  <c r="AA318" i="5"/>
  <c r="G315" i="5"/>
  <c r="AS316" i="5"/>
  <c r="Z317" i="4"/>
  <c r="G316" i="4"/>
  <c r="Y319" i="4"/>
  <c r="E318" i="4"/>
  <c r="G311" i="3"/>
  <c r="Z312" i="3"/>
  <c r="E311" i="3"/>
  <c r="Y312" i="3"/>
  <c r="E306" i="2"/>
  <c r="AA307" i="2"/>
  <c r="AS307" i="2"/>
  <c r="G306" i="2"/>
  <c r="G317" i="7" l="1"/>
  <c r="Z318" i="7"/>
  <c r="Y318" i="7"/>
  <c r="E317" i="7"/>
  <c r="AS317" i="5"/>
  <c r="G316" i="5"/>
  <c r="AA319" i="5"/>
  <c r="E318" i="5"/>
  <c r="Y320" i="4"/>
  <c r="E319" i="4"/>
  <c r="Z318" i="4"/>
  <c r="G317" i="4"/>
  <c r="Y313" i="3"/>
  <c r="E312" i="3"/>
  <c r="G312" i="3"/>
  <c r="Z313" i="3"/>
  <c r="G307" i="2"/>
  <c r="AS308" i="2"/>
  <c r="AA308" i="2"/>
  <c r="E307" i="2"/>
  <c r="Z319" i="7" l="1"/>
  <c r="G318" i="7"/>
  <c r="Y319" i="7"/>
  <c r="E318" i="7"/>
  <c r="E319" i="5"/>
  <c r="AA320" i="5"/>
  <c r="AS318" i="5"/>
  <c r="G317" i="5"/>
  <c r="Z319" i="4"/>
  <c r="G318" i="4"/>
  <c r="Y321" i="4"/>
  <c r="E320" i="4"/>
  <c r="G313" i="3"/>
  <c r="Z314" i="3"/>
  <c r="E313" i="3"/>
  <c r="Y314" i="3"/>
  <c r="E308" i="2"/>
  <c r="AA309" i="2"/>
  <c r="G308" i="2"/>
  <c r="AS309" i="2"/>
  <c r="Z320" i="7" l="1"/>
  <c r="G319" i="7"/>
  <c r="Y320" i="7"/>
  <c r="E319" i="7"/>
  <c r="AS319" i="5"/>
  <c r="G318" i="5"/>
  <c r="E320" i="5"/>
  <c r="AA321" i="5"/>
  <c r="Y322" i="4"/>
  <c r="E321" i="4"/>
  <c r="Z320" i="4"/>
  <c r="G319" i="4"/>
  <c r="Y315" i="3"/>
  <c r="E314" i="3"/>
  <c r="G314" i="3"/>
  <c r="Z315" i="3"/>
  <c r="E309" i="2"/>
  <c r="AA310" i="2"/>
  <c r="G309" i="2"/>
  <c r="AS310" i="2"/>
  <c r="Z321" i="7" l="1"/>
  <c r="G320" i="7"/>
  <c r="E320" i="7"/>
  <c r="Y321" i="7"/>
  <c r="E321" i="5"/>
  <c r="AA322" i="5"/>
  <c r="AS320" i="5"/>
  <c r="G319" i="5"/>
  <c r="Z321" i="4"/>
  <c r="G320" i="4"/>
  <c r="Y323" i="4"/>
  <c r="E322" i="4"/>
  <c r="Z316" i="3"/>
  <c r="G315" i="3"/>
  <c r="Y316" i="3"/>
  <c r="E315" i="3"/>
  <c r="E310" i="2"/>
  <c r="AA311" i="2"/>
  <c r="AS311" i="2"/>
  <c r="G310" i="2"/>
  <c r="Z322" i="7" l="1"/>
  <c r="G321" i="7"/>
  <c r="Y322" i="7"/>
  <c r="E321" i="7"/>
  <c r="AS321" i="5"/>
  <c r="G320" i="5"/>
  <c r="E322" i="5"/>
  <c r="AA323" i="5"/>
  <c r="Y324" i="4"/>
  <c r="E323" i="4"/>
  <c r="Z322" i="4"/>
  <c r="G321" i="4"/>
  <c r="E316" i="3"/>
  <c r="Y317" i="3"/>
  <c r="Z317" i="3"/>
  <c r="G316" i="3"/>
  <c r="G311" i="2"/>
  <c r="AS312" i="2"/>
  <c r="E311" i="2"/>
  <c r="AA312" i="2"/>
  <c r="Z323" i="7" l="1"/>
  <c r="G322" i="7"/>
  <c r="Y323" i="7"/>
  <c r="E322" i="7"/>
  <c r="AA324" i="5"/>
  <c r="E323" i="5"/>
  <c r="G321" i="5"/>
  <c r="AS322" i="5"/>
  <c r="Z323" i="4"/>
  <c r="G322" i="4"/>
  <c r="Y325" i="4"/>
  <c r="E324" i="4"/>
  <c r="Z318" i="3"/>
  <c r="G317" i="3"/>
  <c r="Y318" i="3"/>
  <c r="E317" i="3"/>
  <c r="G312" i="2"/>
  <c r="AS313" i="2"/>
  <c r="E312" i="2"/>
  <c r="AA313" i="2"/>
  <c r="Z324" i="7" l="1"/>
  <c r="G323" i="7"/>
  <c r="Y324" i="7"/>
  <c r="E323" i="7"/>
  <c r="G322" i="5"/>
  <c r="AS323" i="5"/>
  <c r="AA325" i="5"/>
  <c r="E324" i="5"/>
  <c r="Y326" i="4"/>
  <c r="E325" i="4"/>
  <c r="Z324" i="4"/>
  <c r="G323" i="4"/>
  <c r="Y319" i="3"/>
  <c r="E318" i="3"/>
  <c r="Z319" i="3"/>
  <c r="G318" i="3"/>
  <c r="E313" i="2"/>
  <c r="AA314" i="2"/>
  <c r="G313" i="2"/>
  <c r="AS314" i="2"/>
  <c r="Z325" i="7" l="1"/>
  <c r="G324" i="7"/>
  <c r="Y325" i="7"/>
  <c r="E324" i="7"/>
  <c r="E325" i="5"/>
  <c r="AA326" i="5"/>
  <c r="G323" i="5"/>
  <c r="AS324" i="5"/>
  <c r="Z325" i="4"/>
  <c r="G324" i="4"/>
  <c r="Y327" i="4"/>
  <c r="E326" i="4"/>
  <c r="Z320" i="3"/>
  <c r="G319" i="3"/>
  <c r="E319" i="3"/>
  <c r="Y320" i="3"/>
  <c r="AA315" i="2"/>
  <c r="E314" i="2"/>
  <c r="AS315" i="2"/>
  <c r="G314" i="2"/>
  <c r="Z326" i="7" l="1"/>
  <c r="G325" i="7"/>
  <c r="AC85" i="7"/>
  <c r="AD87" i="7"/>
  <c r="AD84" i="7"/>
  <c r="AC86" i="7"/>
  <c r="AD90" i="7"/>
  <c r="AE90" i="7" s="1"/>
  <c r="AD89" i="7"/>
  <c r="AC89" i="7"/>
  <c r="AC84" i="7"/>
  <c r="AD86" i="7"/>
  <c r="AD85" i="7"/>
  <c r="AC88" i="7"/>
  <c r="AC87" i="7"/>
  <c r="AC90" i="7"/>
  <c r="AD88" i="7"/>
  <c r="Y326" i="7"/>
  <c r="E325" i="7"/>
  <c r="AS325" i="5"/>
  <c r="G324" i="5"/>
  <c r="E326" i="5"/>
  <c r="AA327" i="5"/>
  <c r="Y328" i="4"/>
  <c r="E327" i="4"/>
  <c r="AC90" i="4"/>
  <c r="AD87" i="4"/>
  <c r="AC87" i="4"/>
  <c r="AC85" i="4"/>
  <c r="AD86" i="4"/>
  <c r="AC89" i="4"/>
  <c r="AD85" i="4"/>
  <c r="AC86" i="4"/>
  <c r="AD90" i="4"/>
  <c r="AE90" i="4" s="1"/>
  <c r="AD89" i="4"/>
  <c r="AD84" i="4"/>
  <c r="AD88" i="4"/>
  <c r="AC88" i="4"/>
  <c r="AC84" i="4"/>
  <c r="Z326" i="4"/>
  <c r="G325" i="4"/>
  <c r="E320" i="3"/>
  <c r="Y321" i="3"/>
  <c r="Z321" i="3"/>
  <c r="G320" i="3"/>
  <c r="G315" i="2"/>
  <c r="AS316" i="2"/>
  <c r="E315" i="2"/>
  <c r="AA316" i="2"/>
  <c r="Z327" i="7" l="1"/>
  <c r="G326" i="7"/>
  <c r="AE87" i="7"/>
  <c r="AE84" i="7"/>
  <c r="AE89" i="7"/>
  <c r="AE86" i="7"/>
  <c r="AE85" i="7"/>
  <c r="AE88" i="7"/>
  <c r="Y327" i="7"/>
  <c r="E326" i="7"/>
  <c r="E327" i="5"/>
  <c r="AA328" i="5"/>
  <c r="AF88" i="5"/>
  <c r="AE88" i="5"/>
  <c r="AH88" i="5" s="1"/>
  <c r="AI88" i="5" s="1"/>
  <c r="AF87" i="5"/>
  <c r="AE83" i="5"/>
  <c r="AH83" i="5" s="1"/>
  <c r="AI83" i="5" s="1"/>
  <c r="AF84" i="5"/>
  <c r="AF83" i="5"/>
  <c r="AE84" i="5"/>
  <c r="AE87" i="5"/>
  <c r="AH87" i="5" s="1"/>
  <c r="AI87" i="5" s="1"/>
  <c r="AF86" i="5"/>
  <c r="AE86" i="5"/>
  <c r="AE89" i="5"/>
  <c r="AH89" i="5" s="1"/>
  <c r="AI89" i="5" s="1"/>
  <c r="AF85" i="5"/>
  <c r="AE85" i="5"/>
  <c r="AF89" i="5"/>
  <c r="AS326" i="5"/>
  <c r="G325" i="5"/>
  <c r="AE84" i="4"/>
  <c r="AE89" i="4"/>
  <c r="AE88" i="4"/>
  <c r="AE85" i="4"/>
  <c r="AE86" i="4"/>
  <c r="AF86" i="4" s="1"/>
  <c r="AE87" i="4"/>
  <c r="Z327" i="4"/>
  <c r="G326" i="4"/>
  <c r="Y329" i="4"/>
  <c r="E328" i="4"/>
  <c r="Z322" i="3"/>
  <c r="G321" i="3"/>
  <c r="Y322" i="3"/>
  <c r="E321" i="3"/>
  <c r="E316" i="2"/>
  <c r="AA317" i="2"/>
  <c r="G316" i="2"/>
  <c r="AS317" i="2"/>
  <c r="L312" i="7" l="1"/>
  <c r="L319" i="7"/>
  <c r="L298" i="7"/>
  <c r="L305" i="7"/>
  <c r="AF85" i="7"/>
  <c r="AF86" i="7"/>
  <c r="AF88" i="7"/>
  <c r="AF84" i="7"/>
  <c r="AF87" i="7"/>
  <c r="Z328" i="7"/>
  <c r="G327" i="7"/>
  <c r="L323" i="7"/>
  <c r="L316" i="7"/>
  <c r="L309" i="7"/>
  <c r="L302" i="7"/>
  <c r="L295" i="7"/>
  <c r="L320" i="7"/>
  <c r="L313" i="7"/>
  <c r="L299" i="7"/>
  <c r="L318" i="7"/>
  <c r="L311" i="7"/>
  <c r="L304" i="7"/>
  <c r="L297" i="7"/>
  <c r="L322" i="7"/>
  <c r="L315" i="7"/>
  <c r="L308" i="7"/>
  <c r="L301" i="7"/>
  <c r="L294" i="7"/>
  <c r="L321" i="7"/>
  <c r="L314" i="7"/>
  <c r="L307" i="7"/>
  <c r="L300" i="7"/>
  <c r="L324" i="7"/>
  <c r="L317" i="7"/>
  <c r="L310" i="7"/>
  <c r="L303" i="7"/>
  <c r="L296" i="7"/>
  <c r="Y328" i="7"/>
  <c r="E327" i="7"/>
  <c r="AF89" i="7"/>
  <c r="AH85" i="5"/>
  <c r="AI85" i="5" s="1"/>
  <c r="AH86" i="5"/>
  <c r="AI86" i="5" s="1"/>
  <c r="AH84" i="5"/>
  <c r="AI84" i="5" s="1"/>
  <c r="E328" i="5"/>
  <c r="AA329" i="5"/>
  <c r="AS327" i="5"/>
  <c r="G326" i="5"/>
  <c r="Y330" i="4"/>
  <c r="E329" i="4"/>
  <c r="Z328" i="4"/>
  <c r="G327" i="4"/>
  <c r="L295" i="4"/>
  <c r="L302" i="4"/>
  <c r="L309" i="4"/>
  <c r="L316" i="4"/>
  <c r="L323" i="4"/>
  <c r="AF87" i="4"/>
  <c r="L300" i="4"/>
  <c r="L307" i="4"/>
  <c r="L314" i="4"/>
  <c r="L321" i="4"/>
  <c r="AF85" i="4"/>
  <c r="L296" i="4"/>
  <c r="L303" i="4"/>
  <c r="L310" i="4"/>
  <c r="L317" i="4"/>
  <c r="L324" i="4"/>
  <c r="AF88" i="4"/>
  <c r="L297" i="4"/>
  <c r="L304" i="4"/>
  <c r="L311" i="4"/>
  <c r="L318" i="4"/>
  <c r="AF89" i="4"/>
  <c r="L299" i="4"/>
  <c r="L313" i="4"/>
  <c r="L320" i="4"/>
  <c r="L294" i="4"/>
  <c r="L301" i="4"/>
  <c r="L308" i="4"/>
  <c r="L315" i="4"/>
  <c r="L322" i="4"/>
  <c r="AF84" i="4"/>
  <c r="Y323" i="3"/>
  <c r="E322" i="3"/>
  <c r="Z323" i="3"/>
  <c r="G322" i="3"/>
  <c r="E317" i="2"/>
  <c r="AA318" i="2"/>
  <c r="G317" i="2"/>
  <c r="AS318" i="2"/>
  <c r="P319" i="7" l="1"/>
  <c r="AF90" i="7"/>
  <c r="N312" i="7"/>
  <c r="M312" i="7"/>
  <c r="U319" i="7"/>
  <c r="N319" i="7"/>
  <c r="M319" i="7"/>
  <c r="P312" i="7"/>
  <c r="U312" i="7"/>
  <c r="R319" i="7"/>
  <c r="S319" i="7"/>
  <c r="U305" i="7"/>
  <c r="P305" i="7"/>
  <c r="N298" i="7"/>
  <c r="M298" i="7"/>
  <c r="U298" i="7"/>
  <c r="W312" i="7"/>
  <c r="R312" i="7"/>
  <c r="S312" i="7"/>
  <c r="N305" i="7"/>
  <c r="M305" i="7"/>
  <c r="P298" i="7"/>
  <c r="G328" i="7"/>
  <c r="Z329" i="7"/>
  <c r="U324" i="7"/>
  <c r="N323" i="7"/>
  <c r="M323" i="7"/>
  <c r="U317" i="7"/>
  <c r="N316" i="7"/>
  <c r="M316" i="7"/>
  <c r="U310" i="7"/>
  <c r="N309" i="7"/>
  <c r="M309" i="7"/>
  <c r="N302" i="7"/>
  <c r="M302" i="7"/>
  <c r="U303" i="7"/>
  <c r="N295" i="7"/>
  <c r="M295" i="7"/>
  <c r="U296" i="7"/>
  <c r="U321" i="7"/>
  <c r="M320" i="7"/>
  <c r="N320" i="7"/>
  <c r="U314" i="7"/>
  <c r="M313" i="7"/>
  <c r="N313" i="7"/>
  <c r="U300" i="7"/>
  <c r="N299" i="7"/>
  <c r="M299" i="7"/>
  <c r="M318" i="7"/>
  <c r="N318" i="7"/>
  <c r="U320" i="7"/>
  <c r="U313" i="7"/>
  <c r="M311" i="7"/>
  <c r="N311" i="7"/>
  <c r="N304" i="7"/>
  <c r="M304" i="7"/>
  <c r="U307" i="7"/>
  <c r="M297" i="7"/>
  <c r="N297" i="7"/>
  <c r="U299" i="7"/>
  <c r="U323" i="7"/>
  <c r="M322" i="7"/>
  <c r="N322" i="7"/>
  <c r="U316" i="7"/>
  <c r="M315" i="7"/>
  <c r="N315" i="7"/>
  <c r="U309" i="7"/>
  <c r="N308" i="7"/>
  <c r="M308" i="7"/>
  <c r="U302" i="7"/>
  <c r="M301" i="7"/>
  <c r="N301" i="7"/>
  <c r="U294" i="7"/>
  <c r="P323" i="7"/>
  <c r="P314" i="7"/>
  <c r="P324" i="7"/>
  <c r="P322" i="7"/>
  <c r="P321" i="7"/>
  <c r="P320" i="7"/>
  <c r="P318" i="7"/>
  <c r="P316" i="7"/>
  <c r="P315" i="7"/>
  <c r="P311" i="7"/>
  <c r="P310" i="7"/>
  <c r="P309" i="7"/>
  <c r="P308" i="7"/>
  <c r="P307" i="7"/>
  <c r="P317" i="7"/>
  <c r="P313" i="7"/>
  <c r="P304" i="7"/>
  <c r="P303" i="7"/>
  <c r="P302" i="7"/>
  <c r="P301" i="7"/>
  <c r="P300" i="7"/>
  <c r="P299" i="7"/>
  <c r="P297" i="7"/>
  <c r="P296" i="7"/>
  <c r="P295" i="7"/>
  <c r="P294" i="7"/>
  <c r="N294" i="7"/>
  <c r="M294" i="7"/>
  <c r="U295" i="7"/>
  <c r="U322" i="7"/>
  <c r="N321" i="7"/>
  <c r="M321" i="7"/>
  <c r="U315" i="7"/>
  <c r="M314" i="7"/>
  <c r="N314" i="7"/>
  <c r="M307" i="7"/>
  <c r="N307" i="7"/>
  <c r="U308" i="7"/>
  <c r="N300" i="7"/>
  <c r="M300" i="7"/>
  <c r="U301" i="7"/>
  <c r="M324" i="7"/>
  <c r="N324" i="7"/>
  <c r="U318" i="7"/>
  <c r="M317" i="7"/>
  <c r="N317" i="7"/>
  <c r="U311" i="7"/>
  <c r="N310" i="7"/>
  <c r="M310" i="7"/>
  <c r="U304" i="7"/>
  <c r="M303" i="7"/>
  <c r="N303" i="7"/>
  <c r="N296" i="7"/>
  <c r="M296" i="7"/>
  <c r="U297" i="7"/>
  <c r="E328" i="7"/>
  <c r="Y329" i="7"/>
  <c r="AJ83" i="5"/>
  <c r="AS328" i="5"/>
  <c r="G327" i="5"/>
  <c r="E329" i="5"/>
  <c r="AA330" i="5"/>
  <c r="N296" i="4"/>
  <c r="M296" i="4"/>
  <c r="U296" i="4"/>
  <c r="P301" i="4"/>
  <c r="P300" i="4"/>
  <c r="P299" i="4"/>
  <c r="P297" i="4"/>
  <c r="P296" i="4"/>
  <c r="P295" i="4"/>
  <c r="P294" i="4"/>
  <c r="P317" i="4"/>
  <c r="P313" i="4"/>
  <c r="N294" i="4"/>
  <c r="P321" i="4"/>
  <c r="P302" i="4"/>
  <c r="M294" i="4"/>
  <c r="P309" i="4"/>
  <c r="P324" i="4"/>
  <c r="P303" i="4"/>
  <c r="P318" i="4"/>
  <c r="P314" i="4"/>
  <c r="P304" i="4"/>
  <c r="P310" i="4"/>
  <c r="P311" i="4"/>
  <c r="P320" i="4"/>
  <c r="P307" i="4"/>
  <c r="P323" i="4"/>
  <c r="P322" i="4"/>
  <c r="P316" i="4"/>
  <c r="P315" i="4"/>
  <c r="P308" i="4"/>
  <c r="U294" i="4"/>
  <c r="N320" i="4"/>
  <c r="M320" i="4"/>
  <c r="U320" i="4"/>
  <c r="N321" i="4"/>
  <c r="M321" i="4"/>
  <c r="U321" i="4"/>
  <c r="N308" i="4"/>
  <c r="M308" i="4"/>
  <c r="U308" i="4"/>
  <c r="N314" i="4"/>
  <c r="M314" i="4"/>
  <c r="U314" i="4"/>
  <c r="N313" i="4"/>
  <c r="M313" i="4"/>
  <c r="U313" i="4"/>
  <c r="N307" i="4"/>
  <c r="M307" i="4"/>
  <c r="U307" i="4"/>
  <c r="N301" i="4"/>
  <c r="M301" i="4"/>
  <c r="U301" i="4"/>
  <c r="N300" i="4"/>
  <c r="M300" i="4"/>
  <c r="U300" i="4"/>
  <c r="N299" i="4"/>
  <c r="M299" i="4"/>
  <c r="U299" i="4"/>
  <c r="N318" i="4"/>
  <c r="M318" i="4"/>
  <c r="U318" i="4"/>
  <c r="M323" i="4"/>
  <c r="N323" i="4"/>
  <c r="U323" i="4"/>
  <c r="N311" i="4"/>
  <c r="M311" i="4"/>
  <c r="U311" i="4"/>
  <c r="N316" i="4"/>
  <c r="M316" i="4"/>
  <c r="U316" i="4"/>
  <c r="N309" i="4"/>
  <c r="M309" i="4"/>
  <c r="U309" i="4"/>
  <c r="N302" i="4"/>
  <c r="M302" i="4"/>
  <c r="U302" i="4"/>
  <c r="N295" i="4"/>
  <c r="M295" i="4"/>
  <c r="U295" i="4"/>
  <c r="N324" i="4"/>
  <c r="M324" i="4"/>
  <c r="U324" i="4"/>
  <c r="N304" i="4"/>
  <c r="M304" i="4"/>
  <c r="U304" i="4"/>
  <c r="N322" i="4"/>
  <c r="M322" i="4"/>
  <c r="U322" i="4"/>
  <c r="N317" i="4"/>
  <c r="M317" i="4"/>
  <c r="U317" i="4"/>
  <c r="Z329" i="4"/>
  <c r="G328" i="4"/>
  <c r="N297" i="4"/>
  <c r="M297" i="4"/>
  <c r="U297" i="4"/>
  <c r="AF90" i="4"/>
  <c r="N315" i="4"/>
  <c r="M315" i="4"/>
  <c r="U315" i="4"/>
  <c r="N310" i="4"/>
  <c r="M310" i="4"/>
  <c r="U310" i="4"/>
  <c r="N303" i="4"/>
  <c r="M303" i="4"/>
  <c r="U303" i="4"/>
  <c r="Y331" i="4"/>
  <c r="E330" i="4"/>
  <c r="Z324" i="3"/>
  <c r="G323" i="3"/>
  <c r="E323" i="3"/>
  <c r="Y324" i="3"/>
  <c r="E318" i="2"/>
  <c r="AA319" i="2"/>
  <c r="AS319" i="2"/>
  <c r="G318" i="2"/>
  <c r="X312" i="7" l="1"/>
  <c r="X305" i="7"/>
  <c r="X319" i="7"/>
  <c r="W305" i="7"/>
  <c r="W319" i="7"/>
  <c r="R298" i="7"/>
  <c r="S298" i="7"/>
  <c r="R305" i="7"/>
  <c r="S305" i="7"/>
  <c r="X298" i="7"/>
  <c r="W298" i="7"/>
  <c r="Z330" i="7"/>
  <c r="G329" i="7"/>
  <c r="X324" i="7"/>
  <c r="W324" i="7"/>
  <c r="X317" i="7"/>
  <c r="W317" i="7"/>
  <c r="X310" i="7"/>
  <c r="W310" i="7"/>
  <c r="W303" i="7"/>
  <c r="X303" i="7"/>
  <c r="W296" i="7"/>
  <c r="X296" i="7"/>
  <c r="W321" i="7"/>
  <c r="X321" i="7"/>
  <c r="W314" i="7"/>
  <c r="X314" i="7"/>
  <c r="W300" i="7"/>
  <c r="X300" i="7"/>
  <c r="X320" i="7"/>
  <c r="W320" i="7"/>
  <c r="X313" i="7"/>
  <c r="W313" i="7"/>
  <c r="X307" i="7"/>
  <c r="W307" i="7"/>
  <c r="X299" i="7"/>
  <c r="W299" i="7"/>
  <c r="X323" i="7"/>
  <c r="W323" i="7"/>
  <c r="X316" i="7"/>
  <c r="W316" i="7"/>
  <c r="X309" i="7"/>
  <c r="W309" i="7"/>
  <c r="W302" i="7"/>
  <c r="X302" i="7"/>
  <c r="X294" i="7"/>
  <c r="W294" i="7"/>
  <c r="S323" i="7"/>
  <c r="R323" i="7"/>
  <c r="R314" i="7"/>
  <c r="S314" i="7"/>
  <c r="R324" i="7"/>
  <c r="S324" i="7"/>
  <c r="R322" i="7"/>
  <c r="S322" i="7"/>
  <c r="R321" i="7"/>
  <c r="S321" i="7"/>
  <c r="R320" i="7"/>
  <c r="S320" i="7"/>
  <c r="R318" i="7"/>
  <c r="S318" i="7"/>
  <c r="R316" i="7"/>
  <c r="S316" i="7"/>
  <c r="S315" i="7"/>
  <c r="R315" i="7"/>
  <c r="S311" i="7"/>
  <c r="R311" i="7"/>
  <c r="S310" i="7"/>
  <c r="R310" i="7"/>
  <c r="S309" i="7"/>
  <c r="R309" i="7"/>
  <c r="S308" i="7"/>
  <c r="R308" i="7"/>
  <c r="S307" i="7"/>
  <c r="R307" i="7"/>
  <c r="S317" i="7"/>
  <c r="R317" i="7"/>
  <c r="S313" i="7"/>
  <c r="R313" i="7"/>
  <c r="R304" i="7"/>
  <c r="S304" i="7"/>
  <c r="R303" i="7"/>
  <c r="S303" i="7"/>
  <c r="R302" i="7"/>
  <c r="S302" i="7"/>
  <c r="R301" i="7"/>
  <c r="S301" i="7"/>
  <c r="R300" i="7"/>
  <c r="S300" i="7"/>
  <c r="S299" i="7"/>
  <c r="R299" i="7"/>
  <c r="S297" i="7"/>
  <c r="R297" i="7"/>
  <c r="R296" i="7"/>
  <c r="S296" i="7"/>
  <c r="R295" i="7"/>
  <c r="S295" i="7"/>
  <c r="S294" i="7"/>
  <c r="R294" i="7"/>
  <c r="W295" i="7"/>
  <c r="X295" i="7"/>
  <c r="W322" i="7"/>
  <c r="X322" i="7"/>
  <c r="X315" i="7"/>
  <c r="W315" i="7"/>
  <c r="X308" i="7"/>
  <c r="W308" i="7"/>
  <c r="W301" i="7"/>
  <c r="X301" i="7"/>
  <c r="X318" i="7"/>
  <c r="W318" i="7"/>
  <c r="X311" i="7"/>
  <c r="W311" i="7"/>
  <c r="X304" i="7"/>
  <c r="W304" i="7"/>
  <c r="X297" i="7"/>
  <c r="W297" i="7"/>
  <c r="Y330" i="7"/>
  <c r="E329" i="7"/>
  <c r="AA331" i="5"/>
  <c r="E330" i="5"/>
  <c r="AS329" i="5"/>
  <c r="G328" i="5"/>
  <c r="X318" i="4"/>
  <c r="W318" i="4"/>
  <c r="S315" i="4"/>
  <c r="R315" i="4"/>
  <c r="S321" i="4"/>
  <c r="R321" i="4"/>
  <c r="X295" i="4"/>
  <c r="W295" i="4"/>
  <c r="S302" i="4"/>
  <c r="R302" i="4"/>
  <c r="X302" i="4"/>
  <c r="W302" i="4"/>
  <c r="S316" i="4"/>
  <c r="R316" i="4"/>
  <c r="S308" i="4"/>
  <c r="R308" i="4"/>
  <c r="X317" i="4"/>
  <c r="W317" i="4"/>
  <c r="X314" i="4"/>
  <c r="W314" i="4"/>
  <c r="R322" i="4"/>
  <c r="S322" i="4"/>
  <c r="S313" i="4"/>
  <c r="R313" i="4"/>
  <c r="Y332" i="4"/>
  <c r="E331" i="4"/>
  <c r="Z330" i="4"/>
  <c r="G329" i="4"/>
  <c r="X299" i="4"/>
  <c r="W299" i="4"/>
  <c r="R323" i="4"/>
  <c r="S323" i="4"/>
  <c r="R317" i="4"/>
  <c r="S317" i="4"/>
  <c r="X303" i="4"/>
  <c r="W303" i="4"/>
  <c r="X309" i="4"/>
  <c r="W309" i="4"/>
  <c r="S307" i="4"/>
  <c r="R307" i="4"/>
  <c r="S294" i="4"/>
  <c r="R294" i="4"/>
  <c r="X308" i="4"/>
  <c r="W308" i="4"/>
  <c r="S320" i="4"/>
  <c r="R320" i="4"/>
  <c r="R295" i="4"/>
  <c r="S295" i="4"/>
  <c r="X322" i="4"/>
  <c r="W322" i="4"/>
  <c r="X300" i="4"/>
  <c r="W300" i="4"/>
  <c r="R311" i="4"/>
  <c r="S311" i="4"/>
  <c r="S296" i="4"/>
  <c r="R296" i="4"/>
  <c r="X310" i="4"/>
  <c r="W310" i="4"/>
  <c r="X316" i="4"/>
  <c r="W316" i="4"/>
  <c r="S310" i="4"/>
  <c r="R310" i="4"/>
  <c r="S297" i="4"/>
  <c r="R297" i="4"/>
  <c r="X294" i="4"/>
  <c r="W294" i="4"/>
  <c r="X321" i="4"/>
  <c r="W321" i="4"/>
  <c r="R304" i="4"/>
  <c r="S304" i="4"/>
  <c r="S299" i="4"/>
  <c r="R299" i="4"/>
  <c r="X304" i="4"/>
  <c r="W304" i="4"/>
  <c r="X301" i="4"/>
  <c r="W301" i="4"/>
  <c r="S314" i="4"/>
  <c r="R314" i="4"/>
  <c r="S300" i="4"/>
  <c r="R300" i="4"/>
  <c r="X315" i="4"/>
  <c r="W315" i="4"/>
  <c r="X311" i="4"/>
  <c r="W311" i="4"/>
  <c r="S318" i="4"/>
  <c r="R318" i="4"/>
  <c r="S301" i="4"/>
  <c r="R301" i="4"/>
  <c r="X320" i="4"/>
  <c r="W320" i="4"/>
  <c r="R303" i="4"/>
  <c r="S303" i="4"/>
  <c r="W296" i="4"/>
  <c r="X296" i="4"/>
  <c r="X324" i="4"/>
  <c r="W324" i="4"/>
  <c r="X307" i="4"/>
  <c r="W307" i="4"/>
  <c r="R324" i="4"/>
  <c r="S324" i="4"/>
  <c r="W313" i="4"/>
  <c r="X313" i="4"/>
  <c r="X297" i="4"/>
  <c r="W297" i="4"/>
  <c r="X323" i="4"/>
  <c r="W323" i="4"/>
  <c r="R309" i="4"/>
  <c r="S309" i="4"/>
  <c r="Y325" i="3"/>
  <c r="E324" i="3"/>
  <c r="Z325" i="3"/>
  <c r="G324" i="3"/>
  <c r="G319" i="2"/>
  <c r="AS320" i="2"/>
  <c r="AA320" i="2"/>
  <c r="E319" i="2"/>
  <c r="G330" i="7" l="1"/>
  <c r="Z331" i="7"/>
  <c r="Y331" i="7"/>
  <c r="E330" i="7"/>
  <c r="G329" i="5"/>
  <c r="AS330" i="5"/>
  <c r="AA332" i="5"/>
  <c r="E331" i="5"/>
  <c r="Z331" i="4"/>
  <c r="G330" i="4"/>
  <c r="Y333" i="4"/>
  <c r="E332" i="4"/>
  <c r="AD85" i="3"/>
  <c r="AC88" i="3"/>
  <c r="AC85" i="3"/>
  <c r="AD86" i="3"/>
  <c r="AD84" i="3"/>
  <c r="AD89" i="3"/>
  <c r="AC87" i="3"/>
  <c r="AD87" i="3"/>
  <c r="AC89" i="3"/>
  <c r="AC90" i="3"/>
  <c r="AC84" i="3"/>
  <c r="AC86" i="3"/>
  <c r="AD88" i="3"/>
  <c r="AD90" i="3"/>
  <c r="AE90" i="3" s="1"/>
  <c r="Z326" i="3"/>
  <c r="G325" i="3"/>
  <c r="Y326" i="3"/>
  <c r="E325" i="3"/>
  <c r="E320" i="2"/>
  <c r="AA321" i="2"/>
  <c r="G320" i="2"/>
  <c r="AS321" i="2"/>
  <c r="G331" i="7" l="1"/>
  <c r="Z332" i="7"/>
  <c r="Y332" i="7"/>
  <c r="E331" i="7"/>
  <c r="AA333" i="5"/>
  <c r="E332" i="5"/>
  <c r="AS331" i="5"/>
  <c r="G330" i="5"/>
  <c r="Y334" i="4"/>
  <c r="E333" i="4"/>
  <c r="Z332" i="4"/>
  <c r="G331" i="4"/>
  <c r="AE87" i="3"/>
  <c r="AE89" i="3"/>
  <c r="AE84" i="3"/>
  <c r="AE86" i="3"/>
  <c r="AE88" i="3"/>
  <c r="AE85" i="3"/>
  <c r="E326" i="3"/>
  <c r="Y327" i="3"/>
  <c r="Z327" i="3"/>
  <c r="G326" i="3"/>
  <c r="E321" i="2"/>
  <c r="AA322" i="2"/>
  <c r="G321" i="2"/>
  <c r="AS322" i="2"/>
  <c r="Z333" i="7" l="1"/>
  <c r="G332" i="7"/>
  <c r="E332" i="7"/>
  <c r="Y333" i="7"/>
  <c r="AS332" i="5"/>
  <c r="G331" i="5"/>
  <c r="AA334" i="5"/>
  <c r="E333" i="5"/>
  <c r="Z333" i="4"/>
  <c r="G332" i="4"/>
  <c r="Y335" i="4"/>
  <c r="E334" i="4"/>
  <c r="L304" i="3"/>
  <c r="L311" i="3"/>
  <c r="L297" i="3"/>
  <c r="L318" i="3"/>
  <c r="L321" i="3"/>
  <c r="L307" i="3"/>
  <c r="L314" i="3"/>
  <c r="L300" i="3"/>
  <c r="L324" i="3"/>
  <c r="L310" i="3"/>
  <c r="L296" i="3"/>
  <c r="L303" i="3"/>
  <c r="L317" i="3"/>
  <c r="L322" i="3"/>
  <c r="L308" i="3"/>
  <c r="L294" i="3"/>
  <c r="L315" i="3"/>
  <c r="L301" i="3"/>
  <c r="L320" i="3"/>
  <c r="L313" i="3"/>
  <c r="L299" i="3"/>
  <c r="L323" i="3"/>
  <c r="L309" i="3"/>
  <c r="L295" i="3"/>
  <c r="L316" i="3"/>
  <c r="L302" i="3"/>
  <c r="AF85" i="3"/>
  <c r="AF88" i="3"/>
  <c r="AF86" i="3"/>
  <c r="AF84" i="3"/>
  <c r="AF89" i="3"/>
  <c r="AF87" i="3"/>
  <c r="Z328" i="3"/>
  <c r="G327" i="3"/>
  <c r="Y328" i="3"/>
  <c r="E327" i="3"/>
  <c r="E322" i="2"/>
  <c r="AA323" i="2"/>
  <c r="G322" i="2"/>
  <c r="AS323" i="2"/>
  <c r="Z334" i="7" l="1"/>
  <c r="G333" i="7"/>
  <c r="Y334" i="7"/>
  <c r="E333" i="7"/>
  <c r="AA335" i="5"/>
  <c r="E334" i="5"/>
  <c r="AS333" i="5"/>
  <c r="G332" i="5"/>
  <c r="Y336" i="4"/>
  <c r="E335" i="4"/>
  <c r="Z334" i="4"/>
  <c r="G333" i="4"/>
  <c r="AF90" i="3"/>
  <c r="P108" i="3"/>
  <c r="P90" i="3"/>
  <c r="P87" i="3"/>
  <c r="P93" i="3"/>
  <c r="P107" i="3"/>
  <c r="P82" i="3"/>
  <c r="P86" i="3"/>
  <c r="P92" i="3"/>
  <c r="P106" i="3"/>
  <c r="M80" i="3"/>
  <c r="P85" i="3"/>
  <c r="P110" i="3"/>
  <c r="P98" i="3"/>
  <c r="P80" i="3"/>
  <c r="P94" i="3"/>
  <c r="P83" i="3"/>
  <c r="P105" i="3"/>
  <c r="P104" i="3"/>
  <c r="P84" i="3"/>
  <c r="N80" i="3"/>
  <c r="P96" i="3"/>
  <c r="P103" i="3"/>
  <c r="P97" i="3"/>
  <c r="P101" i="3"/>
  <c r="P89" i="3"/>
  <c r="P100" i="3"/>
  <c r="P91" i="3"/>
  <c r="U118" i="3"/>
  <c r="U203" i="3"/>
  <c r="U236" i="3"/>
  <c r="U267" i="3"/>
  <c r="U150" i="3"/>
  <c r="U281" i="3"/>
  <c r="U136" i="3"/>
  <c r="U114" i="3"/>
  <c r="U195" i="3"/>
  <c r="U183" i="3"/>
  <c r="U324" i="3"/>
  <c r="U271" i="3"/>
  <c r="U157" i="3"/>
  <c r="U283" i="3"/>
  <c r="U101" i="3"/>
  <c r="U205" i="3"/>
  <c r="U112" i="3"/>
  <c r="U140" i="3"/>
  <c r="U220" i="3"/>
  <c r="U238" i="3"/>
  <c r="U201" i="3"/>
  <c r="U241" i="3"/>
  <c r="U212" i="3"/>
  <c r="U171" i="3"/>
  <c r="U162" i="3"/>
  <c r="U117" i="3"/>
  <c r="U272" i="3"/>
  <c r="U92" i="3"/>
  <c r="U274" i="3"/>
  <c r="U107" i="3"/>
  <c r="U149" i="3"/>
  <c r="U152" i="3"/>
  <c r="U111" i="3"/>
  <c r="U316" i="3"/>
  <c r="U135" i="3"/>
  <c r="U198" i="3"/>
  <c r="U132" i="3"/>
  <c r="U215" i="3"/>
  <c r="U168" i="3"/>
  <c r="U321" i="3"/>
  <c r="U175" i="3"/>
  <c r="U206" i="3"/>
  <c r="U288" i="3"/>
  <c r="U191" i="3"/>
  <c r="U225" i="3"/>
  <c r="U122" i="3"/>
  <c r="U311" i="3"/>
  <c r="U196" i="3"/>
  <c r="U127" i="3"/>
  <c r="U180" i="3"/>
  <c r="U279" i="3"/>
  <c r="U100" i="3"/>
  <c r="U170" i="3"/>
  <c r="U309" i="3"/>
  <c r="U119" i="3"/>
  <c r="U121" i="3"/>
  <c r="U86" i="3"/>
  <c r="U210" i="3"/>
  <c r="U80" i="3"/>
  <c r="U313" i="3"/>
  <c r="U223" i="3"/>
  <c r="U155" i="3"/>
  <c r="U287" i="3"/>
  <c r="U268" i="3"/>
  <c r="U194" i="3"/>
  <c r="U188" i="3"/>
  <c r="U142" i="3"/>
  <c r="U90" i="3"/>
  <c r="U93" i="3"/>
  <c r="U297" i="3"/>
  <c r="U323" i="3"/>
  <c r="U167" i="3"/>
  <c r="U161" i="3"/>
  <c r="U164" i="3"/>
  <c r="U260" i="3"/>
  <c r="U296" i="3"/>
  <c r="U294" i="3"/>
  <c r="U82" i="3"/>
  <c r="U219" i="3"/>
  <c r="U276" i="3"/>
  <c r="U91" i="3"/>
  <c r="U182" i="3"/>
  <c r="U89" i="3"/>
  <c r="U185" i="3"/>
  <c r="U322" i="3"/>
  <c r="U252" i="3"/>
  <c r="U285" i="3"/>
  <c r="U115" i="3"/>
  <c r="U133" i="3"/>
  <c r="U310" i="3"/>
  <c r="U218" i="3"/>
  <c r="U295" i="3"/>
  <c r="U250" i="3"/>
  <c r="U204" i="3"/>
  <c r="U173" i="3"/>
  <c r="U301" i="3"/>
  <c r="U232" i="3"/>
  <c r="U237" i="3"/>
  <c r="U300" i="3"/>
  <c r="U265" i="3"/>
  <c r="U259" i="3"/>
  <c r="U113" i="3"/>
  <c r="U184" i="3"/>
  <c r="U84" i="3"/>
  <c r="U129" i="3"/>
  <c r="U202" i="3"/>
  <c r="U320" i="3"/>
  <c r="U318" i="3"/>
  <c r="U128" i="3"/>
  <c r="U154" i="3"/>
  <c r="U213" i="3"/>
  <c r="U178" i="3"/>
  <c r="U303" i="3"/>
  <c r="U124" i="3"/>
  <c r="U97" i="3"/>
  <c r="U110" i="3"/>
  <c r="U239" i="3"/>
  <c r="U299" i="3"/>
  <c r="U177" i="3"/>
  <c r="U302" i="3"/>
  <c r="U126" i="3"/>
  <c r="U211" i="3"/>
  <c r="U253" i="3"/>
  <c r="U197" i="3"/>
  <c r="U261" i="3"/>
  <c r="U147" i="3"/>
  <c r="U108" i="3"/>
  <c r="U292" i="3"/>
  <c r="U131" i="3"/>
  <c r="U234" i="3"/>
  <c r="U187" i="3"/>
  <c r="U233" i="3"/>
  <c r="U226" i="3"/>
  <c r="U153" i="3"/>
  <c r="U266" i="3"/>
  <c r="U290" i="3"/>
  <c r="U159" i="3"/>
  <c r="U307" i="3"/>
  <c r="U258" i="3"/>
  <c r="U104" i="3"/>
  <c r="U156" i="3"/>
  <c r="U98" i="3"/>
  <c r="U314" i="3"/>
  <c r="U176" i="3"/>
  <c r="U166" i="3"/>
  <c r="U216" i="3"/>
  <c r="U125" i="3"/>
  <c r="U174" i="3"/>
  <c r="U255" i="3"/>
  <c r="U160" i="3"/>
  <c r="U192" i="3"/>
  <c r="U96" i="3"/>
  <c r="U189" i="3"/>
  <c r="U315" i="3"/>
  <c r="U169" i="3"/>
  <c r="U181" i="3"/>
  <c r="U304" i="3"/>
  <c r="U231" i="3"/>
  <c r="U141" i="3"/>
  <c r="U289" i="3"/>
  <c r="U262" i="3"/>
  <c r="U148" i="3"/>
  <c r="U106" i="3"/>
  <c r="U230" i="3"/>
  <c r="U308" i="3"/>
  <c r="U87" i="3"/>
  <c r="U105" i="3"/>
  <c r="U254" i="3"/>
  <c r="U240" i="3"/>
  <c r="U217" i="3"/>
  <c r="U134" i="3"/>
  <c r="U280" i="3"/>
  <c r="U103" i="3"/>
  <c r="U229" i="3"/>
  <c r="U269" i="3"/>
  <c r="U273" i="3"/>
  <c r="U209" i="3"/>
  <c r="U282" i="3"/>
  <c r="U293" i="3"/>
  <c r="U275" i="3"/>
  <c r="U85" i="3"/>
  <c r="U163" i="3"/>
  <c r="U83" i="3"/>
  <c r="U199" i="3"/>
  <c r="U120" i="3"/>
  <c r="U264" i="3"/>
  <c r="U224" i="3"/>
  <c r="U190" i="3"/>
  <c r="U208" i="3"/>
  <c r="U257" i="3"/>
  <c r="U317" i="3"/>
  <c r="U138" i="3"/>
  <c r="U94" i="3"/>
  <c r="U227" i="3"/>
  <c r="U251" i="3"/>
  <c r="M323" i="3"/>
  <c r="N323" i="3"/>
  <c r="N303" i="3"/>
  <c r="M303" i="3"/>
  <c r="M316" i="3"/>
  <c r="N316" i="3"/>
  <c r="M301" i="3"/>
  <c r="N301" i="3"/>
  <c r="P311" i="3"/>
  <c r="P313" i="3"/>
  <c r="P297" i="3"/>
  <c r="P307" i="3"/>
  <c r="P309" i="3"/>
  <c r="P316" i="3"/>
  <c r="P301" i="3"/>
  <c r="P308" i="3"/>
  <c r="P321" i="3"/>
  <c r="P315" i="3"/>
  <c r="P300" i="3"/>
  <c r="P324" i="3"/>
  <c r="P323" i="3"/>
  <c r="P304" i="3"/>
  <c r="P295" i="3"/>
  <c r="P320" i="3"/>
  <c r="P314" i="3"/>
  <c r="P299" i="3"/>
  <c r="P302" i="3"/>
  <c r="N294" i="3"/>
  <c r="P310" i="3"/>
  <c r="P294" i="3"/>
  <c r="P318" i="3"/>
  <c r="M294" i="3"/>
  <c r="P322" i="3"/>
  <c r="P303" i="3"/>
  <c r="P296" i="3"/>
  <c r="P317" i="3"/>
  <c r="N308" i="3"/>
  <c r="M308" i="3"/>
  <c r="N322" i="3"/>
  <c r="M322" i="3"/>
  <c r="M311" i="3"/>
  <c r="N311" i="3"/>
  <c r="M310" i="3"/>
  <c r="N310" i="3"/>
  <c r="N307" i="3"/>
  <c r="M307" i="3"/>
  <c r="N309" i="3"/>
  <c r="M309" i="3"/>
  <c r="M317" i="3"/>
  <c r="N317" i="3"/>
  <c r="M304" i="3"/>
  <c r="N304" i="3"/>
  <c r="M295" i="3"/>
  <c r="N295" i="3"/>
  <c r="M320" i="3"/>
  <c r="N320" i="3"/>
  <c r="M314" i="3"/>
  <c r="N314" i="3"/>
  <c r="N313" i="3"/>
  <c r="M313" i="3"/>
  <c r="M300" i="3"/>
  <c r="N300" i="3"/>
  <c r="M299" i="3"/>
  <c r="N299" i="3"/>
  <c r="M321" i="3"/>
  <c r="N321" i="3"/>
  <c r="M318" i="3"/>
  <c r="N318" i="3"/>
  <c r="M324" i="3"/>
  <c r="N324" i="3"/>
  <c r="M302" i="3"/>
  <c r="N302" i="3"/>
  <c r="M297" i="3"/>
  <c r="N297" i="3"/>
  <c r="M315" i="3"/>
  <c r="N315" i="3"/>
  <c r="M296" i="3"/>
  <c r="N296" i="3"/>
  <c r="E328" i="3"/>
  <c r="Y329" i="3"/>
  <c r="Z329" i="3"/>
  <c r="G328" i="3"/>
  <c r="AA324" i="2"/>
  <c r="E323" i="2"/>
  <c r="G323" i="2"/>
  <c r="AS324" i="2"/>
  <c r="Z335" i="7" l="1"/>
  <c r="G334" i="7"/>
  <c r="E334" i="7"/>
  <c r="Y335" i="7"/>
  <c r="AA336" i="5"/>
  <c r="E335" i="5"/>
  <c r="G333" i="5"/>
  <c r="AS334" i="5"/>
  <c r="Z335" i="4"/>
  <c r="G334" i="4"/>
  <c r="Y337" i="4"/>
  <c r="E336" i="4"/>
  <c r="C28" i="1"/>
  <c r="R314" i="3"/>
  <c r="S314" i="3"/>
  <c r="X138" i="3"/>
  <c r="W138" i="3"/>
  <c r="S320" i="3"/>
  <c r="R320" i="3"/>
  <c r="S308" i="3"/>
  <c r="R308" i="3"/>
  <c r="X230" i="3"/>
  <c r="W230" i="3"/>
  <c r="X258" i="3"/>
  <c r="W258" i="3"/>
  <c r="R296" i="3"/>
  <c r="S296" i="3"/>
  <c r="S302" i="3"/>
  <c r="R302" i="3"/>
  <c r="R300" i="3"/>
  <c r="S300" i="3"/>
  <c r="S297" i="3"/>
  <c r="R297" i="3"/>
  <c r="X224" i="3"/>
  <c r="W224" i="3"/>
  <c r="W275" i="3"/>
  <c r="X275" i="3"/>
  <c r="W229" i="3"/>
  <c r="X229" i="3"/>
  <c r="X87" i="3"/>
  <c r="W87" i="3"/>
  <c r="X181" i="3"/>
  <c r="W181" i="3"/>
  <c r="W255" i="3"/>
  <c r="X255" i="3"/>
  <c r="X156" i="3"/>
  <c r="W156" i="3"/>
  <c r="W266" i="3"/>
  <c r="X266" i="3"/>
  <c r="W211" i="3"/>
  <c r="X211" i="3"/>
  <c r="X239" i="3"/>
  <c r="W239" i="3"/>
  <c r="W154" i="3"/>
  <c r="X154" i="3"/>
  <c r="W84" i="3"/>
  <c r="X84" i="3"/>
  <c r="X300" i="3"/>
  <c r="W300" i="3"/>
  <c r="W322" i="3"/>
  <c r="X322" i="3"/>
  <c r="X219" i="3"/>
  <c r="W219" i="3"/>
  <c r="W167" i="3"/>
  <c r="X167" i="3"/>
  <c r="W188" i="3"/>
  <c r="X188" i="3"/>
  <c r="X210" i="3"/>
  <c r="W210" i="3"/>
  <c r="X225" i="3"/>
  <c r="W225" i="3"/>
  <c r="X168" i="3"/>
  <c r="W168" i="3"/>
  <c r="X149" i="3"/>
  <c r="W149" i="3"/>
  <c r="W171" i="3"/>
  <c r="X171" i="3"/>
  <c r="W112" i="3"/>
  <c r="X112" i="3"/>
  <c r="X183" i="3"/>
  <c r="W183" i="3"/>
  <c r="X267" i="3"/>
  <c r="W267" i="3"/>
  <c r="S101" i="3"/>
  <c r="R101" i="3"/>
  <c r="R83" i="3"/>
  <c r="S83" i="3"/>
  <c r="S92" i="3"/>
  <c r="R92" i="3"/>
  <c r="X103" i="3"/>
  <c r="W103" i="3"/>
  <c r="X110" i="3"/>
  <c r="W110" i="3"/>
  <c r="W185" i="3"/>
  <c r="X185" i="3"/>
  <c r="W323" i="3"/>
  <c r="X323" i="3"/>
  <c r="W194" i="3"/>
  <c r="X194" i="3"/>
  <c r="X86" i="3"/>
  <c r="W86" i="3"/>
  <c r="W191" i="3"/>
  <c r="X191" i="3"/>
  <c r="W215" i="3"/>
  <c r="X215" i="3"/>
  <c r="X107" i="3"/>
  <c r="W107" i="3"/>
  <c r="W236" i="3"/>
  <c r="X236" i="3"/>
  <c r="S97" i="3"/>
  <c r="R97" i="3"/>
  <c r="S94" i="3"/>
  <c r="R94" i="3"/>
  <c r="S86" i="3"/>
  <c r="R86" i="3"/>
  <c r="X293" i="3"/>
  <c r="W293" i="3"/>
  <c r="W126" i="3"/>
  <c r="X126" i="3"/>
  <c r="X302" i="3"/>
  <c r="W302" i="3"/>
  <c r="X97" i="3"/>
  <c r="W97" i="3"/>
  <c r="W318" i="3"/>
  <c r="X318" i="3"/>
  <c r="W184" i="3"/>
  <c r="X184" i="3"/>
  <c r="W232" i="3"/>
  <c r="X232" i="3"/>
  <c r="X310" i="3"/>
  <c r="W310" i="3"/>
  <c r="X89" i="3"/>
  <c r="W89" i="3"/>
  <c r="X82" i="3"/>
  <c r="W82" i="3"/>
  <c r="X268" i="3"/>
  <c r="W268" i="3"/>
  <c r="X121" i="3"/>
  <c r="W121" i="3"/>
  <c r="X279" i="3"/>
  <c r="W279" i="3"/>
  <c r="X288" i="3"/>
  <c r="W288" i="3"/>
  <c r="W132" i="3"/>
  <c r="X132" i="3"/>
  <c r="W274" i="3"/>
  <c r="X274" i="3"/>
  <c r="X212" i="3"/>
  <c r="W212" i="3"/>
  <c r="W205" i="3"/>
  <c r="X205" i="3"/>
  <c r="X195" i="3"/>
  <c r="W195" i="3"/>
  <c r="X203" i="3"/>
  <c r="W203" i="3"/>
  <c r="S103" i="3"/>
  <c r="R103" i="3"/>
  <c r="S80" i="3"/>
  <c r="R80" i="3"/>
  <c r="S82" i="3"/>
  <c r="R82" i="3"/>
  <c r="X292" i="3"/>
  <c r="W292" i="3"/>
  <c r="X308" i="3"/>
  <c r="W308" i="3"/>
  <c r="X209" i="3"/>
  <c r="W209" i="3"/>
  <c r="W177" i="3"/>
  <c r="X177" i="3"/>
  <c r="X294" i="3"/>
  <c r="W294" i="3"/>
  <c r="X287" i="3"/>
  <c r="W287" i="3"/>
  <c r="W119" i="3"/>
  <c r="X119" i="3"/>
  <c r="W180" i="3"/>
  <c r="X180" i="3"/>
  <c r="X198" i="3"/>
  <c r="W198" i="3"/>
  <c r="W241" i="3"/>
  <c r="X241" i="3"/>
  <c r="W101" i="3"/>
  <c r="X101" i="3"/>
  <c r="W114" i="3"/>
  <c r="X114" i="3"/>
  <c r="S96" i="3"/>
  <c r="R96" i="3"/>
  <c r="S98" i="3"/>
  <c r="R98" i="3"/>
  <c r="R107" i="3"/>
  <c r="S107" i="3"/>
  <c r="X264" i="3"/>
  <c r="W264" i="3"/>
  <c r="W104" i="3"/>
  <c r="X104" i="3"/>
  <c r="W257" i="3"/>
  <c r="X257" i="3"/>
  <c r="W147" i="3"/>
  <c r="X147" i="3"/>
  <c r="W113" i="3"/>
  <c r="X113" i="3"/>
  <c r="X296" i="3"/>
  <c r="W296" i="3"/>
  <c r="X297" i="3"/>
  <c r="W297" i="3"/>
  <c r="W155" i="3"/>
  <c r="X155" i="3"/>
  <c r="X309" i="3"/>
  <c r="W309" i="3"/>
  <c r="W127" i="3"/>
  <c r="X127" i="3"/>
  <c r="X206" i="3"/>
  <c r="W206" i="3"/>
  <c r="X135" i="3"/>
  <c r="W135" i="3"/>
  <c r="W92" i="3"/>
  <c r="X92" i="3"/>
  <c r="X201" i="3"/>
  <c r="W201" i="3"/>
  <c r="X283" i="3"/>
  <c r="W283" i="3"/>
  <c r="W136" i="3"/>
  <c r="X136" i="3"/>
  <c r="X118" i="3"/>
  <c r="W118" i="3"/>
  <c r="S110" i="3"/>
  <c r="R110" i="3"/>
  <c r="S93" i="3"/>
  <c r="R93" i="3"/>
  <c r="S313" i="3"/>
  <c r="R313" i="3"/>
  <c r="X237" i="3"/>
  <c r="W237" i="3"/>
  <c r="X282" i="3"/>
  <c r="W282" i="3"/>
  <c r="W226" i="3"/>
  <c r="X226" i="3"/>
  <c r="W199" i="3"/>
  <c r="X199" i="3"/>
  <c r="X315" i="3"/>
  <c r="W315" i="3"/>
  <c r="X108" i="3"/>
  <c r="W108" i="3"/>
  <c r="X320" i="3"/>
  <c r="W320" i="3"/>
  <c r="X83" i="3"/>
  <c r="W83" i="3"/>
  <c r="X106" i="3"/>
  <c r="W106" i="3"/>
  <c r="W189" i="3"/>
  <c r="X189" i="3"/>
  <c r="W173" i="3"/>
  <c r="X173" i="3"/>
  <c r="S304" i="3"/>
  <c r="R304" i="3"/>
  <c r="X251" i="3"/>
  <c r="W251" i="3"/>
  <c r="X208" i="3"/>
  <c r="W208" i="3"/>
  <c r="W163" i="3"/>
  <c r="X163" i="3"/>
  <c r="X240" i="3"/>
  <c r="W240" i="3"/>
  <c r="X148" i="3"/>
  <c r="W148" i="3"/>
  <c r="X96" i="3"/>
  <c r="W96" i="3"/>
  <c r="X176" i="3"/>
  <c r="W176" i="3"/>
  <c r="X307" i="3"/>
  <c r="W307" i="3"/>
  <c r="W187" i="3"/>
  <c r="X187" i="3"/>
  <c r="W261" i="3"/>
  <c r="X261" i="3"/>
  <c r="X299" i="3"/>
  <c r="W299" i="3"/>
  <c r="W178" i="3"/>
  <c r="X178" i="3"/>
  <c r="X204" i="3"/>
  <c r="W204" i="3"/>
  <c r="W115" i="3"/>
  <c r="X115" i="3"/>
  <c r="X260" i="3"/>
  <c r="W260" i="3"/>
  <c r="X93" i="3"/>
  <c r="W93" i="3"/>
  <c r="W223" i="3"/>
  <c r="X223" i="3"/>
  <c r="X170" i="3"/>
  <c r="W170" i="3"/>
  <c r="X196" i="3"/>
  <c r="W196" i="3"/>
  <c r="W175" i="3"/>
  <c r="X175" i="3"/>
  <c r="W316" i="3"/>
  <c r="X316" i="3"/>
  <c r="W272" i="3"/>
  <c r="X272" i="3"/>
  <c r="W238" i="3"/>
  <c r="X238" i="3"/>
  <c r="W157" i="3"/>
  <c r="X157" i="3"/>
  <c r="W281" i="3"/>
  <c r="X281" i="3"/>
  <c r="R91" i="3"/>
  <c r="S91" i="3"/>
  <c r="S84" i="3"/>
  <c r="R84" i="3"/>
  <c r="S85" i="3"/>
  <c r="R85" i="3"/>
  <c r="R87" i="3"/>
  <c r="S87" i="3"/>
  <c r="S299" i="3"/>
  <c r="R299" i="3"/>
  <c r="X153" i="3"/>
  <c r="W153" i="3"/>
  <c r="W128" i="3"/>
  <c r="X128" i="3"/>
  <c r="S322" i="3"/>
  <c r="R322" i="3"/>
  <c r="W280" i="3"/>
  <c r="X280" i="3"/>
  <c r="W169" i="3"/>
  <c r="X169" i="3"/>
  <c r="X231" i="3"/>
  <c r="W231" i="3"/>
  <c r="W233" i="3"/>
  <c r="X233" i="3"/>
  <c r="R295" i="3"/>
  <c r="S295" i="3"/>
  <c r="W166" i="3"/>
  <c r="X166" i="3"/>
  <c r="X182" i="3"/>
  <c r="W182" i="3"/>
  <c r="R310" i="3"/>
  <c r="S310" i="3"/>
  <c r="W273" i="3"/>
  <c r="X273" i="3"/>
  <c r="X254" i="3"/>
  <c r="W254" i="3"/>
  <c r="W262" i="3"/>
  <c r="X262" i="3"/>
  <c r="W304" i="3"/>
  <c r="X304" i="3"/>
  <c r="X192" i="3"/>
  <c r="W192" i="3"/>
  <c r="X314" i="3"/>
  <c r="W314" i="3"/>
  <c r="W159" i="3"/>
  <c r="X159" i="3"/>
  <c r="X234" i="3"/>
  <c r="W234" i="3"/>
  <c r="W197" i="3"/>
  <c r="X197" i="3"/>
  <c r="W213" i="3"/>
  <c r="X213" i="3"/>
  <c r="X202" i="3"/>
  <c r="W202" i="3"/>
  <c r="W259" i="3"/>
  <c r="X259" i="3"/>
  <c r="W250" i="3"/>
  <c r="X250" i="3"/>
  <c r="W285" i="3"/>
  <c r="X285" i="3"/>
  <c r="X91" i="3"/>
  <c r="W91" i="3"/>
  <c r="W164" i="3"/>
  <c r="X164" i="3"/>
  <c r="X90" i="3"/>
  <c r="W90" i="3"/>
  <c r="X313" i="3"/>
  <c r="W313" i="3"/>
  <c r="W311" i="3"/>
  <c r="X311" i="3"/>
  <c r="W321" i="3"/>
  <c r="X321" i="3"/>
  <c r="W111" i="3"/>
  <c r="X111" i="3"/>
  <c r="X117" i="3"/>
  <c r="W117" i="3"/>
  <c r="X220" i="3"/>
  <c r="W220" i="3"/>
  <c r="X271" i="3"/>
  <c r="W271" i="3"/>
  <c r="S100" i="3"/>
  <c r="R100" i="3"/>
  <c r="S104" i="3"/>
  <c r="R104" i="3"/>
  <c r="S90" i="3"/>
  <c r="R90" i="3"/>
  <c r="R303" i="3"/>
  <c r="S303" i="3"/>
  <c r="S315" i="3"/>
  <c r="R315" i="3"/>
  <c r="W94" i="3"/>
  <c r="X94" i="3"/>
  <c r="X174" i="3"/>
  <c r="W174" i="3"/>
  <c r="X218" i="3"/>
  <c r="W218" i="3"/>
  <c r="S321" i="3"/>
  <c r="R321" i="3"/>
  <c r="R311" i="3"/>
  <c r="S311" i="3"/>
  <c r="W120" i="3"/>
  <c r="X120" i="3"/>
  <c r="W141" i="3"/>
  <c r="X141" i="3"/>
  <c r="X125" i="3"/>
  <c r="W125" i="3"/>
  <c r="W317" i="3"/>
  <c r="X317" i="3"/>
  <c r="W134" i="3"/>
  <c r="X134" i="3"/>
  <c r="W216" i="3"/>
  <c r="X216" i="3"/>
  <c r="W124" i="3"/>
  <c r="X124" i="3"/>
  <c r="W301" i="3"/>
  <c r="X301" i="3"/>
  <c r="S318" i="3"/>
  <c r="R318" i="3"/>
  <c r="S301" i="3"/>
  <c r="R301" i="3"/>
  <c r="W217" i="3"/>
  <c r="X217" i="3"/>
  <c r="W303" i="3"/>
  <c r="X303" i="3"/>
  <c r="X133" i="3"/>
  <c r="W133" i="3"/>
  <c r="S294" i="3"/>
  <c r="R294" i="3"/>
  <c r="S316" i="3"/>
  <c r="R316" i="3"/>
  <c r="R323" i="3"/>
  <c r="S323" i="3"/>
  <c r="R309" i="3"/>
  <c r="S309" i="3"/>
  <c r="W227" i="3"/>
  <c r="X227" i="3"/>
  <c r="S317" i="3"/>
  <c r="R317" i="3"/>
  <c r="S324" i="3"/>
  <c r="R324" i="3"/>
  <c r="S307" i="3"/>
  <c r="R307" i="3"/>
  <c r="X190" i="3"/>
  <c r="W190" i="3"/>
  <c r="X85" i="3"/>
  <c r="W85" i="3"/>
  <c r="W269" i="3"/>
  <c r="X269" i="3"/>
  <c r="X105" i="3"/>
  <c r="W105" i="3"/>
  <c r="W289" i="3"/>
  <c r="X289" i="3"/>
  <c r="W160" i="3"/>
  <c r="X160" i="3"/>
  <c r="W98" i="3"/>
  <c r="X98" i="3"/>
  <c r="W290" i="3"/>
  <c r="X290" i="3"/>
  <c r="W131" i="3"/>
  <c r="X131" i="3"/>
  <c r="W253" i="3"/>
  <c r="X253" i="3"/>
  <c r="W129" i="3"/>
  <c r="X129" i="3"/>
  <c r="W265" i="3"/>
  <c r="X265" i="3"/>
  <c r="W295" i="3"/>
  <c r="X295" i="3"/>
  <c r="W252" i="3"/>
  <c r="X252" i="3"/>
  <c r="W276" i="3"/>
  <c r="X276" i="3"/>
  <c r="X161" i="3"/>
  <c r="W161" i="3"/>
  <c r="X142" i="3"/>
  <c r="W142" i="3"/>
  <c r="X80" i="3"/>
  <c r="W80" i="3"/>
  <c r="W100" i="3"/>
  <c r="X100" i="3"/>
  <c r="W122" i="3"/>
  <c r="X122" i="3"/>
  <c r="X152" i="3"/>
  <c r="W152" i="3"/>
  <c r="W162" i="3"/>
  <c r="X162" i="3"/>
  <c r="W140" i="3"/>
  <c r="X140" i="3"/>
  <c r="X324" i="3"/>
  <c r="W324" i="3"/>
  <c r="W150" i="3"/>
  <c r="X150" i="3"/>
  <c r="S89" i="3"/>
  <c r="R89" i="3"/>
  <c r="R105" i="3"/>
  <c r="S105" i="3"/>
  <c r="S106" i="3"/>
  <c r="R106" i="3"/>
  <c r="S108" i="3"/>
  <c r="R108" i="3"/>
  <c r="Y330" i="3"/>
  <c r="E329" i="3"/>
  <c r="Z330" i="3"/>
  <c r="G329" i="3"/>
  <c r="AS325" i="2"/>
  <c r="G324" i="2"/>
  <c r="E324" i="2"/>
  <c r="AA325" i="2"/>
  <c r="Z336" i="7" l="1"/>
  <c r="G335" i="7"/>
  <c r="Y336" i="7"/>
  <c r="E335" i="7"/>
  <c r="AS335" i="5"/>
  <c r="G334" i="5"/>
  <c r="E336" i="5"/>
  <c r="AA337" i="5"/>
  <c r="Y338" i="4"/>
  <c r="E337" i="4"/>
  <c r="Z336" i="4"/>
  <c r="G335" i="4"/>
  <c r="AE87" i="2"/>
  <c r="AE89" i="2"/>
  <c r="AF85" i="2"/>
  <c r="AF89" i="2"/>
  <c r="AE83" i="2"/>
  <c r="AF86" i="2"/>
  <c r="AF87" i="2"/>
  <c r="AE85" i="2"/>
  <c r="AE86" i="2"/>
  <c r="AF83" i="2"/>
  <c r="AE88" i="2"/>
  <c r="AF88" i="2"/>
  <c r="AF84" i="2"/>
  <c r="AE84" i="2"/>
  <c r="Z331" i="3"/>
  <c r="G330" i="3"/>
  <c r="Y331" i="3"/>
  <c r="E330" i="3"/>
  <c r="AA326" i="2"/>
  <c r="E325" i="2"/>
  <c r="AS326" i="2"/>
  <c r="G325" i="2"/>
  <c r="G336" i="7" l="1"/>
  <c r="Z337" i="7"/>
  <c r="Y337" i="7"/>
  <c r="E336" i="7"/>
  <c r="E337" i="5"/>
  <c r="AA338" i="5"/>
  <c r="AS336" i="5"/>
  <c r="G335" i="5"/>
  <c r="Z337" i="4"/>
  <c r="G336" i="4"/>
  <c r="Y339" i="4"/>
  <c r="E338" i="4"/>
  <c r="AH85" i="2"/>
  <c r="AH89" i="2"/>
  <c r="AH83" i="2"/>
  <c r="AH84" i="2"/>
  <c r="AH88" i="2"/>
  <c r="AH86" i="2"/>
  <c r="AH87" i="2"/>
  <c r="Y332" i="3"/>
  <c r="E331" i="3"/>
  <c r="Z332" i="3"/>
  <c r="G331" i="3"/>
  <c r="AS327" i="2"/>
  <c r="G326" i="2"/>
  <c r="AA327" i="2"/>
  <c r="E326" i="2"/>
  <c r="G337" i="7" l="1"/>
  <c r="Z338" i="7"/>
  <c r="Y338" i="7"/>
  <c r="E337" i="7"/>
  <c r="AS337" i="5"/>
  <c r="G336" i="5"/>
  <c r="AA339" i="5"/>
  <c r="E338" i="5"/>
  <c r="Y340" i="4"/>
  <c r="E339" i="4"/>
  <c r="Z338" i="4"/>
  <c r="G337" i="4"/>
  <c r="Z333" i="3"/>
  <c r="G332" i="3"/>
  <c r="Y333" i="3"/>
  <c r="E332" i="3"/>
  <c r="AA328" i="2"/>
  <c r="E327" i="2"/>
  <c r="G327" i="2"/>
  <c r="AS328" i="2"/>
  <c r="Z339" i="7" l="1"/>
  <c r="G338" i="7"/>
  <c r="E338" i="7"/>
  <c r="Y339" i="7"/>
  <c r="AA340" i="5"/>
  <c r="E339" i="5"/>
  <c r="G337" i="5"/>
  <c r="AS338" i="5"/>
  <c r="Z339" i="4"/>
  <c r="G338" i="4"/>
  <c r="Y341" i="4"/>
  <c r="E340" i="4"/>
  <c r="Y334" i="3"/>
  <c r="E333" i="3"/>
  <c r="Z334" i="3"/>
  <c r="G333" i="3"/>
  <c r="AS329" i="2"/>
  <c r="G328" i="2"/>
  <c r="E328" i="2"/>
  <c r="AA329" i="2"/>
  <c r="Z340" i="7" l="1"/>
  <c r="G339" i="7"/>
  <c r="Y340" i="7"/>
  <c r="E339" i="7"/>
  <c r="AS339" i="5"/>
  <c r="G338" i="5"/>
  <c r="AA341" i="5"/>
  <c r="E340" i="5"/>
  <c r="Y342" i="4"/>
  <c r="E341" i="4"/>
  <c r="Z340" i="4"/>
  <c r="G339" i="4"/>
  <c r="Z335" i="3"/>
  <c r="G334" i="3"/>
  <c r="Y335" i="3"/>
  <c r="E334" i="3"/>
  <c r="AA330" i="2"/>
  <c r="E329" i="2"/>
  <c r="AS330" i="2"/>
  <c r="G329" i="2"/>
  <c r="Z341" i="7" l="1"/>
  <c r="G340" i="7"/>
  <c r="Y341" i="7"/>
  <c r="E340" i="7"/>
  <c r="AA342" i="5"/>
  <c r="E341" i="5"/>
  <c r="AS340" i="5"/>
  <c r="G339" i="5"/>
  <c r="Z341" i="4"/>
  <c r="G340" i="4"/>
  <c r="Y343" i="4"/>
  <c r="E342" i="4"/>
  <c r="Y336" i="3"/>
  <c r="E335" i="3"/>
  <c r="Z336" i="3"/>
  <c r="G335" i="3"/>
  <c r="AS331" i="2"/>
  <c r="G330" i="2"/>
  <c r="AA331" i="2"/>
  <c r="E330" i="2"/>
  <c r="Z342" i="7" l="1"/>
  <c r="G341" i="7"/>
  <c r="Y342" i="7"/>
  <c r="E341" i="7"/>
  <c r="AS341" i="5"/>
  <c r="G340" i="5"/>
  <c r="E342" i="5"/>
  <c r="AA343" i="5"/>
  <c r="Y344" i="4"/>
  <c r="E343" i="4"/>
  <c r="Z342" i="4"/>
  <c r="G341" i="4"/>
  <c r="Z337" i="3"/>
  <c r="G336" i="3"/>
  <c r="E336" i="3"/>
  <c r="Y337" i="3"/>
  <c r="AA332" i="2"/>
  <c r="E331" i="2"/>
  <c r="G331" i="2"/>
  <c r="AS332" i="2"/>
  <c r="Z343" i="7" l="1"/>
  <c r="G342" i="7"/>
  <c r="Y343" i="7"/>
  <c r="E342" i="7"/>
  <c r="AA344" i="5"/>
  <c r="E343" i="5"/>
  <c r="G341" i="5"/>
  <c r="AS342" i="5"/>
  <c r="Z343" i="4"/>
  <c r="G342" i="4"/>
  <c r="Y345" i="4"/>
  <c r="E344" i="4"/>
  <c r="Y338" i="3"/>
  <c r="E337" i="3"/>
  <c r="Z338" i="3"/>
  <c r="G337" i="3"/>
  <c r="AS333" i="2"/>
  <c r="G332" i="2"/>
  <c r="E332" i="2"/>
  <c r="AA333" i="2"/>
  <c r="Z344" i="7" l="1"/>
  <c r="G343" i="7"/>
  <c r="Y344" i="7"/>
  <c r="E343" i="7"/>
  <c r="AS343" i="5"/>
  <c r="G342" i="5"/>
  <c r="E344" i="5"/>
  <c r="AA345" i="5"/>
  <c r="Y346" i="4"/>
  <c r="E345" i="4"/>
  <c r="Z344" i="4"/>
  <c r="G343" i="4"/>
  <c r="Z339" i="3"/>
  <c r="G338" i="3"/>
  <c r="Y339" i="3"/>
  <c r="E338" i="3"/>
  <c r="AA334" i="2"/>
  <c r="E333" i="2"/>
  <c r="AS334" i="2"/>
  <c r="G333" i="2"/>
  <c r="Z345" i="7" l="1"/>
  <c r="G344" i="7"/>
  <c r="Y345" i="7"/>
  <c r="E344" i="7"/>
  <c r="E345" i="5"/>
  <c r="AA346" i="5"/>
  <c r="AS344" i="5"/>
  <c r="G343" i="5"/>
  <c r="Z345" i="4"/>
  <c r="G344" i="4"/>
  <c r="Y347" i="4"/>
  <c r="E346" i="4"/>
  <c r="Y340" i="3"/>
  <c r="E339" i="3"/>
  <c r="Z340" i="3"/>
  <c r="G339" i="3"/>
  <c r="AS335" i="2"/>
  <c r="G334" i="2"/>
  <c r="AA335" i="2"/>
  <c r="E334" i="2"/>
  <c r="Z346" i="7" l="1"/>
  <c r="G345" i="7"/>
  <c r="Y346" i="7"/>
  <c r="E345" i="7"/>
  <c r="AS345" i="5"/>
  <c r="G344" i="5"/>
  <c r="E346" i="5"/>
  <c r="AA347" i="5"/>
  <c r="Y348" i="4"/>
  <c r="E347" i="4"/>
  <c r="Z346" i="4"/>
  <c r="G345" i="4"/>
  <c r="Z341" i="3"/>
  <c r="G340" i="3"/>
  <c r="Y341" i="3"/>
  <c r="E340" i="3"/>
  <c r="AA336" i="2"/>
  <c r="E335" i="2"/>
  <c r="G335" i="2"/>
  <c r="AS336" i="2"/>
  <c r="Z347" i="7" l="1"/>
  <c r="G346" i="7"/>
  <c r="Y347" i="7"/>
  <c r="E346" i="7"/>
  <c r="E347" i="5"/>
  <c r="AA348" i="5"/>
  <c r="G345" i="5"/>
  <c r="AS346" i="5"/>
  <c r="Z347" i="4"/>
  <c r="G346" i="4"/>
  <c r="Y349" i="4"/>
  <c r="E348" i="4"/>
  <c r="Y342" i="3"/>
  <c r="E341" i="3"/>
  <c r="Z342" i="3"/>
  <c r="G341" i="3"/>
  <c r="AS337" i="2"/>
  <c r="G336" i="2"/>
  <c r="E336" i="2"/>
  <c r="AA337" i="2"/>
  <c r="Z348" i="7" l="1"/>
  <c r="G347" i="7"/>
  <c r="Y348" i="7"/>
  <c r="E347" i="7"/>
  <c r="G346" i="5"/>
  <c r="AS347" i="5"/>
  <c r="AA349" i="5"/>
  <c r="E348" i="5"/>
  <c r="Y350" i="4"/>
  <c r="E349" i="4"/>
  <c r="Z348" i="4"/>
  <c r="G347" i="4"/>
  <c r="Z343" i="3"/>
  <c r="G342" i="3"/>
  <c r="Y343" i="3"/>
  <c r="E342" i="3"/>
  <c r="AA338" i="2"/>
  <c r="E337" i="2"/>
  <c r="AS338" i="2"/>
  <c r="G337" i="2"/>
  <c r="Z349" i="7" l="1"/>
  <c r="G348" i="7"/>
  <c r="Y349" i="7"/>
  <c r="E348" i="7"/>
  <c r="AA350" i="5"/>
  <c r="E349" i="5"/>
  <c r="G347" i="5"/>
  <c r="AS348" i="5"/>
  <c r="Z349" i="4"/>
  <c r="G348" i="4"/>
  <c r="Y351" i="4"/>
  <c r="E350" i="4"/>
  <c r="Y344" i="3"/>
  <c r="E343" i="3"/>
  <c r="Z344" i="3"/>
  <c r="G343" i="3"/>
  <c r="AS339" i="2"/>
  <c r="G338" i="2"/>
  <c r="AA339" i="2"/>
  <c r="E338" i="2"/>
  <c r="Z350" i="7" l="1"/>
  <c r="G349" i="7"/>
  <c r="Y350" i="7"/>
  <c r="E349" i="7"/>
  <c r="AS349" i="5"/>
  <c r="G348" i="5"/>
  <c r="AA351" i="5"/>
  <c r="E350" i="5"/>
  <c r="Y352" i="4"/>
  <c r="E351" i="4"/>
  <c r="Z350" i="4"/>
  <c r="G349" i="4"/>
  <c r="Y345" i="3"/>
  <c r="E344" i="3"/>
  <c r="Z345" i="3"/>
  <c r="G344" i="3"/>
  <c r="AA340" i="2"/>
  <c r="E339" i="2"/>
  <c r="G339" i="2"/>
  <c r="AS340" i="2"/>
  <c r="Z351" i="7" l="1"/>
  <c r="G350" i="7"/>
  <c r="Y351" i="7"/>
  <c r="E350" i="7"/>
  <c r="AA352" i="5"/>
  <c r="E351" i="5"/>
  <c r="AS350" i="5"/>
  <c r="G349" i="5"/>
  <c r="Z351" i="4"/>
  <c r="G350" i="4"/>
  <c r="Y353" i="4"/>
  <c r="E352" i="4"/>
  <c r="Z346" i="3"/>
  <c r="G345" i="3"/>
  <c r="Y346" i="3"/>
  <c r="E345" i="3"/>
  <c r="AS341" i="2"/>
  <c r="G340" i="2"/>
  <c r="E340" i="2"/>
  <c r="AA341" i="2"/>
  <c r="G351" i="7" l="1"/>
  <c r="Z352" i="7"/>
  <c r="Y352" i="7"/>
  <c r="E351" i="7"/>
  <c r="AS351" i="5"/>
  <c r="G350" i="5"/>
  <c r="E352" i="5"/>
  <c r="AA353" i="5"/>
  <c r="Y354" i="4"/>
  <c r="E353" i="4"/>
  <c r="Z352" i="4"/>
  <c r="G351" i="4"/>
  <c r="Y347" i="3"/>
  <c r="E346" i="3"/>
  <c r="Z347" i="3"/>
  <c r="G346" i="3"/>
  <c r="AA342" i="2"/>
  <c r="E341" i="2"/>
  <c r="AS342" i="2"/>
  <c r="G341" i="2"/>
  <c r="Z353" i="7" l="1"/>
  <c r="G352" i="7"/>
  <c r="E352" i="7"/>
  <c r="Y353" i="7"/>
  <c r="E353" i="5"/>
  <c r="AA354" i="5"/>
  <c r="AS352" i="5"/>
  <c r="G351" i="5"/>
  <c r="Z353" i="4"/>
  <c r="G352" i="4"/>
  <c r="Y355" i="4"/>
  <c r="E354" i="4"/>
  <c r="Z348" i="3"/>
  <c r="G347" i="3"/>
  <c r="Y348" i="3"/>
  <c r="E347" i="3"/>
  <c r="AS343" i="2"/>
  <c r="G342" i="2"/>
  <c r="AA343" i="2"/>
  <c r="E342" i="2"/>
  <c r="Z354" i="7" l="1"/>
  <c r="G353" i="7"/>
  <c r="Y354" i="7"/>
  <c r="E353" i="7"/>
  <c r="AS353" i="5"/>
  <c r="G352" i="5"/>
  <c r="E354" i="5"/>
  <c r="AA355" i="5"/>
  <c r="Y356" i="4"/>
  <c r="E355" i="4"/>
  <c r="Z354" i="4"/>
  <c r="G353" i="4"/>
  <c r="Y349" i="3"/>
  <c r="E348" i="3"/>
  <c r="Z349" i="3"/>
  <c r="G348" i="3"/>
  <c r="AA344" i="2"/>
  <c r="E343" i="2"/>
  <c r="G343" i="2"/>
  <c r="AS344" i="2"/>
  <c r="Z355" i="7" l="1"/>
  <c r="G354" i="7"/>
  <c r="Y355" i="7"/>
  <c r="E354" i="7"/>
  <c r="AA356" i="5"/>
  <c r="E355" i="5"/>
  <c r="G353" i="5"/>
  <c r="AS354" i="5"/>
  <c r="Z355" i="4"/>
  <c r="G354" i="4"/>
  <c r="Y357" i="4"/>
  <c r="E356" i="4"/>
  <c r="Z350" i="3"/>
  <c r="G349" i="3"/>
  <c r="Y350" i="3"/>
  <c r="E349" i="3"/>
  <c r="AS345" i="2"/>
  <c r="G344" i="2"/>
  <c r="E344" i="2"/>
  <c r="AA345" i="2"/>
  <c r="Z356" i="7" l="1"/>
  <c r="G355" i="7"/>
  <c r="AC93" i="7"/>
  <c r="AD94" i="7"/>
  <c r="AC96" i="7"/>
  <c r="AC91" i="7"/>
  <c r="AD91" i="7"/>
  <c r="AD97" i="7"/>
  <c r="AE97" i="7" s="1"/>
  <c r="AD92" i="7"/>
  <c r="AC94" i="7"/>
  <c r="AC97" i="7"/>
  <c r="AC95" i="7"/>
  <c r="AD96" i="7"/>
  <c r="AD93" i="7"/>
  <c r="AC92" i="7"/>
  <c r="AD95" i="7"/>
  <c r="E355" i="7"/>
  <c r="Y356" i="7"/>
  <c r="G354" i="5"/>
  <c r="AS355" i="5"/>
  <c r="AA357" i="5"/>
  <c r="E356" i="5"/>
  <c r="Y358" i="4"/>
  <c r="E357" i="4"/>
  <c r="AD97" i="4"/>
  <c r="AE97" i="4" s="1"/>
  <c r="AD91" i="4"/>
  <c r="AD96" i="4"/>
  <c r="AC91" i="4"/>
  <c r="AD94" i="4"/>
  <c r="AD92" i="4"/>
  <c r="AD95" i="4"/>
  <c r="AC95" i="4"/>
  <c r="AC94" i="4"/>
  <c r="AD93" i="4"/>
  <c r="AC93" i="4"/>
  <c r="AC97" i="4"/>
  <c r="AC92" i="4"/>
  <c r="AC96" i="4"/>
  <c r="Z356" i="4"/>
  <c r="G355" i="4"/>
  <c r="Y351" i="3"/>
  <c r="E350" i="3"/>
  <c r="Z351" i="3"/>
  <c r="G350" i="3"/>
  <c r="AA346" i="2"/>
  <c r="E345" i="2"/>
  <c r="AS346" i="2"/>
  <c r="G345" i="2"/>
  <c r="Z357" i="7" l="1"/>
  <c r="G356" i="7"/>
  <c r="AE94" i="7"/>
  <c r="AE91" i="7"/>
  <c r="L354" i="7" s="1"/>
  <c r="AE92" i="7"/>
  <c r="AE96" i="7"/>
  <c r="AE93" i="7"/>
  <c r="AE95" i="7"/>
  <c r="Y357" i="7"/>
  <c r="E356" i="7"/>
  <c r="AA358" i="5"/>
  <c r="E357" i="5"/>
  <c r="G355" i="5"/>
  <c r="AS356" i="5"/>
  <c r="AF94" i="5"/>
  <c r="AE91" i="5"/>
  <c r="AH91" i="5" s="1"/>
  <c r="AI91" i="5" s="1"/>
  <c r="AE95" i="5"/>
  <c r="AE94" i="5"/>
  <c r="AH94" i="5" s="1"/>
  <c r="AI94" i="5" s="1"/>
  <c r="AE93" i="5"/>
  <c r="AH93" i="5" s="1"/>
  <c r="AI93" i="5" s="1"/>
  <c r="AF93" i="5"/>
  <c r="AF96" i="5"/>
  <c r="AF95" i="5"/>
  <c r="AF90" i="5"/>
  <c r="AF92" i="5"/>
  <c r="AE92" i="5"/>
  <c r="AH92" i="5" s="1"/>
  <c r="AI92" i="5" s="1"/>
  <c r="AF91" i="5"/>
  <c r="AE90" i="5"/>
  <c r="AE96" i="5"/>
  <c r="AH96" i="5" s="1"/>
  <c r="AI96" i="5" s="1"/>
  <c r="AE93" i="4"/>
  <c r="AE95" i="4"/>
  <c r="AE94" i="4"/>
  <c r="AE96" i="4"/>
  <c r="AE91" i="4"/>
  <c r="AE92" i="4"/>
  <c r="Z357" i="4"/>
  <c r="G356" i="4"/>
  <c r="Y359" i="4"/>
  <c r="E358" i="4"/>
  <c r="Z352" i="3"/>
  <c r="G351" i="3"/>
  <c r="Y352" i="3"/>
  <c r="E351" i="3"/>
  <c r="AS347" i="2"/>
  <c r="G346" i="2"/>
  <c r="AA347" i="2"/>
  <c r="E346" i="2"/>
  <c r="N354" i="7" l="1"/>
  <c r="M354" i="7"/>
  <c r="L340" i="7"/>
  <c r="L347" i="7"/>
  <c r="L326" i="7"/>
  <c r="L333" i="7"/>
  <c r="AF93" i="7"/>
  <c r="AF95" i="7"/>
  <c r="AF96" i="7"/>
  <c r="G357" i="7"/>
  <c r="Z358" i="7"/>
  <c r="L351" i="7"/>
  <c r="L344" i="7"/>
  <c r="L337" i="7"/>
  <c r="L330" i="7"/>
  <c r="L341" i="7"/>
  <c r="L334" i="7"/>
  <c r="L349" i="7"/>
  <c r="L342" i="7"/>
  <c r="L335" i="7"/>
  <c r="L328" i="7"/>
  <c r="L353" i="7"/>
  <c r="L346" i="7"/>
  <c r="L339" i="7"/>
  <c r="L332" i="7"/>
  <c r="L325" i="7"/>
  <c r="L350" i="7"/>
  <c r="L343" i="7"/>
  <c r="L336" i="7"/>
  <c r="L329" i="7"/>
  <c r="L352" i="7"/>
  <c r="L345" i="7"/>
  <c r="L338" i="7"/>
  <c r="L331" i="7"/>
  <c r="E357" i="7"/>
  <c r="Y358" i="7"/>
  <c r="AF91" i="7"/>
  <c r="AF94" i="7"/>
  <c r="AF92" i="7"/>
  <c r="AH95" i="5"/>
  <c r="AI95" i="5" s="1"/>
  <c r="AS357" i="5"/>
  <c r="G356" i="5"/>
  <c r="AH90" i="5"/>
  <c r="AI90" i="5" s="1"/>
  <c r="AA359" i="5"/>
  <c r="E358" i="5"/>
  <c r="Y360" i="4"/>
  <c r="E359" i="4"/>
  <c r="Z358" i="4"/>
  <c r="G357" i="4"/>
  <c r="L328" i="4"/>
  <c r="L335" i="4"/>
  <c r="L342" i="4"/>
  <c r="L349" i="4"/>
  <c r="AF92" i="4"/>
  <c r="L334" i="4"/>
  <c r="L341" i="4"/>
  <c r="AF91" i="4"/>
  <c r="L325" i="4"/>
  <c r="L332" i="4"/>
  <c r="L339" i="4"/>
  <c r="L346" i="4"/>
  <c r="L353" i="4"/>
  <c r="AF96" i="4"/>
  <c r="L330" i="4"/>
  <c r="L337" i="4"/>
  <c r="L344" i="4"/>
  <c r="L351" i="4"/>
  <c r="AF94" i="4"/>
  <c r="L331" i="4"/>
  <c r="L338" i="4"/>
  <c r="L345" i="4"/>
  <c r="L352" i="4"/>
  <c r="AF95" i="4"/>
  <c r="L329" i="4"/>
  <c r="L336" i="4"/>
  <c r="L343" i="4"/>
  <c r="L350" i="4"/>
  <c r="AF93" i="4"/>
  <c r="Y353" i="3"/>
  <c r="E352" i="3"/>
  <c r="Z353" i="3"/>
  <c r="G352" i="3"/>
  <c r="AA348" i="2"/>
  <c r="E347" i="2"/>
  <c r="G347" i="2"/>
  <c r="AS348" i="2"/>
  <c r="U354" i="7" l="1"/>
  <c r="P354" i="7"/>
  <c r="P347" i="7"/>
  <c r="N340" i="7"/>
  <c r="M340" i="7"/>
  <c r="U347" i="7"/>
  <c r="R354" i="7"/>
  <c r="S354" i="7"/>
  <c r="N347" i="7"/>
  <c r="M347" i="7"/>
  <c r="P340" i="7"/>
  <c r="U340" i="7"/>
  <c r="P333" i="7"/>
  <c r="N326" i="7"/>
  <c r="M326" i="7"/>
  <c r="U333" i="7"/>
  <c r="R340" i="7"/>
  <c r="S340" i="7"/>
  <c r="N333" i="7"/>
  <c r="M333" i="7"/>
  <c r="P326" i="7"/>
  <c r="U326" i="7"/>
  <c r="G358" i="7"/>
  <c r="Z359" i="7"/>
  <c r="U352" i="7"/>
  <c r="M351" i="7"/>
  <c r="N351" i="7"/>
  <c r="U345" i="7"/>
  <c r="M344" i="7"/>
  <c r="N344" i="7"/>
  <c r="U338" i="7"/>
  <c r="M337" i="7"/>
  <c r="N337" i="7"/>
  <c r="U331" i="7"/>
  <c r="N330" i="7"/>
  <c r="M330" i="7"/>
  <c r="U342" i="7"/>
  <c r="M341" i="7"/>
  <c r="N341" i="7"/>
  <c r="U335" i="7"/>
  <c r="M334" i="7"/>
  <c r="N334" i="7"/>
  <c r="U350" i="7"/>
  <c r="M349" i="7"/>
  <c r="N349" i="7"/>
  <c r="U343" i="7"/>
  <c r="M342" i="7"/>
  <c r="N342" i="7"/>
  <c r="U336" i="7"/>
  <c r="M335" i="7"/>
  <c r="N335" i="7"/>
  <c r="N328" i="7"/>
  <c r="M328" i="7"/>
  <c r="U329" i="7"/>
  <c r="N353" i="7"/>
  <c r="M353" i="7"/>
  <c r="U349" i="7"/>
  <c r="N346" i="7"/>
  <c r="M346" i="7"/>
  <c r="U341" i="7"/>
  <c r="M339" i="7"/>
  <c r="N339" i="7"/>
  <c r="N332" i="7"/>
  <c r="M332" i="7"/>
  <c r="U334" i="7"/>
  <c r="U325" i="7"/>
  <c r="P351" i="7"/>
  <c r="P350" i="7"/>
  <c r="P349" i="7"/>
  <c r="P342" i="7"/>
  <c r="P341" i="7"/>
  <c r="P339" i="7"/>
  <c r="P335" i="7"/>
  <c r="P334" i="7"/>
  <c r="P331" i="7"/>
  <c r="P325" i="7"/>
  <c r="P352" i="7"/>
  <c r="P346" i="7"/>
  <c r="P345" i="7"/>
  <c r="P344" i="7"/>
  <c r="P343" i="7"/>
  <c r="P353" i="7"/>
  <c r="P338" i="7"/>
  <c r="P337" i="7"/>
  <c r="P336" i="7"/>
  <c r="P332" i="7"/>
  <c r="P330" i="7"/>
  <c r="P329" i="7"/>
  <c r="P328" i="7"/>
  <c r="N325" i="7"/>
  <c r="M325" i="7"/>
  <c r="U328" i="7"/>
  <c r="N350" i="7"/>
  <c r="M350" i="7"/>
  <c r="U351" i="7"/>
  <c r="U344" i="7"/>
  <c r="N343" i="7"/>
  <c r="M343" i="7"/>
  <c r="U337" i="7"/>
  <c r="N336" i="7"/>
  <c r="M336" i="7"/>
  <c r="U330" i="7"/>
  <c r="M329" i="7"/>
  <c r="N329" i="7"/>
  <c r="U353" i="7"/>
  <c r="M352" i="7"/>
  <c r="N352" i="7"/>
  <c r="U346" i="7"/>
  <c r="N345" i="7"/>
  <c r="M345" i="7"/>
  <c r="U339" i="7"/>
  <c r="N338" i="7"/>
  <c r="M338" i="7"/>
  <c r="U332" i="7"/>
  <c r="M331" i="7"/>
  <c r="N331" i="7"/>
  <c r="Y359" i="7"/>
  <c r="E358" i="7"/>
  <c r="AF97" i="7"/>
  <c r="AJ90" i="5"/>
  <c r="AA360" i="5"/>
  <c r="E359" i="5"/>
  <c r="AS358" i="5"/>
  <c r="G357" i="5"/>
  <c r="N332" i="4"/>
  <c r="M332" i="4"/>
  <c r="U332" i="4"/>
  <c r="P353" i="4"/>
  <c r="P352" i="4"/>
  <c r="P351" i="4"/>
  <c r="P350" i="4"/>
  <c r="P349" i="4"/>
  <c r="P346" i="4"/>
  <c r="P342" i="4"/>
  <c r="P336" i="4"/>
  <c r="P330" i="4"/>
  <c r="P345" i="4"/>
  <c r="P339" i="4"/>
  <c r="P334" i="4"/>
  <c r="P328" i="4"/>
  <c r="P343" i="4"/>
  <c r="P337" i="4"/>
  <c r="P331" i="4"/>
  <c r="P341" i="4"/>
  <c r="P335" i="4"/>
  <c r="P329" i="4"/>
  <c r="P325" i="4"/>
  <c r="N325" i="4"/>
  <c r="P344" i="4"/>
  <c r="P338" i="4"/>
  <c r="P332" i="4"/>
  <c r="M325" i="4"/>
  <c r="U325" i="4"/>
  <c r="N329" i="4"/>
  <c r="M329" i="4"/>
  <c r="U329" i="4"/>
  <c r="AF97" i="4"/>
  <c r="N352" i="4"/>
  <c r="M352" i="4"/>
  <c r="U352" i="4"/>
  <c r="N341" i="4"/>
  <c r="M341" i="4"/>
  <c r="U341" i="4"/>
  <c r="N334" i="4"/>
  <c r="M334" i="4"/>
  <c r="U334" i="4"/>
  <c r="N345" i="4"/>
  <c r="M345" i="4"/>
  <c r="U345" i="4"/>
  <c r="N338" i="4"/>
  <c r="M338" i="4"/>
  <c r="U338" i="4"/>
  <c r="N349" i="4"/>
  <c r="M349" i="4"/>
  <c r="U349" i="4"/>
  <c r="N336" i="4"/>
  <c r="M336" i="4"/>
  <c r="U336" i="4"/>
  <c r="N342" i="4"/>
  <c r="M342" i="4"/>
  <c r="U342" i="4"/>
  <c r="N331" i="4"/>
  <c r="M331" i="4"/>
  <c r="U331" i="4"/>
  <c r="N335" i="4"/>
  <c r="M335" i="4"/>
  <c r="U335" i="4"/>
  <c r="N328" i="4"/>
  <c r="M328" i="4"/>
  <c r="U328" i="4"/>
  <c r="N344" i="4"/>
  <c r="M344" i="4"/>
  <c r="U344" i="4"/>
  <c r="N337" i="4"/>
  <c r="M337" i="4"/>
  <c r="U337" i="4"/>
  <c r="N330" i="4"/>
  <c r="M330" i="4"/>
  <c r="U330" i="4"/>
  <c r="Z359" i="4"/>
  <c r="G358" i="4"/>
  <c r="N351" i="4"/>
  <c r="M351" i="4"/>
  <c r="U351" i="4"/>
  <c r="N353" i="4"/>
  <c r="M353" i="4"/>
  <c r="U353" i="4"/>
  <c r="Y361" i="4"/>
  <c r="E360" i="4"/>
  <c r="N350" i="4"/>
  <c r="M350" i="4"/>
  <c r="U350" i="4"/>
  <c r="N346" i="4"/>
  <c r="M346" i="4"/>
  <c r="U346" i="4"/>
  <c r="N343" i="4"/>
  <c r="M343" i="4"/>
  <c r="U343" i="4"/>
  <c r="N339" i="4"/>
  <c r="M339" i="4"/>
  <c r="U339" i="4"/>
  <c r="Z354" i="3"/>
  <c r="G353" i="3"/>
  <c r="Y354" i="3"/>
  <c r="E353" i="3"/>
  <c r="AS349" i="2"/>
  <c r="G348" i="2"/>
  <c r="E348" i="2"/>
  <c r="AA349" i="2"/>
  <c r="R347" i="7" l="1"/>
  <c r="S347" i="7"/>
  <c r="R333" i="7"/>
  <c r="S333" i="7"/>
  <c r="X340" i="7"/>
  <c r="W340" i="7"/>
  <c r="X354" i="7"/>
  <c r="W354" i="7"/>
  <c r="X347" i="7"/>
  <c r="W347" i="7"/>
  <c r="W333" i="7"/>
  <c r="X333" i="7"/>
  <c r="R326" i="7"/>
  <c r="S326" i="7"/>
  <c r="W326" i="7"/>
  <c r="X326" i="7"/>
  <c r="G359" i="7"/>
  <c r="Z360" i="7"/>
  <c r="W352" i="7"/>
  <c r="X352" i="7"/>
  <c r="X345" i="7"/>
  <c r="W345" i="7"/>
  <c r="X338" i="7"/>
  <c r="W338" i="7"/>
  <c r="W331" i="7"/>
  <c r="X331" i="7"/>
  <c r="W342" i="7"/>
  <c r="X342" i="7"/>
  <c r="W335" i="7"/>
  <c r="X335" i="7"/>
  <c r="X350" i="7"/>
  <c r="W350" i="7"/>
  <c r="X343" i="7"/>
  <c r="W343" i="7"/>
  <c r="W336" i="7"/>
  <c r="X336" i="7"/>
  <c r="W329" i="7"/>
  <c r="X329" i="7"/>
  <c r="X349" i="7"/>
  <c r="W349" i="7"/>
  <c r="X341" i="7"/>
  <c r="W341" i="7"/>
  <c r="W334" i="7"/>
  <c r="X334" i="7"/>
  <c r="W325" i="7"/>
  <c r="X325" i="7"/>
  <c r="S351" i="7"/>
  <c r="R351" i="7"/>
  <c r="S350" i="7"/>
  <c r="R350" i="7"/>
  <c r="R349" i="7"/>
  <c r="S349" i="7"/>
  <c r="R342" i="7"/>
  <c r="S342" i="7"/>
  <c r="R341" i="7"/>
  <c r="S341" i="7"/>
  <c r="R339" i="7"/>
  <c r="S339" i="7"/>
  <c r="R335" i="7"/>
  <c r="S335" i="7"/>
  <c r="R334" i="7"/>
  <c r="S334" i="7"/>
  <c r="R331" i="7"/>
  <c r="S331" i="7"/>
  <c r="R325" i="7"/>
  <c r="S325" i="7"/>
  <c r="R352" i="7"/>
  <c r="S352" i="7"/>
  <c r="R346" i="7"/>
  <c r="S346" i="7"/>
  <c r="R345" i="7"/>
  <c r="S345" i="7"/>
  <c r="R344" i="7"/>
  <c r="S344" i="7"/>
  <c r="R343" i="7"/>
  <c r="S343" i="7"/>
  <c r="S353" i="7"/>
  <c r="R353" i="7"/>
  <c r="S338" i="7"/>
  <c r="R338" i="7"/>
  <c r="S337" i="7"/>
  <c r="R337" i="7"/>
  <c r="S336" i="7"/>
  <c r="R336" i="7"/>
  <c r="S332" i="7"/>
  <c r="R332" i="7"/>
  <c r="S330" i="7"/>
  <c r="R330" i="7"/>
  <c r="S329" i="7"/>
  <c r="R329" i="7"/>
  <c r="R328" i="7"/>
  <c r="S328" i="7"/>
  <c r="X328" i="7"/>
  <c r="W328" i="7"/>
  <c r="X351" i="7"/>
  <c r="W351" i="7"/>
  <c r="X344" i="7"/>
  <c r="W344" i="7"/>
  <c r="W337" i="7"/>
  <c r="X337" i="7"/>
  <c r="X330" i="7"/>
  <c r="W330" i="7"/>
  <c r="X353" i="7"/>
  <c r="W353" i="7"/>
  <c r="X346" i="7"/>
  <c r="W346" i="7"/>
  <c r="X339" i="7"/>
  <c r="W339" i="7"/>
  <c r="X332" i="7"/>
  <c r="W332" i="7"/>
  <c r="E359" i="7"/>
  <c r="Y360" i="7"/>
  <c r="AS359" i="5"/>
  <c r="G358" i="5"/>
  <c r="E360" i="5"/>
  <c r="AA361" i="5"/>
  <c r="X338" i="4"/>
  <c r="W338" i="4"/>
  <c r="X329" i="4"/>
  <c r="W329" i="4"/>
  <c r="S328" i="4"/>
  <c r="R328" i="4"/>
  <c r="W335" i="4"/>
  <c r="X335" i="4"/>
  <c r="R334" i="4"/>
  <c r="S334" i="4"/>
  <c r="S339" i="4"/>
  <c r="R339" i="4"/>
  <c r="Y362" i="4"/>
  <c r="E361" i="4"/>
  <c r="X351" i="4"/>
  <c r="W351" i="4"/>
  <c r="W345" i="4"/>
  <c r="X345" i="4"/>
  <c r="X325" i="4"/>
  <c r="W325" i="4"/>
  <c r="S345" i="4"/>
  <c r="R345" i="4"/>
  <c r="X331" i="4"/>
  <c r="W331" i="4"/>
  <c r="R330" i="4"/>
  <c r="S330" i="4"/>
  <c r="S332" i="4"/>
  <c r="R332" i="4"/>
  <c r="S336" i="4"/>
  <c r="R336" i="4"/>
  <c r="X334" i="4"/>
  <c r="W334" i="4"/>
  <c r="S338" i="4"/>
  <c r="R338" i="4"/>
  <c r="S342" i="4"/>
  <c r="R342" i="4"/>
  <c r="W342" i="4"/>
  <c r="X342" i="4"/>
  <c r="S344" i="4"/>
  <c r="R344" i="4"/>
  <c r="R346" i="4"/>
  <c r="S346" i="4"/>
  <c r="X339" i="4"/>
  <c r="W339" i="4"/>
  <c r="W343" i="4"/>
  <c r="X343" i="4"/>
  <c r="X346" i="4"/>
  <c r="W346" i="4"/>
  <c r="Z360" i="4"/>
  <c r="G359" i="4"/>
  <c r="X337" i="4"/>
  <c r="W337" i="4"/>
  <c r="R349" i="4"/>
  <c r="S349" i="4"/>
  <c r="X330" i="4"/>
  <c r="W330" i="4"/>
  <c r="X341" i="4"/>
  <c r="W341" i="4"/>
  <c r="S325" i="4"/>
  <c r="R325" i="4"/>
  <c r="S350" i="4"/>
  <c r="R350" i="4"/>
  <c r="W350" i="4"/>
  <c r="X350" i="4"/>
  <c r="X336" i="4"/>
  <c r="W336" i="4"/>
  <c r="S329" i="4"/>
  <c r="R329" i="4"/>
  <c r="S351" i="4"/>
  <c r="R351" i="4"/>
  <c r="X344" i="4"/>
  <c r="W344" i="4"/>
  <c r="R335" i="4"/>
  <c r="S335" i="4"/>
  <c r="S352" i="4"/>
  <c r="R352" i="4"/>
  <c r="X352" i="4"/>
  <c r="W352" i="4"/>
  <c r="S341" i="4"/>
  <c r="R341" i="4"/>
  <c r="R353" i="4"/>
  <c r="S353" i="4"/>
  <c r="X349" i="4"/>
  <c r="W349" i="4"/>
  <c r="S331" i="4"/>
  <c r="R331" i="4"/>
  <c r="X332" i="4"/>
  <c r="W332" i="4"/>
  <c r="X328" i="4"/>
  <c r="W328" i="4"/>
  <c r="R337" i="4"/>
  <c r="S337" i="4"/>
  <c r="W353" i="4"/>
  <c r="X353" i="4"/>
  <c r="S343" i="4"/>
  <c r="R343" i="4"/>
  <c r="Y355" i="3"/>
  <c r="E354" i="3"/>
  <c r="Z355" i="3"/>
  <c r="G354" i="3"/>
  <c r="AA350" i="2"/>
  <c r="E349" i="2"/>
  <c r="AS350" i="2"/>
  <c r="G349" i="2"/>
  <c r="Z361" i="7" l="1"/>
  <c r="G360" i="7"/>
  <c r="Y361" i="7"/>
  <c r="E360" i="7"/>
  <c r="E361" i="5"/>
  <c r="AA362" i="5"/>
  <c r="AS360" i="5"/>
  <c r="G359" i="5"/>
  <c r="Y363" i="4"/>
  <c r="E362" i="4"/>
  <c r="Z361" i="4"/>
  <c r="G360" i="4"/>
  <c r="AD93" i="3"/>
  <c r="AD91" i="3"/>
  <c r="AC91" i="3"/>
  <c r="AC93" i="3"/>
  <c r="AC95" i="3"/>
  <c r="AD96" i="3"/>
  <c r="AC96" i="3"/>
  <c r="AD92" i="3"/>
  <c r="AC92" i="3"/>
  <c r="AC97" i="3"/>
  <c r="AC94" i="3"/>
  <c r="AD97" i="3"/>
  <c r="AE97" i="3" s="1"/>
  <c r="AD95" i="3"/>
  <c r="AD94" i="3"/>
  <c r="Z356" i="3"/>
  <c r="G355" i="3"/>
  <c r="Y356" i="3"/>
  <c r="E355" i="3"/>
  <c r="AS351" i="2"/>
  <c r="G350" i="2"/>
  <c r="AA351" i="2"/>
  <c r="E350" i="2"/>
  <c r="G361" i="7" l="1"/>
  <c r="Z362" i="7"/>
  <c r="Y362" i="7"/>
  <c r="E361" i="7"/>
  <c r="AA363" i="5"/>
  <c r="E362" i="5"/>
  <c r="AS361" i="5"/>
  <c r="G360" i="5"/>
  <c r="Z362" i="4"/>
  <c r="G361" i="4"/>
  <c r="Y364" i="4"/>
  <c r="E363" i="4"/>
  <c r="AE92" i="3"/>
  <c r="AE96" i="3"/>
  <c r="AE95" i="3"/>
  <c r="AE94" i="3"/>
  <c r="AE91" i="3"/>
  <c r="AE93" i="3"/>
  <c r="Y357" i="3"/>
  <c r="E356" i="3"/>
  <c r="Z357" i="3"/>
  <c r="G356" i="3"/>
  <c r="AA352" i="2"/>
  <c r="E351" i="2"/>
  <c r="G351" i="2"/>
  <c r="AS352" i="2"/>
  <c r="Z363" i="7" l="1"/>
  <c r="G362" i="7"/>
  <c r="Y363" i="7"/>
  <c r="E362" i="7"/>
  <c r="G361" i="5"/>
  <c r="AS362" i="5"/>
  <c r="AA364" i="5"/>
  <c r="E363" i="5"/>
  <c r="Y365" i="4"/>
  <c r="E364" i="4"/>
  <c r="Z363" i="4"/>
  <c r="G362" i="4"/>
  <c r="L336" i="3"/>
  <c r="L343" i="3"/>
  <c r="L329" i="3"/>
  <c r="L350" i="3"/>
  <c r="L353" i="3"/>
  <c r="L339" i="3"/>
  <c r="L325" i="3"/>
  <c r="L346" i="3"/>
  <c r="L332" i="3"/>
  <c r="L341" i="3"/>
  <c r="L334" i="3"/>
  <c r="L337" i="3"/>
  <c r="L344" i="3"/>
  <c r="L330" i="3"/>
  <c r="L351" i="3"/>
  <c r="L352" i="3"/>
  <c r="L338" i="3"/>
  <c r="L345" i="3"/>
  <c r="L331" i="3"/>
  <c r="L342" i="3"/>
  <c r="L328" i="3"/>
  <c r="L335" i="3"/>
  <c r="L349" i="3"/>
  <c r="AF94" i="3"/>
  <c r="AF93" i="3"/>
  <c r="AF91" i="3"/>
  <c r="AF95" i="3"/>
  <c r="AF96" i="3"/>
  <c r="AF92" i="3"/>
  <c r="Z358" i="3"/>
  <c r="G357" i="3"/>
  <c r="Y358" i="3"/>
  <c r="E357" i="3"/>
  <c r="AS353" i="2"/>
  <c r="G352" i="2"/>
  <c r="E352" i="2"/>
  <c r="AA353" i="2"/>
  <c r="G363" i="7" l="1"/>
  <c r="Z364" i="7"/>
  <c r="Y364" i="7"/>
  <c r="E363" i="7"/>
  <c r="AS363" i="5"/>
  <c r="G362" i="5"/>
  <c r="AA365" i="5"/>
  <c r="E364" i="5"/>
  <c r="Y366" i="4"/>
  <c r="E365" i="4"/>
  <c r="Z364" i="4"/>
  <c r="G363" i="4"/>
  <c r="AF97" i="3"/>
  <c r="M345" i="3"/>
  <c r="N345" i="3"/>
  <c r="N331" i="3"/>
  <c r="M331" i="3"/>
  <c r="N353" i="3"/>
  <c r="M353" i="3"/>
  <c r="N350" i="3"/>
  <c r="M350" i="3"/>
  <c r="M346" i="3"/>
  <c r="N346" i="3"/>
  <c r="M330" i="3"/>
  <c r="N330" i="3"/>
  <c r="M332" i="3"/>
  <c r="N332" i="3"/>
  <c r="M337" i="3"/>
  <c r="N337" i="3"/>
  <c r="N328" i="3"/>
  <c r="M328" i="3"/>
  <c r="M339" i="3"/>
  <c r="N339" i="3"/>
  <c r="P325" i="3"/>
  <c r="N325" i="3"/>
  <c r="P331" i="3"/>
  <c r="P346" i="3"/>
  <c r="P328" i="3"/>
  <c r="P336" i="3"/>
  <c r="P343" i="3"/>
  <c r="P344" i="3"/>
  <c r="P329" i="3"/>
  <c r="P345" i="3"/>
  <c r="P353" i="3"/>
  <c r="P351" i="3"/>
  <c r="P338" i="3"/>
  <c r="P335" i="3"/>
  <c r="P352" i="3"/>
  <c r="P350" i="3"/>
  <c r="P332" i="3"/>
  <c r="P330" i="3"/>
  <c r="P341" i="3"/>
  <c r="M325" i="3"/>
  <c r="P334" i="3"/>
  <c r="P342" i="3"/>
  <c r="P337" i="3"/>
  <c r="P339" i="3"/>
  <c r="P349" i="3"/>
  <c r="U330" i="3"/>
  <c r="U325" i="3"/>
  <c r="U335" i="3"/>
  <c r="U342" i="3"/>
  <c r="U350" i="3"/>
  <c r="U346" i="3"/>
  <c r="U328" i="3"/>
  <c r="U344" i="3"/>
  <c r="U337" i="3"/>
  <c r="U345" i="3"/>
  <c r="U332" i="3"/>
  <c r="U334" i="3"/>
  <c r="U339" i="3"/>
  <c r="U353" i="3"/>
  <c r="U349" i="3"/>
  <c r="U343" i="3"/>
  <c r="U331" i="3"/>
  <c r="U329" i="3"/>
  <c r="U341" i="3"/>
  <c r="U336" i="3"/>
  <c r="U338" i="3"/>
  <c r="U352" i="3"/>
  <c r="U351" i="3"/>
  <c r="M343" i="3"/>
  <c r="N343" i="3"/>
  <c r="M342" i="3"/>
  <c r="N342" i="3"/>
  <c r="N341" i="3"/>
  <c r="M341" i="3"/>
  <c r="N349" i="3"/>
  <c r="M349" i="3"/>
  <c r="M334" i="3"/>
  <c r="N334" i="3"/>
  <c r="M335" i="3"/>
  <c r="N335" i="3"/>
  <c r="M351" i="3"/>
  <c r="N351" i="3"/>
  <c r="N338" i="3"/>
  <c r="M338" i="3"/>
  <c r="N329" i="3"/>
  <c r="M329" i="3"/>
  <c r="N344" i="3"/>
  <c r="M344" i="3"/>
  <c r="N352" i="3"/>
  <c r="M352" i="3"/>
  <c r="N336" i="3"/>
  <c r="M336" i="3"/>
  <c r="Y359" i="3"/>
  <c r="E358" i="3"/>
  <c r="Z359" i="3"/>
  <c r="G358" i="3"/>
  <c r="AA354" i="2"/>
  <c r="E353" i="2"/>
  <c r="AS354" i="2"/>
  <c r="G353" i="2"/>
  <c r="Z365" i="7" l="1"/>
  <c r="G364" i="7"/>
  <c r="E364" i="7"/>
  <c r="Y365" i="7"/>
  <c r="AA366" i="5"/>
  <c r="E365" i="5"/>
  <c r="AS364" i="5"/>
  <c r="G363" i="5"/>
  <c r="Y367" i="4"/>
  <c r="E366" i="4"/>
  <c r="Z365" i="4"/>
  <c r="G364" i="4"/>
  <c r="X325" i="3"/>
  <c r="W325" i="3"/>
  <c r="W336" i="3"/>
  <c r="X336" i="3"/>
  <c r="W344" i="3"/>
  <c r="X344" i="3"/>
  <c r="S332" i="3"/>
  <c r="R332" i="3"/>
  <c r="W338" i="3"/>
  <c r="X338" i="3"/>
  <c r="X350" i="3"/>
  <c r="W350" i="3"/>
  <c r="S351" i="3"/>
  <c r="R351" i="3"/>
  <c r="S346" i="3"/>
  <c r="R346" i="3"/>
  <c r="W334" i="3"/>
  <c r="X334" i="3"/>
  <c r="W330" i="3"/>
  <c r="X330" i="3"/>
  <c r="S349" i="3"/>
  <c r="R349" i="3"/>
  <c r="S329" i="3"/>
  <c r="R329" i="3"/>
  <c r="X341" i="3"/>
  <c r="W341" i="3"/>
  <c r="W332" i="3"/>
  <c r="X332" i="3"/>
  <c r="R339" i="3"/>
  <c r="S339" i="3"/>
  <c r="X352" i="3"/>
  <c r="W352" i="3"/>
  <c r="X329" i="3"/>
  <c r="W329" i="3"/>
  <c r="W349" i="3"/>
  <c r="X349" i="3"/>
  <c r="X328" i="3"/>
  <c r="W328" i="3"/>
  <c r="W342" i="3"/>
  <c r="X342" i="3"/>
  <c r="R337" i="3"/>
  <c r="S337" i="3"/>
  <c r="S352" i="3"/>
  <c r="R352" i="3"/>
  <c r="S343" i="3"/>
  <c r="R343" i="3"/>
  <c r="W337" i="3"/>
  <c r="X337" i="3"/>
  <c r="S353" i="3"/>
  <c r="R353" i="3"/>
  <c r="S330" i="3"/>
  <c r="R330" i="3"/>
  <c r="S325" i="3"/>
  <c r="R325" i="3"/>
  <c r="W351" i="3"/>
  <c r="X351" i="3"/>
  <c r="R350" i="3"/>
  <c r="S350" i="3"/>
  <c r="X331" i="3"/>
  <c r="W331" i="3"/>
  <c r="X353" i="3"/>
  <c r="W353" i="3"/>
  <c r="W345" i="3"/>
  <c r="X345" i="3"/>
  <c r="R342" i="3"/>
  <c r="S342" i="3"/>
  <c r="S335" i="3"/>
  <c r="R335" i="3"/>
  <c r="S336" i="3"/>
  <c r="R336" i="3"/>
  <c r="R341" i="3"/>
  <c r="S341" i="3"/>
  <c r="R331" i="3"/>
  <c r="S331" i="3"/>
  <c r="S345" i="3"/>
  <c r="R345" i="3"/>
  <c r="W343" i="3"/>
  <c r="X343" i="3"/>
  <c r="R344" i="3"/>
  <c r="S344" i="3"/>
  <c r="X339" i="3"/>
  <c r="W339" i="3"/>
  <c r="W346" i="3"/>
  <c r="X346" i="3"/>
  <c r="X335" i="3"/>
  <c r="W335" i="3"/>
  <c r="R334" i="3"/>
  <c r="S334" i="3"/>
  <c r="S338" i="3"/>
  <c r="R338" i="3"/>
  <c r="R328" i="3"/>
  <c r="S328" i="3"/>
  <c r="Z360" i="3"/>
  <c r="G359" i="3"/>
  <c r="Y360" i="3"/>
  <c r="E359" i="3"/>
  <c r="AS355" i="2"/>
  <c r="G354" i="2"/>
  <c r="AA355" i="2"/>
  <c r="E354" i="2"/>
  <c r="G365" i="7" l="1"/>
  <c r="Z366" i="7"/>
  <c r="Y366" i="7"/>
  <c r="E365" i="7"/>
  <c r="AS365" i="5"/>
  <c r="G364" i="5"/>
  <c r="AA367" i="5"/>
  <c r="E366" i="5"/>
  <c r="Z366" i="4"/>
  <c r="G365" i="4"/>
  <c r="Y368" i="4"/>
  <c r="E367" i="4"/>
  <c r="AF93" i="2"/>
  <c r="AE96" i="2"/>
  <c r="AF91" i="2"/>
  <c r="AE91" i="2"/>
  <c r="AE92" i="2"/>
  <c r="AF90" i="2"/>
  <c r="AE95" i="2"/>
  <c r="AF96" i="2"/>
  <c r="AF92" i="2"/>
  <c r="AE93" i="2"/>
  <c r="AH93" i="2" s="1"/>
  <c r="AF95" i="2"/>
  <c r="AF94" i="2"/>
  <c r="AE94" i="2"/>
  <c r="AE90" i="2"/>
  <c r="Y361" i="3"/>
  <c r="E360" i="3"/>
  <c r="Z361" i="3"/>
  <c r="G360" i="3"/>
  <c r="E355" i="2"/>
  <c r="AA356" i="2"/>
  <c r="G355" i="2"/>
  <c r="AS356" i="2"/>
  <c r="G366" i="7" l="1"/>
  <c r="Z367" i="7"/>
  <c r="Y367" i="7"/>
  <c r="E366" i="7"/>
  <c r="AA368" i="5"/>
  <c r="E367" i="5"/>
  <c r="AS366" i="5"/>
  <c r="G365" i="5"/>
  <c r="Z367" i="4"/>
  <c r="G366" i="4"/>
  <c r="Y369" i="4"/>
  <c r="E368" i="4"/>
  <c r="AH90" i="2"/>
  <c r="AH95" i="2"/>
  <c r="AH94" i="2"/>
  <c r="AH92" i="2"/>
  <c r="AH91" i="2"/>
  <c r="AH96" i="2"/>
  <c r="Z362" i="3"/>
  <c r="G361" i="3"/>
  <c r="Y362" i="3"/>
  <c r="E361" i="3"/>
  <c r="AA357" i="2"/>
  <c r="E356" i="2"/>
  <c r="G356" i="2"/>
  <c r="AS357" i="2"/>
  <c r="Z368" i="7" l="1"/>
  <c r="G367" i="7"/>
  <c r="Y368" i="7"/>
  <c r="E367" i="7"/>
  <c r="AS367" i="5"/>
  <c r="G366" i="5"/>
  <c r="E368" i="5"/>
  <c r="AA369" i="5"/>
  <c r="Y370" i="4"/>
  <c r="E369" i="4"/>
  <c r="Z368" i="4"/>
  <c r="G367" i="4"/>
  <c r="Y363" i="3"/>
  <c r="E362" i="3"/>
  <c r="Z363" i="3"/>
  <c r="G362" i="3"/>
  <c r="G357" i="2"/>
  <c r="AS358" i="2"/>
  <c r="AA358" i="2"/>
  <c r="E357" i="2"/>
  <c r="Z369" i="7" l="1"/>
  <c r="G368" i="7"/>
  <c r="Y369" i="7"/>
  <c r="E368" i="7"/>
  <c r="E369" i="5"/>
  <c r="AA370" i="5"/>
  <c r="AS368" i="5"/>
  <c r="G367" i="5"/>
  <c r="Z369" i="4"/>
  <c r="G368" i="4"/>
  <c r="Y371" i="4"/>
  <c r="E370" i="4"/>
  <c r="Z364" i="3"/>
  <c r="G363" i="3"/>
  <c r="Y364" i="3"/>
  <c r="E363" i="3"/>
  <c r="E358" i="2"/>
  <c r="AA359" i="2"/>
  <c r="G358" i="2"/>
  <c r="AS359" i="2"/>
  <c r="Z370" i="7" l="1"/>
  <c r="G369" i="7"/>
  <c r="Y370" i="7"/>
  <c r="E369" i="7"/>
  <c r="AS369" i="5"/>
  <c r="G368" i="5"/>
  <c r="AA371" i="5"/>
  <c r="E370" i="5"/>
  <c r="Y372" i="4"/>
  <c r="E371" i="4"/>
  <c r="Z370" i="4"/>
  <c r="G369" i="4"/>
  <c r="Y365" i="3"/>
  <c r="E364" i="3"/>
  <c r="Z365" i="3"/>
  <c r="G364" i="3"/>
  <c r="E359" i="2"/>
  <c r="AA360" i="2"/>
  <c r="AS360" i="2"/>
  <c r="G359" i="2"/>
  <c r="Z371" i="7" l="1"/>
  <c r="G370" i="7"/>
  <c r="Y371" i="7"/>
  <c r="E370" i="7"/>
  <c r="E371" i="5"/>
  <c r="AA372" i="5"/>
  <c r="AS370" i="5"/>
  <c r="G369" i="5"/>
  <c r="Z371" i="4"/>
  <c r="G370" i="4"/>
  <c r="Y373" i="4"/>
  <c r="E372" i="4"/>
  <c r="Z366" i="3"/>
  <c r="G365" i="3"/>
  <c r="Y366" i="3"/>
  <c r="E365" i="3"/>
  <c r="G360" i="2"/>
  <c r="AS361" i="2"/>
  <c r="AA361" i="2"/>
  <c r="E360" i="2"/>
  <c r="Z372" i="7" l="1"/>
  <c r="G371" i="7"/>
  <c r="Y372" i="7"/>
  <c r="E371" i="7"/>
  <c r="AS371" i="5"/>
  <c r="G370" i="5"/>
  <c r="AA373" i="5"/>
  <c r="E372" i="5"/>
  <c r="Y374" i="4"/>
  <c r="E373" i="4"/>
  <c r="Z372" i="4"/>
  <c r="G371" i="4"/>
  <c r="Y367" i="3"/>
  <c r="E366" i="3"/>
  <c r="Z367" i="3"/>
  <c r="G366" i="3"/>
  <c r="AA362" i="2"/>
  <c r="E361" i="2"/>
  <c r="G361" i="2"/>
  <c r="AS362" i="2"/>
  <c r="Z373" i="7" l="1"/>
  <c r="G372" i="7"/>
  <c r="Y373" i="7"/>
  <c r="E372" i="7"/>
  <c r="AA374" i="5"/>
  <c r="E373" i="5"/>
  <c r="AS372" i="5"/>
  <c r="G371" i="5"/>
  <c r="Z373" i="4"/>
  <c r="G372" i="4"/>
  <c r="Y375" i="4"/>
  <c r="E374" i="4"/>
  <c r="Z368" i="3"/>
  <c r="G367" i="3"/>
  <c r="Y368" i="3"/>
  <c r="E367" i="3"/>
  <c r="G362" i="2"/>
  <c r="AS363" i="2"/>
  <c r="E362" i="2"/>
  <c r="AA363" i="2"/>
  <c r="Z374" i="7" l="1"/>
  <c r="G373" i="7"/>
  <c r="Y374" i="7"/>
  <c r="E373" i="7"/>
  <c r="AS373" i="5"/>
  <c r="G372" i="5"/>
  <c r="AA375" i="5"/>
  <c r="E374" i="5"/>
  <c r="Y376" i="4"/>
  <c r="E375" i="4"/>
  <c r="Z374" i="4"/>
  <c r="G373" i="4"/>
  <c r="Y369" i="3"/>
  <c r="E368" i="3"/>
  <c r="Z369" i="3"/>
  <c r="G368" i="3"/>
  <c r="E363" i="2"/>
  <c r="AA364" i="2"/>
  <c r="G363" i="2"/>
  <c r="AS364" i="2"/>
  <c r="Z375" i="7" l="1"/>
  <c r="G374" i="7"/>
  <c r="Y375" i="7"/>
  <c r="E374" i="7"/>
  <c r="AA376" i="5"/>
  <c r="E375" i="5"/>
  <c r="AS374" i="5"/>
  <c r="G373" i="5"/>
  <c r="Z375" i="4"/>
  <c r="G374" i="4"/>
  <c r="Y377" i="4"/>
  <c r="E376" i="4"/>
  <c r="Z370" i="3"/>
  <c r="G369" i="3"/>
  <c r="Y370" i="3"/>
  <c r="E369" i="3"/>
  <c r="AS365" i="2"/>
  <c r="G364" i="2"/>
  <c r="E364" i="2"/>
  <c r="AA365" i="2"/>
  <c r="Z376" i="7" l="1"/>
  <c r="G375" i="7"/>
  <c r="Y376" i="7"/>
  <c r="E375" i="7"/>
  <c r="AS375" i="5"/>
  <c r="G374" i="5"/>
  <c r="E376" i="5"/>
  <c r="AA377" i="5"/>
  <c r="Y378" i="4"/>
  <c r="E377" i="4"/>
  <c r="Z376" i="4"/>
  <c r="G375" i="4"/>
  <c r="Y371" i="3"/>
  <c r="E370" i="3"/>
  <c r="Z371" i="3"/>
  <c r="G370" i="3"/>
  <c r="E365" i="2"/>
  <c r="AA366" i="2"/>
  <c r="G365" i="2"/>
  <c r="AS366" i="2"/>
  <c r="Z377" i="7" l="1"/>
  <c r="G376" i="7"/>
  <c r="Y377" i="7"/>
  <c r="E376" i="7"/>
  <c r="E377" i="5"/>
  <c r="AA378" i="5"/>
  <c r="AS376" i="5"/>
  <c r="G375" i="5"/>
  <c r="Y379" i="4"/>
  <c r="E378" i="4"/>
  <c r="Z377" i="4"/>
  <c r="G376" i="4"/>
  <c r="Z372" i="3"/>
  <c r="G371" i="3"/>
  <c r="Y372" i="3"/>
  <c r="E371" i="3"/>
  <c r="E366" i="2"/>
  <c r="AA367" i="2"/>
  <c r="G366" i="2"/>
  <c r="AS367" i="2"/>
  <c r="Z378" i="7" l="1"/>
  <c r="G377" i="7"/>
  <c r="Y378" i="7"/>
  <c r="E377" i="7"/>
  <c r="AS377" i="5"/>
  <c r="G376" i="5"/>
  <c r="E378" i="5"/>
  <c r="AA379" i="5"/>
  <c r="Z378" i="4"/>
  <c r="G377" i="4"/>
  <c r="Y380" i="4"/>
  <c r="E379" i="4"/>
  <c r="Y373" i="3"/>
  <c r="E372" i="3"/>
  <c r="Z373" i="3"/>
  <c r="G372" i="3"/>
  <c r="G367" i="2"/>
  <c r="AS368" i="2"/>
  <c r="E367" i="2"/>
  <c r="AA368" i="2"/>
  <c r="Z379" i="7" l="1"/>
  <c r="G378" i="7"/>
  <c r="Y379" i="7"/>
  <c r="E378" i="7"/>
  <c r="AA380" i="5"/>
  <c r="E379" i="5"/>
  <c r="AS378" i="5"/>
  <c r="G377" i="5"/>
  <c r="Y381" i="4"/>
  <c r="E380" i="4"/>
  <c r="Z379" i="4"/>
  <c r="G378" i="4"/>
  <c r="Z374" i="3"/>
  <c r="G373" i="3"/>
  <c r="Y374" i="3"/>
  <c r="E373" i="3"/>
  <c r="AS369" i="2"/>
  <c r="G368" i="2"/>
  <c r="E368" i="2"/>
  <c r="AA369" i="2"/>
  <c r="Z380" i="7" l="1"/>
  <c r="G379" i="7"/>
  <c r="Y380" i="7"/>
  <c r="E379" i="7"/>
  <c r="G378" i="5"/>
  <c r="AS379" i="5"/>
  <c r="AA381" i="5"/>
  <c r="E380" i="5"/>
  <c r="Y382" i="4"/>
  <c r="E381" i="4"/>
  <c r="Z380" i="4"/>
  <c r="G379" i="4"/>
  <c r="Y375" i="3"/>
  <c r="E374" i="3"/>
  <c r="Z375" i="3"/>
  <c r="G374" i="3"/>
  <c r="E369" i="2"/>
  <c r="AA370" i="2"/>
  <c r="G369" i="2"/>
  <c r="AS370" i="2"/>
  <c r="Z381" i="7" l="1"/>
  <c r="G380" i="7"/>
  <c r="Y381" i="7"/>
  <c r="E380" i="7"/>
  <c r="AA382" i="5"/>
  <c r="E381" i="5"/>
  <c r="AS380" i="5"/>
  <c r="G379" i="5"/>
  <c r="Z381" i="4"/>
  <c r="G380" i="4"/>
  <c r="Y383" i="4"/>
  <c r="E382" i="4"/>
  <c r="Z376" i="3"/>
  <c r="G375" i="3"/>
  <c r="Y376" i="3"/>
  <c r="E375" i="3"/>
  <c r="G370" i="2"/>
  <c r="AS371" i="2"/>
  <c r="E370" i="2"/>
  <c r="AA371" i="2"/>
  <c r="G381" i="7" l="1"/>
  <c r="Z382" i="7"/>
  <c r="Y382" i="7"/>
  <c r="E381" i="7"/>
  <c r="AS381" i="5"/>
  <c r="G380" i="5"/>
  <c r="AA383" i="5"/>
  <c r="E382" i="5"/>
  <c r="Y384" i="4"/>
  <c r="E383" i="4"/>
  <c r="Z382" i="4"/>
  <c r="G381" i="4"/>
  <c r="Y377" i="3"/>
  <c r="E376" i="3"/>
  <c r="Z377" i="3"/>
  <c r="G376" i="3"/>
  <c r="E371" i="2"/>
  <c r="AA372" i="2"/>
  <c r="G371" i="2"/>
  <c r="AS372" i="2"/>
  <c r="Z383" i="7" l="1"/>
  <c r="G382" i="7"/>
  <c r="Y383" i="7"/>
  <c r="E382" i="7"/>
  <c r="AA384" i="5"/>
  <c r="E383" i="5"/>
  <c r="AS382" i="5"/>
  <c r="G381" i="5"/>
  <c r="Z383" i="4"/>
  <c r="G382" i="4"/>
  <c r="Y385" i="4"/>
  <c r="E385" i="4" s="1"/>
  <c r="E384" i="4"/>
  <c r="Z378" i="3"/>
  <c r="G377" i="3"/>
  <c r="Y378" i="3"/>
  <c r="E377" i="3"/>
  <c r="AA373" i="2"/>
  <c r="E372" i="2"/>
  <c r="G372" i="2"/>
  <c r="AS373" i="2"/>
  <c r="Z384" i="7" l="1"/>
  <c r="G383" i="7"/>
  <c r="Y384" i="7"/>
  <c r="E383" i="7"/>
  <c r="AS383" i="5"/>
  <c r="G382" i="5"/>
  <c r="AA385" i="5"/>
  <c r="E385" i="5" s="1"/>
  <c r="E384" i="5"/>
  <c r="Z384" i="4"/>
  <c r="G383" i="4"/>
  <c r="Y379" i="3"/>
  <c r="E378" i="3"/>
  <c r="Z379" i="3"/>
  <c r="G378" i="3"/>
  <c r="G373" i="2"/>
  <c r="AS374" i="2"/>
  <c r="AA374" i="2"/>
  <c r="E373" i="2"/>
  <c r="Z385" i="7" l="1"/>
  <c r="G385" i="7" s="1"/>
  <c r="G384" i="7"/>
  <c r="Y385" i="7"/>
  <c r="E385" i="7" s="1"/>
  <c r="E384" i="7"/>
  <c r="AS384" i="5"/>
  <c r="G383" i="5"/>
  <c r="Z385" i="4"/>
  <c r="G385" i="4" s="1"/>
  <c r="G384" i="4"/>
  <c r="Z380" i="3"/>
  <c r="G379" i="3"/>
  <c r="Y380" i="3"/>
  <c r="E379" i="3"/>
  <c r="E374" i="2"/>
  <c r="AA375" i="2"/>
  <c r="G374" i="2"/>
  <c r="AS375" i="2"/>
  <c r="AC99" i="7" l="1"/>
  <c r="AD104" i="7"/>
  <c r="AE104" i="7" s="1"/>
  <c r="AD102" i="7"/>
  <c r="AC101" i="7"/>
  <c r="AD103" i="7"/>
  <c r="AC100" i="7"/>
  <c r="AD98" i="7"/>
  <c r="AC102" i="7"/>
  <c r="AC104" i="7"/>
  <c r="AC98" i="7"/>
  <c r="AD101" i="7"/>
  <c r="AC103" i="7"/>
  <c r="AD100" i="7"/>
  <c r="AD99" i="7"/>
  <c r="AS385" i="5"/>
  <c r="G385" i="5" s="1"/>
  <c r="G384" i="5"/>
  <c r="AD100" i="4"/>
  <c r="AC99" i="4"/>
  <c r="AD99" i="4"/>
  <c r="AD103" i="4"/>
  <c r="AD104" i="4"/>
  <c r="AE104" i="4" s="1"/>
  <c r="AC103" i="4"/>
  <c r="AD101" i="4"/>
  <c r="AC100" i="4"/>
  <c r="AC98" i="4"/>
  <c r="AD98" i="4"/>
  <c r="AC101" i="4"/>
  <c r="AC104" i="4"/>
  <c r="AD102" i="4"/>
  <c r="AC102" i="4"/>
  <c r="Y381" i="3"/>
  <c r="E380" i="3"/>
  <c r="Z381" i="3"/>
  <c r="G380" i="3"/>
  <c r="G375" i="2"/>
  <c r="AS376" i="2"/>
  <c r="E375" i="2"/>
  <c r="AA376" i="2"/>
  <c r="AE102" i="7" l="1"/>
  <c r="AE103" i="7"/>
  <c r="AE98" i="7"/>
  <c r="AE101" i="7"/>
  <c r="AE100" i="7"/>
  <c r="AE99" i="7"/>
  <c r="AE101" i="5"/>
  <c r="AF100" i="5"/>
  <c r="AF101" i="5"/>
  <c r="AE100" i="5"/>
  <c r="AE97" i="5"/>
  <c r="AF98" i="5"/>
  <c r="AE98" i="5"/>
  <c r="AH98" i="5" s="1"/>
  <c r="AI98" i="5" s="1"/>
  <c r="AF103" i="5"/>
  <c r="AE103" i="5"/>
  <c r="AH103" i="5" s="1"/>
  <c r="AI103" i="5" s="1"/>
  <c r="AF97" i="5"/>
  <c r="AE102" i="5"/>
  <c r="AF102" i="5"/>
  <c r="AF99" i="5"/>
  <c r="AE99" i="5"/>
  <c r="AE102" i="4"/>
  <c r="AE98" i="4"/>
  <c r="AE101" i="4"/>
  <c r="AF101" i="4" s="1"/>
  <c r="AE103" i="4"/>
  <c r="AF103" i="4" s="1"/>
  <c r="AE99" i="4"/>
  <c r="AE100" i="4"/>
  <c r="Z382" i="3"/>
  <c r="G381" i="3"/>
  <c r="Y382" i="3"/>
  <c r="E381" i="3"/>
  <c r="E376" i="2"/>
  <c r="AA377" i="2"/>
  <c r="G376" i="2"/>
  <c r="AS377" i="2"/>
  <c r="L375" i="7" l="1"/>
  <c r="L382" i="7"/>
  <c r="L361" i="7"/>
  <c r="L368" i="7"/>
  <c r="AF101" i="7"/>
  <c r="AF98" i="7"/>
  <c r="AF102" i="7"/>
  <c r="L380" i="7"/>
  <c r="L373" i="7"/>
  <c r="L366" i="7"/>
  <c r="L359" i="7"/>
  <c r="L381" i="7"/>
  <c r="L374" i="7"/>
  <c r="L367" i="7"/>
  <c r="L360" i="7"/>
  <c r="L376" i="7"/>
  <c r="L369" i="7"/>
  <c r="L362" i="7"/>
  <c r="L355" i="7"/>
  <c r="L379" i="7"/>
  <c r="L372" i="7"/>
  <c r="L365" i="7"/>
  <c r="L358" i="7"/>
  <c r="L378" i="7"/>
  <c r="L371" i="7"/>
  <c r="L364" i="7"/>
  <c r="L357" i="7"/>
  <c r="L377" i="7"/>
  <c r="L370" i="7"/>
  <c r="L363" i="7"/>
  <c r="L356" i="7"/>
  <c r="AF100" i="7"/>
  <c r="AF103" i="7"/>
  <c r="AF99" i="7"/>
  <c r="AH99" i="5"/>
  <c r="AI99" i="5" s="1"/>
  <c r="AH102" i="5"/>
  <c r="AI102" i="5" s="1"/>
  <c r="AH97" i="5"/>
  <c r="AI97" i="5" s="1"/>
  <c r="AH100" i="5"/>
  <c r="AI100" i="5" s="1"/>
  <c r="AH101" i="5"/>
  <c r="AI101" i="5" s="1"/>
  <c r="L356" i="4"/>
  <c r="L363" i="4"/>
  <c r="L370" i="4"/>
  <c r="L377" i="4"/>
  <c r="AF99" i="4"/>
  <c r="L359" i="4"/>
  <c r="L366" i="4"/>
  <c r="L373" i="4"/>
  <c r="L380" i="4"/>
  <c r="L357" i="4"/>
  <c r="L364" i="4"/>
  <c r="L371" i="4"/>
  <c r="L378" i="4"/>
  <c r="AF100" i="4"/>
  <c r="L360" i="4"/>
  <c r="L367" i="4"/>
  <c r="L374" i="4"/>
  <c r="L381" i="4"/>
  <c r="L358" i="4"/>
  <c r="L365" i="4"/>
  <c r="L372" i="4"/>
  <c r="L379" i="4"/>
  <c r="L355" i="4"/>
  <c r="L362" i="4"/>
  <c r="L369" i="4"/>
  <c r="L376" i="4"/>
  <c r="AF98" i="4"/>
  <c r="AF102" i="4"/>
  <c r="Y383" i="3"/>
  <c r="E382" i="3"/>
  <c r="Z383" i="3"/>
  <c r="G382" i="3"/>
  <c r="E377" i="2"/>
  <c r="AA378" i="2"/>
  <c r="G377" i="2"/>
  <c r="AS378" i="2"/>
  <c r="P382" i="7" l="1"/>
  <c r="U382" i="7"/>
  <c r="N375" i="7"/>
  <c r="M375" i="7"/>
  <c r="N382" i="7"/>
  <c r="M382" i="7"/>
  <c r="P375" i="7"/>
  <c r="U375" i="7"/>
  <c r="AF104" i="7"/>
  <c r="R382" i="7"/>
  <c r="S382" i="7"/>
  <c r="U368" i="7"/>
  <c r="N361" i="7"/>
  <c r="M361" i="7"/>
  <c r="S375" i="7"/>
  <c r="R375" i="7"/>
  <c r="N368" i="7"/>
  <c r="M368" i="7"/>
  <c r="U361" i="7"/>
  <c r="P361" i="7"/>
  <c r="P368" i="7"/>
  <c r="U381" i="7"/>
  <c r="M380" i="7"/>
  <c r="N380" i="7"/>
  <c r="U374" i="7"/>
  <c r="M373" i="7"/>
  <c r="N373" i="7"/>
  <c r="U367" i="7"/>
  <c r="M366" i="7"/>
  <c r="N366" i="7"/>
  <c r="N359" i="7"/>
  <c r="M359" i="7"/>
  <c r="U360" i="7"/>
  <c r="M381" i="7"/>
  <c r="N381" i="7"/>
  <c r="U376" i="7"/>
  <c r="M374" i="7"/>
  <c r="N374" i="7"/>
  <c r="U369" i="7"/>
  <c r="M367" i="7"/>
  <c r="N367" i="7"/>
  <c r="U362" i="7"/>
  <c r="M360" i="7"/>
  <c r="N360" i="7"/>
  <c r="U377" i="7"/>
  <c r="M376" i="7"/>
  <c r="N376" i="7"/>
  <c r="U370" i="7"/>
  <c r="M369" i="7"/>
  <c r="N369" i="7"/>
  <c r="U363" i="7"/>
  <c r="M362" i="7"/>
  <c r="N362" i="7"/>
  <c r="U355" i="7"/>
  <c r="P366" i="7"/>
  <c r="P365" i="7"/>
  <c r="P364" i="7"/>
  <c r="P356" i="7"/>
  <c r="P381" i="7"/>
  <c r="P367" i="7"/>
  <c r="P363" i="7"/>
  <c r="P362" i="7"/>
  <c r="P360" i="7"/>
  <c r="P359" i="7"/>
  <c r="P358" i="7"/>
  <c r="P357" i="7"/>
  <c r="P380" i="7"/>
  <c r="P379" i="7"/>
  <c r="P378" i="7"/>
  <c r="P377" i="7"/>
  <c r="P376" i="7"/>
  <c r="P374" i="7"/>
  <c r="P373" i="7"/>
  <c r="P371" i="7"/>
  <c r="P370" i="7"/>
  <c r="P372" i="7"/>
  <c r="P369" i="7"/>
  <c r="P355" i="7"/>
  <c r="N355" i="7"/>
  <c r="M355" i="7"/>
  <c r="U356" i="7"/>
  <c r="U380" i="7"/>
  <c r="M379" i="7"/>
  <c r="N379" i="7"/>
  <c r="N372" i="7"/>
  <c r="M372" i="7"/>
  <c r="U373" i="7"/>
  <c r="U366" i="7"/>
  <c r="N365" i="7"/>
  <c r="M365" i="7"/>
  <c r="N358" i="7"/>
  <c r="M358" i="7"/>
  <c r="U359" i="7"/>
  <c r="N378" i="7"/>
  <c r="M378" i="7"/>
  <c r="U379" i="7"/>
  <c r="U372" i="7"/>
  <c r="N371" i="7"/>
  <c r="M371" i="7"/>
  <c r="U365" i="7"/>
  <c r="M364" i="7"/>
  <c r="N364" i="7"/>
  <c r="N357" i="7"/>
  <c r="M357" i="7"/>
  <c r="U358" i="7"/>
  <c r="U378" i="7"/>
  <c r="M377" i="7"/>
  <c r="N377" i="7"/>
  <c r="U371" i="7"/>
  <c r="M370" i="7"/>
  <c r="N370" i="7"/>
  <c r="M363" i="7"/>
  <c r="N363" i="7"/>
  <c r="U364" i="7"/>
  <c r="M356" i="7"/>
  <c r="N356" i="7"/>
  <c r="U357" i="7"/>
  <c r="AJ97" i="5"/>
  <c r="P381" i="4"/>
  <c r="P380" i="4"/>
  <c r="P379" i="4"/>
  <c r="P378" i="4"/>
  <c r="P377" i="4"/>
  <c r="P376" i="4"/>
  <c r="P374" i="4"/>
  <c r="P373" i="4"/>
  <c r="P372" i="4"/>
  <c r="P371" i="4"/>
  <c r="P370" i="4"/>
  <c r="P369" i="4"/>
  <c r="P367" i="4"/>
  <c r="P366" i="4"/>
  <c r="P365" i="4"/>
  <c r="P364" i="4"/>
  <c r="P363" i="4"/>
  <c r="P362" i="4"/>
  <c r="P360" i="4"/>
  <c r="P359" i="4"/>
  <c r="P358" i="4"/>
  <c r="P357" i="4"/>
  <c r="P356" i="4"/>
  <c r="P355" i="4"/>
  <c r="N355" i="4"/>
  <c r="M355" i="4"/>
  <c r="U355" i="4"/>
  <c r="N381" i="4"/>
  <c r="M381" i="4"/>
  <c r="U381" i="4"/>
  <c r="N367" i="4"/>
  <c r="M367" i="4"/>
  <c r="U367" i="4"/>
  <c r="AF104" i="4"/>
  <c r="N360" i="4"/>
  <c r="M360" i="4"/>
  <c r="U360" i="4"/>
  <c r="N378" i="4"/>
  <c r="M378" i="4"/>
  <c r="U378" i="4"/>
  <c r="M371" i="4"/>
  <c r="N371" i="4"/>
  <c r="U371" i="4"/>
  <c r="N364" i="4"/>
  <c r="M364" i="4"/>
  <c r="U364" i="4"/>
  <c r="N376" i="4"/>
  <c r="M376" i="4"/>
  <c r="U376" i="4"/>
  <c r="N357" i="4"/>
  <c r="M357" i="4"/>
  <c r="U357" i="4"/>
  <c r="N380" i="4"/>
  <c r="M380" i="4"/>
  <c r="U380" i="4"/>
  <c r="M373" i="4"/>
  <c r="N373" i="4"/>
  <c r="U373" i="4"/>
  <c r="N366" i="4"/>
  <c r="M366" i="4"/>
  <c r="U366" i="4"/>
  <c r="N359" i="4"/>
  <c r="M359" i="4"/>
  <c r="U359" i="4"/>
  <c r="N362" i="4"/>
  <c r="M362" i="4"/>
  <c r="U362" i="4"/>
  <c r="N372" i="4"/>
  <c r="M372" i="4"/>
  <c r="U372" i="4"/>
  <c r="N369" i="4"/>
  <c r="M369" i="4"/>
  <c r="U369" i="4"/>
  <c r="N379" i="4"/>
  <c r="M379" i="4"/>
  <c r="U379" i="4"/>
  <c r="N377" i="4"/>
  <c r="M377" i="4"/>
  <c r="U377" i="4"/>
  <c r="N358" i="4"/>
  <c r="M358" i="4"/>
  <c r="U358" i="4"/>
  <c r="N370" i="4"/>
  <c r="M370" i="4"/>
  <c r="U370" i="4"/>
  <c r="N365" i="4"/>
  <c r="M365" i="4"/>
  <c r="U365" i="4"/>
  <c r="N363" i="4"/>
  <c r="M363" i="4"/>
  <c r="U363" i="4"/>
  <c r="N374" i="4"/>
  <c r="M374" i="4"/>
  <c r="U374" i="4"/>
  <c r="N356" i="4"/>
  <c r="M356" i="4"/>
  <c r="U356" i="4"/>
  <c r="Z384" i="3"/>
  <c r="G383" i="3"/>
  <c r="Y384" i="3"/>
  <c r="E383" i="3"/>
  <c r="E378" i="2"/>
  <c r="AA379" i="2"/>
  <c r="G378" i="2"/>
  <c r="AS379" i="2"/>
  <c r="R361" i="7" l="1"/>
  <c r="S361" i="7"/>
  <c r="W375" i="7"/>
  <c r="X375" i="7"/>
  <c r="X368" i="7"/>
  <c r="W368" i="7"/>
  <c r="W382" i="7"/>
  <c r="X382" i="7"/>
  <c r="X361" i="7"/>
  <c r="W361" i="7"/>
  <c r="S368" i="7"/>
  <c r="R368" i="7"/>
  <c r="X381" i="7"/>
  <c r="W381" i="7"/>
  <c r="W374" i="7"/>
  <c r="X374" i="7"/>
  <c r="W367" i="7"/>
  <c r="X367" i="7"/>
  <c r="W360" i="7"/>
  <c r="X360" i="7"/>
  <c r="W376" i="7"/>
  <c r="X376" i="7"/>
  <c r="X369" i="7"/>
  <c r="W369" i="7"/>
  <c r="X362" i="7"/>
  <c r="W362" i="7"/>
  <c r="W377" i="7"/>
  <c r="X377" i="7"/>
  <c r="W370" i="7"/>
  <c r="X370" i="7"/>
  <c r="W363" i="7"/>
  <c r="X363" i="7"/>
  <c r="X355" i="7"/>
  <c r="W355" i="7"/>
  <c r="R366" i="7"/>
  <c r="S366" i="7"/>
  <c r="S365" i="7"/>
  <c r="R365" i="7"/>
  <c r="S364" i="7"/>
  <c r="R364" i="7"/>
  <c r="S356" i="7"/>
  <c r="R356" i="7"/>
  <c r="R381" i="7"/>
  <c r="S381" i="7"/>
  <c r="R367" i="7"/>
  <c r="S367" i="7"/>
  <c r="R363" i="7"/>
  <c r="S363" i="7"/>
  <c r="R362" i="7"/>
  <c r="S362" i="7"/>
  <c r="R360" i="7"/>
  <c r="S360" i="7"/>
  <c r="S359" i="7"/>
  <c r="R359" i="7"/>
  <c r="S358" i="7"/>
  <c r="R358" i="7"/>
  <c r="S357" i="7"/>
  <c r="R357" i="7"/>
  <c r="R380" i="7"/>
  <c r="S380" i="7"/>
  <c r="R379" i="7"/>
  <c r="S379" i="7"/>
  <c r="R378" i="7"/>
  <c r="S378" i="7"/>
  <c r="R377" i="7"/>
  <c r="S377" i="7"/>
  <c r="R376" i="7"/>
  <c r="S376" i="7"/>
  <c r="R374" i="7"/>
  <c r="S374" i="7"/>
  <c r="R373" i="7"/>
  <c r="S373" i="7"/>
  <c r="R371" i="7"/>
  <c r="S371" i="7"/>
  <c r="S370" i="7"/>
  <c r="R370" i="7"/>
  <c r="R372" i="7"/>
  <c r="S372" i="7"/>
  <c r="R369" i="7"/>
  <c r="S369" i="7"/>
  <c r="R355" i="7"/>
  <c r="S355" i="7"/>
  <c r="X356" i="7"/>
  <c r="W356" i="7"/>
  <c r="W380" i="7"/>
  <c r="X380" i="7"/>
  <c r="W373" i="7"/>
  <c r="X373" i="7"/>
  <c r="X366" i="7"/>
  <c r="W366" i="7"/>
  <c r="W359" i="7"/>
  <c r="X359" i="7"/>
  <c r="W379" i="7"/>
  <c r="X379" i="7"/>
  <c r="W372" i="7"/>
  <c r="X372" i="7"/>
  <c r="X365" i="7"/>
  <c r="W365" i="7"/>
  <c r="X358" i="7"/>
  <c r="W358" i="7"/>
  <c r="W378" i="7"/>
  <c r="X378" i="7"/>
  <c r="W371" i="7"/>
  <c r="X371" i="7"/>
  <c r="W364" i="7"/>
  <c r="X364" i="7"/>
  <c r="X357" i="7"/>
  <c r="W357" i="7"/>
  <c r="X374" i="4"/>
  <c r="W374" i="4"/>
  <c r="S366" i="4"/>
  <c r="R366" i="4"/>
  <c r="S369" i="4"/>
  <c r="R369" i="4"/>
  <c r="R364" i="4"/>
  <c r="S364" i="4"/>
  <c r="R365" i="4"/>
  <c r="S365" i="4"/>
  <c r="S367" i="4"/>
  <c r="R367" i="4"/>
  <c r="S370" i="4"/>
  <c r="R370" i="4"/>
  <c r="S371" i="4"/>
  <c r="R371" i="4"/>
  <c r="S372" i="4"/>
  <c r="R372" i="4"/>
  <c r="X364" i="4"/>
  <c r="W364" i="4"/>
  <c r="W371" i="4"/>
  <c r="X371" i="4"/>
  <c r="X378" i="4"/>
  <c r="W378" i="4"/>
  <c r="S355" i="4"/>
  <c r="R355" i="4"/>
  <c r="S373" i="4"/>
  <c r="R373" i="4"/>
  <c r="X380" i="4"/>
  <c r="W380" i="4"/>
  <c r="S356" i="4"/>
  <c r="R356" i="4"/>
  <c r="S374" i="4"/>
  <c r="R374" i="4"/>
  <c r="X372" i="4"/>
  <c r="W372" i="4"/>
  <c r="S357" i="4"/>
  <c r="R357" i="4"/>
  <c r="S376" i="4"/>
  <c r="R376" i="4"/>
  <c r="W366" i="4"/>
  <c r="X366" i="4"/>
  <c r="X365" i="4"/>
  <c r="W365" i="4"/>
  <c r="W360" i="4"/>
  <c r="X360" i="4"/>
  <c r="S358" i="4"/>
  <c r="R358" i="4"/>
  <c r="S377" i="4"/>
  <c r="R377" i="4"/>
  <c r="X379" i="4"/>
  <c r="W379" i="4"/>
  <c r="X369" i="4"/>
  <c r="W369" i="4"/>
  <c r="X357" i="4"/>
  <c r="W357" i="4"/>
  <c r="R359" i="4"/>
  <c r="S359" i="4"/>
  <c r="R378" i="4"/>
  <c r="S378" i="4"/>
  <c r="X359" i="4"/>
  <c r="W359" i="4"/>
  <c r="W355" i="4"/>
  <c r="X355" i="4"/>
  <c r="W370" i="4"/>
  <c r="X370" i="4"/>
  <c r="X362" i="4"/>
  <c r="W362" i="4"/>
  <c r="S360" i="4"/>
  <c r="R360" i="4"/>
  <c r="R379" i="4"/>
  <c r="S379" i="4"/>
  <c r="X377" i="4"/>
  <c r="W377" i="4"/>
  <c r="W363" i="4"/>
  <c r="X363" i="4"/>
  <c r="W373" i="4"/>
  <c r="X373" i="4"/>
  <c r="X358" i="4"/>
  <c r="W358" i="4"/>
  <c r="R362" i="4"/>
  <c r="S362" i="4"/>
  <c r="R380" i="4"/>
  <c r="S380" i="4"/>
  <c r="X381" i="4"/>
  <c r="W381" i="4"/>
  <c r="X356" i="4"/>
  <c r="W356" i="4"/>
  <c r="X376" i="4"/>
  <c r="W376" i="4"/>
  <c r="X367" i="4"/>
  <c r="W367" i="4"/>
  <c r="S363" i="4"/>
  <c r="R363" i="4"/>
  <c r="R381" i="4"/>
  <c r="S381" i="4"/>
  <c r="Y385" i="3"/>
  <c r="E385" i="3" s="1"/>
  <c r="E384" i="3"/>
  <c r="Z385" i="3"/>
  <c r="G385" i="3" s="1"/>
  <c r="G384" i="3"/>
  <c r="E379" i="2"/>
  <c r="AA380" i="2"/>
  <c r="G379" i="2"/>
  <c r="AS380" i="2"/>
  <c r="AD101" i="3" l="1"/>
  <c r="AD104" i="3"/>
  <c r="AE104" i="3" s="1"/>
  <c r="AD102" i="3"/>
  <c r="AD100" i="3"/>
  <c r="AD99" i="3"/>
  <c r="AC103" i="3"/>
  <c r="AC98" i="3"/>
  <c r="AD103" i="3"/>
  <c r="AC104" i="3"/>
  <c r="AC102" i="3"/>
  <c r="AC99" i="3"/>
  <c r="AC101" i="3"/>
  <c r="AD98" i="3"/>
  <c r="AC100" i="3"/>
  <c r="E380" i="2"/>
  <c r="AA381" i="2"/>
  <c r="AS381" i="2"/>
  <c r="G380" i="2"/>
  <c r="AE103" i="3" l="1"/>
  <c r="AE99" i="3"/>
  <c r="AE100" i="3"/>
  <c r="AE102" i="3"/>
  <c r="AE98" i="3"/>
  <c r="AE101" i="3"/>
  <c r="G381" i="2"/>
  <c r="AS382" i="2"/>
  <c r="E381" i="2"/>
  <c r="AA382" i="2"/>
  <c r="L372" i="3" l="1"/>
  <c r="L358" i="3"/>
  <c r="L379" i="3"/>
  <c r="L365" i="3"/>
  <c r="L370" i="3"/>
  <c r="L377" i="3"/>
  <c r="L363" i="3"/>
  <c r="L356" i="3"/>
  <c r="L369" i="3"/>
  <c r="L355" i="3"/>
  <c r="L376" i="3"/>
  <c r="L362" i="3"/>
  <c r="L373" i="3"/>
  <c r="L359" i="3"/>
  <c r="L380" i="3"/>
  <c r="L366" i="3"/>
  <c r="L357" i="3"/>
  <c r="L378" i="3"/>
  <c r="L371" i="3"/>
  <c r="L364" i="3"/>
  <c r="L374" i="3"/>
  <c r="L360" i="3"/>
  <c r="L381" i="3"/>
  <c r="L367" i="3"/>
  <c r="AF101" i="3"/>
  <c r="AF98" i="3"/>
  <c r="AF102" i="3"/>
  <c r="AF100" i="3"/>
  <c r="AF99" i="3"/>
  <c r="AF103" i="3"/>
  <c r="E382" i="2"/>
  <c r="AA383" i="2"/>
  <c r="G382" i="2"/>
  <c r="AS383" i="2"/>
  <c r="AF104" i="3" l="1"/>
  <c r="M356" i="3"/>
  <c r="N356" i="3"/>
  <c r="N362" i="3"/>
  <c r="M362" i="3"/>
  <c r="M359" i="3"/>
  <c r="N359" i="3"/>
  <c r="M370" i="3"/>
  <c r="N370" i="3"/>
  <c r="P381" i="3"/>
  <c r="P372" i="3"/>
  <c r="P363" i="3"/>
  <c r="N355" i="3"/>
  <c r="P380" i="3"/>
  <c r="P371" i="3"/>
  <c r="P362" i="3"/>
  <c r="M355" i="3"/>
  <c r="P379" i="3"/>
  <c r="P370" i="3"/>
  <c r="P360" i="3"/>
  <c r="P378" i="3"/>
  <c r="P369" i="3"/>
  <c r="P359" i="3"/>
  <c r="P377" i="3"/>
  <c r="P367" i="3"/>
  <c r="P358" i="3"/>
  <c r="P376" i="3"/>
  <c r="P366" i="3"/>
  <c r="P357" i="3"/>
  <c r="P374" i="3"/>
  <c r="P365" i="3"/>
  <c r="P356" i="3"/>
  <c r="P373" i="3"/>
  <c r="P364" i="3"/>
  <c r="P355" i="3"/>
  <c r="U377" i="3"/>
  <c r="U359" i="3"/>
  <c r="U365" i="3"/>
  <c r="U366" i="3"/>
  <c r="U357" i="3"/>
  <c r="U369" i="3"/>
  <c r="U356" i="3"/>
  <c r="U379" i="3"/>
  <c r="U374" i="3"/>
  <c r="U373" i="3"/>
  <c r="U381" i="3"/>
  <c r="U380" i="3"/>
  <c r="U372" i="3"/>
  <c r="U355" i="3"/>
  <c r="U376" i="3"/>
  <c r="U378" i="3"/>
  <c r="U371" i="3"/>
  <c r="U367" i="3"/>
  <c r="U363" i="3"/>
  <c r="U364" i="3"/>
  <c r="U362" i="3"/>
  <c r="U358" i="3"/>
  <c r="U370" i="3"/>
  <c r="U360" i="3"/>
  <c r="N380" i="3"/>
  <c r="M380" i="3"/>
  <c r="N374" i="3"/>
  <c r="M374" i="3"/>
  <c r="N373" i="3"/>
  <c r="M373" i="3"/>
  <c r="N364" i="3"/>
  <c r="M364" i="3"/>
  <c r="N379" i="3"/>
  <c r="M379" i="3"/>
  <c r="N357" i="3"/>
  <c r="M357" i="3"/>
  <c r="M376" i="3"/>
  <c r="N376" i="3"/>
  <c r="N377" i="3"/>
  <c r="M377" i="3"/>
  <c r="M381" i="3"/>
  <c r="N381" i="3"/>
  <c r="N358" i="3"/>
  <c r="M358" i="3"/>
  <c r="M367" i="3"/>
  <c r="N367" i="3"/>
  <c r="N366" i="3"/>
  <c r="M366" i="3"/>
  <c r="N360" i="3"/>
  <c r="M360" i="3"/>
  <c r="M372" i="3"/>
  <c r="N372" i="3"/>
  <c r="N378" i="3"/>
  <c r="M378" i="3"/>
  <c r="N365" i="3"/>
  <c r="M365" i="3"/>
  <c r="N363" i="3"/>
  <c r="M363" i="3"/>
  <c r="N371" i="3"/>
  <c r="M371" i="3"/>
  <c r="N369" i="3"/>
  <c r="M369" i="3"/>
  <c r="E383" i="2"/>
  <c r="AA384" i="2"/>
  <c r="AS384" i="2"/>
  <c r="G383" i="2"/>
  <c r="W358" i="3" l="1"/>
  <c r="X358" i="3"/>
  <c r="X362" i="3"/>
  <c r="W362" i="3"/>
  <c r="X364" i="3"/>
  <c r="W364" i="3"/>
  <c r="X381" i="3"/>
  <c r="W381" i="3"/>
  <c r="S374" i="3"/>
  <c r="R374" i="3"/>
  <c r="R380" i="3"/>
  <c r="S380" i="3"/>
  <c r="W359" i="3"/>
  <c r="X359" i="3"/>
  <c r="S357" i="3"/>
  <c r="R357" i="3"/>
  <c r="R378" i="3"/>
  <c r="S378" i="3"/>
  <c r="W372" i="3"/>
  <c r="X372" i="3"/>
  <c r="W380" i="3"/>
  <c r="X380" i="3"/>
  <c r="S365" i="3"/>
  <c r="R365" i="3"/>
  <c r="W365" i="3"/>
  <c r="X365" i="3"/>
  <c r="S369" i="3"/>
  <c r="R369" i="3"/>
  <c r="X371" i="3"/>
  <c r="W371" i="3"/>
  <c r="W374" i="3"/>
  <c r="X374" i="3"/>
  <c r="X377" i="3"/>
  <c r="W377" i="3"/>
  <c r="R366" i="3"/>
  <c r="S366" i="3"/>
  <c r="R360" i="3"/>
  <c r="S360" i="3"/>
  <c r="S363" i="3"/>
  <c r="R363" i="3"/>
  <c r="W355" i="3"/>
  <c r="X355" i="3"/>
  <c r="W357" i="3"/>
  <c r="X357" i="3"/>
  <c r="S377" i="3"/>
  <c r="R377" i="3"/>
  <c r="S362" i="3"/>
  <c r="R362" i="3"/>
  <c r="W363" i="3"/>
  <c r="X363" i="3"/>
  <c r="X367" i="3"/>
  <c r="W367" i="3"/>
  <c r="X360" i="3"/>
  <c r="W360" i="3"/>
  <c r="W378" i="3"/>
  <c r="X378" i="3"/>
  <c r="X379" i="3"/>
  <c r="W379" i="3"/>
  <c r="R355" i="3"/>
  <c r="S355" i="3"/>
  <c r="S376" i="3"/>
  <c r="R376" i="3"/>
  <c r="S370" i="3"/>
  <c r="R370" i="3"/>
  <c r="R372" i="3"/>
  <c r="S372" i="3"/>
  <c r="W369" i="3"/>
  <c r="X369" i="3"/>
  <c r="S373" i="3"/>
  <c r="R373" i="3"/>
  <c r="S367" i="3"/>
  <c r="R367" i="3"/>
  <c r="S356" i="3"/>
  <c r="R356" i="3"/>
  <c r="W366" i="3"/>
  <c r="X366" i="3"/>
  <c r="R359" i="3"/>
  <c r="S359" i="3"/>
  <c r="R371" i="3"/>
  <c r="S371" i="3"/>
  <c r="X373" i="3"/>
  <c r="W373" i="3"/>
  <c r="W370" i="3"/>
  <c r="X370" i="3"/>
  <c r="W376" i="3"/>
  <c r="X376" i="3"/>
  <c r="W356" i="3"/>
  <c r="X356" i="3"/>
  <c r="S364" i="3"/>
  <c r="R364" i="3"/>
  <c r="R358" i="3"/>
  <c r="S358" i="3"/>
  <c r="S379" i="3"/>
  <c r="R379" i="3"/>
  <c r="S381" i="3"/>
  <c r="R381" i="3"/>
  <c r="AS385" i="2"/>
  <c r="G385" i="2" s="1"/>
  <c r="G384" i="2"/>
  <c r="AA385" i="2"/>
  <c r="E385" i="2" s="1"/>
  <c r="E384" i="2"/>
  <c r="AF101" i="2" l="1"/>
  <c r="AF100" i="2"/>
  <c r="AF97" i="2"/>
  <c r="AF99" i="2"/>
  <c r="AE103" i="2"/>
  <c r="AE99" i="2"/>
  <c r="AE101" i="2"/>
  <c r="AH101" i="2" s="1"/>
  <c r="AE97" i="2"/>
  <c r="AE98" i="2"/>
  <c r="AF103" i="2"/>
  <c r="AE100" i="2"/>
  <c r="AE102" i="2"/>
  <c r="AF102" i="2"/>
  <c r="AF98" i="2"/>
  <c r="C30" i="1"/>
  <c r="C20" i="1"/>
  <c r="C29" i="1"/>
  <c r="C24" i="1"/>
  <c r="C19" i="1"/>
  <c r="AH99" i="2" l="1"/>
  <c r="AH100" i="2"/>
  <c r="AH97" i="2"/>
  <c r="AH102" i="2"/>
  <c r="AH98" i="2"/>
  <c r="AH10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6F0394BC-5C96-1D42-8C0B-6B7B953F8FF2}">
      <text>
        <r>
          <rPr>
            <sz val="10"/>
            <color rgb="FF000000"/>
            <rFont val="Arial"/>
            <family val="2"/>
          </rPr>
          <t>年間目標売上を年間営業日数で割った額に月次の営業日数を掛けた額</t>
        </r>
      </text>
    </comment>
    <comment ref="M6" authorId="0" shapeId="0" xr:uid="{E083CC5F-8B17-504F-A249-68C6FD85F4A4}">
      <text>
        <r>
          <rPr>
            <sz val="10"/>
            <color rgb="FF000000"/>
            <rFont val="Arial"/>
            <family val="2"/>
          </rPr>
          <t>実質の月間売上額</t>
        </r>
      </text>
    </comment>
    <comment ref="N6" authorId="0" shapeId="0" xr:uid="{BAA74064-969B-5248-A780-997CCE4BA41E}">
      <text>
        <r>
          <rPr>
            <sz val="10"/>
            <color rgb="FF000000"/>
            <rFont val="Arial"/>
            <family val="2"/>
          </rPr>
          <t>実質の月間の売上合計額から、月次の目標金額を差し引いた額</t>
        </r>
      </text>
    </comment>
    <comment ref="P6" authorId="0" shapeId="0" xr:uid="{4E130F90-BD25-9F48-B351-04890EBACC80}">
      <text>
        <r>
          <rPr>
            <sz val="10"/>
            <color rgb="FF000000"/>
            <rFont val="Arial"/>
            <family val="2"/>
          </rPr>
          <t>平均月間売上目標額からのパーセンテージ</t>
        </r>
      </text>
    </comment>
    <comment ref="Q6" authorId="0" shapeId="0" xr:uid="{A45722EB-BAEF-4044-9932-FDFBCC35A540}">
      <text>
        <r>
          <rPr>
            <sz val="10"/>
            <color rgb="FF000000"/>
            <rFont val="Arial"/>
            <family val="2"/>
          </rPr>
          <t>目標月間売上目標額からのパーセンテージ</t>
        </r>
      </text>
    </comment>
    <comment ref="B8" authorId="0" shapeId="0" xr:uid="{BBE3F48C-12ED-7741-875C-C67A606F56E5}">
      <text>
        <r>
          <rPr>
            <sz val="10"/>
            <color rgb="FF000000"/>
            <rFont val="Arial"/>
            <family val="2"/>
          </rPr>
          <t>年間目標売上額を年間営業日数で割った額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7C15ED9-EB75-4446-AB92-5ABFB41F3122}">
      <text>
        <r>
          <rPr>
            <sz val="10"/>
            <color rgb="FF000000"/>
            <rFont val="Arial"/>
            <family val="2"/>
          </rPr>
          <t>年間目標売上を年間営業日数で割った額に月次の営業日数を掛けた額</t>
        </r>
      </text>
    </comment>
    <comment ref="M6" authorId="0" shapeId="0" xr:uid="{AFF57AC3-E7E4-2845-811D-A4645420C3D3}">
      <text>
        <r>
          <rPr>
            <sz val="10"/>
            <color rgb="FF000000"/>
            <rFont val="Arial"/>
            <family val="2"/>
          </rPr>
          <t>実質の月間売上額</t>
        </r>
      </text>
    </comment>
    <comment ref="N6" authorId="0" shapeId="0" xr:uid="{B254442C-6E2D-7B4E-A927-CC7CC6045F19}">
      <text>
        <r>
          <rPr>
            <sz val="10"/>
            <color rgb="FF000000"/>
            <rFont val="Arial"/>
            <family val="2"/>
          </rPr>
          <t>実質の月間の売上合計額から、月次の目標金額を差し引いた額</t>
        </r>
      </text>
    </comment>
    <comment ref="P6" authorId="0" shapeId="0" xr:uid="{74F241E9-7A2D-9D4D-A6DB-27B4F2A728CA}">
      <text>
        <r>
          <rPr>
            <sz val="10"/>
            <color rgb="FF000000"/>
            <rFont val="Arial"/>
            <family val="2"/>
          </rPr>
          <t>平均月間売上目標額からのパーセンテージ</t>
        </r>
      </text>
    </comment>
    <comment ref="Q6" authorId="0" shapeId="0" xr:uid="{D8324899-896E-CE4E-A9D1-8E292C4A97A2}">
      <text>
        <r>
          <rPr>
            <sz val="10"/>
            <color rgb="FF000000"/>
            <rFont val="Arial"/>
            <family val="2"/>
          </rPr>
          <t>目標月間売上目標額からのパーセンテージ</t>
        </r>
      </text>
    </comment>
    <comment ref="B8" authorId="0" shapeId="0" xr:uid="{6CF1E2CB-9626-4340-B78F-41FA594DDCBD}">
      <text>
        <r>
          <rPr>
            <sz val="10"/>
            <color rgb="FF000000"/>
            <rFont val="Arial"/>
            <family val="2"/>
          </rPr>
          <t>年間目標売上額を年間営業日数で割った額</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8FE0CCD6-8189-9F46-8F04-46907D3B01F3}">
      <text>
        <r>
          <rPr>
            <sz val="10"/>
            <color rgb="FF000000"/>
            <rFont val="Arial"/>
            <family val="2"/>
          </rPr>
          <t>年間目標売上を年間営業日数で割った額に月次の営業日数を掛けた額</t>
        </r>
      </text>
    </comment>
    <comment ref="M6" authorId="0" shapeId="0" xr:uid="{814FE38E-CCDB-4847-B27D-0784EA0937E6}">
      <text>
        <r>
          <rPr>
            <sz val="10"/>
            <color rgb="FF000000"/>
            <rFont val="Arial"/>
            <family val="2"/>
          </rPr>
          <t>実質の月間売上額</t>
        </r>
      </text>
    </comment>
    <comment ref="N6" authorId="0" shapeId="0" xr:uid="{12EC23F4-E42D-0C46-B56D-C251DEE0596E}">
      <text>
        <r>
          <rPr>
            <sz val="10"/>
            <color rgb="FF000000"/>
            <rFont val="Arial"/>
            <family val="2"/>
          </rPr>
          <t>実質の月間の売上合計額から、月次の目標金額を差し引いた額</t>
        </r>
      </text>
    </comment>
    <comment ref="P6" authorId="0" shapeId="0" xr:uid="{C292FE0A-8E81-E242-92C9-D978120F4FB8}">
      <text>
        <r>
          <rPr>
            <sz val="10"/>
            <color rgb="FF000000"/>
            <rFont val="Arial"/>
            <family val="2"/>
          </rPr>
          <t>平均月間売上目標額からのパーセンテージ</t>
        </r>
      </text>
    </comment>
    <comment ref="Q6" authorId="0" shapeId="0" xr:uid="{C69CF847-4868-414E-A42C-122568A17AC4}">
      <text>
        <r>
          <rPr>
            <sz val="10"/>
            <color rgb="FF000000"/>
            <rFont val="Arial"/>
            <family val="2"/>
          </rPr>
          <t>目標月間売上目標額からのパーセンテージ</t>
        </r>
      </text>
    </comment>
    <comment ref="B8" authorId="0" shapeId="0" xr:uid="{506D3496-39FC-FD4B-9010-A15C1AA20509}">
      <text>
        <r>
          <rPr>
            <sz val="10"/>
            <color rgb="FF000000"/>
            <rFont val="Arial"/>
            <family val="2"/>
          </rPr>
          <t>年間目標売上額を年間営業日数で割った額</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<sst xmlns="http://schemas.openxmlformats.org/spreadsheetml/2006/main" count="1149" uniqueCount="237">
  <si>
    <t>売上</t>
    <rPh sb="0" eb="2">
      <t xml:space="preserve">ウリアゲ </t>
    </rPh>
    <phoneticPr fontId="2"/>
  </si>
  <si>
    <t>ぼんぼり</t>
    <phoneticPr fontId="2"/>
  </si>
  <si>
    <t>目標売上</t>
  </si>
  <si>
    <t>目標売上</t>
    <rPh sb="0" eb="2">
      <t xml:space="preserve">モクヒョウ </t>
    </rPh>
    <rPh sb="2" eb="4">
      <t xml:space="preserve">ウリアゲ </t>
    </rPh>
    <phoneticPr fontId="2"/>
  </si>
  <si>
    <t>差額</t>
    <rPh sb="0" eb="2">
      <t xml:space="preserve">サガク </t>
    </rPh>
    <phoneticPr fontId="2"/>
  </si>
  <si>
    <t>達成率</t>
    <rPh sb="0" eb="3">
      <t xml:space="preserve">タッセイリツ </t>
    </rPh>
    <phoneticPr fontId="2"/>
  </si>
  <si>
    <t>月次</t>
    <rPh sb="0" eb="2">
      <t xml:space="preserve">ゲツジ </t>
    </rPh>
    <phoneticPr fontId="2"/>
  </si>
  <si>
    <t>累積売上</t>
    <rPh sb="0" eb="4">
      <t xml:space="preserve">ルイセキウリアゲ </t>
    </rPh>
    <phoneticPr fontId="2"/>
  </si>
  <si>
    <t>累積目標売上</t>
    <rPh sb="0" eb="1">
      <t xml:space="preserve">ルイセキ </t>
    </rPh>
    <rPh sb="2" eb="4">
      <t xml:space="preserve">モクヒョウ </t>
    </rPh>
    <rPh sb="4" eb="6">
      <t xml:space="preserve">ウリアゲ </t>
    </rPh>
    <phoneticPr fontId="2"/>
  </si>
  <si>
    <t>年次</t>
    <rPh sb="0" eb="2">
      <t xml:space="preserve">ネンジ </t>
    </rPh>
    <phoneticPr fontId="2"/>
  </si>
  <si>
    <t>日次</t>
    <rPh sb="0" eb="2">
      <t xml:space="preserve">ニチジ </t>
    </rPh>
    <phoneticPr fontId="2"/>
  </si>
  <si>
    <t>月次目標売上</t>
  </si>
  <si>
    <t>年次目標売上</t>
  </si>
  <si>
    <t>年次目標売上</t>
    <rPh sb="0" eb="2">
      <t xml:space="preserve">ネンジ </t>
    </rPh>
    <rPh sb="2" eb="4">
      <t xml:space="preserve">モクヒョウ </t>
    </rPh>
    <rPh sb="4" eb="6">
      <t xml:space="preserve">ウリアゲ </t>
    </rPh>
    <phoneticPr fontId="2"/>
  </si>
  <si>
    <t>当月残営業日</t>
    <rPh sb="0" eb="2">
      <t xml:space="preserve">トウゲツ </t>
    </rPh>
    <rPh sb="3" eb="6">
      <t xml:space="preserve">エイギョウビ </t>
    </rPh>
    <phoneticPr fontId="2"/>
  </si>
  <si>
    <t>目標達成までの残額</t>
    <rPh sb="0" eb="2">
      <t xml:space="preserve">モクヒョウ </t>
    </rPh>
    <rPh sb="2" eb="4">
      <t xml:space="preserve">タッセイ </t>
    </rPh>
    <rPh sb="7" eb="9">
      <t xml:space="preserve">ザンガク </t>
    </rPh>
    <phoneticPr fontId="2"/>
  </si>
  <si>
    <t>月次目標売上</t>
    <rPh sb="0" eb="1">
      <t xml:space="preserve">ゲツ </t>
    </rPh>
    <rPh sb="1" eb="2">
      <t xml:space="preserve">ゲツジ </t>
    </rPh>
    <rPh sb="2" eb="4">
      <t xml:space="preserve">モクヒョウ </t>
    </rPh>
    <rPh sb="4" eb="6">
      <t xml:space="preserve">ウリアゲ </t>
    </rPh>
    <phoneticPr fontId="2"/>
  </si>
  <si>
    <t>月</t>
  </si>
  <si>
    <t>傾向分析</t>
  </si>
  <si>
    <t>1月</t>
  </si>
  <si>
    <t>A: 月初・末が強い（中旬落ち）</t>
  </si>
  <si>
    <t>2月</t>
  </si>
  <si>
    <t>B: 月末にかけて上がる</t>
  </si>
  <si>
    <t>3月</t>
  </si>
  <si>
    <t>B: 同様に右肩上がり傾向</t>
  </si>
  <si>
    <t>4月</t>
  </si>
  <si>
    <t>A: 月初も末も強く安定感あり</t>
  </si>
  <si>
    <t>5月</t>
  </si>
  <si>
    <t>B: 徐々に上がる</t>
  </si>
  <si>
    <t>分類</t>
  </si>
  <si>
    <t>説明</t>
  </si>
  <si>
    <t>A: 初・末が強い</t>
  </si>
  <si>
    <t>月初・月末の売上が高く、中旬が落ちるパターン</t>
  </si>
  <si>
    <t>月初が弱く、末に向かって売上が上がる</t>
  </si>
  <si>
    <t>C: 平均的 or 中旬強い</t>
  </si>
  <si>
    <t>大きな偏りがない or 中旬が強いパターン</t>
  </si>
  <si>
    <t>曜日</t>
  </si>
  <si>
    <t>出現回数</t>
  </si>
  <si>
    <t>加重比率</t>
  </si>
  <si>
    <t>曜日別割当額</t>
  </si>
  <si>
    <t>1日あたり目標</t>
  </si>
  <si>
    <t>合計</t>
  </si>
  <si>
    <t>—</t>
  </si>
  <si>
    <r>
      <t>¥7,500,000</t>
    </r>
    <r>
      <rPr>
        <sz val="12"/>
        <color theme="1"/>
        <rFont val="メイリオ"/>
        <family val="2"/>
        <charset val="128"/>
      </rPr>
      <t xml:space="preserve"> ✔</t>
    </r>
  </si>
  <si>
    <t>大晦日</t>
  </si>
  <si>
    <t>休み</t>
  </si>
  <si>
    <t>日曜日</t>
  </si>
  <si>
    <t>祝日</t>
  </si>
  <si>
    <t>元旦</t>
  </si>
  <si>
    <t>年次実質%</t>
  </si>
  <si>
    <t>年次差額(勝率)</t>
  </si>
  <si>
    <t>年次実質売上</t>
  </si>
  <si>
    <t>月次実質%</t>
  </si>
  <si>
    <t>月次差額(勝率)</t>
  </si>
  <si>
    <t>月次実質売上</t>
  </si>
  <si>
    <t>実質%</t>
  </si>
  <si>
    <t>日次実質売上</t>
  </si>
  <si>
    <t>目標売上 KPI</t>
  </si>
  <si>
    <t>Daily売上入力</t>
  </si>
  <si>
    <t>休店日理由</t>
  </si>
  <si>
    <t>日程</t>
  </si>
  <si>
    <t>12月</t>
  </si>
  <si>
    <t>11月</t>
  </si>
  <si>
    <t>10月</t>
  </si>
  <si>
    <t>9 月</t>
  </si>
  <si>
    <t>Party 5500</t>
    <phoneticPr fontId="15"/>
  </si>
  <si>
    <t>8月</t>
  </si>
  <si>
    <t>ディナー</t>
  </si>
  <si>
    <t>7月</t>
  </si>
  <si>
    <t>ランチ</t>
  </si>
  <si>
    <t>6月</t>
  </si>
  <si>
    <t>仮1日の売上小計</t>
  </si>
  <si>
    <t>集客数</t>
  </si>
  <si>
    <t>仮客単価</t>
  </si>
  <si>
    <t>項目</t>
  </si>
  <si>
    <t>仮1日売上総合計</t>
  </si>
  <si>
    <t>差額</t>
    <rPh sb="0" eb="2">
      <t xml:space="preserve">サガク </t>
    </rPh>
    <phoneticPr fontId="15"/>
  </si>
  <si>
    <t>¥233564</t>
  </si>
  <si>
    <t>② ÷ ①</t>
  </si>
  <si>
    <t>1日の売上目標値
 参考例</t>
  </si>
  <si>
    <t>月間差額</t>
  </si>
  <si>
    <t>月次売上</t>
  </si>
  <si>
    <t>日次目標売上</t>
    <rPh sb="2" eb="4">
      <t xml:space="preserve">モクヒョウ </t>
    </rPh>
    <rPh sb="4" eb="6">
      <t xml:space="preserve">ウリアゲ </t>
    </rPh>
    <phoneticPr fontId="15"/>
  </si>
  <si>
    <t>月次目標売上</t>
    <rPh sb="2" eb="4">
      <t xml:space="preserve">モクヒョウ </t>
    </rPh>
    <rPh sb="4" eb="6">
      <t xml:space="preserve">ウリアゲ </t>
    </rPh>
    <phoneticPr fontId="15"/>
  </si>
  <si>
    <t>月次繁閑期%設定</t>
  </si>
  <si>
    <t>平均月間売上目標額</t>
  </si>
  <si>
    <t>月次営業日数</t>
  </si>
  <si>
    <t>平均日次売上目標額</t>
  </si>
  <si>
    <t>年間予想利益額</t>
    <rPh sb="0" eb="2">
      <t xml:space="preserve">ネンカン </t>
    </rPh>
    <phoneticPr fontId="15"/>
  </si>
  <si>
    <t>年間利益率</t>
    <rPh sb="0" eb="2">
      <t xml:space="preserve">ネンカン </t>
    </rPh>
    <phoneticPr fontId="15"/>
  </si>
  <si>
    <t>年間実質売上</t>
  </si>
  <si>
    <t>年間売上合計</t>
  </si>
  <si>
    <t>年間売上％設定</t>
  </si>
  <si>
    <r>
      <rPr>
        <b/>
        <sz val="13"/>
        <color rgb="FF0000FF"/>
        <rFont val="メイリオ"/>
        <family val="2"/>
        <charset val="128"/>
      </rPr>
      <t>②</t>
    </r>
    <r>
      <rPr>
        <b/>
        <sz val="13"/>
        <color rgb="FF000000"/>
        <rFont val="メイリオ"/>
        <family val="2"/>
        <charset val="128"/>
      </rPr>
      <t>年間目標売上</t>
    </r>
  </si>
  <si>
    <r>
      <rPr>
        <b/>
        <sz val="13"/>
        <color rgb="FF0000FF"/>
        <rFont val="メイリオ"/>
        <family val="2"/>
        <charset val="128"/>
      </rPr>
      <t>①</t>
    </r>
    <r>
      <rPr>
        <b/>
        <sz val="13"/>
        <color rgb="FF000000"/>
        <rFont val="メイリオ"/>
        <family val="2"/>
        <charset val="128"/>
      </rPr>
      <t>年間営業日</t>
    </r>
  </si>
  <si>
    <t>2025年7月の情報</t>
    <rPh sb="4" eb="5">
      <t xml:space="preserve">ネン </t>
    </rPh>
    <rPh sb="6" eb="7">
      <t xml:space="preserve">ガツ </t>
    </rPh>
    <rPh sb="8" eb="10">
      <t xml:space="preserve">ジョウホウ </t>
    </rPh>
    <phoneticPr fontId="2"/>
  </si>
  <si>
    <t>曜日</t>
    <rPh sb="0" eb="2">
      <t xml:space="preserve">ヨウビ </t>
    </rPh>
    <phoneticPr fontId="2"/>
  </si>
  <si>
    <t>平均目標売上</t>
    <rPh sb="0" eb="2">
      <t xml:space="preserve">ヘイキン </t>
    </rPh>
    <rPh sb="2" eb="4">
      <t xml:space="preserve">モクヒョウ </t>
    </rPh>
    <rPh sb="4" eb="6">
      <t xml:space="preserve">ウリアゲ </t>
    </rPh>
    <phoneticPr fontId="2"/>
  </si>
  <si>
    <t>曜日繁閑期目標売上</t>
    <rPh sb="0" eb="2">
      <t xml:space="preserve">ヨウビ </t>
    </rPh>
    <rPh sb="2" eb="5">
      <t xml:space="preserve">ハンカンキ </t>
    </rPh>
    <rPh sb="5" eb="7">
      <t xml:space="preserve">モクヒョウ </t>
    </rPh>
    <rPh sb="7" eb="9">
      <t xml:space="preserve">ウリアゲ </t>
    </rPh>
    <phoneticPr fontId="2"/>
  </si>
  <si>
    <t>7月 曜日毎の目標売上</t>
    <rPh sb="1" eb="2">
      <t xml:space="preserve">ガツ </t>
    </rPh>
    <rPh sb="3" eb="5">
      <t xml:space="preserve">ヨウビ </t>
    </rPh>
    <rPh sb="5" eb="6">
      <t xml:space="preserve">ゴト </t>
    </rPh>
    <phoneticPr fontId="2"/>
  </si>
  <si>
    <t>最も売上が高く安定、大口予約が入りやすい傾向</t>
    <phoneticPr fontId="2"/>
  </si>
  <si>
    <t>傾向</t>
    <rPh sb="0" eb="2">
      <t xml:space="preserve">ケイコウ </t>
    </rPh>
    <phoneticPr fontId="2"/>
  </si>
  <si>
    <t>コース・飲み放題準備強化／人員厚め配置を検討</t>
    <phoneticPr fontId="2"/>
  </si>
  <si>
    <t>意外と売上高め（法人接待 or 週始め会食？）</t>
    <phoneticPr fontId="2"/>
  </si>
  <si>
    <t>平均値付近でやや波あり</t>
    <phoneticPr fontId="2"/>
  </si>
  <si>
    <t>週末は思ったよりも苦戦</t>
    <phoneticPr fontId="2"/>
  </si>
  <si>
    <t>週後半に売上が高まる流れ</t>
    <phoneticPr fontId="2"/>
  </si>
  <si>
    <t>週末需要で高水準安定</t>
    <phoneticPr fontId="2"/>
  </si>
  <si>
    <t>新規客向けにGoogle口コミ促進（来店時カード配布）</t>
    <phoneticPr fontId="2"/>
  </si>
  <si>
    <t>対策考察</t>
    <rPh sb="0" eb="2">
      <t xml:space="preserve">タイサク </t>
    </rPh>
    <rPh sb="2" eb="4">
      <t xml:space="preserve">コウサツ </t>
    </rPh>
    <phoneticPr fontId="2"/>
  </si>
  <si>
    <t>週始め利用促進で「月曜だけの一品」など限定打ち出しも有効</t>
    <phoneticPr fontId="2"/>
  </si>
  <si>
    <t>予約状況に応じて割引率の調整やSNSリマインド配信</t>
    <phoneticPr fontId="2"/>
  </si>
  <si>
    <t>家族・若年層向け投稿（インスタで昼飲み・記念日訴求など）</t>
    <phoneticPr fontId="2"/>
  </si>
  <si>
    <t>平日限定キャンペーン（早割／ワンドリンク付）で集客拡張</t>
    <phoneticPr fontId="2"/>
  </si>
  <si>
    <t>累積売上</t>
    <rPh sb="0" eb="2">
      <t xml:space="preserve">ルイセキ </t>
    </rPh>
    <rPh sb="2" eb="4">
      <t xml:space="preserve">ウリアゲ </t>
    </rPh>
    <phoneticPr fontId="2"/>
  </si>
  <si>
    <t>累積目標売上</t>
    <rPh sb="0" eb="2">
      <t xml:space="preserve">ルイセキ </t>
    </rPh>
    <rPh sb="2" eb="4">
      <t xml:space="preserve">モクヒョウ </t>
    </rPh>
    <rPh sb="4" eb="6">
      <t xml:space="preserve">ウリアゲ </t>
    </rPh>
    <phoneticPr fontId="2"/>
  </si>
  <si>
    <t>月</t>
    <phoneticPr fontId="2"/>
  </si>
  <si>
    <t>火</t>
    <phoneticPr fontId="2"/>
  </si>
  <si>
    <t>水</t>
    <phoneticPr fontId="2"/>
  </si>
  <si>
    <t>金</t>
    <phoneticPr fontId="2"/>
  </si>
  <si>
    <t>木</t>
    <phoneticPr fontId="2"/>
  </si>
  <si>
    <t>土</t>
    <phoneticPr fontId="2"/>
  </si>
  <si>
    <t>月</t>
    <rPh sb="0" eb="1">
      <t xml:space="preserve">ゲツ </t>
    </rPh>
    <phoneticPr fontId="2"/>
  </si>
  <si>
    <t>火</t>
    <rPh sb="0" eb="1">
      <t xml:space="preserve">カ </t>
    </rPh>
    <phoneticPr fontId="2"/>
  </si>
  <si>
    <t>水</t>
    <rPh sb="0" eb="1">
      <t xml:space="preserve">スイ </t>
    </rPh>
    <phoneticPr fontId="2"/>
  </si>
  <si>
    <t>木</t>
    <rPh sb="0" eb="1">
      <t xml:space="preserve">モク </t>
    </rPh>
    <phoneticPr fontId="2"/>
  </si>
  <si>
    <t>金</t>
    <rPh sb="0" eb="1">
      <t xml:space="preserve">キン </t>
    </rPh>
    <phoneticPr fontId="2"/>
  </si>
  <si>
    <t>土</t>
    <rPh sb="0" eb="1">
      <t xml:space="preserve">ド </t>
    </rPh>
    <phoneticPr fontId="2"/>
  </si>
  <si>
    <t>日</t>
    <rPh sb="0" eb="1">
      <t xml:space="preserve">ニチ </t>
    </rPh>
    <phoneticPr fontId="2"/>
  </si>
  <si>
    <t>51〜79</t>
    <phoneticPr fontId="2"/>
  </si>
  <si>
    <t>80〜110</t>
    <phoneticPr fontId="2"/>
  </si>
  <si>
    <t>111〜140</t>
    <phoneticPr fontId="2"/>
  </si>
  <si>
    <t>141〜171</t>
    <phoneticPr fontId="2"/>
  </si>
  <si>
    <t>172〜201</t>
    <phoneticPr fontId="2"/>
  </si>
  <si>
    <t>202〜232</t>
    <phoneticPr fontId="2"/>
  </si>
  <si>
    <t>233〜263</t>
    <phoneticPr fontId="2"/>
  </si>
  <si>
    <t>264〜293</t>
    <phoneticPr fontId="2"/>
  </si>
  <si>
    <t>294〜324</t>
    <phoneticPr fontId="2"/>
  </si>
  <si>
    <t>325〜354</t>
    <phoneticPr fontId="2"/>
  </si>
  <si>
    <t>355〜385</t>
    <phoneticPr fontId="2"/>
  </si>
  <si>
    <r>
      <rPr>
        <b/>
        <sz val="13"/>
        <color rgb="FF0000FF"/>
        <rFont val="メイリオ"/>
        <family val="2"/>
        <charset val="128"/>
      </rPr>
      <t>①</t>
    </r>
    <r>
      <rPr>
        <b/>
        <sz val="13"/>
        <color rgb="FF000000"/>
        <rFont val="メイリオ"/>
        <family val="2"/>
        <charset val="128"/>
      </rPr>
      <t>年間営業日</t>
    </r>
    <phoneticPr fontId="15"/>
  </si>
  <si>
    <r>
      <rPr>
        <b/>
        <sz val="13"/>
        <color rgb="FF0000FF"/>
        <rFont val="メイリオ"/>
        <family val="2"/>
        <charset val="128"/>
      </rPr>
      <t>②</t>
    </r>
    <r>
      <rPr>
        <b/>
        <sz val="13"/>
        <color rgb="FF000000"/>
        <rFont val="メイリオ"/>
        <family val="2"/>
        <charset val="128"/>
      </rPr>
      <t>年間目標売上</t>
    </r>
    <phoneticPr fontId="15"/>
  </si>
  <si>
    <t>年間総売上％</t>
    <phoneticPr fontId="15"/>
  </si>
  <si>
    <t>実質売上</t>
  </si>
  <si>
    <t>1月</t>
    <rPh sb="1" eb="2">
      <t xml:space="preserve">ガツ </t>
    </rPh>
    <phoneticPr fontId="37"/>
  </si>
  <si>
    <t>2月</t>
    <rPh sb="1" eb="2">
      <t xml:space="preserve">ガツ </t>
    </rPh>
    <phoneticPr fontId="37"/>
  </si>
  <si>
    <t>3月</t>
    <rPh sb="1" eb="2">
      <t xml:space="preserve">ガツ </t>
    </rPh>
    <phoneticPr fontId="37"/>
  </si>
  <si>
    <t>4月</t>
    <rPh sb="1" eb="2">
      <t xml:space="preserve">ガツ </t>
    </rPh>
    <phoneticPr fontId="37"/>
  </si>
  <si>
    <t>←目標の月へジャンプ</t>
    <rPh sb="1" eb="3">
      <t xml:space="preserve">モクヒョウ </t>
    </rPh>
    <rPh sb="4" eb="5">
      <t xml:space="preserve">ツキ </t>
    </rPh>
    <phoneticPr fontId="37"/>
  </si>
  <si>
    <t>5月</t>
    <rPh sb="1" eb="2">
      <t xml:space="preserve">ガツ </t>
    </rPh>
    <phoneticPr fontId="37"/>
  </si>
  <si>
    <t>6月</t>
    <phoneticPr fontId="37"/>
  </si>
  <si>
    <t>7月</t>
    <rPh sb="1" eb="2">
      <t xml:space="preserve">ガツ </t>
    </rPh>
    <phoneticPr fontId="37"/>
  </si>
  <si>
    <t>8月</t>
    <rPh sb="1" eb="2">
      <t xml:space="preserve">ガツ </t>
    </rPh>
    <phoneticPr fontId="37"/>
  </si>
  <si>
    <t>9月</t>
    <rPh sb="1" eb="2">
      <t xml:space="preserve">ガツ </t>
    </rPh>
    <phoneticPr fontId="37"/>
  </si>
  <si>
    <t>10月</t>
    <rPh sb="2" eb="3">
      <t xml:space="preserve">ガツ </t>
    </rPh>
    <phoneticPr fontId="37"/>
  </si>
  <si>
    <t>11月</t>
    <rPh sb="2" eb="3">
      <t xml:space="preserve">ガツ </t>
    </rPh>
    <phoneticPr fontId="37"/>
  </si>
  <si>
    <t>12月</t>
    <rPh sb="2" eb="3">
      <t xml:space="preserve">ガツ </t>
    </rPh>
    <phoneticPr fontId="37"/>
  </si>
  <si>
    <t>月次目標売上</t>
    <rPh sb="2" eb="4">
      <t xml:space="preserve">モクヒョウ </t>
    </rPh>
    <rPh sb="4" eb="5">
      <t xml:space="preserve">ウリアゲ </t>
    </rPh>
    <rPh sb="5" eb="6">
      <t xml:space="preserve">アゲ </t>
    </rPh>
    <phoneticPr fontId="15"/>
  </si>
  <si>
    <t>月次売上実績</t>
    <rPh sb="4" eb="6">
      <t xml:space="preserve">ジッセキ </t>
    </rPh>
    <phoneticPr fontId="15"/>
  </si>
  <si>
    <t>月間KGI</t>
  </si>
  <si>
    <t>月次平均%(繁閑期)</t>
    <rPh sb="2" eb="4">
      <t xml:space="preserve">ヘイキン </t>
    </rPh>
    <rPh sb="6" eb="9">
      <t xml:space="preserve">ハンカンキ </t>
    </rPh>
    <phoneticPr fontId="2"/>
  </si>
  <si>
    <t>2月</t>
    <phoneticPr fontId="15"/>
  </si>
  <si>
    <t>日祝日</t>
  </si>
  <si>
    <t>月次差額</t>
  </si>
  <si>
    <t>月次達成率</t>
    <rPh sb="0" eb="2">
      <t xml:space="preserve">ゲツジ </t>
    </rPh>
    <rPh sb="2" eb="5">
      <t xml:space="preserve">タッセイリツ </t>
    </rPh>
    <phoneticPr fontId="37"/>
  </si>
  <si>
    <t>年次差額</t>
  </si>
  <si>
    <t>年次達成率</t>
    <rPh sb="0" eb="2">
      <t xml:space="preserve">ネンジ </t>
    </rPh>
    <rPh sb="2" eb="5">
      <t xml:space="preserve">タッセイリツ </t>
    </rPh>
    <phoneticPr fontId="37"/>
  </si>
  <si>
    <t>成人の日</t>
  </si>
  <si>
    <t>建国記念日</t>
    <rPh sb="0" eb="5">
      <t xml:space="preserve">ケンコクキネンビ </t>
    </rPh>
    <phoneticPr fontId="2"/>
  </si>
  <si>
    <t>天皇誕生日</t>
    <rPh sb="0" eb="2">
      <t xml:space="preserve">テンノウ </t>
    </rPh>
    <rPh sb="2" eb="5">
      <t xml:space="preserve">タンジョウビ </t>
    </rPh>
    <phoneticPr fontId="2"/>
  </si>
  <si>
    <t>振替休日</t>
    <rPh sb="0" eb="4">
      <t xml:space="preserve">フリカエキュウジツ </t>
    </rPh>
    <phoneticPr fontId="2"/>
  </si>
  <si>
    <t>昭和の日</t>
    <rPh sb="0" eb="2">
      <t xml:space="preserve">ショウワ </t>
    </rPh>
    <phoneticPr fontId="2"/>
  </si>
  <si>
    <t>憲法記念日</t>
    <rPh sb="0" eb="2">
      <t xml:space="preserve">ケンポウキネビ </t>
    </rPh>
    <rPh sb="2" eb="5">
      <t xml:space="preserve">キネンビ </t>
    </rPh>
    <phoneticPr fontId="2"/>
  </si>
  <si>
    <t>緑の日</t>
    <rPh sb="0" eb="1">
      <t xml:space="preserve">ミドリノヒ </t>
    </rPh>
    <phoneticPr fontId="2"/>
  </si>
  <si>
    <t>こどもの日</t>
    <rPh sb="4" eb="5">
      <t xml:space="preserve">ヒ </t>
    </rPh>
    <phoneticPr fontId="2"/>
  </si>
  <si>
    <t>振替休日</t>
    <rPh sb="0" eb="1">
      <t xml:space="preserve">フリカエキュウジツ </t>
    </rPh>
    <phoneticPr fontId="2"/>
  </si>
  <si>
    <t>海の日</t>
    <rPh sb="0" eb="1">
      <t xml:space="preserve">ウミノヒ </t>
    </rPh>
    <phoneticPr fontId="2"/>
  </si>
  <si>
    <t>山の日</t>
    <rPh sb="0" eb="1">
      <t xml:space="preserve">ヤマノヒ </t>
    </rPh>
    <phoneticPr fontId="2"/>
  </si>
  <si>
    <t>敬老の日</t>
    <rPh sb="0" eb="2">
      <t xml:space="preserve">ケイロウノヒ </t>
    </rPh>
    <phoneticPr fontId="2"/>
  </si>
  <si>
    <t>秋分の日</t>
    <rPh sb="0" eb="2">
      <t xml:space="preserve">シュウブンノヒ </t>
    </rPh>
    <phoneticPr fontId="2"/>
  </si>
  <si>
    <t>スポーツの日</t>
    <phoneticPr fontId="2"/>
  </si>
  <si>
    <t>文化の日</t>
    <rPh sb="0" eb="2">
      <t xml:space="preserve">ブンカノヒ </t>
    </rPh>
    <phoneticPr fontId="2"/>
  </si>
  <si>
    <t>21〜51</t>
    <phoneticPr fontId="2"/>
  </si>
  <si>
    <t>52〜79</t>
    <phoneticPr fontId="2"/>
  </si>
  <si>
    <t>加重比率</t>
    <rPh sb="0" eb="2">
      <t xml:space="preserve">カジュウ </t>
    </rPh>
    <rPh sb="2" eb="4">
      <t xml:space="preserve">ヒリツ </t>
    </rPh>
    <phoneticPr fontId="2"/>
  </si>
  <si>
    <t>曜日合計額</t>
    <rPh sb="0" eb="2">
      <t xml:space="preserve">ヨウビ </t>
    </rPh>
    <rPh sb="2" eb="4">
      <t xml:space="preserve">ゴウケイ </t>
    </rPh>
    <rPh sb="4" eb="5">
      <t xml:space="preserve">ガク </t>
    </rPh>
    <phoneticPr fontId="2"/>
  </si>
  <si>
    <t>曜日回数</t>
    <rPh sb="0" eb="2">
      <t xml:space="preserve">ヨウビ </t>
    </rPh>
    <rPh sb="2" eb="4">
      <t xml:space="preserve">カイスウ </t>
    </rPh>
    <phoneticPr fontId="2"/>
  </si>
  <si>
    <t>平均売上</t>
    <rPh sb="0" eb="2">
      <t xml:space="preserve">ヘイキン </t>
    </rPh>
    <rPh sb="2" eb="4">
      <t xml:space="preserve">ウリアゲ </t>
    </rPh>
    <phoneticPr fontId="2"/>
  </si>
  <si>
    <t>月</t>
    <rPh sb="0" eb="1">
      <t xml:space="preserve">ツキ </t>
    </rPh>
    <phoneticPr fontId="2"/>
  </si>
  <si>
    <t>曜日毎目標売上額</t>
    <rPh sb="0" eb="2">
      <t xml:space="preserve">ヨウビ </t>
    </rPh>
    <rPh sb="2" eb="3">
      <t xml:space="preserve">ゴト </t>
    </rPh>
    <rPh sb="3" eb="5">
      <t xml:space="preserve">モクヒョウ </t>
    </rPh>
    <rPh sb="5" eb="8">
      <t xml:space="preserve">ウリアゲガク </t>
    </rPh>
    <phoneticPr fontId="2"/>
  </si>
  <si>
    <t>1月目標売り上げ</t>
    <rPh sb="1" eb="2">
      <t xml:space="preserve">ガツ </t>
    </rPh>
    <rPh sb="2" eb="4">
      <t xml:space="preserve">モクヒョウ </t>
    </rPh>
    <rPh sb="4" eb="5">
      <t xml:space="preserve">ウリアゲ </t>
    </rPh>
    <phoneticPr fontId="2"/>
  </si>
  <si>
    <t>2月目標売り上げ</t>
    <rPh sb="1" eb="2">
      <t xml:space="preserve">ガツ </t>
    </rPh>
    <rPh sb="2" eb="4">
      <t xml:space="preserve">モクヒョウ </t>
    </rPh>
    <rPh sb="4" eb="5">
      <t xml:space="preserve">ウリアゲ </t>
    </rPh>
    <phoneticPr fontId="2"/>
  </si>
  <si>
    <t>3月目標売り上げ</t>
    <rPh sb="1" eb="2">
      <t xml:space="preserve">ガツ </t>
    </rPh>
    <rPh sb="2" eb="4">
      <t xml:space="preserve">モクヒョウ </t>
    </rPh>
    <rPh sb="4" eb="5">
      <t xml:space="preserve">ウリアゲ </t>
    </rPh>
    <phoneticPr fontId="2"/>
  </si>
  <si>
    <t>4月目標売り上げ</t>
    <rPh sb="1" eb="2">
      <t xml:space="preserve">ガツ </t>
    </rPh>
    <rPh sb="2" eb="4">
      <t xml:space="preserve">モクヒョウ </t>
    </rPh>
    <rPh sb="4" eb="5">
      <t xml:space="preserve">ウリアゲ </t>
    </rPh>
    <phoneticPr fontId="2"/>
  </si>
  <si>
    <t>5月目標売り上げ</t>
    <rPh sb="1" eb="2">
      <t xml:space="preserve">ガツ </t>
    </rPh>
    <rPh sb="2" eb="4">
      <t xml:space="preserve">モクヒョウ </t>
    </rPh>
    <rPh sb="4" eb="5">
      <t xml:space="preserve">ウリアゲ </t>
    </rPh>
    <phoneticPr fontId="2"/>
  </si>
  <si>
    <t>6月目標売り上げ</t>
    <rPh sb="1" eb="2">
      <t xml:space="preserve">ガツ </t>
    </rPh>
    <rPh sb="2" eb="4">
      <t xml:space="preserve">モクヒョウ </t>
    </rPh>
    <rPh sb="4" eb="5">
      <t xml:space="preserve">ウリアゲ </t>
    </rPh>
    <phoneticPr fontId="2"/>
  </si>
  <si>
    <t>7月目標売り上げ</t>
    <rPh sb="1" eb="2">
      <t xml:space="preserve">ガツ </t>
    </rPh>
    <rPh sb="2" eb="4">
      <t xml:space="preserve">モクヒョウ </t>
    </rPh>
    <rPh sb="4" eb="5">
      <t xml:space="preserve">ウリアゲ </t>
    </rPh>
    <phoneticPr fontId="2"/>
  </si>
  <si>
    <t>8月目標売り上げ</t>
    <rPh sb="1" eb="2">
      <t xml:space="preserve">ガツ </t>
    </rPh>
    <rPh sb="2" eb="4">
      <t xml:space="preserve">モクヒョウ </t>
    </rPh>
    <rPh sb="4" eb="5">
      <t xml:space="preserve">ウリアゲ </t>
    </rPh>
    <phoneticPr fontId="2"/>
  </si>
  <si>
    <t>9月目標売り上げ</t>
    <rPh sb="1" eb="2">
      <t xml:space="preserve">ガツ </t>
    </rPh>
    <rPh sb="2" eb="4">
      <t xml:space="preserve">モクヒョウ </t>
    </rPh>
    <rPh sb="4" eb="5">
      <t xml:space="preserve">ウリアゲ </t>
    </rPh>
    <phoneticPr fontId="2"/>
  </si>
  <si>
    <t>10月目標売り上げ</t>
    <rPh sb="2" eb="3">
      <t xml:space="preserve">ガツ </t>
    </rPh>
    <rPh sb="3" eb="5">
      <t xml:space="preserve">モクヒョウ </t>
    </rPh>
    <rPh sb="5" eb="6">
      <t xml:space="preserve">ウリアゲ </t>
    </rPh>
    <phoneticPr fontId="2"/>
  </si>
  <si>
    <t>11月目標売り上げ</t>
    <rPh sb="2" eb="3">
      <t xml:space="preserve">ガツ </t>
    </rPh>
    <rPh sb="3" eb="5">
      <t xml:space="preserve">モクヒョウ </t>
    </rPh>
    <rPh sb="5" eb="6">
      <t xml:space="preserve">ウリアゲ </t>
    </rPh>
    <phoneticPr fontId="2"/>
  </si>
  <si>
    <t>12月目標売り上げ</t>
    <rPh sb="2" eb="3">
      <t xml:space="preserve">ガツ </t>
    </rPh>
    <rPh sb="3" eb="5">
      <t xml:space="preserve">モクヒョウ </t>
    </rPh>
    <rPh sb="5" eb="6">
      <t xml:space="preserve">ウリアゲ </t>
    </rPh>
    <phoneticPr fontId="2"/>
  </si>
  <si>
    <t>実質曜日平均売上</t>
    <rPh sb="0" eb="2">
      <t xml:space="preserve">ジッシツ </t>
    </rPh>
    <rPh sb="2" eb="4">
      <t xml:space="preserve">ヨウビ </t>
    </rPh>
    <rPh sb="4" eb="6">
      <t xml:space="preserve">ヘイキン </t>
    </rPh>
    <rPh sb="6" eb="8">
      <t xml:space="preserve">ウリアゲ </t>
    </rPh>
    <phoneticPr fontId="2"/>
  </si>
  <si>
    <t>曜日毎トータル額</t>
    <rPh sb="0" eb="3">
      <t xml:space="preserve">ヨウビゴト </t>
    </rPh>
    <rPh sb="7" eb="8">
      <t xml:space="preserve">ガク </t>
    </rPh>
    <phoneticPr fontId="2"/>
  </si>
  <si>
    <t>月次累計実績売上</t>
    <rPh sb="0" eb="1">
      <t xml:space="preserve">ゲツ </t>
    </rPh>
    <rPh sb="1" eb="2">
      <t xml:space="preserve">ネンジ </t>
    </rPh>
    <rPh sb="2" eb="4">
      <t xml:space="preserve">ルイケイ </t>
    </rPh>
    <rPh sb="4" eb="6">
      <t xml:space="preserve">ジッセキ </t>
    </rPh>
    <rPh sb="6" eb="8">
      <t xml:space="preserve">ウリアゲ </t>
    </rPh>
    <phoneticPr fontId="2"/>
  </si>
  <si>
    <t>年間達成率</t>
    <rPh sb="0" eb="2">
      <t xml:space="preserve">ネンカン </t>
    </rPh>
    <rPh sb="2" eb="5">
      <t xml:space="preserve">タッセイリツ </t>
    </rPh>
    <phoneticPr fontId="2"/>
  </si>
  <si>
    <t>今年の残営業日数</t>
    <rPh sb="0" eb="2">
      <t xml:space="preserve">コトシ </t>
    </rPh>
    <rPh sb="3" eb="4">
      <t xml:space="preserve">ザン </t>
    </rPh>
    <rPh sb="4" eb="8">
      <t xml:space="preserve">エイギョウニッスウ </t>
    </rPh>
    <phoneticPr fontId="2"/>
  </si>
  <si>
    <t>1日あたりの売上額</t>
    <rPh sb="1" eb="2">
      <t xml:space="preserve">ヒ </t>
    </rPh>
    <rPh sb="6" eb="8">
      <t xml:space="preserve">ウリアゲ </t>
    </rPh>
    <rPh sb="8" eb="9">
      <t xml:space="preserve">ガク </t>
    </rPh>
    <phoneticPr fontId="2"/>
  </si>
  <si>
    <t>今月1日あたりの目標売上</t>
    <rPh sb="0" eb="2">
      <t xml:space="preserve">コンゲツ </t>
    </rPh>
    <rPh sb="3" eb="4">
      <t xml:space="preserve">ヒ </t>
    </rPh>
    <rPh sb="8" eb="10">
      <t xml:space="preserve">モクヒョウ </t>
    </rPh>
    <rPh sb="10" eb="12">
      <t xml:space="preserve">ウリアゲ </t>
    </rPh>
    <phoneticPr fontId="2"/>
  </si>
  <si>
    <t>mon</t>
    <phoneticPr fontId="2"/>
  </si>
  <si>
    <t>tue</t>
    <phoneticPr fontId="2"/>
  </si>
  <si>
    <t>wed</t>
    <phoneticPr fontId="2"/>
  </si>
  <si>
    <t>thu</t>
    <phoneticPr fontId="2"/>
  </si>
  <si>
    <t>fri</t>
    <phoneticPr fontId="2"/>
  </si>
  <si>
    <t>sat</t>
    <phoneticPr fontId="2"/>
  </si>
  <si>
    <t>sun</t>
    <phoneticPr fontId="2"/>
  </si>
  <si>
    <t>Mon</t>
  </si>
  <si>
    <t>Tue</t>
  </si>
  <si>
    <t>Wed</t>
  </si>
  <si>
    <t>Thu</t>
  </si>
  <si>
    <t>Fri</t>
  </si>
  <si>
    <t>Sat</t>
  </si>
  <si>
    <t>Sun</t>
  </si>
  <si>
    <t>Jan</t>
    <phoneticPr fontId="2"/>
  </si>
  <si>
    <t>Feb</t>
    <phoneticPr fontId="15"/>
  </si>
  <si>
    <t>Mar</t>
    <phoneticPr fontId="2"/>
  </si>
  <si>
    <t>Apr</t>
    <phoneticPr fontId="2"/>
  </si>
  <si>
    <t>May</t>
    <phoneticPr fontId="2"/>
  </si>
  <si>
    <t>Jun</t>
    <phoneticPr fontId="2"/>
  </si>
  <si>
    <t>Jul</t>
    <phoneticPr fontId="2"/>
  </si>
  <si>
    <t>Aug</t>
    <phoneticPr fontId="2"/>
  </si>
  <si>
    <t>Sep</t>
    <phoneticPr fontId="2"/>
  </si>
  <si>
    <t>Oct</t>
    <phoneticPr fontId="2"/>
  </si>
  <si>
    <t>Nov</t>
    <phoneticPr fontId="2"/>
  </si>
  <si>
    <t>Dec</t>
    <phoneticPr fontId="2"/>
  </si>
  <si>
    <t>Feb</t>
    <phoneticPr fontId="2"/>
  </si>
  <si>
    <t>Average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</si>
</sst>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7" formatCode="&quot;¥&quot;#,##0.00;&quot;¥&quot;\-#,##0.00"/>
    <numFmt numFmtId="26" formatCode="\$#,##0.00_);[Red]\(\$#,##0.00\)"/>
    <numFmt numFmtId="176" formatCode="yyyy/m/d\(aaa\)"/>
    <numFmt numFmtId="177" formatCode="m&quot;月&quot;d&quot;日&quot;\(ddd\)"/>
    <numFmt numFmtId="178" formatCode="ddd"/>
    <numFmt numFmtId="179" formatCode="m"/>
    <numFmt numFmtId="180" formatCode="[$¥-411]#,##0"/>
    <numFmt numFmtId="181" formatCode="&quot;¥&quot;#,##0"/>
    <numFmt numFmtId="182" formatCode="m/d"/>
    <numFmt numFmtId="183" formatCode="[$¥-411]#,##0.00"/>
    <numFmt numFmtId="184" formatCode="[$¥-411]#,##0;\-[$¥-411]#,##0"/>
    <numFmt numFmtId="185" formatCode="[$¥-411]#,##0.00;[$¥-411]#,##0.00"/>
    <numFmt numFmtId="186" formatCode="&quot;¥&quot;#,##0_);[Red]\(&quot;¥&quot;#,##0\)"/>
    <numFmt numFmtId="187" formatCode="&quot;¥&quot;#,##0_);\(&quot;¥&quot;#,##0\)"/>
    <numFmt numFmtId="188" formatCode="yyyy&quot;年&quot;"/>
    <numFmt numFmtId="189" formatCode="m/d;@"/>
    <numFmt numFmtId="190" formatCode="0_);[Red]\(0\)"/>
    <numFmt numFmtId="191" formatCode="\(ddd\)"/>
    <numFmt numFmtId="192" formatCode="[$¥-411]#,##0;[Red]\-[$¥-411]#,##0"/>
    <numFmt numFmtId="193" formatCode="[$$-409]#,##0.00_);\([$$-409]#,##0.00\)"/>
    <numFmt numFmtId="194" formatCode="[$$-409]#,##0.00_);[Red]\([$$-409]#,##0.00\)"/>
  </numFmts>
  <fonts count="52">
    <font>
      <sz val="12"/>
      <color theme="1"/>
      <name val="游ゴシック"/>
      <family val="2"/>
      <charset val="128"/>
      <scheme val="minor"/>
    </font>
    <font>
      <sz val="12"/>
      <color theme="1"/>
      <name val="游ゴシック"/>
      <family val="2"/>
      <charset val="128"/>
      <scheme val="minor"/>
    </font>
    <font>
      <sz val="6"/>
      <name val="游ゴシック"/>
      <family val="2"/>
      <charset val="128"/>
      <scheme val="minor"/>
    </font>
    <font>
      <sz val="12"/>
      <color theme="1"/>
      <name val="メイリオ"/>
      <family val="2"/>
      <charset val="128"/>
    </font>
    <font>
      <b/>
      <sz val="12"/>
      <color theme="1"/>
      <name val="メイリオ"/>
      <family val="2"/>
      <charset val="128"/>
    </font>
    <font>
      <sz val="10"/>
      <color theme="1"/>
      <name val="メイリオ"/>
      <family val="2"/>
      <charset val="128"/>
    </font>
    <font>
      <b/>
      <i/>
      <sz val="12"/>
      <color theme="1"/>
      <name val="メイリオ"/>
      <family val="2"/>
      <charset val="128"/>
    </font>
    <font>
      <sz val="11"/>
      <color indexed="8"/>
      <name val="ＭＳ Ｐゴシック"/>
      <family val="3"/>
      <charset val="128"/>
    </font>
    <font>
      <sz val="10"/>
      <color rgb="FF000000"/>
      <name val="メイリオ"/>
      <family val="2"/>
      <charset val="128"/>
    </font>
    <font>
      <sz val="12"/>
      <color rgb="FF000000"/>
      <name val="メイリオ"/>
      <family val="2"/>
      <charset val="128"/>
    </font>
    <font>
      <b/>
      <sz val="12"/>
      <color rgb="FF000000"/>
      <name val="メイリオ"/>
      <family val="2"/>
      <charset val="128"/>
    </font>
    <font>
      <sz val="10"/>
      <name val="メイリオ"/>
      <family val="2"/>
      <charset val="128"/>
    </font>
    <font>
      <b/>
      <i/>
      <u/>
      <sz val="12"/>
      <color theme="1"/>
      <name val="メイリオ"/>
      <family val="2"/>
      <charset val="128"/>
    </font>
    <font>
      <sz val="12"/>
      <color rgb="FF0000FF"/>
      <name val="メイリオ"/>
      <family val="2"/>
      <charset val="128"/>
    </font>
    <font>
      <sz val="13"/>
      <color rgb="FF000000"/>
      <name val="メイリオ"/>
      <family val="2"/>
      <charset val="128"/>
    </font>
    <font>
      <sz val="6"/>
      <name val="游ゴシック"/>
      <family val="3"/>
      <charset val="128"/>
      <scheme val="minor"/>
    </font>
    <font>
      <b/>
      <sz val="11"/>
      <color rgb="FF000000"/>
      <name val="メイリオ"/>
      <family val="2"/>
      <charset val="128"/>
    </font>
    <font>
      <b/>
      <sz val="14"/>
      <color rgb="FF000000"/>
      <name val="メイリオ"/>
      <family val="2"/>
      <charset val="128"/>
    </font>
    <font>
      <b/>
      <sz val="14"/>
      <color rgb="FF0000FF"/>
      <name val="メイリオ"/>
      <family val="2"/>
      <charset val="128"/>
    </font>
    <font>
      <b/>
      <sz val="13"/>
      <color rgb="FF000000"/>
      <name val="メイリオ"/>
      <family val="2"/>
      <charset val="128"/>
    </font>
    <font>
      <b/>
      <sz val="10"/>
      <color theme="1"/>
      <name val="メイリオ"/>
      <family val="2"/>
      <charset val="128"/>
    </font>
    <font>
      <b/>
      <sz val="10"/>
      <color rgb="FF000000"/>
      <name val="メイリオ"/>
      <family val="2"/>
      <charset val="128"/>
    </font>
    <font>
      <b/>
      <i/>
      <sz val="10"/>
      <color rgb="FF0000FF"/>
      <name val="メイリオ"/>
      <family val="2"/>
      <charset val="128"/>
    </font>
    <font>
      <sz val="11"/>
      <name val="メイリオ"/>
      <family val="2"/>
      <charset val="128"/>
    </font>
    <font>
      <b/>
      <sz val="11"/>
      <color rgb="FF0000FF"/>
      <name val="メイリオ"/>
      <family val="2"/>
      <charset val="128"/>
    </font>
    <font>
      <sz val="13"/>
      <color theme="1"/>
      <name val="メイリオ"/>
      <family val="2"/>
      <charset val="128"/>
    </font>
    <font>
      <b/>
      <sz val="13"/>
      <color theme="1"/>
      <name val="メイリオ"/>
      <family val="2"/>
      <charset val="128"/>
    </font>
    <font>
      <sz val="13"/>
      <color rgb="FFFF0000"/>
      <name val="メイリオ"/>
      <family val="2"/>
      <charset val="128"/>
    </font>
    <font>
      <sz val="26"/>
      <name val="メイリオ"/>
      <family val="2"/>
      <charset val="128"/>
    </font>
    <font>
      <sz val="26"/>
      <color rgb="FF000000"/>
      <name val="メイリオ"/>
      <family val="2"/>
      <charset val="128"/>
    </font>
    <font>
      <b/>
      <sz val="14"/>
      <color theme="1"/>
      <name val="メイリオ"/>
      <family val="2"/>
      <charset val="128"/>
    </font>
    <font>
      <b/>
      <sz val="13"/>
      <color rgb="FF0000FF"/>
      <name val="メイリオ"/>
      <family val="2"/>
      <charset val="128"/>
    </font>
    <font>
      <b/>
      <sz val="26"/>
      <color rgb="FF000000"/>
      <name val="メイリオ"/>
      <family val="2"/>
      <charset val="128"/>
    </font>
    <font>
      <sz val="12"/>
      <color theme="0" tint="-0.249977111117893"/>
      <name val="メイリオ"/>
      <family val="2"/>
      <charset val="128"/>
    </font>
    <font>
      <sz val="12"/>
      <color theme="0" tint="-4.9989318521683403E-2"/>
      <name val="メイリオ"/>
      <family val="2"/>
      <charset val="128"/>
    </font>
    <font>
      <sz val="14"/>
      <color theme="1"/>
      <name val="メイリオ"/>
      <family val="2"/>
      <charset val="128"/>
    </font>
    <font>
      <u/>
      <sz val="12"/>
      <color theme="10"/>
      <name val="游ゴシック"/>
      <family val="2"/>
      <charset val="128"/>
      <scheme val="minor"/>
    </font>
    <font>
      <sz val="6"/>
      <name val="ＭＳ Ｐゴシック"/>
      <family val="3"/>
      <charset val="128"/>
    </font>
    <font>
      <u/>
      <sz val="11"/>
      <color theme="10"/>
      <name val="ＭＳ Ｐゴシック"/>
      <family val="3"/>
      <charset val="128"/>
    </font>
    <font>
      <b/>
      <sz val="10"/>
      <color rgb="FF0000FF"/>
      <name val="メイリオ"/>
      <family val="2"/>
      <charset val="128"/>
    </font>
    <font>
      <b/>
      <sz val="11"/>
      <color theme="1"/>
      <name val="メイリオ"/>
      <family val="2"/>
      <charset val="128"/>
    </font>
    <font>
      <b/>
      <i/>
      <sz val="11"/>
      <color rgb="FF0000FF"/>
      <name val="メイリオ"/>
      <family val="2"/>
      <charset val="128"/>
    </font>
    <font>
      <sz val="12"/>
      <color indexed="8"/>
      <name val="メイリオ"/>
      <family val="2"/>
      <charset val="128"/>
    </font>
    <font>
      <sz val="11"/>
      <color indexed="8"/>
      <name val="メイリオ"/>
      <family val="2"/>
      <charset val="128"/>
    </font>
    <font>
      <b/>
      <sz val="12"/>
      <color theme="1"/>
      <name val="メイリオ"/>
      <family val="3"/>
      <charset val="128"/>
    </font>
    <font>
      <sz val="10"/>
      <color rgb="FF000000"/>
      <name val="Arial"/>
      <family val="2"/>
    </font>
    <font>
      <b/>
      <sz val="10"/>
      <color rgb="FFFF0000"/>
      <name val="メイリオ"/>
      <family val="2"/>
      <charset val="128"/>
    </font>
    <font>
      <sz val="10"/>
      <color theme="0"/>
      <name val="メイリオ"/>
      <family val="2"/>
      <charset val="128"/>
    </font>
    <font>
      <b/>
      <sz val="16"/>
      <color theme="1"/>
      <name val="メイリオ"/>
      <family val="2"/>
      <charset val="128"/>
    </font>
    <font>
      <b/>
      <sz val="12"/>
      <color theme="0" tint="-4.9989318521683403E-2"/>
      <name val="メイリオ"/>
      <family val="2"/>
      <charset val="128"/>
    </font>
    <font>
      <b/>
      <sz val="12"/>
      <color theme="0" tint="-0.14999847407452621"/>
      <name val="メイリオ"/>
      <family val="2"/>
      <charset val="128"/>
    </font>
    <font>
      <b/>
      <i/>
      <u/>
      <sz val="12"/>
      <color theme="1"/>
      <name val="游ゴシック"/>
      <family val="3"/>
      <charset val="128"/>
      <scheme val="minor"/>
    </font>
  </fonts>
  <fills count="35">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0"/>
        <bgColor rgb="FFFFFFFF"/>
      </patternFill>
    </fill>
    <fill>
      <patternFill patternType="solid">
        <fgColor rgb="FFEFEFEF"/>
        <bgColor rgb="FFEFEFEF"/>
      </patternFill>
    </fill>
    <fill>
      <patternFill patternType="solid">
        <fgColor theme="0"/>
        <bgColor rgb="FFB6D7A8"/>
      </patternFill>
    </fill>
    <fill>
      <patternFill patternType="solid">
        <fgColor rgb="FFB6D7A8"/>
        <bgColor rgb="FFB6D7A8"/>
      </patternFill>
    </fill>
    <fill>
      <patternFill patternType="solid">
        <fgColor rgb="FFF3F3F3"/>
        <bgColor rgb="FFF3F3F3"/>
      </patternFill>
    </fill>
    <fill>
      <patternFill patternType="solid">
        <fgColor rgb="FFCCCCCC"/>
        <bgColor rgb="FFCCCCCC"/>
      </patternFill>
    </fill>
    <fill>
      <patternFill patternType="solid">
        <fgColor theme="4" tint="0.39997558519241921"/>
        <bgColor rgb="FFFF9900"/>
      </patternFill>
    </fill>
    <fill>
      <patternFill patternType="solid">
        <fgColor rgb="FFFFFF00"/>
        <bgColor rgb="FFFFFF00"/>
      </patternFill>
    </fill>
    <fill>
      <patternFill patternType="solid">
        <fgColor theme="0"/>
        <bgColor rgb="FFCCCCCC"/>
      </patternFill>
    </fill>
    <fill>
      <patternFill patternType="solid">
        <fgColor rgb="FFFF9900"/>
        <bgColor rgb="FFFF9900"/>
      </patternFill>
    </fill>
    <fill>
      <patternFill patternType="solid">
        <fgColor rgb="FFFFFF00"/>
        <bgColor rgb="FFEFEFEF"/>
      </patternFill>
    </fill>
    <fill>
      <patternFill patternType="solid">
        <fgColor theme="0" tint="-4.9989318521683403E-2"/>
        <bgColor rgb="FFFFFF00"/>
      </patternFill>
    </fill>
    <fill>
      <patternFill patternType="solid">
        <fgColor theme="6"/>
        <bgColor rgb="FFFF9900"/>
      </patternFill>
    </fill>
    <fill>
      <patternFill patternType="solid">
        <fgColor theme="0" tint="-4.9989318521683403E-2"/>
        <bgColor indexed="64"/>
      </patternFill>
    </fill>
    <fill>
      <patternFill patternType="solid">
        <fgColor rgb="FFFFF2CC"/>
        <bgColor rgb="FFFFF2CC"/>
      </patternFill>
    </fill>
    <fill>
      <patternFill patternType="solid">
        <fgColor theme="7" tint="0.59999389629810485"/>
        <bgColor indexed="64"/>
      </patternFill>
    </fill>
    <fill>
      <patternFill patternType="solid">
        <fgColor rgb="FFD9D9D9"/>
        <bgColor rgb="FFD9D9D9"/>
      </patternFill>
    </fill>
    <fill>
      <patternFill patternType="solid">
        <fgColor theme="0" tint="-0.14999847407452621"/>
        <bgColor indexed="64"/>
      </patternFill>
    </fill>
    <fill>
      <patternFill patternType="solid">
        <fgColor theme="0" tint="-0.14999847407452621"/>
        <bgColor rgb="FFEFEFEF"/>
      </patternFill>
    </fill>
    <fill>
      <patternFill patternType="solid">
        <fgColor theme="7" tint="0.59999389629810485"/>
        <bgColor rgb="FFFFFFFF"/>
      </patternFill>
    </fill>
    <fill>
      <patternFill patternType="solid">
        <fgColor rgb="FFFFC000"/>
        <bgColor rgb="FFEFEFEF"/>
      </patternFill>
    </fill>
    <fill>
      <patternFill patternType="solid">
        <fgColor theme="0" tint="-0.249977111117893"/>
        <bgColor rgb="FFCCCCCC"/>
      </patternFill>
    </fill>
    <fill>
      <patternFill patternType="solid">
        <fgColor theme="0" tint="-0.249977111117893"/>
        <bgColor rgb="FFFFFFFF"/>
      </patternFill>
    </fill>
    <fill>
      <patternFill patternType="solid">
        <fgColor theme="7" tint="0.59999389629810485"/>
        <bgColor rgb="FFB6D7A8"/>
      </patternFill>
    </fill>
    <fill>
      <patternFill patternType="solid">
        <fgColor theme="0" tint="-4.9989318521683403E-2"/>
        <bgColor rgb="FFFFFFFF"/>
      </patternFill>
    </fill>
    <fill>
      <patternFill patternType="solid">
        <fgColor theme="7" tint="0.59999389629810485"/>
        <bgColor rgb="FFCFE2F3"/>
      </patternFill>
    </fill>
    <fill>
      <patternFill patternType="solid">
        <fgColor theme="0"/>
        <bgColor rgb="FFCFE2F3"/>
      </patternFill>
    </fill>
    <fill>
      <patternFill patternType="solid">
        <fgColor theme="7" tint="0.59999389629810485"/>
        <bgColor rgb="FF999999"/>
      </patternFill>
    </fill>
    <fill>
      <patternFill patternType="solid">
        <fgColor theme="0"/>
        <bgColor rgb="FF999999"/>
      </patternFill>
    </fill>
    <fill>
      <patternFill patternType="solid">
        <fgColor rgb="FFFFFF00"/>
        <bgColor rgb="FFFFFFFF"/>
      </patternFill>
    </fill>
    <fill>
      <patternFill patternType="solid">
        <fgColor rgb="FFFFC0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indexed="64"/>
      </bottom>
      <diagonal/>
    </border>
    <border>
      <left/>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double">
        <color indexed="64"/>
      </bottom>
      <diagonal/>
    </border>
    <border>
      <left/>
      <right/>
      <top style="thin">
        <color rgb="FF000000"/>
      </top>
      <bottom style="double">
        <color indexed="64"/>
      </bottom>
      <diagonal/>
    </border>
    <border>
      <left style="thin">
        <color indexed="64"/>
      </left>
      <right style="thin">
        <color indexed="64"/>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style="thin">
        <color rgb="FF000000"/>
      </left>
      <right style="thin">
        <color indexed="64"/>
      </right>
      <top/>
      <bottom style="thin">
        <color rgb="FF000000"/>
      </bottom>
      <diagonal/>
    </border>
    <border>
      <left/>
      <right style="thin">
        <color rgb="FF000000"/>
      </right>
      <top style="thin">
        <color rgb="FF000000"/>
      </top>
      <bottom style="double">
        <color indexed="64"/>
      </bottom>
      <diagonal/>
    </border>
    <border>
      <left style="thin">
        <color indexed="64"/>
      </left>
      <right style="thin">
        <color indexed="64"/>
      </right>
      <top/>
      <bottom style="double">
        <color indexed="64"/>
      </bottom>
      <diagonal/>
    </border>
    <border>
      <left/>
      <right style="thin">
        <color indexed="64"/>
      </right>
      <top style="thin">
        <color rgb="FF000000"/>
      </top>
      <bottom style="double">
        <color indexed="64"/>
      </bottom>
      <diagonal/>
    </border>
    <border>
      <left style="thin">
        <color rgb="FF000000"/>
      </left>
      <right/>
      <top style="thin">
        <color rgb="FF000000"/>
      </top>
      <bottom style="double">
        <color indexed="64"/>
      </bottom>
      <diagonal/>
    </border>
    <border>
      <left style="thin">
        <color indexed="64"/>
      </left>
      <right style="thin">
        <color rgb="FF000000"/>
      </right>
      <top style="thin">
        <color rgb="FF000000"/>
      </top>
      <bottom style="double">
        <color indexed="64"/>
      </bottom>
      <diagonal/>
    </border>
    <border>
      <left style="thin">
        <color rgb="FF000000"/>
      </left>
      <right style="thin">
        <color indexed="64"/>
      </right>
      <top style="thin">
        <color rgb="FF000000"/>
      </top>
      <bottom style="double">
        <color indexed="64"/>
      </bottom>
      <diagonal/>
    </border>
    <border>
      <left/>
      <right style="thin">
        <color indexed="64"/>
      </right>
      <top/>
      <bottom style="double">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theme="1"/>
      </left>
      <right style="thin">
        <color theme="1"/>
      </right>
      <top style="thin">
        <color theme="1"/>
      </top>
      <bottom style="thin">
        <color theme="1"/>
      </bottom>
      <diagonal/>
    </border>
  </borders>
  <cellStyleXfs count="8">
    <xf numFmtId="0" fontId="0"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7" fillId="0" borderId="0">
      <alignment vertical="center"/>
    </xf>
    <xf numFmtId="0" fontId="36" fillId="0" borderId="0" applyNumberFormat="0" applyFill="0" applyBorder="0" applyAlignment="0" applyProtection="0">
      <alignment vertical="center"/>
    </xf>
    <xf numFmtId="0" fontId="38" fillId="0" borderId="0" applyNumberFormat="0" applyFill="0" applyBorder="0" applyAlignment="0" applyProtection="0">
      <alignment vertical="center"/>
    </xf>
    <xf numFmtId="186" fontId="7" fillId="0" borderId="0" applyFont="0" applyFill="0" applyBorder="0" applyAlignment="0" applyProtection="0">
      <alignment vertical="center"/>
    </xf>
    <xf numFmtId="9" fontId="7" fillId="0" borderId="0" applyFill="0" applyBorder="0" applyProtection="0">
      <alignment vertical="center"/>
    </xf>
  </cellStyleXfs>
  <cellXfs count="445">
    <xf numFmtId="0" fontId="0" fillId="0" borderId="0" xfId="0">
      <alignment vertical="center"/>
    </xf>
    <xf numFmtId="0" fontId="3" fillId="0" borderId="1" xfId="0" applyFont="1" applyBorder="1" applyAlignment="1">
      <alignment horizontal="right" vertical="center"/>
    </xf>
    <xf numFmtId="6" fontId="3" fillId="0" borderId="1" xfId="0" applyNumberFormat="1" applyFont="1" applyBorder="1">
      <alignment vertical="center"/>
    </xf>
    <xf numFmtId="10" fontId="3" fillId="0" borderId="1" xfId="0" applyNumberFormat="1" applyFont="1" applyBorder="1">
      <alignment vertical="center"/>
    </xf>
    <xf numFmtId="176" fontId="4" fillId="2" borderId="0" xfId="0" applyNumberFormat="1" applyFont="1" applyFill="1" applyAlignment="1">
      <alignment horizontal="right" vertical="center"/>
    </xf>
    <xf numFmtId="0" fontId="3" fillId="2" borderId="0" xfId="0" applyFont="1" applyFill="1">
      <alignment vertical="center"/>
    </xf>
    <xf numFmtId="0" fontId="3" fillId="2" borderId="0" xfId="0" applyFont="1" applyFill="1" applyAlignment="1">
      <alignment horizontal="right" vertical="center"/>
    </xf>
    <xf numFmtId="0" fontId="4" fillId="2" borderId="0" xfId="0" applyFont="1" applyFill="1" applyAlignment="1">
      <alignment horizontal="right" vertical="center"/>
    </xf>
    <xf numFmtId="0" fontId="4" fillId="2" borderId="0" xfId="0" applyFont="1" applyFill="1">
      <alignment vertical="center"/>
    </xf>
    <xf numFmtId="6" fontId="3" fillId="2" borderId="0" xfId="0" applyNumberFormat="1" applyFont="1" applyFill="1">
      <alignment vertical="center"/>
    </xf>
    <xf numFmtId="0" fontId="4" fillId="0" borderId="1" xfId="0" applyFont="1" applyBorder="1">
      <alignment vertical="center"/>
    </xf>
    <xf numFmtId="0" fontId="4" fillId="0" borderId="1" xfId="0" applyFont="1" applyBorder="1" applyAlignment="1">
      <alignment horizontal="left" vertical="center"/>
    </xf>
    <xf numFmtId="0" fontId="3" fillId="0" borderId="1" xfId="0" applyFont="1" applyBorder="1">
      <alignment vertical="center"/>
    </xf>
    <xf numFmtId="0" fontId="8" fillId="0" borderId="0" xfId="3" applyFont="1" applyAlignment="1" applyProtection="1">
      <protection locked="0"/>
    </xf>
    <xf numFmtId="0" fontId="8" fillId="0" borderId="0" xfId="3" applyFont="1" applyAlignment="1"/>
    <xf numFmtId="0" fontId="8" fillId="2" borderId="0" xfId="3" applyFont="1" applyFill="1" applyAlignment="1" applyProtection="1">
      <protection locked="0"/>
    </xf>
    <xf numFmtId="0" fontId="8" fillId="0" borderId="0" xfId="3" applyFont="1" applyAlignment="1" applyProtection="1">
      <alignment horizontal="center"/>
      <protection locked="0"/>
    </xf>
    <xf numFmtId="0" fontId="5" fillId="3" borderId="0" xfId="3" applyFont="1" applyFill="1" applyAlignment="1" applyProtection="1">
      <protection locked="0"/>
    </xf>
    <xf numFmtId="0" fontId="5" fillId="3" borderId="0" xfId="3" applyFont="1" applyFill="1" applyAlignment="1"/>
    <xf numFmtId="0" fontId="5" fillId="4" borderId="0" xfId="3" applyFont="1" applyFill="1" applyAlignment="1" applyProtection="1">
      <protection locked="0"/>
    </xf>
    <xf numFmtId="0" fontId="5" fillId="3" borderId="0" xfId="3" applyFont="1" applyFill="1" applyAlignment="1" applyProtection="1">
      <alignment horizontal="center"/>
      <protection locked="0"/>
    </xf>
    <xf numFmtId="178" fontId="5" fillId="3" borderId="0" xfId="3" applyNumberFormat="1" applyFont="1" applyFill="1" applyAlignment="1" applyProtection="1">
      <protection locked="0"/>
    </xf>
    <xf numFmtId="179" fontId="5" fillId="3" borderId="4" xfId="3" applyNumberFormat="1" applyFont="1" applyFill="1" applyBorder="1" applyAlignment="1" applyProtection="1">
      <protection locked="0"/>
    </xf>
    <xf numFmtId="178" fontId="5" fillId="3" borderId="4" xfId="3" applyNumberFormat="1" applyFont="1" applyFill="1" applyBorder="1" applyAlignment="1" applyProtection="1">
      <protection locked="0"/>
    </xf>
    <xf numFmtId="10" fontId="9" fillId="5" borderId="5" xfId="3" applyNumberFormat="1" applyFont="1" applyFill="1" applyBorder="1" applyAlignment="1">
      <alignment horizontal="right"/>
    </xf>
    <xf numFmtId="180" fontId="9" fillId="5" borderId="6" xfId="3" applyNumberFormat="1" applyFont="1" applyFill="1" applyBorder="1" applyAlignment="1"/>
    <xf numFmtId="180" fontId="9" fillId="5" borderId="7" xfId="3" applyNumberFormat="1" applyFont="1" applyFill="1" applyBorder="1" applyAlignment="1"/>
    <xf numFmtId="0" fontId="9" fillId="5" borderId="8" xfId="3" applyFont="1" applyFill="1" applyBorder="1" applyAlignment="1"/>
    <xf numFmtId="180" fontId="9" fillId="5" borderId="5" xfId="3" applyNumberFormat="1" applyFont="1" applyFill="1" applyBorder="1" applyAlignment="1"/>
    <xf numFmtId="0" fontId="5" fillId="5" borderId="6" xfId="3" applyFont="1" applyFill="1" applyBorder="1" applyAlignment="1"/>
    <xf numFmtId="180" fontId="9" fillId="5" borderId="9" xfId="3" applyNumberFormat="1" applyFont="1" applyFill="1" applyBorder="1" applyAlignment="1"/>
    <xf numFmtId="181" fontId="10" fillId="6" borderId="10" xfId="3" applyNumberFormat="1" applyFont="1" applyFill="1" applyBorder="1" applyAlignment="1" applyProtection="1">
      <alignment horizontal="right"/>
      <protection locked="0"/>
    </xf>
    <xf numFmtId="181" fontId="10" fillId="7" borderId="6" xfId="3" applyNumberFormat="1" applyFont="1" applyFill="1" applyBorder="1" applyAlignment="1" applyProtection="1">
      <alignment horizontal="right"/>
      <protection locked="0"/>
    </xf>
    <xf numFmtId="181" fontId="10" fillId="3" borderId="8" xfId="3" applyNumberFormat="1" applyFont="1" applyFill="1" applyBorder="1" applyAlignment="1" applyProtection="1">
      <alignment horizontal="right"/>
      <protection locked="0"/>
    </xf>
    <xf numFmtId="0" fontId="9" fillId="7" borderId="6" xfId="3" applyFont="1" applyFill="1" applyBorder="1" applyAlignment="1" applyProtection="1">
      <protection locked="0"/>
    </xf>
    <xf numFmtId="178" fontId="9" fillId="8" borderId="5" xfId="3" applyNumberFormat="1" applyFont="1" applyFill="1" applyBorder="1" applyAlignment="1">
      <alignment horizontal="left"/>
    </xf>
    <xf numFmtId="182" fontId="9" fillId="8" borderId="7" xfId="3" applyNumberFormat="1" applyFont="1" applyFill="1" applyBorder="1" applyAlignment="1">
      <alignment horizontal="right"/>
    </xf>
    <xf numFmtId="179" fontId="9" fillId="8" borderId="7" xfId="3" applyNumberFormat="1" applyFont="1" applyFill="1" applyBorder="1" applyAlignment="1">
      <alignment horizontal="center"/>
    </xf>
    <xf numFmtId="0" fontId="5" fillId="7" borderId="5" xfId="3" applyFont="1" applyFill="1" applyBorder="1" applyAlignment="1" applyProtection="1">
      <alignment horizontal="center"/>
      <protection locked="0"/>
    </xf>
    <xf numFmtId="0" fontId="9" fillId="8" borderId="8" xfId="3" applyFont="1" applyFill="1" applyBorder="1" applyAlignment="1">
      <alignment horizontal="right"/>
    </xf>
    <xf numFmtId="0" fontId="9" fillId="3" borderId="0" xfId="3" applyFont="1" applyFill="1" applyAlignment="1" applyProtection="1">
      <protection locked="0"/>
    </xf>
    <xf numFmtId="10" fontId="9" fillId="5" borderId="4" xfId="3" applyNumberFormat="1" applyFont="1" applyFill="1" applyBorder="1" applyAlignment="1">
      <alignment horizontal="right"/>
    </xf>
    <xf numFmtId="180" fontId="9" fillId="5" borderId="11" xfId="3" applyNumberFormat="1" applyFont="1" applyFill="1" applyBorder="1" applyAlignment="1"/>
    <xf numFmtId="180" fontId="9" fillId="5" borderId="12" xfId="3" applyNumberFormat="1" applyFont="1" applyFill="1" applyBorder="1" applyAlignment="1"/>
    <xf numFmtId="0" fontId="9" fillId="5" borderId="13" xfId="3" applyFont="1" applyFill="1" applyBorder="1" applyAlignment="1"/>
    <xf numFmtId="180" fontId="9" fillId="5" borderId="4" xfId="3" applyNumberFormat="1" applyFont="1" applyFill="1" applyBorder="1" applyAlignment="1"/>
    <xf numFmtId="0" fontId="5" fillId="5" borderId="0" xfId="3" applyFont="1" applyFill="1" applyAlignment="1"/>
    <xf numFmtId="180" fontId="9" fillId="5" borderId="14" xfId="3" applyNumberFormat="1" applyFont="1" applyFill="1" applyBorder="1" applyAlignment="1"/>
    <xf numFmtId="181" fontId="10" fillId="7" borderId="11" xfId="3" applyNumberFormat="1" applyFont="1" applyFill="1" applyBorder="1" applyAlignment="1" applyProtection="1">
      <alignment horizontal="right"/>
      <protection locked="0"/>
    </xf>
    <xf numFmtId="181" fontId="10" fillId="3" borderId="13" xfId="3" applyNumberFormat="1" applyFont="1" applyFill="1" applyBorder="1" applyAlignment="1" applyProtection="1">
      <alignment horizontal="right"/>
      <protection locked="0"/>
    </xf>
    <xf numFmtId="0" fontId="9" fillId="7" borderId="11" xfId="3" applyFont="1" applyFill="1" applyBorder="1" applyAlignment="1" applyProtection="1">
      <protection locked="0"/>
    </xf>
    <xf numFmtId="178" fontId="9" fillId="8" borderId="12" xfId="3" applyNumberFormat="1" applyFont="1" applyFill="1" applyBorder="1" applyAlignment="1">
      <alignment horizontal="left"/>
    </xf>
    <xf numFmtId="182" fontId="9" fillId="8" borderId="12" xfId="3" applyNumberFormat="1" applyFont="1" applyFill="1" applyBorder="1" applyAlignment="1">
      <alignment horizontal="right"/>
    </xf>
    <xf numFmtId="179" fontId="9" fillId="8" borderId="12" xfId="3" applyNumberFormat="1" applyFont="1" applyFill="1" applyBorder="1" applyAlignment="1">
      <alignment horizontal="center"/>
    </xf>
    <xf numFmtId="0" fontId="5" fillId="7" borderId="4" xfId="3" applyFont="1" applyFill="1" applyBorder="1" applyAlignment="1" applyProtection="1">
      <alignment horizontal="center"/>
      <protection locked="0"/>
    </xf>
    <xf numFmtId="0" fontId="9" fillId="8" borderId="15" xfId="3" applyFont="1" applyFill="1" applyBorder="1" applyAlignment="1">
      <alignment horizontal="right"/>
    </xf>
    <xf numFmtId="181" fontId="9" fillId="5" borderId="13" xfId="3" applyNumberFormat="1" applyFont="1" applyFill="1" applyBorder="1" applyAlignment="1">
      <alignment horizontal="right"/>
    </xf>
    <xf numFmtId="181" fontId="4" fillId="6" borderId="10" xfId="3" applyNumberFormat="1" applyFont="1" applyFill="1" applyBorder="1" applyAlignment="1" applyProtection="1">
      <alignment horizontal="right"/>
      <protection locked="0"/>
    </xf>
    <xf numFmtId="181" fontId="4" fillId="7" borderId="11" xfId="3" applyNumberFormat="1" applyFont="1" applyFill="1" applyBorder="1" applyAlignment="1" applyProtection="1">
      <alignment horizontal="right"/>
      <protection locked="0"/>
    </xf>
    <xf numFmtId="181" fontId="4" fillId="3" borderId="13" xfId="3" applyNumberFormat="1" applyFont="1" applyFill="1" applyBorder="1" applyAlignment="1" applyProtection="1">
      <alignment horizontal="right"/>
      <protection locked="0"/>
    </xf>
    <xf numFmtId="10" fontId="9" fillId="5" borderId="15" xfId="3" applyNumberFormat="1" applyFont="1" applyFill="1" applyBorder="1" applyAlignment="1">
      <alignment horizontal="right"/>
    </xf>
    <xf numFmtId="180" fontId="9" fillId="5" borderId="15" xfId="3" applyNumberFormat="1" applyFont="1" applyFill="1" applyBorder="1" applyAlignment="1"/>
    <xf numFmtId="0" fontId="5" fillId="7" borderId="15" xfId="3" applyFont="1" applyFill="1" applyBorder="1" applyAlignment="1" applyProtection="1">
      <alignment horizontal="center"/>
      <protection locked="0"/>
    </xf>
    <xf numFmtId="180" fontId="10" fillId="5" borderId="5" xfId="3" applyNumberFormat="1" applyFont="1" applyFill="1" applyBorder="1" applyAlignment="1"/>
    <xf numFmtId="181" fontId="9" fillId="5" borderId="8" xfId="3" applyNumberFormat="1" applyFont="1" applyFill="1" applyBorder="1" applyAlignment="1">
      <alignment horizontal="right"/>
    </xf>
    <xf numFmtId="180" fontId="10" fillId="6" borderId="10" xfId="3" applyNumberFormat="1" applyFont="1" applyFill="1" applyBorder="1" applyAlignment="1" applyProtection="1">
      <alignment horizontal="right"/>
      <protection locked="0"/>
    </xf>
    <xf numFmtId="180" fontId="10" fillId="7" borderId="11" xfId="3" applyNumberFormat="1" applyFont="1" applyFill="1" applyBorder="1" applyAlignment="1" applyProtection="1">
      <alignment horizontal="right"/>
      <protection locked="0"/>
    </xf>
    <xf numFmtId="180" fontId="10" fillId="3" borderId="13" xfId="3" applyNumberFormat="1" applyFont="1" applyFill="1" applyBorder="1" applyAlignment="1" applyProtection="1">
      <alignment horizontal="right"/>
      <protection locked="0"/>
    </xf>
    <xf numFmtId="0" fontId="5" fillId="7" borderId="16" xfId="3" applyFont="1" applyFill="1" applyBorder="1" applyAlignment="1" applyProtection="1">
      <alignment horizontal="center"/>
      <protection locked="0"/>
    </xf>
    <xf numFmtId="183" fontId="9" fillId="5" borderId="13" xfId="3" applyNumberFormat="1" applyFont="1" applyFill="1" applyBorder="1" applyAlignment="1"/>
    <xf numFmtId="183" fontId="9" fillId="5" borderId="13" xfId="3" applyNumberFormat="1" applyFont="1" applyFill="1" applyBorder="1" applyAlignment="1">
      <alignment horizontal="right"/>
    </xf>
    <xf numFmtId="0" fontId="10" fillId="9" borderId="4" xfId="3" applyFont="1" applyFill="1" applyBorder="1" applyAlignment="1" applyProtection="1">
      <protection locked="0"/>
    </xf>
    <xf numFmtId="0" fontId="10" fillId="9" borderId="17" xfId="3" applyFont="1" applyFill="1" applyBorder="1" applyAlignment="1" applyProtection="1">
      <protection locked="0"/>
    </xf>
    <xf numFmtId="0" fontId="10" fillId="10" borderId="17" xfId="3" applyFont="1" applyFill="1" applyBorder="1" applyAlignment="1" applyProtection="1">
      <protection locked="0"/>
    </xf>
    <xf numFmtId="0" fontId="10" fillId="3" borderId="13" xfId="3" applyFont="1" applyFill="1" applyBorder="1" applyAlignment="1" applyProtection="1">
      <protection locked="0"/>
    </xf>
    <xf numFmtId="0" fontId="10" fillId="9" borderId="18" xfId="3" applyFont="1" applyFill="1" applyBorder="1" applyAlignment="1" applyProtection="1">
      <protection locked="0"/>
    </xf>
    <xf numFmtId="0" fontId="10" fillId="9" borderId="14" xfId="3" applyFont="1" applyFill="1" applyBorder="1" applyAlignment="1" applyProtection="1">
      <protection locked="0"/>
    </xf>
    <xf numFmtId="0" fontId="5" fillId="0" borderId="19" xfId="3" applyFont="1" applyBorder="1" applyAlignment="1" applyProtection="1">
      <protection locked="0"/>
    </xf>
    <xf numFmtId="0" fontId="10" fillId="9" borderId="1" xfId="3" applyFont="1" applyFill="1" applyBorder="1" applyAlignment="1" applyProtection="1">
      <protection locked="0"/>
    </xf>
    <xf numFmtId="0" fontId="10" fillId="9" borderId="20" xfId="3" applyFont="1" applyFill="1" applyBorder="1" applyAlignment="1" applyProtection="1">
      <protection locked="0"/>
    </xf>
    <xf numFmtId="0" fontId="10" fillId="11" borderId="17" xfId="3" applyFont="1" applyFill="1" applyBorder="1" applyAlignment="1" applyProtection="1">
      <protection locked="0"/>
    </xf>
    <xf numFmtId="0" fontId="10" fillId="12" borderId="10" xfId="3" applyFont="1" applyFill="1" applyBorder="1" applyAlignment="1" applyProtection="1">
      <protection locked="0"/>
    </xf>
    <xf numFmtId="0" fontId="10" fillId="9" borderId="17" xfId="3" applyFont="1" applyFill="1" applyBorder="1" applyAlignment="1" applyProtection="1">
      <alignment horizontal="left"/>
      <protection locked="0"/>
    </xf>
    <xf numFmtId="0" fontId="5" fillId="9" borderId="4" xfId="3" applyFont="1" applyFill="1" applyBorder="1" applyAlignment="1" applyProtection="1">
      <alignment horizontal="center"/>
      <protection locked="0"/>
    </xf>
    <xf numFmtId="0" fontId="9" fillId="4" borderId="0" xfId="3" applyFont="1" applyFill="1" applyAlignment="1" applyProtection="1">
      <protection locked="0"/>
    </xf>
    <xf numFmtId="0" fontId="9" fillId="3" borderId="0" xfId="3" applyFont="1" applyFill="1" applyAlignment="1" applyProtection="1">
      <alignment horizontal="left"/>
      <protection locked="0"/>
    </xf>
    <xf numFmtId="0" fontId="9" fillId="3" borderId="0" xfId="3" applyFont="1" applyFill="1" applyAlignment="1" applyProtection="1">
      <alignment horizontal="center"/>
      <protection locked="0"/>
    </xf>
    <xf numFmtId="10" fontId="5" fillId="0" borderId="0" xfId="3" applyNumberFormat="1" applyFont="1" applyAlignment="1" applyProtection="1">
      <protection locked="0"/>
    </xf>
    <xf numFmtId="10" fontId="5" fillId="0" borderId="0" xfId="3" applyNumberFormat="1" applyFont="1" applyAlignment="1"/>
    <xf numFmtId="10" fontId="5" fillId="3" borderId="0" xfId="3" applyNumberFormat="1" applyFont="1" applyFill="1" applyAlignment="1"/>
    <xf numFmtId="10" fontId="3" fillId="5" borderId="4" xfId="3" applyNumberFormat="1" applyFont="1" applyFill="1" applyBorder="1" applyAlignment="1"/>
    <xf numFmtId="181" fontId="12" fillId="13" borderId="18" xfId="3" applyNumberFormat="1" applyFont="1" applyFill="1" applyBorder="1" applyAlignment="1"/>
    <xf numFmtId="181" fontId="4" fillId="15" borderId="4" xfId="3" applyNumberFormat="1" applyFont="1" applyFill="1" applyBorder="1" applyAlignment="1"/>
    <xf numFmtId="181" fontId="13" fillId="5" borderId="12" xfId="3" applyNumberFormat="1" applyFont="1" applyFill="1" applyBorder="1" applyAlignment="1">
      <alignment horizontal="right"/>
    </xf>
    <xf numFmtId="0" fontId="9" fillId="5" borderId="12" xfId="3" applyFont="1" applyFill="1" applyBorder="1" applyAlignment="1">
      <alignment horizontal="center"/>
    </xf>
    <xf numFmtId="0" fontId="9" fillId="5" borderId="15" xfId="3" applyFont="1" applyFill="1" applyBorder="1" applyAlignment="1">
      <alignment horizontal="center"/>
    </xf>
    <xf numFmtId="181" fontId="9" fillId="5" borderId="1" xfId="3" applyNumberFormat="1" applyFont="1" applyFill="1" applyBorder="1" applyAlignment="1">
      <alignment horizontal="right"/>
    </xf>
    <xf numFmtId="181" fontId="9" fillId="7" borderId="1" xfId="3" applyNumberFormat="1" applyFont="1" applyFill="1" applyBorder="1" applyAlignment="1" applyProtection="1">
      <alignment horizontal="right"/>
      <protection locked="0"/>
    </xf>
    <xf numFmtId="0" fontId="10" fillId="7" borderId="1" xfId="3" applyFont="1" applyFill="1" applyBorder="1" applyAlignment="1" applyProtection="1">
      <protection locked="0"/>
    </xf>
    <xf numFmtId="14" fontId="9" fillId="3" borderId="0" xfId="3" applyNumberFormat="1" applyFont="1" applyFill="1" applyAlignment="1" applyProtection="1">
      <protection locked="0"/>
    </xf>
    <xf numFmtId="0" fontId="16" fillId="9" borderId="1" xfId="3" applyFont="1" applyFill="1" applyBorder="1" applyAlignment="1"/>
    <xf numFmtId="185" fontId="17" fillId="18" borderId="1" xfId="3" applyNumberFormat="1" applyFont="1" applyFill="1" applyBorder="1" applyAlignment="1" applyProtection="1">
      <protection locked="0"/>
    </xf>
    <xf numFmtId="9" fontId="17" fillId="19" borderId="1" xfId="3" applyNumberFormat="1" applyFont="1" applyFill="1" applyBorder="1" applyAlignment="1" applyProtection="1">
      <protection locked="0"/>
    </xf>
    <xf numFmtId="180" fontId="12" fillId="13" borderId="18" xfId="3" applyNumberFormat="1" applyFont="1" applyFill="1" applyBorder="1" applyAlignment="1"/>
    <xf numFmtId="9" fontId="5" fillId="0" borderId="0" xfId="3" applyNumberFormat="1" applyFont="1" applyAlignment="1" applyProtection="1">
      <protection locked="0"/>
    </xf>
    <xf numFmtId="0" fontId="20" fillId="20" borderId="4" xfId="3" applyFont="1" applyFill="1" applyBorder="1" applyAlignment="1">
      <alignment horizontal="center"/>
    </xf>
    <xf numFmtId="0" fontId="21" fillId="20" borderId="18" xfId="3" applyFont="1" applyFill="1" applyBorder="1" applyAlignment="1">
      <alignment horizontal="center"/>
    </xf>
    <xf numFmtId="0" fontId="22" fillId="20" borderId="4" xfId="3" applyFont="1" applyFill="1" applyBorder="1" applyAlignment="1">
      <alignment horizontal="center"/>
    </xf>
    <xf numFmtId="0" fontId="9" fillId="3" borderId="20" xfId="3" applyFont="1" applyFill="1" applyBorder="1" applyAlignment="1" applyProtection="1">
      <protection locked="0"/>
    </xf>
    <xf numFmtId="181" fontId="25" fillId="8" borderId="1" xfId="3" applyNumberFormat="1" applyFont="1" applyFill="1" applyBorder="1" applyAlignment="1"/>
    <xf numFmtId="9" fontId="26" fillId="7" borderId="1" xfId="3" applyNumberFormat="1" applyFont="1" applyFill="1" applyBorder="1" applyAlignment="1" applyProtection="1">
      <protection locked="0"/>
    </xf>
    <xf numFmtId="0" fontId="26" fillId="20" borderId="1" xfId="3" applyFont="1" applyFill="1" applyBorder="1" applyAlignment="1"/>
    <xf numFmtId="0" fontId="4" fillId="0" borderId="1" xfId="0" applyFont="1" applyBorder="1" applyAlignment="1">
      <alignment horizontal="right" vertical="center"/>
    </xf>
    <xf numFmtId="0" fontId="3" fillId="0" borderId="2" xfId="0" applyFont="1" applyBorder="1" applyAlignment="1">
      <alignment horizontal="right" vertical="center"/>
    </xf>
    <xf numFmtId="0" fontId="4" fillId="0" borderId="3" xfId="0" applyFont="1" applyBorder="1" applyAlignment="1">
      <alignment horizontal="right" vertical="center"/>
    </xf>
    <xf numFmtId="0" fontId="3" fillId="0" borderId="1" xfId="0" applyFont="1" applyBorder="1" applyAlignment="1">
      <alignment horizontal="center" vertical="center"/>
    </xf>
    <xf numFmtId="0" fontId="3" fillId="2" borderId="25" xfId="0" applyFont="1" applyFill="1" applyBorder="1">
      <alignment vertical="center"/>
    </xf>
    <xf numFmtId="0" fontId="3" fillId="2" borderId="25" xfId="0" applyFont="1" applyFill="1" applyBorder="1" applyAlignment="1">
      <alignment horizontal="right" vertical="center"/>
    </xf>
    <xf numFmtId="0" fontId="3" fillId="17" borderId="1" xfId="0" applyFont="1" applyFill="1" applyBorder="1" applyAlignment="1">
      <alignment horizontal="right" vertical="center"/>
    </xf>
    <xf numFmtId="0" fontId="3" fillId="17" borderId="1" xfId="0" applyFont="1" applyFill="1" applyBorder="1">
      <alignment vertical="center"/>
    </xf>
    <xf numFmtId="0" fontId="4" fillId="17" borderId="1" xfId="0" applyFont="1" applyFill="1" applyBorder="1" applyAlignment="1">
      <alignment horizontal="right" vertical="center"/>
    </xf>
    <xf numFmtId="0" fontId="6" fillId="17" borderId="1" xfId="0" applyFont="1" applyFill="1" applyBorder="1" applyAlignment="1">
      <alignment horizontal="right" vertical="center"/>
    </xf>
    <xf numFmtId="6" fontId="3" fillId="17" borderId="1" xfId="0" applyNumberFormat="1" applyFont="1" applyFill="1" applyBorder="1">
      <alignment vertical="center"/>
    </xf>
    <xf numFmtId="6" fontId="3" fillId="17" borderId="1" xfId="1" applyFont="1" applyFill="1" applyBorder="1">
      <alignment vertical="center"/>
    </xf>
    <xf numFmtId="9" fontId="3" fillId="17" borderId="1" xfId="2" applyFont="1" applyFill="1" applyBorder="1">
      <alignment vertical="center"/>
    </xf>
    <xf numFmtId="6" fontId="3" fillId="17" borderId="1" xfId="0" applyNumberFormat="1" applyFont="1" applyFill="1" applyBorder="1" applyAlignment="1">
      <alignment horizontal="right" vertical="center"/>
    </xf>
    <xf numFmtId="10" fontId="3" fillId="17" borderId="1" xfId="2" applyNumberFormat="1" applyFont="1" applyFill="1" applyBorder="1">
      <alignment vertical="center"/>
    </xf>
    <xf numFmtId="6" fontId="33" fillId="17" borderId="1" xfId="0" applyNumberFormat="1" applyFont="1" applyFill="1" applyBorder="1" applyAlignment="1">
      <alignment horizontal="right" vertical="center"/>
    </xf>
    <xf numFmtId="6" fontId="33" fillId="17" borderId="1" xfId="1" applyFont="1" applyFill="1" applyBorder="1" applyAlignment="1">
      <alignment horizontal="right" vertical="center"/>
    </xf>
    <xf numFmtId="177" fontId="3" fillId="17" borderId="1" xfId="0" applyNumberFormat="1" applyFont="1" applyFill="1" applyBorder="1" applyAlignment="1">
      <alignment horizontal="right" vertical="center"/>
    </xf>
    <xf numFmtId="6" fontId="3" fillId="17" borderId="1" xfId="1" applyFont="1" applyFill="1" applyBorder="1" applyAlignment="1">
      <alignment horizontal="right" vertical="center"/>
    </xf>
    <xf numFmtId="6" fontId="3" fillId="2" borderId="1" xfId="1" applyFont="1" applyFill="1" applyBorder="1" applyProtection="1">
      <alignment vertical="center"/>
      <protection locked="0"/>
    </xf>
    <xf numFmtId="0" fontId="3" fillId="17" borderId="1" xfId="0" applyFont="1" applyFill="1" applyBorder="1" applyAlignment="1">
      <alignment horizontal="center" vertical="center"/>
    </xf>
    <xf numFmtId="0" fontId="35" fillId="17" borderId="1" xfId="0" applyFont="1" applyFill="1" applyBorder="1" applyAlignment="1">
      <alignment horizontal="right" vertical="center"/>
    </xf>
    <xf numFmtId="179" fontId="5" fillId="3" borderId="0" xfId="3" applyNumberFormat="1" applyFont="1" applyFill="1" applyAlignment="1" applyProtection="1">
      <protection locked="0"/>
    </xf>
    <xf numFmtId="179" fontId="5" fillId="3" borderId="18" xfId="3" applyNumberFormat="1" applyFont="1" applyFill="1" applyBorder="1" applyAlignment="1" applyProtection="1">
      <protection locked="0"/>
    </xf>
    <xf numFmtId="179" fontId="5" fillId="3" borderId="1" xfId="3" applyNumberFormat="1" applyFont="1" applyFill="1" applyBorder="1" applyAlignment="1" applyProtection="1">
      <alignment horizontal="center"/>
      <protection locked="0"/>
    </xf>
    <xf numFmtId="189" fontId="5" fillId="3" borderId="0" xfId="3" applyNumberFormat="1" applyFont="1" applyFill="1" applyAlignment="1" applyProtection="1">
      <protection locked="0"/>
    </xf>
    <xf numFmtId="6" fontId="5" fillId="3" borderId="1" xfId="1" applyFont="1" applyFill="1" applyBorder="1" applyAlignment="1" applyProtection="1">
      <protection locked="0"/>
    </xf>
    <xf numFmtId="190" fontId="5" fillId="3" borderId="0" xfId="3" applyNumberFormat="1" applyFont="1" applyFill="1" applyAlignment="1" applyProtection="1">
      <protection locked="0"/>
    </xf>
    <xf numFmtId="190" fontId="8" fillId="0" borderId="0" xfId="3" applyNumberFormat="1" applyFont="1" applyAlignment="1" applyProtection="1">
      <protection locked="0"/>
    </xf>
    <xf numFmtId="190" fontId="5" fillId="3" borderId="1" xfId="3" applyNumberFormat="1" applyFont="1" applyFill="1" applyBorder="1" applyAlignment="1" applyProtection="1">
      <protection locked="0"/>
    </xf>
    <xf numFmtId="0" fontId="5" fillId="3" borderId="0" xfId="3" applyFont="1" applyFill="1" applyAlignment="1">
      <alignment horizontal="center"/>
    </xf>
    <xf numFmtId="0" fontId="5" fillId="4" borderId="0" xfId="3" applyFont="1" applyFill="1" applyAlignment="1"/>
    <xf numFmtId="0" fontId="19" fillId="20" borderId="18" xfId="3" applyFont="1" applyFill="1" applyBorder="1" applyAlignment="1">
      <alignment horizontal="center"/>
    </xf>
    <xf numFmtId="0" fontId="19" fillId="20" borderId="1" xfId="3" applyFont="1" applyFill="1" applyBorder="1" applyAlignment="1"/>
    <xf numFmtId="0" fontId="36" fillId="0" borderId="1" xfId="4" applyBorder="1" applyAlignment="1" applyProtection="1">
      <alignment horizontal="center"/>
      <protection locked="0"/>
    </xf>
    <xf numFmtId="181" fontId="19" fillId="7" borderId="0" xfId="3" applyNumberFormat="1" applyFont="1" applyFill="1" applyAlignment="1" applyProtection="1">
      <alignment horizontal="right"/>
      <protection locked="0"/>
    </xf>
    <xf numFmtId="10" fontId="4" fillId="22" borderId="1" xfId="3" applyNumberFormat="1" applyFont="1" applyFill="1" applyBorder="1" applyAlignment="1"/>
    <xf numFmtId="181" fontId="27" fillId="5" borderId="1" xfId="3" applyNumberFormat="1" applyFont="1" applyFill="1" applyBorder="1" applyAlignment="1"/>
    <xf numFmtId="180" fontId="5" fillId="3" borderId="0" xfId="3" applyNumberFormat="1" applyFont="1" applyFill="1" applyAlignment="1"/>
    <xf numFmtId="0" fontId="9" fillId="3" borderId="0" xfId="3" applyFont="1" applyFill="1" applyAlignment="1"/>
    <xf numFmtId="0" fontId="9" fillId="3" borderId="0" xfId="3" applyFont="1" applyFill="1" applyAlignment="1">
      <alignment horizontal="center"/>
    </xf>
    <xf numFmtId="0" fontId="9" fillId="3" borderId="20" xfId="3" applyFont="1" applyFill="1" applyBorder="1" applyAlignment="1"/>
    <xf numFmtId="0" fontId="8" fillId="2" borderId="0" xfId="3" applyFont="1" applyFill="1" applyAlignment="1"/>
    <xf numFmtId="0" fontId="36" fillId="3" borderId="1" xfId="4" applyFill="1" applyBorder="1" applyAlignment="1" applyProtection="1">
      <alignment horizontal="center"/>
      <protection locked="0"/>
    </xf>
    <xf numFmtId="0" fontId="38" fillId="3" borderId="0" xfId="5" applyFill="1" applyAlignment="1" applyProtection="1"/>
    <xf numFmtId="0" fontId="38" fillId="0" borderId="0" xfId="5" applyAlignment="1" applyProtection="1"/>
    <xf numFmtId="0" fontId="40" fillId="20" borderId="4" xfId="3" applyFont="1" applyFill="1" applyBorder="1" applyAlignment="1">
      <alignment horizontal="center"/>
    </xf>
    <xf numFmtId="0" fontId="41" fillId="20" borderId="4" xfId="3" applyFont="1" applyFill="1" applyBorder="1" applyAlignment="1">
      <alignment horizontal="center"/>
    </xf>
    <xf numFmtId="0" fontId="16" fillId="20" borderId="18" xfId="3" applyFont="1" applyFill="1" applyBorder="1" applyAlignment="1">
      <alignment horizontal="center"/>
    </xf>
    <xf numFmtId="0" fontId="24" fillId="20" borderId="4" xfId="3" applyFont="1" applyFill="1" applyBorder="1" applyAlignment="1">
      <alignment horizontal="center"/>
    </xf>
    <xf numFmtId="0" fontId="40" fillId="20" borderId="16" xfId="3" applyFont="1" applyFill="1" applyBorder="1" applyAlignment="1">
      <alignment horizontal="center"/>
    </xf>
    <xf numFmtId="9" fontId="6" fillId="7" borderId="4" xfId="3" applyNumberFormat="1" applyFont="1" applyFill="1" applyBorder="1" applyAlignment="1" applyProtection="1">
      <alignment horizontal="center"/>
      <protection locked="0"/>
    </xf>
    <xf numFmtId="180" fontId="26" fillId="13" borderId="18" xfId="3" applyNumberFormat="1" applyFont="1" applyFill="1" applyBorder="1" applyAlignment="1"/>
    <xf numFmtId="10" fontId="13" fillId="5" borderId="18" xfId="3" applyNumberFormat="1" applyFont="1" applyFill="1" applyBorder="1" applyAlignment="1"/>
    <xf numFmtId="10" fontId="9" fillId="17" borderId="1" xfId="2" applyNumberFormat="1" applyFont="1" applyFill="1" applyBorder="1" applyAlignment="1"/>
    <xf numFmtId="185" fontId="8" fillId="0" borderId="0" xfId="6" applyNumberFormat="1" applyFont="1" applyAlignment="1" applyProtection="1"/>
    <xf numFmtId="10" fontId="8" fillId="3" borderId="0" xfId="3" applyNumberFormat="1" applyFont="1" applyFill="1" applyAlignment="1"/>
    <xf numFmtId="10" fontId="8" fillId="0" borderId="0" xfId="3" applyNumberFormat="1" applyFont="1" applyAlignment="1"/>
    <xf numFmtId="0" fontId="5" fillId="0" borderId="0" xfId="3" applyFont="1" applyAlignment="1"/>
    <xf numFmtId="181" fontId="26" fillId="13" borderId="18" xfId="3" applyNumberFormat="1" applyFont="1" applyFill="1" applyBorder="1" applyAlignment="1"/>
    <xf numFmtId="14" fontId="9" fillId="3" borderId="0" xfId="3" applyNumberFormat="1" applyFont="1" applyFill="1" applyAlignment="1"/>
    <xf numFmtId="0" fontId="9" fillId="3" borderId="0" xfId="3" applyFont="1" applyFill="1" applyAlignment="1">
      <alignment horizontal="left"/>
    </xf>
    <xf numFmtId="0" fontId="9" fillId="4" borderId="0" xfId="3" applyFont="1" applyFill="1" applyAlignment="1"/>
    <xf numFmtId="0" fontId="10" fillId="9" borderId="4" xfId="3" applyFont="1" applyFill="1" applyBorder="1" applyAlignment="1"/>
    <xf numFmtId="0" fontId="5" fillId="9" borderId="4" xfId="3" applyFont="1" applyFill="1" applyBorder="1" applyAlignment="1">
      <alignment horizontal="center"/>
    </xf>
    <xf numFmtId="0" fontId="10" fillId="9" borderId="17" xfId="3" applyFont="1" applyFill="1" applyBorder="1" applyAlignment="1"/>
    <xf numFmtId="0" fontId="10" fillId="9" borderId="17" xfId="3" applyFont="1" applyFill="1" applyBorder="1" applyAlignment="1">
      <alignment horizontal="left"/>
    </xf>
    <xf numFmtId="0" fontId="10" fillId="9" borderId="14" xfId="3" applyFont="1" applyFill="1" applyBorder="1" applyAlignment="1"/>
    <xf numFmtId="0" fontId="10" fillId="12" borderId="10" xfId="3" applyFont="1" applyFill="1" applyBorder="1" applyAlignment="1"/>
    <xf numFmtId="0" fontId="10" fillId="9" borderId="33" xfId="3" applyFont="1" applyFill="1" applyBorder="1" applyAlignment="1"/>
    <xf numFmtId="0" fontId="10" fillId="11" borderId="17" xfId="3" applyFont="1" applyFill="1" applyBorder="1" applyAlignment="1"/>
    <xf numFmtId="0" fontId="10" fillId="9" borderId="20" xfId="3" applyFont="1" applyFill="1" applyBorder="1" applyAlignment="1"/>
    <xf numFmtId="0" fontId="10" fillId="3" borderId="13" xfId="3" applyFont="1" applyFill="1" applyBorder="1" applyAlignment="1"/>
    <xf numFmtId="0" fontId="10" fillId="10" borderId="17" xfId="3" applyFont="1" applyFill="1" applyBorder="1" applyAlignment="1"/>
    <xf numFmtId="0" fontId="10" fillId="9" borderId="1" xfId="3" applyFont="1" applyFill="1" applyBorder="1" applyAlignment="1"/>
    <xf numFmtId="0" fontId="10" fillId="3" borderId="19" xfId="3" applyFont="1" applyFill="1" applyBorder="1" applyAlignment="1"/>
    <xf numFmtId="0" fontId="10" fillId="25" borderId="34" xfId="3" applyFont="1" applyFill="1" applyBorder="1" applyAlignment="1"/>
    <xf numFmtId="0" fontId="20" fillId="26" borderId="1" xfId="3" applyFont="1" applyFill="1" applyBorder="1" applyAlignment="1"/>
    <xf numFmtId="190" fontId="9" fillId="5" borderId="12" xfId="3" applyNumberFormat="1" applyFont="1" applyFill="1" applyBorder="1" applyAlignment="1">
      <alignment horizontal="center"/>
    </xf>
    <xf numFmtId="182" fontId="9" fillId="5" borderId="12" xfId="3" applyNumberFormat="1" applyFont="1" applyFill="1" applyBorder="1" applyAlignment="1">
      <alignment horizontal="right"/>
    </xf>
    <xf numFmtId="191" fontId="9" fillId="5" borderId="12" xfId="3" applyNumberFormat="1" applyFont="1" applyFill="1" applyBorder="1" applyAlignment="1">
      <alignment horizontal="left"/>
    </xf>
    <xf numFmtId="0" fontId="9" fillId="27" borderId="11" xfId="3" applyFont="1" applyFill="1" applyBorder="1" applyAlignment="1" applyProtection="1">
      <protection locked="0"/>
    </xf>
    <xf numFmtId="0" fontId="9" fillId="6" borderId="10" xfId="3" applyFont="1" applyFill="1" applyBorder="1" applyAlignment="1"/>
    <xf numFmtId="180" fontId="10" fillId="27" borderId="35" xfId="3" applyNumberFormat="1" applyFont="1" applyFill="1" applyBorder="1" applyAlignment="1" applyProtection="1">
      <alignment horizontal="right"/>
      <protection locked="0"/>
    </xf>
    <xf numFmtId="180" fontId="10" fillId="6" borderId="10" xfId="3" applyNumberFormat="1" applyFont="1" applyFill="1" applyBorder="1" applyAlignment="1">
      <alignment horizontal="right"/>
    </xf>
    <xf numFmtId="180" fontId="9" fillId="5" borderId="13" xfId="3" applyNumberFormat="1" applyFont="1" applyFill="1" applyBorder="1" applyAlignment="1"/>
    <xf numFmtId="10" fontId="42" fillId="5" borderId="1" xfId="7" applyNumberFormat="1" applyFont="1" applyFill="1" applyBorder="1" applyProtection="1">
      <alignment vertical="center"/>
    </xf>
    <xf numFmtId="183" fontId="9" fillId="5" borderId="19" xfId="3" applyNumberFormat="1" applyFont="1" applyFill="1" applyBorder="1" applyAlignment="1"/>
    <xf numFmtId="10" fontId="43" fillId="28" borderId="1" xfId="7" applyNumberFormat="1" applyFont="1" applyFill="1" applyBorder="1" applyProtection="1">
      <alignment vertical="center"/>
    </xf>
    <xf numFmtId="179" fontId="5" fillId="3" borderId="0" xfId="3" applyNumberFormat="1" applyFont="1" applyFill="1" applyAlignment="1"/>
    <xf numFmtId="178" fontId="5" fillId="3" borderId="0" xfId="3" applyNumberFormat="1" applyFont="1" applyFill="1" applyAlignment="1"/>
    <xf numFmtId="14" fontId="5" fillId="3" borderId="0" xfId="3" applyNumberFormat="1" applyFont="1" applyFill="1" applyAlignment="1"/>
    <xf numFmtId="183" fontId="9" fillId="5" borderId="19" xfId="3" applyNumberFormat="1" applyFont="1" applyFill="1" applyBorder="1" applyAlignment="1">
      <alignment horizontal="right"/>
    </xf>
    <xf numFmtId="181" fontId="4" fillId="27" borderId="35" xfId="3" applyNumberFormat="1" applyFont="1" applyFill="1" applyBorder="1" applyAlignment="1" applyProtection="1">
      <alignment horizontal="right"/>
      <protection locked="0"/>
    </xf>
    <xf numFmtId="181" fontId="4" fillId="6" borderId="10" xfId="3" applyNumberFormat="1" applyFont="1" applyFill="1" applyBorder="1" applyAlignment="1">
      <alignment horizontal="right"/>
    </xf>
    <xf numFmtId="181" fontId="9" fillId="5" borderId="19" xfId="3" applyNumberFormat="1" applyFont="1" applyFill="1" applyBorder="1" applyAlignment="1">
      <alignment horizontal="right"/>
    </xf>
    <xf numFmtId="181" fontId="4" fillId="29" borderId="35" xfId="3" applyNumberFormat="1" applyFont="1" applyFill="1" applyBorder="1" applyAlignment="1" applyProtection="1">
      <alignment horizontal="right"/>
      <protection locked="0"/>
    </xf>
    <xf numFmtId="181" fontId="4" fillId="30" borderId="10" xfId="3" applyNumberFormat="1" applyFont="1" applyFill="1" applyBorder="1" applyAlignment="1">
      <alignment horizontal="right"/>
    </xf>
    <xf numFmtId="181" fontId="5" fillId="31" borderId="35" xfId="3" applyNumberFormat="1" applyFont="1" applyFill="1" applyBorder="1" applyAlignment="1" applyProtection="1">
      <protection locked="0"/>
    </xf>
    <xf numFmtId="181" fontId="5" fillId="32" borderId="10" xfId="3" applyNumberFormat="1" applyFont="1" applyFill="1" applyBorder="1" applyAlignment="1"/>
    <xf numFmtId="0" fontId="9" fillId="5" borderId="19" xfId="3" applyFont="1" applyFill="1" applyBorder="1" applyAlignment="1"/>
    <xf numFmtId="181" fontId="44" fillId="31" borderId="35" xfId="3" applyNumberFormat="1" applyFont="1" applyFill="1" applyBorder="1" applyAlignment="1" applyProtection="1">
      <protection locked="0"/>
    </xf>
    <xf numFmtId="181" fontId="10" fillId="27" borderId="35" xfId="3" applyNumberFormat="1" applyFont="1" applyFill="1" applyBorder="1" applyAlignment="1" applyProtection="1">
      <alignment horizontal="right"/>
      <protection locked="0"/>
    </xf>
    <xf numFmtId="181" fontId="10" fillId="6" borderId="10" xfId="3" applyNumberFormat="1" applyFont="1" applyFill="1" applyBorder="1" applyAlignment="1">
      <alignment horizontal="right"/>
    </xf>
    <xf numFmtId="0" fontId="9" fillId="8" borderId="5" xfId="3" applyFont="1" applyFill="1" applyBorder="1" applyAlignment="1">
      <alignment horizontal="right"/>
    </xf>
    <xf numFmtId="190" fontId="9" fillId="5" borderId="7" xfId="3" applyNumberFormat="1" applyFont="1" applyFill="1" applyBorder="1" applyAlignment="1">
      <alignment horizontal="center"/>
    </xf>
    <xf numFmtId="182" fontId="9" fillId="5" borderId="37" xfId="3" applyNumberFormat="1" applyFont="1" applyFill="1" applyBorder="1" applyAlignment="1">
      <alignment horizontal="right"/>
    </xf>
    <xf numFmtId="191" fontId="9" fillId="5" borderId="5" xfId="3" applyNumberFormat="1" applyFont="1" applyFill="1" applyBorder="1" applyAlignment="1">
      <alignment horizontal="left"/>
    </xf>
    <xf numFmtId="0" fontId="9" fillId="27" borderId="9" xfId="3" applyFont="1" applyFill="1" applyBorder="1" applyAlignment="1" applyProtection="1">
      <protection locked="0"/>
    </xf>
    <xf numFmtId="0" fontId="9" fillId="6" borderId="38" xfId="3" applyFont="1" applyFill="1" applyBorder="1" applyAlignment="1"/>
    <xf numFmtId="181" fontId="10" fillId="27" borderId="39" xfId="3" applyNumberFormat="1" applyFont="1" applyFill="1" applyBorder="1" applyAlignment="1" applyProtection="1">
      <alignment horizontal="right"/>
      <protection locked="0"/>
    </xf>
    <xf numFmtId="181" fontId="10" fillId="6" borderId="38" xfId="3" applyNumberFormat="1" applyFont="1" applyFill="1" applyBorder="1" applyAlignment="1">
      <alignment horizontal="right"/>
    </xf>
    <xf numFmtId="180" fontId="9" fillId="5" borderId="37" xfId="3" applyNumberFormat="1" applyFont="1" applyFill="1" applyBorder="1" applyAlignment="1"/>
    <xf numFmtId="10" fontId="9" fillId="5" borderId="40" xfId="3" applyNumberFormat="1" applyFont="1" applyFill="1" applyBorder="1" applyAlignment="1">
      <alignment horizontal="right"/>
    </xf>
    <xf numFmtId="181" fontId="9" fillId="5" borderId="38" xfId="3" applyNumberFormat="1" applyFont="1" applyFill="1" applyBorder="1" applyAlignment="1">
      <alignment horizontal="right"/>
    </xf>
    <xf numFmtId="180" fontId="10" fillId="5" borderId="41" xfId="3" applyNumberFormat="1" applyFont="1" applyFill="1" applyBorder="1" applyAlignment="1"/>
    <xf numFmtId="10" fontId="42" fillId="5" borderId="2" xfId="7" applyNumberFormat="1" applyFont="1" applyFill="1" applyBorder="1" applyProtection="1">
      <alignment vertical="center"/>
    </xf>
    <xf numFmtId="181" fontId="9" fillId="5" borderId="7" xfId="3" applyNumberFormat="1" applyFont="1" applyFill="1" applyBorder="1" applyAlignment="1">
      <alignment horizontal="right"/>
    </xf>
    <xf numFmtId="10" fontId="43" fillId="28" borderId="2" xfId="7" applyNumberFormat="1" applyFont="1" applyFill="1" applyBorder="1" applyProtection="1">
      <alignment vertical="center"/>
    </xf>
    <xf numFmtId="10" fontId="42" fillId="5" borderId="3" xfId="7" applyNumberFormat="1" applyFont="1" applyFill="1" applyBorder="1" applyProtection="1">
      <alignment vertical="center"/>
    </xf>
    <xf numFmtId="10" fontId="43" fillId="28" borderId="3" xfId="7" applyNumberFormat="1" applyFont="1" applyFill="1" applyBorder="1" applyProtection="1">
      <alignment vertical="center"/>
    </xf>
    <xf numFmtId="0" fontId="9" fillId="27" borderId="6" xfId="3" applyFont="1" applyFill="1" applyBorder="1" applyAlignment="1" applyProtection="1">
      <protection locked="0"/>
    </xf>
    <xf numFmtId="10" fontId="9" fillId="5" borderId="42" xfId="3" applyNumberFormat="1" applyFont="1" applyFill="1" applyBorder="1" applyAlignment="1">
      <alignment horizontal="right"/>
    </xf>
    <xf numFmtId="180" fontId="10" fillId="5" borderId="37" xfId="3" applyNumberFormat="1" applyFont="1" applyFill="1" applyBorder="1" applyAlignment="1"/>
    <xf numFmtId="182" fontId="9" fillId="5" borderId="7" xfId="3" applyNumberFormat="1" applyFont="1" applyFill="1" applyBorder="1" applyAlignment="1">
      <alignment horizontal="right"/>
    </xf>
    <xf numFmtId="181" fontId="10" fillId="27" borderId="43" xfId="3" applyNumberFormat="1" applyFont="1" applyFill="1" applyBorder="1" applyAlignment="1" applyProtection="1">
      <alignment horizontal="right"/>
      <protection locked="0"/>
    </xf>
    <xf numFmtId="180" fontId="10" fillId="5" borderId="7" xfId="3" applyNumberFormat="1" applyFont="1" applyFill="1" applyBorder="1" applyAlignment="1"/>
    <xf numFmtId="0" fontId="9" fillId="5" borderId="38" xfId="3" applyFont="1" applyFill="1" applyBorder="1" applyAlignment="1"/>
    <xf numFmtId="0" fontId="9" fillId="5" borderId="7" xfId="3" applyFont="1" applyFill="1" applyBorder="1" applyAlignment="1"/>
    <xf numFmtId="180" fontId="10" fillId="5" borderId="8" xfId="3" applyNumberFormat="1" applyFont="1" applyFill="1" applyBorder="1" applyAlignment="1"/>
    <xf numFmtId="0" fontId="8" fillId="0" borderId="0" xfId="3" applyFont="1" applyAlignment="1">
      <alignment horizontal="center"/>
    </xf>
    <xf numFmtId="178" fontId="5" fillId="3" borderId="1" xfId="3" applyNumberFormat="1" applyFont="1" applyFill="1" applyBorder="1" applyAlignment="1">
      <alignment horizontal="center"/>
    </xf>
    <xf numFmtId="178" fontId="5" fillId="3" borderId="0" xfId="3" applyNumberFormat="1" applyFont="1" applyFill="1" applyAlignment="1">
      <alignment horizontal="center"/>
    </xf>
    <xf numFmtId="0" fontId="5" fillId="3" borderId="1" xfId="3" applyFont="1" applyFill="1" applyBorder="1" applyAlignment="1" applyProtection="1">
      <protection locked="0"/>
    </xf>
    <xf numFmtId="0" fontId="5" fillId="3" borderId="1" xfId="3" applyFont="1" applyFill="1" applyBorder="1" applyAlignment="1"/>
    <xf numFmtId="186" fontId="5" fillId="3" borderId="0" xfId="3" applyNumberFormat="1" applyFont="1" applyFill="1" applyAlignment="1"/>
    <xf numFmtId="186" fontId="8" fillId="0" borderId="0" xfId="3" applyNumberFormat="1" applyFont="1" applyAlignment="1"/>
    <xf numFmtId="186" fontId="5" fillId="3" borderId="1" xfId="1" applyNumberFormat="1" applyFont="1" applyFill="1" applyBorder="1" applyAlignment="1" applyProtection="1">
      <protection locked="0"/>
    </xf>
    <xf numFmtId="186" fontId="5" fillId="3" borderId="1" xfId="1" applyNumberFormat="1" applyFont="1" applyFill="1" applyBorder="1" applyAlignment="1"/>
    <xf numFmtId="186" fontId="5" fillId="3" borderId="1" xfId="3" applyNumberFormat="1" applyFont="1" applyFill="1" applyBorder="1" applyAlignment="1"/>
    <xf numFmtId="10" fontId="3" fillId="2" borderId="0" xfId="0" applyNumberFormat="1" applyFont="1" applyFill="1">
      <alignment vertical="center"/>
    </xf>
    <xf numFmtId="0" fontId="4" fillId="2" borderId="30" xfId="0" applyFont="1" applyFill="1" applyBorder="1">
      <alignment vertical="center"/>
    </xf>
    <xf numFmtId="0" fontId="4" fillId="2" borderId="31" xfId="0" applyFont="1" applyFill="1" applyBorder="1">
      <alignment vertical="center"/>
    </xf>
    <xf numFmtId="0" fontId="4" fillId="2" borderId="32" xfId="0" applyFont="1" applyFill="1" applyBorder="1">
      <alignment vertical="center"/>
    </xf>
    <xf numFmtId="6" fontId="5" fillId="3" borderId="0" xfId="1" applyFont="1" applyFill="1" applyAlignment="1" applyProtection="1">
      <protection locked="0"/>
    </xf>
    <xf numFmtId="6" fontId="8" fillId="0" borderId="0" xfId="1" applyFont="1" applyAlignment="1" applyProtection="1">
      <protection locked="0"/>
    </xf>
    <xf numFmtId="190" fontId="8" fillId="2" borderId="0" xfId="3" applyNumberFormat="1" applyFont="1" applyFill="1" applyAlignment="1" applyProtection="1">
      <protection locked="0"/>
    </xf>
    <xf numFmtId="6" fontId="8" fillId="2" borderId="0" xfId="1" applyFont="1" applyFill="1" applyAlignment="1" applyProtection="1">
      <protection locked="0"/>
    </xf>
    <xf numFmtId="189" fontId="5" fillId="4" borderId="0" xfId="3" applyNumberFormat="1" applyFont="1" applyFill="1" applyAlignment="1" applyProtection="1">
      <protection locked="0"/>
    </xf>
    <xf numFmtId="179" fontId="5" fillId="4" borderId="0" xfId="3" applyNumberFormat="1" applyFont="1" applyFill="1" applyAlignment="1" applyProtection="1">
      <protection locked="0"/>
    </xf>
    <xf numFmtId="190" fontId="5" fillId="4" borderId="0" xfId="3" applyNumberFormat="1" applyFont="1" applyFill="1" applyAlignment="1" applyProtection="1">
      <protection locked="0"/>
    </xf>
    <xf numFmtId="6" fontId="5" fillId="4" borderId="0" xfId="1" applyFont="1" applyFill="1" applyAlignment="1" applyProtection="1">
      <protection locked="0"/>
    </xf>
    <xf numFmtId="10" fontId="5" fillId="3" borderId="1" xfId="2" applyNumberFormat="1" applyFont="1" applyFill="1" applyBorder="1" applyAlignment="1" applyProtection="1">
      <protection locked="0"/>
    </xf>
    <xf numFmtId="6" fontId="5" fillId="3" borderId="1" xfId="1" applyFont="1" applyFill="1" applyBorder="1" applyAlignment="1"/>
    <xf numFmtId="0" fontId="20" fillId="28" borderId="1" xfId="3" applyFont="1" applyFill="1" applyBorder="1" applyAlignment="1" applyProtection="1">
      <alignment horizontal="center"/>
      <protection locked="0"/>
    </xf>
    <xf numFmtId="190" fontId="20" fillId="28" borderId="1" xfId="3" applyNumberFormat="1" applyFont="1" applyFill="1" applyBorder="1" applyAlignment="1" applyProtection="1">
      <alignment horizontal="center"/>
      <protection locked="0"/>
    </xf>
    <xf numFmtId="0" fontId="20" fillId="28" borderId="1" xfId="3" applyFont="1" applyFill="1" applyBorder="1" applyAlignment="1"/>
    <xf numFmtId="6" fontId="20" fillId="28" borderId="1" xfId="1" applyFont="1" applyFill="1" applyBorder="1" applyAlignment="1" applyProtection="1">
      <alignment horizontal="center"/>
      <protection locked="0"/>
    </xf>
    <xf numFmtId="181" fontId="5" fillId="3" borderId="0" xfId="3" applyNumberFormat="1" applyFont="1" applyFill="1" applyAlignment="1"/>
    <xf numFmtId="6" fontId="46" fillId="33" borderId="1" xfId="1" applyFont="1" applyFill="1" applyBorder="1" applyAlignment="1" applyProtection="1">
      <protection locked="0"/>
    </xf>
    <xf numFmtId="181" fontId="46" fillId="33" borderId="0" xfId="3" applyNumberFormat="1" applyFont="1" applyFill="1" applyAlignment="1"/>
    <xf numFmtId="14" fontId="46" fillId="33" borderId="0" xfId="3" applyNumberFormat="1" applyFont="1" applyFill="1" applyAlignment="1"/>
    <xf numFmtId="0" fontId="5" fillId="3" borderId="1" xfId="3" applyFont="1" applyFill="1" applyBorder="1" applyAlignment="1" applyProtection="1">
      <alignment horizontal="center"/>
      <protection locked="0"/>
    </xf>
    <xf numFmtId="0" fontId="5" fillId="3" borderId="1" xfId="3" applyFont="1" applyFill="1" applyBorder="1" applyAlignment="1">
      <alignment horizontal="center"/>
    </xf>
    <xf numFmtId="180" fontId="9" fillId="5" borderId="41" xfId="3" applyNumberFormat="1" applyFont="1" applyFill="1" applyBorder="1" applyAlignment="1"/>
    <xf numFmtId="181" fontId="10" fillId="27" borderId="44" xfId="3" applyNumberFormat="1" applyFont="1" applyFill="1" applyBorder="1" applyAlignment="1" applyProtection="1">
      <alignment horizontal="right"/>
      <protection locked="0"/>
    </xf>
    <xf numFmtId="181" fontId="10" fillId="27" borderId="45" xfId="3" applyNumberFormat="1" applyFont="1" applyFill="1" applyBorder="1" applyAlignment="1" applyProtection="1">
      <alignment horizontal="right"/>
      <protection locked="0"/>
    </xf>
    <xf numFmtId="181" fontId="10" fillId="27" borderId="38" xfId="3" applyNumberFormat="1" applyFont="1" applyFill="1" applyBorder="1" applyAlignment="1" applyProtection="1">
      <alignment horizontal="right"/>
      <protection locked="0"/>
    </xf>
    <xf numFmtId="192" fontId="9" fillId="5" borderId="14" xfId="3" applyNumberFormat="1" applyFont="1" applyFill="1" applyBorder="1" applyAlignment="1"/>
    <xf numFmtId="192" fontId="9" fillId="5" borderId="9" xfId="3" applyNumberFormat="1" applyFont="1" applyFill="1" applyBorder="1" applyAlignment="1"/>
    <xf numFmtId="192" fontId="9" fillId="5" borderId="11" xfId="3" applyNumberFormat="1" applyFont="1" applyFill="1" applyBorder="1" applyAlignment="1"/>
    <xf numFmtId="192" fontId="9" fillId="5" borderId="6" xfId="3" applyNumberFormat="1" applyFont="1" applyFill="1" applyBorder="1" applyAlignment="1"/>
    <xf numFmtId="192" fontId="9" fillId="5" borderId="36" xfId="3" applyNumberFormat="1" applyFont="1" applyFill="1" applyBorder="1" applyAlignment="1"/>
    <xf numFmtId="192" fontId="9" fillId="5" borderId="42" xfId="3" applyNumberFormat="1" applyFont="1" applyFill="1" applyBorder="1" applyAlignment="1"/>
    <xf numFmtId="190" fontId="47" fillId="0" borderId="0" xfId="3" applyNumberFormat="1" applyFont="1" applyAlignment="1"/>
    <xf numFmtId="190" fontId="47" fillId="0" borderId="0" xfId="6" applyNumberFormat="1" applyFont="1" applyAlignment="1"/>
    <xf numFmtId="6" fontId="3" fillId="2" borderId="0" xfId="1" applyFont="1" applyFill="1">
      <alignment vertical="center"/>
    </xf>
    <xf numFmtId="0" fontId="4" fillId="17" borderId="3" xfId="0" applyFont="1" applyFill="1" applyBorder="1" applyAlignment="1">
      <alignment horizontal="right" vertical="center"/>
    </xf>
    <xf numFmtId="176" fontId="48" fillId="2" borderId="46" xfId="0" applyNumberFormat="1" applyFont="1" applyFill="1" applyBorder="1" applyAlignment="1" applyProtection="1">
      <alignment horizontal="right" vertical="center"/>
      <protection locked="0"/>
    </xf>
    <xf numFmtId="0" fontId="12" fillId="17" borderId="1" xfId="0" applyFont="1" applyFill="1" applyBorder="1" applyAlignment="1">
      <alignment horizontal="right" vertical="center"/>
    </xf>
    <xf numFmtId="0" fontId="49" fillId="2" borderId="0" xfId="0" applyFont="1" applyFill="1" applyAlignment="1">
      <alignment horizontal="center" vertical="center"/>
    </xf>
    <xf numFmtId="0" fontId="34" fillId="2" borderId="0" xfId="0" applyFont="1" applyFill="1" applyAlignment="1">
      <alignment horizontal="center" vertical="center"/>
    </xf>
    <xf numFmtId="6" fontId="6" fillId="34" borderId="1" xfId="1" applyFont="1" applyFill="1" applyBorder="1" applyProtection="1">
      <alignment vertical="center"/>
    </xf>
    <xf numFmtId="6" fontId="6" fillId="17" borderId="1" xfId="1" applyFont="1" applyFill="1" applyBorder="1" applyProtection="1">
      <alignment vertical="center"/>
    </xf>
    <xf numFmtId="10" fontId="3" fillId="17" borderId="1" xfId="0" applyNumberFormat="1" applyFont="1" applyFill="1" applyBorder="1">
      <alignment vertical="center"/>
    </xf>
    <xf numFmtId="6" fontId="3" fillId="17" borderId="1" xfId="1" applyFont="1" applyFill="1" applyBorder="1" applyProtection="1">
      <alignment vertical="center"/>
    </xf>
    <xf numFmtId="6" fontId="12" fillId="17" borderId="1" xfId="0" applyNumberFormat="1" applyFont="1" applyFill="1" applyBorder="1">
      <alignment vertical="center"/>
    </xf>
    <xf numFmtId="10" fontId="3" fillId="17" borderId="1" xfId="2" applyNumberFormat="1" applyFont="1" applyFill="1" applyBorder="1" applyProtection="1">
      <alignment vertical="center"/>
    </xf>
    <xf numFmtId="6" fontId="30" fillId="17" borderId="1" xfId="0" applyNumberFormat="1" applyFont="1" applyFill="1" applyBorder="1">
      <alignment vertical="center"/>
    </xf>
    <xf numFmtId="0" fontId="50" fillId="2" borderId="0" xfId="0" applyFont="1" applyFill="1" applyAlignment="1">
      <alignment horizontal="center" vertical="center"/>
    </xf>
    <xf numFmtId="56" fontId="34" fillId="17" borderId="0" xfId="0" applyNumberFormat="1" applyFont="1" applyFill="1" applyAlignment="1" applyProtection="1">
      <alignment horizontal="right" vertical="center"/>
      <protection locked="0"/>
    </xf>
    <xf numFmtId="0" fontId="11" fillId="0" borderId="12" xfId="3" applyFont="1" applyBorder="1" applyAlignment="1"/>
    <xf numFmtId="181" fontId="9" fillId="5" borderId="21" xfId="3" applyNumberFormat="1" applyFont="1" applyFill="1" applyBorder="1" applyAlignment="1">
      <alignment horizontal="right"/>
    </xf>
    <xf numFmtId="193" fontId="19" fillId="7" borderId="0" xfId="3" applyNumberFormat="1" applyFont="1" applyFill="1" applyAlignment="1" applyProtection="1">
      <alignment horizontal="right"/>
      <protection locked="0"/>
    </xf>
    <xf numFmtId="193" fontId="26" fillId="13" borderId="18" xfId="3" applyNumberFormat="1" applyFont="1" applyFill="1" applyBorder="1" applyAlignment="1"/>
    <xf numFmtId="193" fontId="10" fillId="27" borderId="35" xfId="3" applyNumberFormat="1" applyFont="1" applyFill="1" applyBorder="1" applyAlignment="1" applyProtection="1">
      <alignment horizontal="right"/>
      <protection locked="0"/>
    </xf>
    <xf numFmtId="193" fontId="4" fillId="27" borderId="35" xfId="3" applyNumberFormat="1" applyFont="1" applyFill="1" applyBorder="1" applyAlignment="1" applyProtection="1">
      <alignment horizontal="right"/>
      <protection locked="0"/>
    </xf>
    <xf numFmtId="193" fontId="4" fillId="29" borderId="35" xfId="3" applyNumberFormat="1" applyFont="1" applyFill="1" applyBorder="1" applyAlignment="1" applyProtection="1">
      <alignment horizontal="right"/>
      <protection locked="0"/>
    </xf>
    <xf numFmtId="193" fontId="5" fillId="31" borderId="35" xfId="3" applyNumberFormat="1" applyFont="1" applyFill="1" applyBorder="1" applyAlignment="1" applyProtection="1">
      <protection locked="0"/>
    </xf>
    <xf numFmtId="193" fontId="44" fillId="31" borderId="35" xfId="3" applyNumberFormat="1" applyFont="1" applyFill="1" applyBorder="1" applyAlignment="1" applyProtection="1">
      <protection locked="0"/>
    </xf>
    <xf numFmtId="193" fontId="10" fillId="27" borderId="39" xfId="3" applyNumberFormat="1" applyFont="1" applyFill="1" applyBorder="1" applyAlignment="1" applyProtection="1">
      <alignment horizontal="right"/>
      <protection locked="0"/>
    </xf>
    <xf numFmtId="193" fontId="10" fillId="27" borderId="44" xfId="3" applyNumberFormat="1" applyFont="1" applyFill="1" applyBorder="1" applyAlignment="1" applyProtection="1">
      <alignment horizontal="right"/>
      <protection locked="0"/>
    </xf>
    <xf numFmtId="193" fontId="10" fillId="27" borderId="45" xfId="3" applyNumberFormat="1" applyFont="1" applyFill="1" applyBorder="1" applyAlignment="1" applyProtection="1">
      <alignment horizontal="right"/>
      <protection locked="0"/>
    </xf>
    <xf numFmtId="193" fontId="10" fillId="27" borderId="38" xfId="3" applyNumberFormat="1" applyFont="1" applyFill="1" applyBorder="1" applyAlignment="1" applyProtection="1">
      <alignment horizontal="right"/>
      <protection locked="0"/>
    </xf>
    <xf numFmtId="193" fontId="10" fillId="27" borderId="43" xfId="3" applyNumberFormat="1" applyFont="1" applyFill="1" applyBorder="1" applyAlignment="1" applyProtection="1">
      <alignment horizontal="right"/>
      <protection locked="0"/>
    </xf>
    <xf numFmtId="193" fontId="9" fillId="5" borderId="12" xfId="3" applyNumberFormat="1" applyFont="1" applyFill="1" applyBorder="1" applyAlignment="1"/>
    <xf numFmtId="193" fontId="9" fillId="5" borderId="14" xfId="3" applyNumberFormat="1" applyFont="1" applyFill="1" applyBorder="1" applyAlignment="1"/>
    <xf numFmtId="193" fontId="9" fillId="5" borderId="41" xfId="3" applyNumberFormat="1" applyFont="1" applyFill="1" applyBorder="1" applyAlignment="1"/>
    <xf numFmtId="193" fontId="9" fillId="5" borderId="9" xfId="3" applyNumberFormat="1" applyFont="1" applyFill="1" applyBorder="1" applyAlignment="1"/>
    <xf numFmtId="193" fontId="9" fillId="5" borderId="11" xfId="3" applyNumberFormat="1" applyFont="1" applyFill="1" applyBorder="1" applyAlignment="1"/>
    <xf numFmtId="193" fontId="10" fillId="5" borderId="41" xfId="3" applyNumberFormat="1" applyFont="1" applyFill="1" applyBorder="1" applyAlignment="1"/>
    <xf numFmtId="193" fontId="9" fillId="5" borderId="37" xfId="3" applyNumberFormat="1" applyFont="1" applyFill="1" applyBorder="1" applyAlignment="1"/>
    <xf numFmtId="193" fontId="10" fillId="5" borderId="37" xfId="3" applyNumberFormat="1" applyFont="1" applyFill="1" applyBorder="1" applyAlignment="1"/>
    <xf numFmtId="193" fontId="10" fillId="5" borderId="7" xfId="3" applyNumberFormat="1" applyFont="1" applyFill="1" applyBorder="1" applyAlignment="1"/>
    <xf numFmtId="193" fontId="9" fillId="5" borderId="7" xfId="3" applyNumberFormat="1" applyFont="1" applyFill="1" applyBorder="1" applyAlignment="1"/>
    <xf numFmtId="193" fontId="9" fillId="5" borderId="6" xfId="3" applyNumberFormat="1" applyFont="1" applyFill="1" applyBorder="1" applyAlignment="1"/>
    <xf numFmtId="193" fontId="9" fillId="5" borderId="4" xfId="3" applyNumberFormat="1" applyFont="1" applyFill="1" applyBorder="1" applyAlignment="1"/>
    <xf numFmtId="193" fontId="9" fillId="5" borderId="15" xfId="3" applyNumberFormat="1" applyFont="1" applyFill="1" applyBorder="1" applyAlignment="1"/>
    <xf numFmtId="193" fontId="10" fillId="5" borderId="8" xfId="3" applyNumberFormat="1" applyFont="1" applyFill="1" applyBorder="1" applyAlignment="1"/>
    <xf numFmtId="193" fontId="9" fillId="5" borderId="36" xfId="3" applyNumberFormat="1" applyFont="1" applyFill="1" applyBorder="1" applyAlignment="1"/>
    <xf numFmtId="193" fontId="9" fillId="5" borderId="5" xfId="3" applyNumberFormat="1" applyFont="1" applyFill="1" applyBorder="1" applyAlignment="1"/>
    <xf numFmtId="193" fontId="9" fillId="5" borderId="42" xfId="3" applyNumberFormat="1" applyFont="1" applyFill="1" applyBorder="1" applyAlignment="1"/>
    <xf numFmtId="193" fontId="5" fillId="3" borderId="1" xfId="1" applyNumberFormat="1" applyFont="1" applyFill="1" applyBorder="1" applyAlignment="1" applyProtection="1">
      <protection locked="0"/>
    </xf>
    <xf numFmtId="193" fontId="5" fillId="3" borderId="1" xfId="1" applyNumberFormat="1" applyFont="1" applyFill="1" applyBorder="1" applyAlignment="1"/>
    <xf numFmtId="193" fontId="5" fillId="3" borderId="1" xfId="3" applyNumberFormat="1" applyFont="1" applyFill="1" applyBorder="1" applyAlignment="1"/>
    <xf numFmtId="193" fontId="46" fillId="33" borderId="1" xfId="1" applyNumberFormat="1" applyFont="1" applyFill="1" applyBorder="1" applyAlignment="1" applyProtection="1">
      <protection locked="0"/>
    </xf>
    <xf numFmtId="194" fontId="25" fillId="5" borderId="1" xfId="3" applyNumberFormat="1" applyFont="1" applyFill="1" applyBorder="1" applyAlignment="1"/>
    <xf numFmtId="193" fontId="13" fillId="5" borderId="12" xfId="3" applyNumberFormat="1" applyFont="1" applyFill="1" applyBorder="1" applyAlignment="1">
      <alignment horizontal="right"/>
    </xf>
    <xf numFmtId="9" fontId="8" fillId="0" borderId="0" xfId="2" applyFont="1" applyAlignment="1"/>
    <xf numFmtId="193" fontId="12" fillId="13" borderId="18" xfId="3" applyNumberFormat="1" applyFont="1" applyFill="1" applyBorder="1" applyAlignment="1"/>
    <xf numFmtId="193" fontId="4" fillId="15" borderId="4" xfId="3" applyNumberFormat="1" applyFont="1" applyFill="1" applyBorder="1" applyAlignment="1"/>
    <xf numFmtId="193" fontId="10" fillId="7" borderId="11" xfId="3" applyNumberFormat="1" applyFont="1" applyFill="1" applyBorder="1" applyAlignment="1" applyProtection="1">
      <alignment horizontal="right"/>
      <protection locked="0"/>
    </xf>
    <xf numFmtId="193" fontId="10" fillId="7" borderId="6" xfId="3" applyNumberFormat="1" applyFont="1" applyFill="1" applyBorder="1" applyAlignment="1" applyProtection="1">
      <alignment horizontal="right"/>
      <protection locked="0"/>
    </xf>
    <xf numFmtId="193" fontId="4" fillId="7" borderId="11" xfId="3" applyNumberFormat="1" applyFont="1" applyFill="1" applyBorder="1" applyAlignment="1" applyProtection="1">
      <alignment horizontal="right"/>
      <protection locked="0"/>
    </xf>
    <xf numFmtId="193" fontId="25" fillId="8" borderId="1" xfId="3" applyNumberFormat="1" applyFont="1" applyFill="1" applyBorder="1" applyAlignment="1"/>
    <xf numFmtId="193" fontId="10" fillId="5" borderId="5" xfId="3" applyNumberFormat="1" applyFont="1" applyFill="1" applyBorder="1" applyAlignment="1"/>
    <xf numFmtId="193" fontId="9" fillId="5" borderId="12" xfId="1" applyNumberFormat="1" applyFont="1" applyFill="1" applyBorder="1" applyAlignment="1"/>
    <xf numFmtId="193" fontId="9" fillId="5" borderId="11" xfId="1" applyNumberFormat="1" applyFont="1" applyFill="1" applyBorder="1" applyAlignment="1"/>
    <xf numFmtId="193" fontId="9" fillId="5" borderId="7" xfId="1" applyNumberFormat="1" applyFont="1" applyFill="1" applyBorder="1" applyAlignment="1"/>
    <xf numFmtId="193" fontId="9" fillId="5" borderId="6" xfId="1" applyNumberFormat="1" applyFont="1" applyFill="1" applyBorder="1" applyAlignment="1"/>
    <xf numFmtId="26" fontId="0" fillId="0" borderId="0" xfId="0" applyNumberFormat="1">
      <alignment vertical="center"/>
    </xf>
    <xf numFmtId="193" fontId="0" fillId="0" borderId="0" xfId="0" applyNumberFormat="1">
      <alignment vertical="center"/>
    </xf>
    <xf numFmtId="0" fontId="51" fillId="0" borderId="0" xfId="0" applyFont="1" applyAlignment="1">
      <alignment horizontal="center" vertical="center"/>
    </xf>
    <xf numFmtId="193" fontId="4" fillId="31" borderId="35" xfId="3" applyNumberFormat="1" applyFont="1" applyFill="1" applyBorder="1" applyAlignment="1" applyProtection="1">
      <protection locked="0"/>
    </xf>
    <xf numFmtId="193" fontId="4" fillId="5" borderId="18" xfId="3" applyNumberFormat="1" applyFont="1" applyFill="1" applyBorder="1" applyAlignment="1">
      <alignment horizontal="right"/>
    </xf>
    <xf numFmtId="193" fontId="4" fillId="5" borderId="17" xfId="3" applyNumberFormat="1" applyFont="1" applyFill="1" applyBorder="1" applyAlignment="1">
      <alignment horizontal="right"/>
    </xf>
    <xf numFmtId="193" fontId="10" fillId="14" borderId="18" xfId="3" applyNumberFormat="1" applyFont="1" applyFill="1" applyBorder="1" applyAlignment="1">
      <alignment horizontal="right"/>
    </xf>
    <xf numFmtId="193" fontId="10" fillId="14" borderId="17" xfId="3" applyNumberFormat="1" applyFont="1" applyFill="1" applyBorder="1" applyAlignment="1">
      <alignment horizontal="right"/>
    </xf>
    <xf numFmtId="193" fontId="9" fillId="5" borderId="21" xfId="3" applyNumberFormat="1" applyFont="1" applyFill="1" applyBorder="1" applyAlignment="1">
      <alignment horizontal="right"/>
    </xf>
    <xf numFmtId="193" fontId="11" fillId="0" borderId="12" xfId="3" applyNumberFormat="1" applyFont="1" applyBorder="1" applyAlignment="1"/>
    <xf numFmtId="7" fontId="9" fillId="3" borderId="0" xfId="3" applyNumberFormat="1" applyFont="1" applyFill="1" applyAlignment="1">
      <alignment horizontal="center"/>
    </xf>
    <xf numFmtId="193" fontId="18" fillId="8" borderId="21" xfId="3" applyNumberFormat="1" applyFont="1" applyFill="1" applyBorder="1" applyAlignment="1">
      <alignment horizontal="center"/>
    </xf>
    <xf numFmtId="0" fontId="39" fillId="8" borderId="23" xfId="3" applyFont="1" applyFill="1" applyBorder="1" applyAlignment="1">
      <alignment horizontal="center"/>
    </xf>
    <xf numFmtId="0" fontId="11" fillId="0" borderId="22" xfId="3" applyFont="1" applyBorder="1" applyAlignment="1"/>
    <xf numFmtId="0" fontId="40" fillId="20" borderId="18" xfId="3" applyFont="1" applyFill="1" applyBorder="1" applyAlignment="1">
      <alignment horizontal="center"/>
    </xf>
    <xf numFmtId="0" fontId="40" fillId="20" borderId="17" xfId="3" applyFont="1" applyFill="1" applyBorder="1" applyAlignment="1">
      <alignment horizontal="center"/>
    </xf>
    <xf numFmtId="0" fontId="16" fillId="20" borderId="18" xfId="3" applyFont="1" applyFill="1" applyBorder="1" applyAlignment="1">
      <alignment horizontal="center"/>
    </xf>
    <xf numFmtId="0" fontId="16" fillId="20" borderId="17" xfId="3" applyFont="1" applyFill="1" applyBorder="1" applyAlignment="1">
      <alignment horizontal="center"/>
    </xf>
    <xf numFmtId="0" fontId="11" fillId="0" borderId="17" xfId="3" applyFont="1" applyBorder="1" applyAlignment="1"/>
    <xf numFmtId="0" fontId="13" fillId="8" borderId="21" xfId="3" applyFont="1" applyFill="1" applyBorder="1" applyAlignment="1">
      <alignment horizontal="center"/>
    </xf>
    <xf numFmtId="0" fontId="11" fillId="0" borderId="12" xfId="3" applyFont="1" applyBorder="1" applyAlignment="1"/>
    <xf numFmtId="188" fontId="32" fillId="23" borderId="1" xfId="3" applyNumberFormat="1" applyFont="1" applyFill="1" applyBorder="1" applyAlignment="1" applyProtection="1">
      <alignment horizontal="center"/>
      <protection locked="0"/>
    </xf>
    <xf numFmtId="188" fontId="29" fillId="19" borderId="1" xfId="3" applyNumberFormat="1" applyFont="1" applyFill="1" applyBorder="1" applyAlignment="1" applyProtection="1">
      <protection locked="0"/>
    </xf>
    <xf numFmtId="188" fontId="28" fillId="19" borderId="1" xfId="3" applyNumberFormat="1" applyFont="1" applyFill="1" applyBorder="1" applyAlignment="1" applyProtection="1">
      <protection locked="0"/>
    </xf>
    <xf numFmtId="0" fontId="19" fillId="20" borderId="14" xfId="3" applyFont="1" applyFill="1" applyBorder="1" applyAlignment="1">
      <alignment horizontal="center"/>
    </xf>
    <xf numFmtId="0" fontId="11" fillId="0" borderId="17" xfId="3" applyFont="1" applyBorder="1" applyAlignment="1">
      <alignment horizontal="center"/>
    </xf>
    <xf numFmtId="0" fontId="26" fillId="20" borderId="1" xfId="3" applyFont="1" applyFill="1" applyBorder="1" applyAlignment="1">
      <alignment horizontal="center"/>
    </xf>
    <xf numFmtId="0" fontId="19" fillId="20" borderId="1" xfId="3" applyFont="1" applyFill="1" applyBorder="1" applyAlignment="1">
      <alignment horizontal="center"/>
    </xf>
    <xf numFmtId="0" fontId="19" fillId="5" borderId="14" xfId="3" applyFont="1" applyFill="1" applyBorder="1" applyAlignment="1">
      <alignment horizontal="center"/>
    </xf>
    <xf numFmtId="193" fontId="10" fillId="21" borderId="1" xfId="1" applyNumberFormat="1" applyFont="1" applyFill="1" applyBorder="1" applyAlignment="1">
      <alignment horizontal="center"/>
    </xf>
    <xf numFmtId="193" fontId="17" fillId="24" borderId="1" xfId="3" applyNumberFormat="1" applyFont="1" applyFill="1" applyBorder="1" applyAlignment="1">
      <alignment horizontal="center"/>
    </xf>
    <xf numFmtId="0" fontId="3" fillId="0" borderId="1" xfId="0" applyFont="1" applyBorder="1" applyAlignment="1">
      <alignment horizontal="left" vertical="center"/>
    </xf>
    <xf numFmtId="0" fontId="3" fillId="2" borderId="1" xfId="0" applyFont="1" applyFill="1" applyBorder="1" applyAlignment="1">
      <alignment horizontal="left" vertical="center"/>
    </xf>
    <xf numFmtId="0" fontId="4" fillId="0" borderId="3" xfId="0" applyFont="1" applyBorder="1" applyAlignment="1">
      <alignment horizontal="left" vertical="center"/>
    </xf>
    <xf numFmtId="176" fontId="30" fillId="2" borderId="30" xfId="0" applyNumberFormat="1" applyFont="1" applyFill="1" applyBorder="1" applyAlignment="1" applyProtection="1">
      <alignment horizontal="center" vertical="center"/>
      <protection locked="0"/>
    </xf>
    <xf numFmtId="176" fontId="30" fillId="2" borderId="32" xfId="0" applyNumberFormat="1" applyFont="1" applyFill="1" applyBorder="1" applyAlignment="1" applyProtection="1">
      <alignment horizontal="center" vertical="center"/>
      <protection locked="0"/>
    </xf>
    <xf numFmtId="0" fontId="3" fillId="0" borderId="2" xfId="0" applyFont="1" applyBorder="1" applyAlignment="1">
      <alignment horizontal="left" vertical="center"/>
    </xf>
    <xf numFmtId="0" fontId="3" fillId="17" borderId="1" xfId="0" applyFont="1" applyFill="1" applyBorder="1" applyAlignment="1">
      <alignment horizontal="left" vertical="center"/>
    </xf>
    <xf numFmtId="0" fontId="4" fillId="0" borderId="1" xfId="0" applyFont="1" applyBorder="1" applyAlignment="1">
      <alignment horizontal="left" vertical="center"/>
    </xf>
    <xf numFmtId="0" fontId="4" fillId="2" borderId="30" xfId="0"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protection locked="0"/>
    </xf>
    <xf numFmtId="10" fontId="5" fillId="3" borderId="1" xfId="2" applyNumberFormat="1" applyFont="1" applyFill="1" applyBorder="1" applyAlignment="1" applyProtection="1">
      <alignment horizontal="center" vertical="center"/>
      <protection locked="0"/>
    </xf>
    <xf numFmtId="6" fontId="20" fillId="28" borderId="1" xfId="1" applyFont="1" applyFill="1" applyBorder="1" applyAlignment="1" applyProtection="1">
      <alignment horizontal="center"/>
      <protection locked="0"/>
    </xf>
    <xf numFmtId="0" fontId="19" fillId="8" borderId="14" xfId="3" applyFont="1" applyFill="1" applyBorder="1" applyAlignment="1">
      <alignment horizontal="center"/>
    </xf>
    <xf numFmtId="181" fontId="16" fillId="7" borderId="11" xfId="3" applyNumberFormat="1" applyFont="1" applyFill="1" applyBorder="1" applyAlignment="1" applyProtection="1">
      <alignment horizontal="right"/>
      <protection locked="0"/>
    </xf>
    <xf numFmtId="0" fontId="23" fillId="0" borderId="12" xfId="3" applyFont="1" applyBorder="1" applyAlignment="1" applyProtection="1">
      <protection locked="0"/>
    </xf>
    <xf numFmtId="10" fontId="4" fillId="22" borderId="21" xfId="3" applyNumberFormat="1" applyFont="1" applyFill="1" applyBorder="1" applyAlignment="1"/>
    <xf numFmtId="0" fontId="11" fillId="21" borderId="11" xfId="3" applyFont="1" applyFill="1" applyBorder="1" applyAlignment="1"/>
    <xf numFmtId="187" fontId="16" fillId="21" borderId="3" xfId="3" applyNumberFormat="1" applyFont="1" applyFill="1" applyBorder="1" applyAlignment="1">
      <alignment horizontal="right"/>
    </xf>
    <xf numFmtId="181" fontId="14" fillId="5" borderId="1" xfId="3" applyNumberFormat="1" applyFont="1" applyFill="1" applyBorder="1" applyAlignment="1">
      <alignment horizontal="center"/>
    </xf>
    <xf numFmtId="181" fontId="27" fillId="5" borderId="1" xfId="3" applyNumberFormat="1" applyFont="1" applyFill="1" applyBorder="1" applyAlignment="1">
      <alignment horizontal="center"/>
    </xf>
    <xf numFmtId="188" fontId="32" fillId="23" borderId="29" xfId="3" applyNumberFormat="1" applyFont="1" applyFill="1" applyBorder="1" applyAlignment="1" applyProtection="1">
      <alignment horizontal="center" vertical="center"/>
      <protection locked="0"/>
    </xf>
    <xf numFmtId="188" fontId="29" fillId="19" borderId="28" xfId="3" applyNumberFormat="1" applyFont="1" applyFill="1" applyBorder="1" applyAlignment="1" applyProtection="1">
      <protection locked="0"/>
    </xf>
    <xf numFmtId="188" fontId="28" fillId="19" borderId="27" xfId="3" applyNumberFormat="1" applyFont="1" applyFill="1" applyBorder="1" applyAlignment="1" applyProtection="1">
      <protection locked="0"/>
    </xf>
    <xf numFmtId="188" fontId="29" fillId="19" borderId="26" xfId="3" applyNumberFormat="1" applyFont="1" applyFill="1" applyBorder="1" applyAlignment="1" applyProtection="1">
      <protection locked="0"/>
    </xf>
    <xf numFmtId="188" fontId="29" fillId="19" borderId="25" xfId="3" applyNumberFormat="1" applyFont="1" applyFill="1" applyBorder="1" applyAlignment="1" applyProtection="1">
      <protection locked="0"/>
    </xf>
    <xf numFmtId="188" fontId="28" fillId="19" borderId="24" xfId="3" applyNumberFormat="1" applyFont="1" applyFill="1" applyBorder="1" applyAlignment="1" applyProtection="1">
      <protection locked="0"/>
    </xf>
    <xf numFmtId="0" fontId="19" fillId="20" borderId="18" xfId="3" applyFont="1" applyFill="1" applyBorder="1" applyAlignment="1"/>
    <xf numFmtId="0" fontId="11" fillId="0" borderId="14" xfId="3" applyFont="1" applyBorder="1" applyAlignment="1"/>
    <xf numFmtId="0" fontId="30" fillId="20" borderId="1" xfId="3" applyFont="1" applyFill="1" applyBorder="1" applyAlignment="1">
      <alignment horizontal="center"/>
    </xf>
    <xf numFmtId="0" fontId="19" fillId="5" borderId="1" xfId="3" applyFont="1" applyFill="1" applyBorder="1" applyAlignment="1">
      <alignment horizontal="center" vertical="center"/>
    </xf>
    <xf numFmtId="0" fontId="13" fillId="5" borderId="21" xfId="3" applyFont="1" applyFill="1" applyBorder="1" applyAlignment="1">
      <alignment horizontal="center"/>
    </xf>
    <xf numFmtId="9" fontId="6" fillId="7" borderId="18" xfId="3" applyNumberFormat="1" applyFont="1" applyFill="1" applyBorder="1" applyAlignment="1" applyProtection="1">
      <alignment horizontal="center"/>
      <protection locked="0"/>
    </xf>
    <xf numFmtId="0" fontId="11" fillId="0" borderId="17" xfId="3" applyFont="1" applyBorder="1" applyAlignment="1" applyProtection="1">
      <protection locked="0"/>
    </xf>
    <xf numFmtId="181" fontId="10" fillId="14" borderId="18" xfId="3" applyNumberFormat="1" applyFont="1" applyFill="1" applyBorder="1" applyAlignment="1">
      <alignment horizontal="right"/>
    </xf>
    <xf numFmtId="181" fontId="10" fillId="14" borderId="17" xfId="3" applyNumberFormat="1" applyFont="1" applyFill="1" applyBorder="1" applyAlignment="1">
      <alignment horizontal="right"/>
    </xf>
    <xf numFmtId="181" fontId="9" fillId="5" borderId="21" xfId="3" applyNumberFormat="1" applyFont="1" applyFill="1" applyBorder="1" applyAlignment="1">
      <alignment horizontal="right"/>
    </xf>
    <xf numFmtId="0" fontId="17" fillId="5" borderId="1" xfId="3" applyFont="1" applyFill="1" applyBorder="1" applyAlignment="1">
      <alignment horizontal="center" vertical="center"/>
    </xf>
    <xf numFmtId="186" fontId="17" fillId="18" borderId="1" xfId="3" applyNumberFormat="1" applyFont="1" applyFill="1" applyBorder="1" applyAlignment="1" applyProtection="1">
      <alignment horizontal="center"/>
      <protection locked="0"/>
    </xf>
    <xf numFmtId="185" fontId="17" fillId="18" borderId="1" xfId="3" applyNumberFormat="1" applyFont="1" applyFill="1" applyBorder="1" applyAlignment="1" applyProtection="1">
      <alignment horizontal="center"/>
      <protection locked="0"/>
    </xf>
    <xf numFmtId="181" fontId="18" fillId="5" borderId="21" xfId="3" applyNumberFormat="1" applyFont="1" applyFill="1" applyBorder="1" applyAlignment="1">
      <alignment horizontal="center"/>
    </xf>
    <xf numFmtId="184" fontId="17" fillId="17" borderId="1" xfId="3" applyNumberFormat="1" applyFont="1" applyFill="1" applyBorder="1" applyAlignment="1">
      <alignment horizontal="center"/>
    </xf>
    <xf numFmtId="0" fontId="24" fillId="5" borderId="23" xfId="3" applyFont="1" applyFill="1" applyBorder="1" applyAlignment="1">
      <alignment horizontal="center"/>
    </xf>
    <xf numFmtId="0" fontId="23" fillId="0" borderId="22" xfId="3" applyFont="1" applyBorder="1" applyAlignment="1"/>
    <xf numFmtId="0" fontId="20" fillId="20" borderId="18" xfId="3" applyFont="1" applyFill="1" applyBorder="1" applyAlignment="1">
      <alignment horizontal="center"/>
    </xf>
    <xf numFmtId="0" fontId="21" fillId="20" borderId="18" xfId="3" applyFont="1" applyFill="1" applyBorder="1" applyAlignment="1">
      <alignment horizontal="center"/>
    </xf>
    <xf numFmtId="0" fontId="21" fillId="20" borderId="17" xfId="3" applyFont="1" applyFill="1" applyBorder="1" applyAlignment="1">
      <alignment horizontal="center"/>
    </xf>
    <xf numFmtId="0" fontId="16" fillId="9" borderId="1" xfId="3" applyFont="1" applyFill="1" applyBorder="1" applyAlignment="1">
      <alignment horizontal="center"/>
    </xf>
    <xf numFmtId="181" fontId="17" fillId="5" borderId="1" xfId="3" applyNumberFormat="1" applyFont="1" applyFill="1" applyBorder="1" applyAlignment="1">
      <alignment horizontal="center"/>
    </xf>
    <xf numFmtId="0" fontId="17" fillId="16" borderId="1" xfId="3" applyFont="1" applyFill="1" applyBorder="1" applyAlignment="1">
      <alignment horizontal="center"/>
    </xf>
    <xf numFmtId="181" fontId="17" fillId="16" borderId="1" xfId="3" applyNumberFormat="1" applyFont="1" applyFill="1" applyBorder="1" applyAlignment="1">
      <alignment horizontal="center"/>
    </xf>
    <xf numFmtId="0" fontId="9" fillId="7" borderId="1" xfId="3" applyFont="1" applyFill="1" applyBorder="1" applyAlignment="1" applyProtection="1">
      <alignment horizontal="center"/>
      <protection locked="0"/>
    </xf>
    <xf numFmtId="0" fontId="14" fillId="7" borderId="1" xfId="3" applyFont="1" applyFill="1" applyBorder="1" applyAlignment="1" applyProtection="1">
      <alignment horizontal="center"/>
      <protection locked="0"/>
    </xf>
    <xf numFmtId="193" fontId="14" fillId="5" borderId="1" xfId="3" applyNumberFormat="1" applyFont="1" applyFill="1" applyBorder="1" applyAlignment="1">
      <alignment horizontal="center"/>
    </xf>
    <xf numFmtId="193" fontId="27" fillId="5" borderId="1" xfId="3" applyNumberFormat="1" applyFont="1" applyFill="1" applyBorder="1" applyAlignment="1">
      <alignment horizontal="center"/>
    </xf>
    <xf numFmtId="193" fontId="16" fillId="7" borderId="11" xfId="3" applyNumberFormat="1" applyFont="1" applyFill="1" applyBorder="1" applyAlignment="1" applyProtection="1">
      <alignment horizontal="right"/>
      <protection locked="0"/>
    </xf>
    <xf numFmtId="193" fontId="23" fillId="0" borderId="12" xfId="3" applyNumberFormat="1" applyFont="1" applyBorder="1" applyAlignment="1" applyProtection="1">
      <protection locked="0"/>
    </xf>
    <xf numFmtId="193" fontId="16" fillId="21" borderId="3" xfId="3" applyNumberFormat="1" applyFont="1" applyFill="1" applyBorder="1" applyAlignment="1">
      <alignment horizontal="right"/>
    </xf>
    <xf numFmtId="181" fontId="4" fillId="5" borderId="18" xfId="3" applyNumberFormat="1" applyFont="1" applyFill="1" applyBorder="1" applyAlignment="1">
      <alignment horizontal="right"/>
    </xf>
    <xf numFmtId="181" fontId="4" fillId="5" borderId="17" xfId="3" applyNumberFormat="1" applyFont="1" applyFill="1" applyBorder="1" applyAlignment="1">
      <alignment horizontal="right"/>
    </xf>
    <xf numFmtId="181" fontId="18" fillId="8" borderId="21" xfId="3" applyNumberFormat="1" applyFont="1" applyFill="1" applyBorder="1" applyAlignment="1">
      <alignment horizontal="center"/>
    </xf>
    <xf numFmtId="187" fontId="10" fillId="21" borderId="1" xfId="3" applyNumberFormat="1" applyFont="1" applyFill="1" applyBorder="1" applyAlignment="1">
      <alignment horizontal="center"/>
    </xf>
    <xf numFmtId="181" fontId="17" fillId="24" borderId="1" xfId="3" applyNumberFormat="1" applyFont="1" applyFill="1" applyBorder="1" applyAlignment="1">
      <alignment horizontal="center"/>
    </xf>
  </cellXfs>
  <cellStyles count="8">
    <cellStyle name="パーセント" xfId="2" builtinId="5"/>
    <cellStyle name="パーセント 2" xfId="7" xr:uid="{0478F7EE-653D-EC42-B44D-48714FB39140}"/>
    <cellStyle name="ハイパーリンク" xfId="4" builtinId="8"/>
    <cellStyle name="ハイパーリンク 2" xfId="5" xr:uid="{D8787181-202E-F44F-87DB-B701A7F785F8}"/>
    <cellStyle name="通貨" xfId="1" builtinId="7"/>
    <cellStyle name="通貨 2" xfId="6" xr:uid="{3F6ECA3B-0C10-AE41-A8ED-634C54715FC9}"/>
    <cellStyle name="標準" xfId="0" builtinId="0"/>
    <cellStyle name="標準 2" xfId="3" xr:uid="{D7E537D5-582C-924A-B81E-7D132994B215}"/>
  </cellStyles>
  <dxfs count="30">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ont>
        <b/>
        <i/>
        <u val="none"/>
      </font>
      <fill>
        <patternFill>
          <bgColor theme="7"/>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color rgb="FF9C0006"/>
      </font>
      <fill>
        <patternFill>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
      <font>
        <color rgb="FF9C0006"/>
      </font>
      <fill>
        <patternFill>
          <bgColor rgb="FFFFC7CE"/>
        </patternFill>
      </fill>
    </dxf>
    <dxf>
      <font>
        <b/>
        <i/>
        <color rgb="FF000000"/>
      </font>
      <fill>
        <patternFill patternType="solid">
          <fgColor rgb="FFF3F3F3"/>
          <bgColor rgb="FFF3F3F3"/>
        </patternFill>
      </fill>
    </dxf>
    <dxf>
      <font>
        <color rgb="FFFF0000"/>
      </font>
      <fill>
        <patternFill patternType="solid">
          <fgColor rgb="FFF3F3F3"/>
          <bgColor rgb="FFF3F3F3"/>
        </patternFill>
      </fill>
    </dxf>
    <dxf>
      <fill>
        <patternFill patternType="solid">
          <fgColor rgb="FFCFE2F3"/>
          <bgColor rgb="FFCFE2F3"/>
        </patternFill>
      </fill>
    </dxf>
    <dxf>
      <fill>
        <patternFill patternType="solid">
          <fgColor rgb="FFF4CCCC"/>
          <bgColor rgb="FFF4CCCC"/>
        </patternFill>
      </fill>
    </dxf>
    <dxf>
      <font>
        <color rgb="FF000000"/>
      </font>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D31F-1F7B-004B-8ACC-442B8F54D8BB}">
  <sheetPr>
    <pageSetUpPr fitToPage="1"/>
  </sheetPr>
  <dimension ref="A2:R82"/>
  <sheetViews>
    <sheetView tabSelected="1" topLeftCell="A14" zoomScale="75" workbookViewId="0">
      <selection activeCell="C16" sqref="C16"/>
    </sheetView>
  </sheetViews>
  <sheetFormatPr baseColWidth="10" defaultRowHeight="20" outlineLevelRow="1" outlineLevelCol="1"/>
  <cols>
    <col min="1" max="1" width="10.7109375" style="5"/>
    <col min="2" max="2" width="23" style="6" customWidth="1"/>
    <col min="3" max="3" width="19.140625" style="5" customWidth="1"/>
    <col min="4" max="4" width="13.140625" style="5" customWidth="1"/>
    <col min="5" max="5" width="22.28515625" style="6" customWidth="1"/>
    <col min="6" max="6" width="12.7109375" style="5" bestFit="1" customWidth="1"/>
    <col min="7" max="7" width="10.7109375" style="5"/>
    <col min="8" max="8" width="13.7109375" style="5" customWidth="1"/>
    <col min="9" max="9" width="12.85546875" style="5" customWidth="1"/>
    <col min="10" max="10" width="15.140625" style="5" customWidth="1"/>
    <col min="11" max="11" width="14.85546875" style="5" customWidth="1"/>
    <col min="12" max="12" width="10.85546875" style="5" bestFit="1" customWidth="1"/>
    <col min="13" max="13" width="14.85546875" style="5" customWidth="1"/>
    <col min="14" max="14" width="20.7109375" style="5" hidden="1" customWidth="1" outlineLevel="1"/>
    <col min="15" max="15" width="19.28515625" style="5" hidden="1" customWidth="1" outlineLevel="1"/>
    <col min="16" max="17" width="0" style="5" hidden="1" customWidth="1" outlineLevel="1"/>
    <col min="18" max="18" width="10.7109375" style="5" collapsed="1"/>
    <col min="19" max="16384" width="10.7109375" style="5"/>
  </cols>
  <sheetData>
    <row r="2" spans="1:17">
      <c r="A2" s="4" t="s">
        <v>1</v>
      </c>
      <c r="B2" s="302">
        <v>45870</v>
      </c>
      <c r="C2" s="301">
        <f>MONTH(B2)</f>
        <v>8</v>
      </c>
    </row>
    <row r="3" spans="1:17" ht="25" customHeight="1" outlineLevel="1">
      <c r="B3" s="386">
        <f>B15</f>
        <v>45892</v>
      </c>
      <c r="C3" s="387"/>
      <c r="D3" s="293" t="str">
        <f>TEXT(B3, "aaa")</f>
        <v>土</v>
      </c>
    </row>
    <row r="4" spans="1:17" ht="27" customHeight="1" outlineLevel="1">
      <c r="B4" s="133" t="s">
        <v>3</v>
      </c>
      <c r="C4" s="300">
        <f>_xlfn.XLOOKUP(D3, B7:B12, C7:C12, "該当なし")</f>
        <v>0</v>
      </c>
      <c r="E4" s="5"/>
      <c r="J4" s="4"/>
      <c r="L4" s="6"/>
    </row>
    <row r="5" spans="1:17" outlineLevel="1">
      <c r="C5" s="9"/>
      <c r="E5" s="5"/>
      <c r="J5" s="4"/>
    </row>
    <row r="6" spans="1:17" outlineLevel="1">
      <c r="B6" s="391" t="s">
        <v>99</v>
      </c>
      <c r="C6" s="392"/>
      <c r="D6" s="389" t="s">
        <v>101</v>
      </c>
      <c r="E6" s="389"/>
      <c r="F6" s="389"/>
      <c r="G6" s="389" t="s">
        <v>109</v>
      </c>
      <c r="H6" s="389"/>
      <c r="I6" s="389"/>
      <c r="J6" s="389"/>
    </row>
    <row r="7" spans="1:17" outlineLevel="1">
      <c r="B7" s="132" t="s">
        <v>116</v>
      </c>
      <c r="C7" s="122">
        <f>SUMIFS('2025(¥)'!$AE$22:$AE$104, '2025(¥)'!$AA$22:$AA$104, MONTH($B$2), '2025(¥)'!$AB$22:$AB$104, B7)</f>
        <v>0</v>
      </c>
      <c r="D7" s="384" t="s">
        <v>103</v>
      </c>
      <c r="E7" s="384"/>
      <c r="F7" s="384"/>
      <c r="G7" s="384" t="s">
        <v>110</v>
      </c>
      <c r="H7" s="384"/>
      <c r="I7" s="384"/>
      <c r="J7" s="384"/>
    </row>
    <row r="8" spans="1:17" outlineLevel="1">
      <c r="B8" s="132" t="s">
        <v>117</v>
      </c>
      <c r="C8" s="122">
        <f>SUMIFS('2025(¥)'!$AE$22:$AE$104, '2025(¥)'!$AA$22:$AA$104, MONTH($B$2), '2025(¥)'!$AB$22:$AB$104, B8)</f>
        <v>0</v>
      </c>
      <c r="D8" s="384" t="s">
        <v>104</v>
      </c>
      <c r="E8" s="384"/>
      <c r="F8" s="384"/>
      <c r="G8" s="384" t="s">
        <v>111</v>
      </c>
      <c r="H8" s="384"/>
      <c r="I8" s="384"/>
      <c r="J8" s="384"/>
    </row>
    <row r="9" spans="1:17" outlineLevel="1">
      <c r="B9" s="132" t="s">
        <v>118</v>
      </c>
      <c r="C9" s="122">
        <f>SUMIFS('2025(¥)'!$AE$22:$AE$104, '2025(¥)'!$AA$22:$AA$104, MONTH($B$2), '2025(¥)'!$AB$22:$AB$104, B9)</f>
        <v>0</v>
      </c>
      <c r="D9" s="384" t="s">
        <v>100</v>
      </c>
      <c r="E9" s="384"/>
      <c r="F9" s="384"/>
      <c r="G9" s="384" t="s">
        <v>102</v>
      </c>
      <c r="H9" s="384"/>
      <c r="I9" s="384"/>
      <c r="J9" s="384"/>
    </row>
    <row r="10" spans="1:17" outlineLevel="1">
      <c r="B10" s="132" t="s">
        <v>120</v>
      </c>
      <c r="C10" s="122">
        <f>SUMIFS('2025(¥)'!$AE$22:$AE$104, '2025(¥)'!$AA$22:$AA$104, MONTH($B$2), '2025(¥)'!$AB$22:$AB$104, B10)</f>
        <v>0</v>
      </c>
      <c r="D10" s="384" t="s">
        <v>106</v>
      </c>
      <c r="E10" s="384"/>
      <c r="F10" s="384"/>
      <c r="G10" s="384" t="s">
        <v>113</v>
      </c>
      <c r="H10" s="384"/>
      <c r="I10" s="384"/>
      <c r="J10" s="384"/>
    </row>
    <row r="11" spans="1:17" outlineLevel="1">
      <c r="B11" s="132" t="s">
        <v>119</v>
      </c>
      <c r="C11" s="122">
        <f>SUMIFS('2025(¥)'!$AE$22:$AE$104, '2025(¥)'!$AA$22:$AA$104, MONTH($B$2), '2025(¥)'!$AB$22:$AB$104, B11)</f>
        <v>0</v>
      </c>
      <c r="D11" s="384" t="s">
        <v>107</v>
      </c>
      <c r="E11" s="384"/>
      <c r="F11" s="384"/>
      <c r="G11" s="384" t="s">
        <v>108</v>
      </c>
      <c r="H11" s="384"/>
      <c r="I11" s="384"/>
      <c r="J11" s="384"/>
    </row>
    <row r="12" spans="1:17" outlineLevel="1">
      <c r="B12" s="132" t="s">
        <v>121</v>
      </c>
      <c r="C12" s="122">
        <f>SUMIFS('2025(¥)'!$AE$22:$AE$104, '2025(¥)'!$AA$22:$AA$104, MONTH($B$2), '2025(¥)'!$AB$22:$AB$104, B12)</f>
        <v>0</v>
      </c>
      <c r="D12" s="384" t="s">
        <v>105</v>
      </c>
      <c r="E12" s="384"/>
      <c r="F12" s="384"/>
      <c r="G12" s="384" t="s">
        <v>112</v>
      </c>
      <c r="H12" s="384"/>
      <c r="I12" s="384"/>
      <c r="J12" s="384"/>
    </row>
    <row r="13" spans="1:17" outlineLevel="1">
      <c r="B13" s="116"/>
      <c r="C13" s="116"/>
      <c r="D13" s="116"/>
      <c r="E13" s="117"/>
      <c r="F13" s="116"/>
      <c r="J13" s="4"/>
    </row>
    <row r="14" spans="1:17">
      <c r="B14" s="5"/>
      <c r="J14" s="4"/>
    </row>
    <row r="15" spans="1:17" ht="26">
      <c r="A15" s="4"/>
      <c r="B15" s="290">
        <v>45892</v>
      </c>
      <c r="C15" s="292" t="str">
        <f>TEXT(B15, "aaa")</f>
        <v>土</v>
      </c>
      <c r="D15" s="8"/>
      <c r="J15" s="4"/>
    </row>
    <row r="16" spans="1:17">
      <c r="A16" s="4" t="s">
        <v>10</v>
      </c>
      <c r="B16" s="289" t="s">
        <v>0</v>
      </c>
      <c r="C16" s="294">
        <f>_xlfn.XLOOKUP(B15, '2025(¥)'!F21:F385,'2025(¥)'!J21:J385,"該当なし")</f>
        <v>114770</v>
      </c>
      <c r="E16" s="120" t="s">
        <v>16</v>
      </c>
      <c r="F16" s="295">
        <f>INDEX('2025(¥)'!I7:I18, MATCH(MONTH(B2), '2025(¥)'!R7:R18, 0))</f>
        <v>5034965.0349650355</v>
      </c>
      <c r="H16" s="288"/>
      <c r="N16" s="112" t="s">
        <v>17</v>
      </c>
      <c r="O16" s="390" t="s">
        <v>18</v>
      </c>
      <c r="P16" s="390"/>
      <c r="Q16" s="390"/>
    </row>
    <row r="17" spans="1:17">
      <c r="A17" s="4"/>
      <c r="B17" s="120" t="s">
        <v>97</v>
      </c>
      <c r="C17" s="295">
        <f>INDEX('2025(¥)'!K7:K18, MATCH(C2, '2025(¥)'!R7:R18, 0))</f>
        <v>251748.25174825179</v>
      </c>
      <c r="E17" s="120" t="s">
        <v>204</v>
      </c>
      <c r="F17" s="122">
        <f>C22</f>
        <v>3248670</v>
      </c>
      <c r="N17" s="112"/>
      <c r="O17" s="11"/>
      <c r="P17" s="11"/>
      <c r="Q17" s="11"/>
    </row>
    <row r="18" spans="1:17">
      <c r="B18" s="121" t="s">
        <v>3</v>
      </c>
      <c r="C18" s="295">
        <f>_xlfn.XLOOKUP(C15, B7:B12, C7:C12, "該当なし")</f>
        <v>0</v>
      </c>
      <c r="E18" s="120" t="s">
        <v>4</v>
      </c>
      <c r="F18" s="122">
        <f>F16-F17</f>
        <v>1786295.0349650355</v>
      </c>
      <c r="N18" s="1" t="s">
        <v>19</v>
      </c>
      <c r="O18" s="383" t="s">
        <v>20</v>
      </c>
      <c r="P18" s="383"/>
      <c r="Q18" s="383"/>
    </row>
    <row r="19" spans="1:17">
      <c r="B19" s="118" t="s">
        <v>4</v>
      </c>
      <c r="C19" s="122">
        <f>C16-C18</f>
        <v>114770</v>
      </c>
      <c r="E19" s="120" t="s">
        <v>14</v>
      </c>
      <c r="F19" s="119" cm="1">
        <f t="array" ref="F19">(SUMPRODUCT(('2025(¥)'!F21:F385&gt;=B15)*('2025(¥)'!E21:E385=C2)*('2025(¥)'!D21:D385=1)))-1</f>
        <v>6</v>
      </c>
      <c r="N19" s="1" t="s">
        <v>21</v>
      </c>
      <c r="O19" s="383" t="s">
        <v>22</v>
      </c>
      <c r="P19" s="383"/>
      <c r="Q19" s="383"/>
    </row>
    <row r="20" spans="1:17">
      <c r="B20" s="118" t="s">
        <v>5</v>
      </c>
      <c r="C20" s="296">
        <f>IFERROR(C16/C18,0)</f>
        <v>0</v>
      </c>
      <c r="E20" s="120" t="s">
        <v>208</v>
      </c>
      <c r="F20" s="122">
        <f>IFERROR(F18/F19,0)</f>
        <v>297715.83916083927</v>
      </c>
      <c r="N20" s="1" t="s">
        <v>23</v>
      </c>
      <c r="O20" s="383" t="s">
        <v>24</v>
      </c>
      <c r="P20" s="383"/>
      <c r="Q20" s="383"/>
    </row>
    <row r="21" spans="1:17" ht="6" customHeight="1">
      <c r="E21" s="5"/>
      <c r="N21" s="1" t="s">
        <v>25</v>
      </c>
      <c r="O21" s="383" t="s">
        <v>26</v>
      </c>
      <c r="P21" s="383"/>
      <c r="Q21" s="383"/>
    </row>
    <row r="22" spans="1:17" ht="21" thickBot="1">
      <c r="A22" s="7" t="s">
        <v>6</v>
      </c>
      <c r="B22" s="118" t="s">
        <v>7</v>
      </c>
      <c r="C22" s="297">
        <f>_xlfn.XLOOKUP(B15, '2025(¥)'!F21:F385,'2025(¥)'!Q21:Q385,"該当なし")</f>
        <v>3248670</v>
      </c>
      <c r="N22" s="113" t="s">
        <v>27</v>
      </c>
      <c r="O22" s="388" t="s">
        <v>28</v>
      </c>
      <c r="P22" s="388"/>
      <c r="Q22" s="388"/>
    </row>
    <row r="23" spans="1:17" ht="21" thickTop="1">
      <c r="B23" s="118" t="s">
        <v>8</v>
      </c>
      <c r="C23" s="297">
        <f>_xlfn.XLOOKUP(B15, '2025(¥)'!F21:F385,'2025(¥)'!P21:P385,"該当なし")</f>
        <v>3521812.1571097486</v>
      </c>
      <c r="N23" s="114" t="s">
        <v>29</v>
      </c>
      <c r="O23" s="385" t="s">
        <v>30</v>
      </c>
      <c r="P23" s="385"/>
      <c r="Q23" s="385"/>
    </row>
    <row r="24" spans="1:17">
      <c r="B24" s="118" t="s">
        <v>4</v>
      </c>
      <c r="C24" s="122">
        <f>C22-C23</f>
        <v>-273142.15710974857</v>
      </c>
      <c r="N24" s="112" t="s">
        <v>31</v>
      </c>
      <c r="O24" s="383" t="s">
        <v>32</v>
      </c>
      <c r="P24" s="383"/>
      <c r="Q24" s="383"/>
    </row>
    <row r="25" spans="1:17">
      <c r="B25" s="118" t="s">
        <v>5</v>
      </c>
      <c r="C25" s="296">
        <f>IFERROR(C22/C23,0)</f>
        <v>0.92244272410771944</v>
      </c>
      <c r="N25" s="112" t="s">
        <v>28</v>
      </c>
      <c r="O25" s="383" t="s">
        <v>33</v>
      </c>
      <c r="P25" s="383"/>
      <c r="Q25" s="383"/>
    </row>
    <row r="26" spans="1:17" ht="6" customHeight="1">
      <c r="N26" s="112" t="s">
        <v>34</v>
      </c>
      <c r="O26" s="383" t="s">
        <v>35</v>
      </c>
      <c r="P26" s="383"/>
      <c r="Q26" s="383"/>
    </row>
    <row r="27" spans="1:17">
      <c r="A27" s="7" t="s">
        <v>9</v>
      </c>
      <c r="B27" s="118" t="s">
        <v>7</v>
      </c>
      <c r="C27" s="297">
        <f>_xlfn.XLOOKUP(B15, '2025(¥)'!F21:F385,'2025(¥)'!V21:V385,"該当なし")</f>
        <v>45999488.041958049</v>
      </c>
    </row>
    <row r="28" spans="1:17">
      <c r="B28" s="118" t="s">
        <v>8</v>
      </c>
      <c r="C28" s="297">
        <f>_xlfn.XLOOKUP(B15, '2025(¥)'!F21:F385,'2025(¥)'!U21:U385,"該当なし")</f>
        <v>44091042.92634052</v>
      </c>
    </row>
    <row r="29" spans="1:17">
      <c r="B29" s="118" t="s">
        <v>4</v>
      </c>
      <c r="C29" s="122">
        <f>C27-C28</f>
        <v>1908445.1156175286</v>
      </c>
    </row>
    <row r="30" spans="1:17">
      <c r="B30" s="118" t="s">
        <v>5</v>
      </c>
      <c r="C30" s="296">
        <f>IFERROR(C27/C28,0)</f>
        <v>1.0432841908231978</v>
      </c>
    </row>
    <row r="31" spans="1:17" ht="6" customHeight="1"/>
    <row r="32" spans="1:17">
      <c r="B32" s="118" t="s">
        <v>13</v>
      </c>
      <c r="C32" s="297">
        <f>'2025(¥)'!G3</f>
        <v>72000000</v>
      </c>
    </row>
    <row r="33" spans="2:10">
      <c r="B33" s="118" t="s">
        <v>15</v>
      </c>
      <c r="C33" s="122">
        <f>C32-C27</f>
        <v>26000511.958041951</v>
      </c>
    </row>
    <row r="34" spans="2:10">
      <c r="B34" s="118" t="s">
        <v>206</v>
      </c>
      <c r="C34" s="119" cm="1">
        <f t="array" ref="C34">(SUMPRODUCT(('2025(¥)'!F21:F385&gt;=B15)*('2025(¥)'!D21:D385=1)))-1</f>
        <v>103</v>
      </c>
    </row>
    <row r="35" spans="2:10">
      <c r="B35" s="291" t="s">
        <v>207</v>
      </c>
      <c r="C35" s="298">
        <f>IFERROR(C33/C34,0)</f>
        <v>252432.15493244614</v>
      </c>
    </row>
    <row r="36" spans="2:10">
      <c r="B36" s="118" t="s">
        <v>205</v>
      </c>
      <c r="C36" s="299">
        <f>1-(C33/C32)</f>
        <v>0.63888177836052851</v>
      </c>
    </row>
    <row r="38" spans="2:10" hidden="1" outlineLevel="1">
      <c r="B38" s="253" t="s">
        <v>95</v>
      </c>
      <c r="C38" s="254"/>
      <c r="D38" s="254"/>
      <c r="E38" s="254"/>
      <c r="F38" s="255"/>
    </row>
    <row r="39" spans="2:10" hidden="1" outlineLevel="1">
      <c r="B39" s="10" t="s">
        <v>36</v>
      </c>
      <c r="C39" s="10" t="s">
        <v>37</v>
      </c>
      <c r="D39" s="10" t="s">
        <v>38</v>
      </c>
      <c r="E39" s="10" t="s">
        <v>39</v>
      </c>
      <c r="F39" s="10" t="s">
        <v>40</v>
      </c>
    </row>
    <row r="40" spans="2:10" hidden="1" outlineLevel="1">
      <c r="B40" s="12" t="s">
        <v>122</v>
      </c>
      <c r="C40" s="12">
        <v>4</v>
      </c>
      <c r="D40" s="3">
        <v>0.1193</v>
      </c>
      <c r="E40" s="2">
        <v>894636</v>
      </c>
      <c r="F40" s="2">
        <v>223659</v>
      </c>
    </row>
    <row r="41" spans="2:10" hidden="1" outlineLevel="1">
      <c r="B41" s="12" t="s">
        <v>123</v>
      </c>
      <c r="C41" s="12">
        <v>5</v>
      </c>
      <c r="D41" s="3">
        <v>0.1404</v>
      </c>
      <c r="E41" s="2">
        <v>1053371</v>
      </c>
      <c r="F41" s="2">
        <v>210674</v>
      </c>
    </row>
    <row r="42" spans="2:10" hidden="1" outlineLevel="1">
      <c r="B42" s="12" t="s">
        <v>124</v>
      </c>
      <c r="C42" s="12">
        <v>5</v>
      </c>
      <c r="D42" s="3">
        <v>0.20349999999999999</v>
      </c>
      <c r="E42" s="2">
        <v>1526394</v>
      </c>
      <c r="F42" s="2">
        <v>305279</v>
      </c>
    </row>
    <row r="43" spans="2:10" hidden="1" outlineLevel="1">
      <c r="B43" s="12" t="s">
        <v>125</v>
      </c>
      <c r="C43" s="12">
        <v>5</v>
      </c>
      <c r="D43" s="3">
        <v>0.2281</v>
      </c>
      <c r="E43" s="2">
        <v>1710568</v>
      </c>
      <c r="F43" s="2">
        <v>342114</v>
      </c>
    </row>
    <row r="44" spans="2:10" hidden="1" outlineLevel="1">
      <c r="B44" s="12" t="s">
        <v>126</v>
      </c>
      <c r="C44" s="12">
        <v>4</v>
      </c>
      <c r="D44" s="3">
        <v>0.21890000000000001</v>
      </c>
      <c r="E44" s="2">
        <v>1641933</v>
      </c>
      <c r="F44" s="2">
        <v>410483</v>
      </c>
      <c r="J44" s="9"/>
    </row>
    <row r="45" spans="2:10" hidden="1" outlineLevel="1">
      <c r="B45" s="12" t="s">
        <v>127</v>
      </c>
      <c r="C45" s="12">
        <v>4</v>
      </c>
      <c r="D45" s="3">
        <v>8.9700000000000002E-2</v>
      </c>
      <c r="E45" s="2">
        <v>673097</v>
      </c>
      <c r="F45" s="2">
        <v>168274</v>
      </c>
    </row>
    <row r="46" spans="2:10" hidden="1" outlineLevel="1">
      <c r="B46" s="12" t="s">
        <v>128</v>
      </c>
      <c r="C46" s="12"/>
      <c r="D46" s="3">
        <v>0</v>
      </c>
      <c r="E46" s="2">
        <v>0</v>
      </c>
      <c r="F46" s="2">
        <v>0</v>
      </c>
    </row>
    <row r="47" spans="2:10" hidden="1" outlineLevel="1">
      <c r="B47" s="10" t="s">
        <v>41</v>
      </c>
      <c r="C47" s="12">
        <f>SUM(C40:C46)</f>
        <v>27</v>
      </c>
      <c r="D47" s="3">
        <v>1</v>
      </c>
      <c r="E47" s="112" t="s">
        <v>43</v>
      </c>
      <c r="F47" s="115" t="s">
        <v>42</v>
      </c>
      <c r="H47" s="252"/>
    </row>
    <row r="48" spans="2:10" collapsed="1"/>
    <row r="49" spans="1:11">
      <c r="A49" s="4" t="s">
        <v>1</v>
      </c>
      <c r="B49" s="118" t="s">
        <v>96</v>
      </c>
      <c r="C49" s="119" t="s">
        <v>0</v>
      </c>
      <c r="D49" s="119" t="s">
        <v>97</v>
      </c>
      <c r="E49" s="118" t="s">
        <v>98</v>
      </c>
      <c r="F49" s="119" t="s">
        <v>4</v>
      </c>
      <c r="G49" s="119" t="s">
        <v>5</v>
      </c>
      <c r="H49" s="119" t="s">
        <v>114</v>
      </c>
      <c r="I49" s="119" t="s">
        <v>115</v>
      </c>
      <c r="J49" s="119" t="s">
        <v>4</v>
      </c>
      <c r="K49" s="119" t="s">
        <v>5</v>
      </c>
    </row>
    <row r="50" spans="1:11">
      <c r="B50" s="129">
        <f>B2</f>
        <v>45870</v>
      </c>
      <c r="C50" s="131">
        <v>316470</v>
      </c>
      <c r="D50" s="128">
        <f>$C$17</f>
        <v>251748.25174825179</v>
      </c>
      <c r="E50" s="130">
        <f>$C$8</f>
        <v>0</v>
      </c>
      <c r="F50" s="123">
        <f>C50-E50</f>
        <v>316470</v>
      </c>
      <c r="G50" s="124">
        <f>IFERROR(C50/E50,0)</f>
        <v>0</v>
      </c>
      <c r="H50" s="122">
        <f>IF(C50=0,0,C50)</f>
        <v>316470</v>
      </c>
      <c r="I50" s="123">
        <f>IF(C50=0,0,E50)</f>
        <v>0</v>
      </c>
      <c r="J50" s="122">
        <f>H50-I50</f>
        <v>316470</v>
      </c>
      <c r="K50" s="126">
        <f>IFERROR(H50/I50,0)</f>
        <v>0</v>
      </c>
    </row>
    <row r="51" spans="1:11">
      <c r="B51" s="129">
        <f>B50+1</f>
        <v>45871</v>
      </c>
      <c r="C51" s="131">
        <v>347600</v>
      </c>
      <c r="D51" s="128">
        <f>$C$17</f>
        <v>251748.25174825179</v>
      </c>
      <c r="E51" s="130">
        <f>$C$9</f>
        <v>0</v>
      </c>
      <c r="F51" s="123">
        <f t="shared" ref="F51:F80" si="0">C51-E51</f>
        <v>347600</v>
      </c>
      <c r="G51" s="124">
        <f t="shared" ref="G51:G80" si="1">IFERROR(C51/E51,0)</f>
        <v>0</v>
      </c>
      <c r="H51" s="122">
        <f t="shared" ref="H51:H80" si="2">IF(C51=0,0,(H50+C51))</f>
        <v>664070</v>
      </c>
      <c r="I51" s="123">
        <f t="shared" ref="I51:I80" si="3">IF(C51=0,0,(I50+E51))</f>
        <v>0</v>
      </c>
      <c r="J51" s="122">
        <f t="shared" ref="J51:J80" si="4">H51-I51</f>
        <v>664070</v>
      </c>
      <c r="K51" s="126">
        <f t="shared" ref="K51:K80" si="5">IFERROR(H51/I51,0)</f>
        <v>0</v>
      </c>
    </row>
    <row r="52" spans="1:11">
      <c r="B52" s="129">
        <f t="shared" ref="B52:B80" si="6">B51+1</f>
        <v>45872</v>
      </c>
      <c r="C52" s="131">
        <v>221970</v>
      </c>
      <c r="D52" s="128">
        <f>$C$17</f>
        <v>251748.25174825179</v>
      </c>
      <c r="E52" s="130">
        <f>$C$10</f>
        <v>0</v>
      </c>
      <c r="F52" s="123">
        <f t="shared" si="0"/>
        <v>221970</v>
      </c>
      <c r="G52" s="124">
        <f t="shared" si="1"/>
        <v>0</v>
      </c>
      <c r="H52" s="122">
        <f t="shared" si="2"/>
        <v>886040</v>
      </c>
      <c r="I52" s="123">
        <f t="shared" si="3"/>
        <v>0</v>
      </c>
      <c r="J52" s="122">
        <f t="shared" si="4"/>
        <v>886040</v>
      </c>
      <c r="K52" s="126">
        <f t="shared" si="5"/>
        <v>0</v>
      </c>
    </row>
    <row r="53" spans="1:11">
      <c r="B53" s="129">
        <f t="shared" si="6"/>
        <v>45873</v>
      </c>
      <c r="C53" s="131">
        <v>329910</v>
      </c>
      <c r="D53" s="128">
        <f>$C$17</f>
        <v>251748.25174825179</v>
      </c>
      <c r="E53" s="130">
        <f>$C$11</f>
        <v>0</v>
      </c>
      <c r="F53" s="123">
        <f t="shared" si="0"/>
        <v>329910</v>
      </c>
      <c r="G53" s="124">
        <f t="shared" si="1"/>
        <v>0</v>
      </c>
      <c r="H53" s="122">
        <f t="shared" si="2"/>
        <v>1215950</v>
      </c>
      <c r="I53" s="123">
        <f t="shared" si="3"/>
        <v>0</v>
      </c>
      <c r="J53" s="122">
        <f t="shared" si="4"/>
        <v>1215950</v>
      </c>
      <c r="K53" s="126">
        <f t="shared" si="5"/>
        <v>0</v>
      </c>
    </row>
    <row r="54" spans="1:11">
      <c r="B54" s="129">
        <f t="shared" si="6"/>
        <v>45874</v>
      </c>
      <c r="C54" s="131">
        <v>76330</v>
      </c>
      <c r="D54" s="128">
        <f>$C$17</f>
        <v>251748.25174825179</v>
      </c>
      <c r="E54" s="130">
        <f>$C$12</f>
        <v>0</v>
      </c>
      <c r="F54" s="123">
        <f t="shared" si="0"/>
        <v>76330</v>
      </c>
      <c r="G54" s="124">
        <f t="shared" si="1"/>
        <v>0</v>
      </c>
      <c r="H54" s="122">
        <f t="shared" si="2"/>
        <v>1292280</v>
      </c>
      <c r="I54" s="123">
        <f t="shared" si="3"/>
        <v>0</v>
      </c>
      <c r="J54" s="122">
        <f t="shared" si="4"/>
        <v>1292280</v>
      </c>
      <c r="K54" s="126">
        <f t="shared" si="5"/>
        <v>0</v>
      </c>
    </row>
    <row r="55" spans="1:11">
      <c r="B55" s="129">
        <f t="shared" si="6"/>
        <v>45875</v>
      </c>
      <c r="C55" s="131"/>
      <c r="D55" s="128">
        <v>0</v>
      </c>
      <c r="E55" s="130"/>
      <c r="F55" s="123">
        <f t="shared" si="0"/>
        <v>0</v>
      </c>
      <c r="G55" s="124">
        <f t="shared" si="1"/>
        <v>0</v>
      </c>
      <c r="H55" s="122">
        <f t="shared" si="2"/>
        <v>0</v>
      </c>
      <c r="I55" s="123">
        <f t="shared" si="3"/>
        <v>0</v>
      </c>
      <c r="J55" s="122">
        <f t="shared" si="4"/>
        <v>0</v>
      </c>
      <c r="K55" s="126">
        <f t="shared" si="5"/>
        <v>0</v>
      </c>
    </row>
    <row r="56" spans="1:11">
      <c r="B56" s="129">
        <f t="shared" si="6"/>
        <v>45876</v>
      </c>
      <c r="C56" s="131">
        <v>94600</v>
      </c>
      <c r="D56" s="128">
        <f t="shared" ref="D56:D61" si="7">$C$17</f>
        <v>251748.25174825179</v>
      </c>
      <c r="E56" s="130">
        <f>$C$7</f>
        <v>0</v>
      </c>
      <c r="F56" s="123">
        <f t="shared" si="0"/>
        <v>94600</v>
      </c>
      <c r="G56" s="124">
        <f>IFERROR(C56/E56,0)</f>
        <v>0</v>
      </c>
      <c r="H56" s="122">
        <f t="shared" si="2"/>
        <v>94600</v>
      </c>
      <c r="I56" s="123">
        <f t="shared" si="3"/>
        <v>0</v>
      </c>
      <c r="J56" s="122">
        <f t="shared" si="4"/>
        <v>94600</v>
      </c>
      <c r="K56" s="126">
        <f t="shared" si="5"/>
        <v>0</v>
      </c>
    </row>
    <row r="57" spans="1:11">
      <c r="B57" s="129">
        <f t="shared" si="6"/>
        <v>45877</v>
      </c>
      <c r="C57" s="131">
        <v>283650</v>
      </c>
      <c r="D57" s="128">
        <f t="shared" si="7"/>
        <v>251748.25174825179</v>
      </c>
      <c r="E57" s="130">
        <f>$C$8</f>
        <v>0</v>
      </c>
      <c r="F57" s="123">
        <f t="shared" si="0"/>
        <v>283650</v>
      </c>
      <c r="G57" s="124">
        <f t="shared" si="1"/>
        <v>0</v>
      </c>
      <c r="H57" s="122">
        <f t="shared" si="2"/>
        <v>378250</v>
      </c>
      <c r="I57" s="123">
        <f t="shared" si="3"/>
        <v>0</v>
      </c>
      <c r="J57" s="122">
        <f t="shared" si="4"/>
        <v>378250</v>
      </c>
      <c r="K57" s="126">
        <f t="shared" si="5"/>
        <v>0</v>
      </c>
    </row>
    <row r="58" spans="1:11">
      <c r="B58" s="129">
        <f t="shared" si="6"/>
        <v>45878</v>
      </c>
      <c r="C58" s="131">
        <v>221610</v>
      </c>
      <c r="D58" s="128">
        <f t="shared" si="7"/>
        <v>251748.25174825179</v>
      </c>
      <c r="E58" s="130">
        <f>$C$9</f>
        <v>0</v>
      </c>
      <c r="F58" s="123">
        <f t="shared" si="0"/>
        <v>221610</v>
      </c>
      <c r="G58" s="124">
        <f t="shared" si="1"/>
        <v>0</v>
      </c>
      <c r="H58" s="122">
        <f t="shared" si="2"/>
        <v>599860</v>
      </c>
      <c r="I58" s="123">
        <f t="shared" si="3"/>
        <v>0</v>
      </c>
      <c r="J58" s="122">
        <f t="shared" si="4"/>
        <v>599860</v>
      </c>
      <c r="K58" s="126">
        <f t="shared" si="5"/>
        <v>0</v>
      </c>
    </row>
    <row r="59" spans="1:11">
      <c r="B59" s="129">
        <f t="shared" si="6"/>
        <v>45879</v>
      </c>
      <c r="C59" s="131"/>
      <c r="D59" s="128">
        <f t="shared" si="7"/>
        <v>251748.25174825179</v>
      </c>
      <c r="E59" s="130">
        <f>$C$10</f>
        <v>0</v>
      </c>
      <c r="F59" s="123">
        <f t="shared" si="0"/>
        <v>0</v>
      </c>
      <c r="G59" s="124">
        <f t="shared" si="1"/>
        <v>0</v>
      </c>
      <c r="H59" s="122">
        <f t="shared" si="2"/>
        <v>0</v>
      </c>
      <c r="I59" s="123">
        <f t="shared" si="3"/>
        <v>0</v>
      </c>
      <c r="J59" s="122">
        <f t="shared" si="4"/>
        <v>0</v>
      </c>
      <c r="K59" s="126">
        <f t="shared" si="5"/>
        <v>0</v>
      </c>
    </row>
    <row r="60" spans="1:11">
      <c r="B60" s="129">
        <f t="shared" si="6"/>
        <v>45880</v>
      </c>
      <c r="C60" s="131"/>
      <c r="D60" s="128">
        <f t="shared" si="7"/>
        <v>251748.25174825179</v>
      </c>
      <c r="E60" s="130">
        <f>$C$11</f>
        <v>0</v>
      </c>
      <c r="F60" s="123">
        <f t="shared" si="0"/>
        <v>0</v>
      </c>
      <c r="G60" s="124">
        <f t="shared" si="1"/>
        <v>0</v>
      </c>
      <c r="H60" s="122">
        <f t="shared" si="2"/>
        <v>0</v>
      </c>
      <c r="I60" s="123">
        <f t="shared" si="3"/>
        <v>0</v>
      </c>
      <c r="J60" s="122">
        <f t="shared" si="4"/>
        <v>0</v>
      </c>
      <c r="K60" s="126">
        <f t="shared" si="5"/>
        <v>0</v>
      </c>
    </row>
    <row r="61" spans="1:11">
      <c r="B61" s="129">
        <f t="shared" si="6"/>
        <v>45881</v>
      </c>
      <c r="C61" s="131"/>
      <c r="D61" s="128">
        <f t="shared" si="7"/>
        <v>251748.25174825179</v>
      </c>
      <c r="E61" s="130">
        <f>$C$12</f>
        <v>0</v>
      </c>
      <c r="F61" s="123">
        <f t="shared" si="0"/>
        <v>0</v>
      </c>
      <c r="G61" s="124">
        <f t="shared" si="1"/>
        <v>0</v>
      </c>
      <c r="H61" s="122">
        <f t="shared" si="2"/>
        <v>0</v>
      </c>
      <c r="I61" s="123">
        <f t="shared" si="3"/>
        <v>0</v>
      </c>
      <c r="J61" s="122">
        <f t="shared" si="4"/>
        <v>0</v>
      </c>
      <c r="K61" s="126">
        <f>IFERROR(H61/I61,0)</f>
        <v>0</v>
      </c>
    </row>
    <row r="62" spans="1:11">
      <c r="B62" s="129">
        <f t="shared" si="6"/>
        <v>45882</v>
      </c>
      <c r="C62" s="131"/>
      <c r="D62" s="128">
        <v>0</v>
      </c>
      <c r="E62" s="130"/>
      <c r="F62" s="123">
        <f t="shared" si="0"/>
        <v>0</v>
      </c>
      <c r="G62" s="124">
        <f t="shared" si="1"/>
        <v>0</v>
      </c>
      <c r="H62" s="122">
        <f t="shared" si="2"/>
        <v>0</v>
      </c>
      <c r="I62" s="123">
        <f t="shared" si="3"/>
        <v>0</v>
      </c>
      <c r="J62" s="122">
        <f t="shared" si="4"/>
        <v>0</v>
      </c>
      <c r="K62" s="126">
        <f t="shared" si="5"/>
        <v>0</v>
      </c>
    </row>
    <row r="63" spans="1:11">
      <c r="B63" s="129">
        <f t="shared" si="6"/>
        <v>45883</v>
      </c>
      <c r="C63" s="131"/>
      <c r="D63" s="128">
        <f t="shared" ref="D63:D68" si="8">$C$17</f>
        <v>251748.25174825179</v>
      </c>
      <c r="E63" s="130">
        <f>$C$7</f>
        <v>0</v>
      </c>
      <c r="F63" s="123">
        <f t="shared" si="0"/>
        <v>0</v>
      </c>
      <c r="G63" s="124">
        <f t="shared" si="1"/>
        <v>0</v>
      </c>
      <c r="H63" s="122">
        <f t="shared" si="2"/>
        <v>0</v>
      </c>
      <c r="I63" s="123">
        <f t="shared" si="3"/>
        <v>0</v>
      </c>
      <c r="J63" s="122">
        <f t="shared" si="4"/>
        <v>0</v>
      </c>
      <c r="K63" s="126">
        <f t="shared" si="5"/>
        <v>0</v>
      </c>
    </row>
    <row r="64" spans="1:11">
      <c r="B64" s="129">
        <f t="shared" si="6"/>
        <v>45884</v>
      </c>
      <c r="C64" s="131"/>
      <c r="D64" s="128">
        <f t="shared" si="8"/>
        <v>251748.25174825179</v>
      </c>
      <c r="E64" s="130">
        <f>$C$8</f>
        <v>0</v>
      </c>
      <c r="F64" s="123">
        <f t="shared" si="0"/>
        <v>0</v>
      </c>
      <c r="G64" s="124">
        <f t="shared" si="1"/>
        <v>0</v>
      </c>
      <c r="H64" s="122">
        <f t="shared" si="2"/>
        <v>0</v>
      </c>
      <c r="I64" s="123">
        <f t="shared" si="3"/>
        <v>0</v>
      </c>
      <c r="J64" s="122">
        <f t="shared" si="4"/>
        <v>0</v>
      </c>
      <c r="K64" s="126">
        <f t="shared" si="5"/>
        <v>0</v>
      </c>
    </row>
    <row r="65" spans="2:11">
      <c r="B65" s="129">
        <f t="shared" si="6"/>
        <v>45885</v>
      </c>
      <c r="C65" s="131"/>
      <c r="D65" s="128">
        <f t="shared" si="8"/>
        <v>251748.25174825179</v>
      </c>
      <c r="E65" s="130">
        <f>$C$9</f>
        <v>0</v>
      </c>
      <c r="F65" s="123">
        <f t="shared" si="0"/>
        <v>0</v>
      </c>
      <c r="G65" s="124">
        <f t="shared" si="1"/>
        <v>0</v>
      </c>
      <c r="H65" s="122">
        <f t="shared" si="2"/>
        <v>0</v>
      </c>
      <c r="I65" s="123">
        <f t="shared" si="3"/>
        <v>0</v>
      </c>
      <c r="J65" s="122">
        <f t="shared" si="4"/>
        <v>0</v>
      </c>
      <c r="K65" s="126">
        <f t="shared" si="5"/>
        <v>0</v>
      </c>
    </row>
    <row r="66" spans="2:11">
      <c r="B66" s="129">
        <f t="shared" si="6"/>
        <v>45886</v>
      </c>
      <c r="C66" s="131"/>
      <c r="D66" s="128">
        <f t="shared" si="8"/>
        <v>251748.25174825179</v>
      </c>
      <c r="E66" s="130">
        <f>$C$10</f>
        <v>0</v>
      </c>
      <c r="F66" s="123">
        <f t="shared" si="0"/>
        <v>0</v>
      </c>
      <c r="G66" s="124">
        <f t="shared" si="1"/>
        <v>0</v>
      </c>
      <c r="H66" s="122">
        <f t="shared" si="2"/>
        <v>0</v>
      </c>
      <c r="I66" s="123">
        <f t="shared" si="3"/>
        <v>0</v>
      </c>
      <c r="J66" s="122">
        <f t="shared" si="4"/>
        <v>0</v>
      </c>
      <c r="K66" s="126">
        <f t="shared" si="5"/>
        <v>0</v>
      </c>
    </row>
    <row r="67" spans="2:11">
      <c r="B67" s="129">
        <f t="shared" si="6"/>
        <v>45887</v>
      </c>
      <c r="C67" s="131"/>
      <c r="D67" s="128">
        <f t="shared" si="8"/>
        <v>251748.25174825179</v>
      </c>
      <c r="E67" s="130">
        <f>$C$11</f>
        <v>0</v>
      </c>
      <c r="F67" s="123">
        <f t="shared" si="0"/>
        <v>0</v>
      </c>
      <c r="G67" s="124">
        <f t="shared" si="1"/>
        <v>0</v>
      </c>
      <c r="H67" s="122">
        <f t="shared" si="2"/>
        <v>0</v>
      </c>
      <c r="I67" s="123">
        <f t="shared" si="3"/>
        <v>0</v>
      </c>
      <c r="J67" s="122">
        <f t="shared" si="4"/>
        <v>0</v>
      </c>
      <c r="K67" s="126">
        <f t="shared" si="5"/>
        <v>0</v>
      </c>
    </row>
    <row r="68" spans="2:11">
      <c r="B68" s="129">
        <f t="shared" si="6"/>
        <v>45888</v>
      </c>
      <c r="C68" s="131"/>
      <c r="D68" s="128">
        <f t="shared" si="8"/>
        <v>251748.25174825179</v>
      </c>
      <c r="E68" s="130">
        <f>$C$12</f>
        <v>0</v>
      </c>
      <c r="F68" s="123">
        <f t="shared" si="0"/>
        <v>0</v>
      </c>
      <c r="G68" s="124">
        <f t="shared" si="1"/>
        <v>0</v>
      </c>
      <c r="H68" s="122">
        <f t="shared" si="2"/>
        <v>0</v>
      </c>
      <c r="I68" s="123">
        <f t="shared" si="3"/>
        <v>0</v>
      </c>
      <c r="J68" s="122">
        <f t="shared" si="4"/>
        <v>0</v>
      </c>
      <c r="K68" s="126">
        <f t="shared" si="5"/>
        <v>0</v>
      </c>
    </row>
    <row r="69" spans="2:11">
      <c r="B69" s="129">
        <f t="shared" si="6"/>
        <v>45889</v>
      </c>
      <c r="C69" s="131"/>
      <c r="D69" s="128">
        <v>0</v>
      </c>
      <c r="E69" s="130"/>
      <c r="F69" s="123">
        <f t="shared" si="0"/>
        <v>0</v>
      </c>
      <c r="G69" s="124">
        <f t="shared" si="1"/>
        <v>0</v>
      </c>
      <c r="H69" s="122">
        <f t="shared" si="2"/>
        <v>0</v>
      </c>
      <c r="I69" s="123">
        <f t="shared" si="3"/>
        <v>0</v>
      </c>
      <c r="J69" s="122">
        <f t="shared" si="4"/>
        <v>0</v>
      </c>
      <c r="K69" s="126">
        <f t="shared" si="5"/>
        <v>0</v>
      </c>
    </row>
    <row r="70" spans="2:11">
      <c r="B70" s="129">
        <f t="shared" si="6"/>
        <v>45890</v>
      </c>
      <c r="C70" s="131"/>
      <c r="D70" s="128">
        <v>0</v>
      </c>
      <c r="E70" s="130"/>
      <c r="F70" s="123">
        <f>C70-E70</f>
        <v>0</v>
      </c>
      <c r="G70" s="124">
        <f t="shared" si="1"/>
        <v>0</v>
      </c>
      <c r="H70" s="122">
        <f t="shared" si="2"/>
        <v>0</v>
      </c>
      <c r="I70" s="123">
        <f t="shared" si="3"/>
        <v>0</v>
      </c>
      <c r="J70" s="122">
        <f t="shared" si="4"/>
        <v>0</v>
      </c>
      <c r="K70" s="126">
        <f t="shared" si="5"/>
        <v>0</v>
      </c>
    </row>
    <row r="71" spans="2:11">
      <c r="B71" s="129">
        <f t="shared" si="6"/>
        <v>45891</v>
      </c>
      <c r="C71" s="131"/>
      <c r="D71" s="128">
        <f>$C$17</f>
        <v>251748.25174825179</v>
      </c>
      <c r="E71" s="130">
        <f>$C$8</f>
        <v>0</v>
      </c>
      <c r="F71" s="123">
        <f t="shared" si="0"/>
        <v>0</v>
      </c>
      <c r="G71" s="124">
        <f t="shared" si="1"/>
        <v>0</v>
      </c>
      <c r="H71" s="122">
        <f t="shared" si="2"/>
        <v>0</v>
      </c>
      <c r="I71" s="123">
        <f t="shared" si="3"/>
        <v>0</v>
      </c>
      <c r="J71" s="122">
        <f t="shared" si="4"/>
        <v>0</v>
      </c>
      <c r="K71" s="126">
        <f>IFERROR(H71/I71,0)</f>
        <v>0</v>
      </c>
    </row>
    <row r="72" spans="2:11">
      <c r="B72" s="129">
        <f t="shared" si="6"/>
        <v>45892</v>
      </c>
      <c r="C72" s="131"/>
      <c r="D72" s="128">
        <f>$C$17</f>
        <v>251748.25174825179</v>
      </c>
      <c r="E72" s="130">
        <f>$C$9</f>
        <v>0</v>
      </c>
      <c r="F72" s="123">
        <f t="shared" si="0"/>
        <v>0</v>
      </c>
      <c r="G72" s="124">
        <f t="shared" si="1"/>
        <v>0</v>
      </c>
      <c r="H72" s="122">
        <f t="shared" si="2"/>
        <v>0</v>
      </c>
      <c r="I72" s="123">
        <f t="shared" si="3"/>
        <v>0</v>
      </c>
      <c r="J72" s="122">
        <f t="shared" si="4"/>
        <v>0</v>
      </c>
      <c r="K72" s="126">
        <f t="shared" si="5"/>
        <v>0</v>
      </c>
    </row>
    <row r="73" spans="2:11">
      <c r="B73" s="129">
        <f t="shared" si="6"/>
        <v>45893</v>
      </c>
      <c r="C73" s="131"/>
      <c r="D73" s="128">
        <f>$C$17</f>
        <v>251748.25174825179</v>
      </c>
      <c r="E73" s="130">
        <f>$C$10</f>
        <v>0</v>
      </c>
      <c r="F73" s="123">
        <f t="shared" si="0"/>
        <v>0</v>
      </c>
      <c r="G73" s="124">
        <f t="shared" si="1"/>
        <v>0</v>
      </c>
      <c r="H73" s="122">
        <f t="shared" si="2"/>
        <v>0</v>
      </c>
      <c r="I73" s="123">
        <f t="shared" si="3"/>
        <v>0</v>
      </c>
      <c r="J73" s="122">
        <f t="shared" si="4"/>
        <v>0</v>
      </c>
      <c r="K73" s="126">
        <f t="shared" si="5"/>
        <v>0</v>
      </c>
    </row>
    <row r="74" spans="2:11">
      <c r="B74" s="129">
        <f t="shared" si="6"/>
        <v>45894</v>
      </c>
      <c r="C74" s="131"/>
      <c r="D74" s="128">
        <f>$C$17</f>
        <v>251748.25174825179</v>
      </c>
      <c r="E74" s="130">
        <f>$C$11</f>
        <v>0</v>
      </c>
      <c r="F74" s="123">
        <f t="shared" si="0"/>
        <v>0</v>
      </c>
      <c r="G74" s="124">
        <f t="shared" si="1"/>
        <v>0</v>
      </c>
      <c r="H74" s="122">
        <f t="shared" si="2"/>
        <v>0</v>
      </c>
      <c r="I74" s="123">
        <f t="shared" si="3"/>
        <v>0</v>
      </c>
      <c r="J74" s="122">
        <f t="shared" si="4"/>
        <v>0</v>
      </c>
      <c r="K74" s="126">
        <f t="shared" si="5"/>
        <v>0</v>
      </c>
    </row>
    <row r="75" spans="2:11">
      <c r="B75" s="129">
        <f t="shared" si="6"/>
        <v>45895</v>
      </c>
      <c r="C75" s="131"/>
      <c r="D75" s="128">
        <f>$C$17</f>
        <v>251748.25174825179</v>
      </c>
      <c r="E75" s="130">
        <f>$C$12</f>
        <v>0</v>
      </c>
      <c r="F75" s="123">
        <f t="shared" si="0"/>
        <v>0</v>
      </c>
      <c r="G75" s="124">
        <f t="shared" si="1"/>
        <v>0</v>
      </c>
      <c r="H75" s="122">
        <f t="shared" si="2"/>
        <v>0</v>
      </c>
      <c r="I75" s="123">
        <f t="shared" si="3"/>
        <v>0</v>
      </c>
      <c r="J75" s="122">
        <f t="shared" si="4"/>
        <v>0</v>
      </c>
      <c r="K75" s="126">
        <f t="shared" si="5"/>
        <v>0</v>
      </c>
    </row>
    <row r="76" spans="2:11">
      <c r="B76" s="129">
        <f t="shared" si="6"/>
        <v>45896</v>
      </c>
      <c r="C76" s="131"/>
      <c r="D76" s="128">
        <v>0</v>
      </c>
      <c r="E76" s="130"/>
      <c r="F76" s="123">
        <f t="shared" si="0"/>
        <v>0</v>
      </c>
      <c r="G76" s="124">
        <f t="shared" si="1"/>
        <v>0</v>
      </c>
      <c r="H76" s="122">
        <f t="shared" si="2"/>
        <v>0</v>
      </c>
      <c r="I76" s="123">
        <f t="shared" si="3"/>
        <v>0</v>
      </c>
      <c r="J76" s="122">
        <f t="shared" si="4"/>
        <v>0</v>
      </c>
      <c r="K76" s="126">
        <f t="shared" si="5"/>
        <v>0</v>
      </c>
    </row>
    <row r="77" spans="2:11">
      <c r="B77" s="129">
        <f t="shared" si="6"/>
        <v>45897</v>
      </c>
      <c r="C77" s="131"/>
      <c r="D77" s="128">
        <f>$C$17</f>
        <v>251748.25174825179</v>
      </c>
      <c r="E77" s="130">
        <f>$C$7</f>
        <v>0</v>
      </c>
      <c r="F77" s="123">
        <f t="shared" si="0"/>
        <v>0</v>
      </c>
      <c r="G77" s="124">
        <f t="shared" si="1"/>
        <v>0</v>
      </c>
      <c r="H77" s="122">
        <f t="shared" si="2"/>
        <v>0</v>
      </c>
      <c r="I77" s="123">
        <f t="shared" si="3"/>
        <v>0</v>
      </c>
      <c r="J77" s="122">
        <f t="shared" si="4"/>
        <v>0</v>
      </c>
      <c r="K77" s="126">
        <f t="shared" si="5"/>
        <v>0</v>
      </c>
    </row>
    <row r="78" spans="2:11">
      <c r="B78" s="129">
        <f t="shared" si="6"/>
        <v>45898</v>
      </c>
      <c r="C78" s="131"/>
      <c r="D78" s="128">
        <f>$C$17</f>
        <v>251748.25174825179</v>
      </c>
      <c r="E78" s="130">
        <f>$C$8</f>
        <v>0</v>
      </c>
      <c r="F78" s="123">
        <f t="shared" si="0"/>
        <v>0</v>
      </c>
      <c r="G78" s="124">
        <f t="shared" si="1"/>
        <v>0</v>
      </c>
      <c r="H78" s="122">
        <f t="shared" si="2"/>
        <v>0</v>
      </c>
      <c r="I78" s="123">
        <f t="shared" si="3"/>
        <v>0</v>
      </c>
      <c r="J78" s="122">
        <f t="shared" si="4"/>
        <v>0</v>
      </c>
      <c r="K78" s="126">
        <f t="shared" si="5"/>
        <v>0</v>
      </c>
    </row>
    <row r="79" spans="2:11">
      <c r="B79" s="129">
        <f t="shared" si="6"/>
        <v>45899</v>
      </c>
      <c r="C79" s="131"/>
      <c r="D79" s="128">
        <f>$C$17</f>
        <v>251748.25174825179</v>
      </c>
      <c r="E79" s="130">
        <f>$C$9</f>
        <v>0</v>
      </c>
      <c r="F79" s="123">
        <f t="shared" si="0"/>
        <v>0</v>
      </c>
      <c r="G79" s="124">
        <f t="shared" si="1"/>
        <v>0</v>
      </c>
      <c r="H79" s="122">
        <f t="shared" si="2"/>
        <v>0</v>
      </c>
      <c r="I79" s="123">
        <f t="shared" si="3"/>
        <v>0</v>
      </c>
      <c r="J79" s="122">
        <f t="shared" si="4"/>
        <v>0</v>
      </c>
      <c r="K79" s="126">
        <f t="shared" si="5"/>
        <v>0</v>
      </c>
    </row>
    <row r="80" spans="2:11">
      <c r="B80" s="129">
        <f t="shared" si="6"/>
        <v>45900</v>
      </c>
      <c r="C80" s="131"/>
      <c r="D80" s="128">
        <f>$C$17</f>
        <v>251748.25174825179</v>
      </c>
      <c r="E80" s="130">
        <f>$C$10</f>
        <v>0</v>
      </c>
      <c r="F80" s="123">
        <f t="shared" si="0"/>
        <v>0</v>
      </c>
      <c r="G80" s="124">
        <f t="shared" si="1"/>
        <v>0</v>
      </c>
      <c r="H80" s="122">
        <f t="shared" si="2"/>
        <v>0</v>
      </c>
      <c r="I80" s="123">
        <f t="shared" si="3"/>
        <v>0</v>
      </c>
      <c r="J80" s="122">
        <f t="shared" si="4"/>
        <v>0</v>
      </c>
      <c r="K80" s="126">
        <f t="shared" si="5"/>
        <v>0</v>
      </c>
    </row>
    <row r="81" spans="3:5">
      <c r="C81" s="125">
        <f>SUM(C50:C80)</f>
        <v>1892140</v>
      </c>
      <c r="D81" s="127">
        <f>SUM(D50:D80)</f>
        <v>6545454.5454545459</v>
      </c>
      <c r="E81" s="125">
        <f>SUM(E50:E80)</f>
        <v>0</v>
      </c>
    </row>
    <row r="82" spans="3:5">
      <c r="C82" s="126">
        <f>IFERROR(C81/D81,0)</f>
        <v>0.28907694444444443</v>
      </c>
      <c r="E82" s="125">
        <f>E81-F16</f>
        <v>-5034965.0349650355</v>
      </c>
    </row>
  </sheetData>
  <mergeCells count="26">
    <mergeCell ref="B3:C3"/>
    <mergeCell ref="O22:Q22"/>
    <mergeCell ref="G6:J6"/>
    <mergeCell ref="G7:J7"/>
    <mergeCell ref="G8:J8"/>
    <mergeCell ref="G9:J9"/>
    <mergeCell ref="G10:J10"/>
    <mergeCell ref="G11:J11"/>
    <mergeCell ref="G12:J12"/>
    <mergeCell ref="O16:Q16"/>
    <mergeCell ref="O18:Q18"/>
    <mergeCell ref="O19:Q19"/>
    <mergeCell ref="O20:Q20"/>
    <mergeCell ref="O21:Q21"/>
    <mergeCell ref="B6:C6"/>
    <mergeCell ref="D6:F6"/>
    <mergeCell ref="D7:F7"/>
    <mergeCell ref="D8:F8"/>
    <mergeCell ref="D9:F9"/>
    <mergeCell ref="O23:Q23"/>
    <mergeCell ref="O24:Q24"/>
    <mergeCell ref="O25:Q25"/>
    <mergeCell ref="O26:Q26"/>
    <mergeCell ref="D10:F10"/>
    <mergeCell ref="D11:F11"/>
    <mergeCell ref="D12:F12"/>
  </mergeCells>
  <phoneticPr fontId="2"/>
  <printOptions horizontalCentered="1" verticalCentered="1"/>
  <pageMargins left="0" right="0" top="0" bottom="0" header="0" footer="0"/>
  <pageSetup paperSize="9" scale="4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2E19-1C7F-C942-9513-74212BCAE4B4}">
  <dimension ref="A1:AZ386"/>
  <sheetViews>
    <sheetView topLeftCell="B1" zoomScale="75" workbookViewId="0">
      <pane xSplit="5" ySplit="19" topLeftCell="G20" activePane="bottomRight" state="frozen"/>
      <selection activeCell="B1" sqref="B1"/>
      <selection pane="topRight" activeCell="G1" sqref="G1"/>
      <selection pane="bottomLeft" activeCell="B20" sqref="B20"/>
      <selection pane="bottomRight" activeCell="P27" sqref="P27"/>
    </sheetView>
  </sheetViews>
  <sheetFormatPr baseColWidth="10" defaultColWidth="9.5703125" defaultRowHeight="17" outlineLevelRow="1" outlineLevelCol="2"/>
  <cols>
    <col min="1" max="1" width="2.28515625" style="13" customWidth="1"/>
    <col min="2" max="2" width="9.140625" style="13" customWidth="1"/>
    <col min="3" max="3" width="4.28515625" style="13" customWidth="1"/>
    <col min="4" max="4" width="4.28515625" style="16" customWidth="1"/>
    <col min="5" max="5" width="5.7109375" style="13" customWidth="1"/>
    <col min="6" max="6" width="7.28515625" style="13" customWidth="1"/>
    <col min="7" max="7" width="13.28515625" style="13" customWidth="1"/>
    <col min="8" max="8" width="10.28515625" style="13" customWidth="1"/>
    <col min="9" max="9" width="1.28515625" style="13" customWidth="1"/>
    <col min="10" max="10" width="14.5703125" style="13" customWidth="1"/>
    <col min="11" max="11" width="1.28515625" style="15" customWidth="1"/>
    <col min="12" max="12" width="14.140625" style="13" customWidth="1"/>
    <col min="13" max="13" width="16.85546875" style="13" customWidth="1"/>
    <col min="14" max="14" width="11.28515625" style="13" customWidth="1"/>
    <col min="15" max="15" width="1.28515625" style="13" customWidth="1"/>
    <col min="16" max="16" width="13.28515625" style="13" customWidth="1"/>
    <col min="17" max="17" width="15.28515625" style="13" customWidth="1"/>
    <col min="18" max="18" width="16.5703125" style="13" customWidth="1"/>
    <col min="19" max="19" width="11.28515625" style="13" customWidth="1"/>
    <col min="20" max="20" width="1.28515625" style="13" customWidth="1"/>
    <col min="21" max="21" width="15.140625" style="13" customWidth="1"/>
    <col min="22" max="22" width="13.28515625" style="13" customWidth="1"/>
    <col min="23" max="23" width="13.140625" style="13" customWidth="1"/>
    <col min="24" max="24" width="10.5703125" style="13" customWidth="1"/>
    <col min="25" max="25" width="4.5703125" style="13" customWidth="1"/>
    <col min="26" max="26" width="0" style="13" hidden="1" customWidth="1"/>
    <col min="27" max="27" width="6.5703125" style="13" hidden="1" customWidth="1"/>
    <col min="28" max="29" width="6.5703125" style="13" customWidth="1" outlineLevel="1"/>
    <col min="30" max="30" width="11.5703125" style="13" customWidth="1" outlineLevel="1"/>
    <col min="31" max="31" width="13.140625" style="13" customWidth="1" outlineLevel="1"/>
    <col min="32" max="32" width="11.5703125" style="140" customWidth="1" outlineLevel="1"/>
    <col min="33" max="33" width="11.5703125" style="257" hidden="1" customWidth="1" outlineLevel="2"/>
    <col min="34" max="34" width="11.5703125" style="257" customWidth="1" outlineLevel="1" collapsed="1"/>
    <col min="35" max="36" width="11.5703125" style="257" customWidth="1" outlineLevel="1"/>
    <col min="37" max="39" width="11.5703125" style="13" customWidth="1"/>
    <col min="40" max="40" width="9.5703125" style="14" collapsed="1"/>
    <col min="41" max="41" width="6.85546875" style="14" customWidth="1" outlineLevel="1"/>
    <col min="42" max="43" width="5.28515625" style="14" customWidth="1" outlineLevel="1"/>
    <col min="44" max="44" width="9.5703125" style="13"/>
    <col min="45" max="45" width="0" style="13" hidden="1" customWidth="1"/>
    <col min="46" max="16384" width="9.5703125" style="13"/>
  </cols>
  <sheetData>
    <row r="1" spans="1:52" ht="10.5" customHeight="1">
      <c r="A1" s="17"/>
      <c r="B1" s="17"/>
      <c r="C1" s="17"/>
      <c r="D1" s="20"/>
      <c r="E1" s="17"/>
      <c r="F1" s="17"/>
      <c r="G1" s="17"/>
      <c r="H1" s="17"/>
      <c r="I1" s="17"/>
      <c r="J1" s="17"/>
      <c r="K1" s="19"/>
      <c r="L1" s="17"/>
      <c r="M1" s="17"/>
      <c r="N1" s="17"/>
      <c r="O1" s="17"/>
      <c r="P1" s="17"/>
      <c r="Q1" s="17"/>
      <c r="R1" s="17"/>
      <c r="S1" s="17"/>
      <c r="T1" s="17"/>
      <c r="U1" s="17"/>
      <c r="V1" s="17"/>
      <c r="W1" s="17"/>
      <c r="X1" s="17"/>
      <c r="Y1" s="17"/>
      <c r="Z1" s="17"/>
      <c r="AA1" s="17"/>
      <c r="AB1" s="17"/>
      <c r="AC1" s="17"/>
      <c r="AD1" s="17"/>
      <c r="AE1" s="17"/>
      <c r="AF1" s="139"/>
      <c r="AG1" s="256"/>
      <c r="AH1" s="256"/>
      <c r="AI1" s="256"/>
      <c r="AJ1" s="256"/>
      <c r="AK1" s="17"/>
      <c r="AL1" s="17"/>
      <c r="AM1" s="17"/>
      <c r="AN1" s="18"/>
      <c r="AO1" s="18"/>
      <c r="AP1" s="18"/>
      <c r="AQ1" s="18"/>
      <c r="AR1" s="17"/>
      <c r="AS1" s="17"/>
      <c r="AT1" s="17"/>
      <c r="AU1" s="17"/>
      <c r="AV1" s="17"/>
      <c r="AW1" s="17"/>
      <c r="AX1" s="17"/>
      <c r="AY1" s="17"/>
      <c r="AZ1" s="17"/>
    </row>
    <row r="2" spans="1:52" ht="23">
      <c r="A2" s="17"/>
      <c r="B2" s="403">
        <v>45292</v>
      </c>
      <c r="C2" s="404"/>
      <c r="D2" s="405"/>
      <c r="E2" s="376" t="s">
        <v>94</v>
      </c>
      <c r="F2" s="370"/>
      <c r="G2" s="409" t="s">
        <v>93</v>
      </c>
      <c r="H2" s="410"/>
      <c r="I2" s="411" t="s">
        <v>92</v>
      </c>
      <c r="J2" s="411"/>
      <c r="K2" s="411"/>
      <c r="L2" s="411"/>
      <c r="M2" s="379" t="s">
        <v>91</v>
      </c>
      <c r="N2" s="379"/>
      <c r="O2" s="379" t="s">
        <v>90</v>
      </c>
      <c r="P2" s="379"/>
      <c r="Q2" s="111" t="s">
        <v>89</v>
      </c>
      <c r="R2" s="111" t="s">
        <v>88</v>
      </c>
      <c r="S2" s="17"/>
      <c r="AP2" s="18"/>
      <c r="AQ2" s="18"/>
      <c r="AR2" s="17"/>
      <c r="AS2" s="17"/>
      <c r="AT2" s="17"/>
      <c r="AU2" s="17"/>
      <c r="AV2" s="17"/>
      <c r="AW2" s="17"/>
      <c r="AX2" s="17"/>
      <c r="AY2" s="17"/>
      <c r="AZ2" s="17"/>
    </row>
    <row r="3" spans="1:52" ht="22">
      <c r="A3" s="17"/>
      <c r="B3" s="406"/>
      <c r="C3" s="407"/>
      <c r="D3" s="408"/>
      <c r="E3" s="395">
        <f>SUM(F6:F17)</f>
        <v>289</v>
      </c>
      <c r="F3" s="370"/>
      <c r="G3" s="396">
        <v>71220821</v>
      </c>
      <c r="H3" s="397"/>
      <c r="I3" s="398">
        <f>SUM(AP6:AP17)*100</f>
        <v>0.9999996000000001</v>
      </c>
      <c r="J3" s="399"/>
      <c r="K3" s="400">
        <f>G3*I3</f>
        <v>71220792.511671603</v>
      </c>
      <c r="L3" s="400"/>
      <c r="M3" s="401">
        <f>SUM(J20:J385)</f>
        <v>71220821</v>
      </c>
      <c r="N3" s="401"/>
      <c r="O3" s="402">
        <f>M3-G3</f>
        <v>0</v>
      </c>
      <c r="P3" s="402"/>
      <c r="Q3" s="110">
        <v>0.21</v>
      </c>
      <c r="R3" s="109">
        <f>M3*Q3</f>
        <v>14956372.41</v>
      </c>
      <c r="S3" s="17"/>
      <c r="AP3" s="18"/>
      <c r="AQ3" s="18"/>
      <c r="AR3" s="17"/>
      <c r="AS3" s="17"/>
      <c r="AT3" s="17"/>
      <c r="AU3" s="17"/>
      <c r="AV3" s="17"/>
      <c r="AW3" s="17"/>
      <c r="AX3" s="17"/>
      <c r="AY3" s="17"/>
      <c r="AZ3" s="17"/>
    </row>
    <row r="4" spans="1:52" ht="20">
      <c r="A4" s="17"/>
      <c r="B4" s="40"/>
      <c r="C4" s="40"/>
      <c r="D4" s="86"/>
      <c r="E4" s="40"/>
      <c r="F4" s="40"/>
      <c r="G4" s="108"/>
      <c r="L4" s="40"/>
      <c r="N4" s="17"/>
      <c r="P4" s="40"/>
      <c r="AP4" s="18"/>
      <c r="AQ4" s="18"/>
      <c r="AR4" s="17"/>
      <c r="AS4" s="17"/>
      <c r="AT4" s="17"/>
      <c r="AY4" s="17"/>
      <c r="AZ4" s="17"/>
    </row>
    <row r="5" spans="1:52" ht="22" outlineLevel="1">
      <c r="A5" s="17"/>
      <c r="B5" s="424" t="s">
        <v>87</v>
      </c>
      <c r="C5" s="425"/>
      <c r="D5" s="86"/>
      <c r="E5" s="105" t="s">
        <v>17</v>
      </c>
      <c r="F5" s="105" t="s">
        <v>86</v>
      </c>
      <c r="G5" s="107" t="s">
        <v>85</v>
      </c>
      <c r="H5" s="426" t="s">
        <v>84</v>
      </c>
      <c r="I5" s="370"/>
      <c r="J5" s="105" t="s">
        <v>83</v>
      </c>
      <c r="K5" s="427" t="s">
        <v>82</v>
      </c>
      <c r="L5" s="428"/>
      <c r="M5" s="106" t="s">
        <v>81</v>
      </c>
      <c r="N5" s="426" t="s">
        <v>80</v>
      </c>
      <c r="O5" s="370"/>
      <c r="P5" s="105" t="s">
        <v>52</v>
      </c>
      <c r="Q5" s="104"/>
      <c r="R5" s="412" t="s">
        <v>79</v>
      </c>
      <c r="S5" s="412"/>
      <c r="T5" s="412"/>
      <c r="U5" s="412"/>
      <c r="V5" s="412"/>
      <c r="AO5" s="14" t="str">
        <f t="shared" ref="AO5:AO16" si="0">TEXT(K6,"¥0")</f>
        <v>¥221795</v>
      </c>
      <c r="AP5" s="18"/>
      <c r="AQ5" s="18"/>
      <c r="AR5" s="17"/>
      <c r="AS5" s="17"/>
      <c r="AT5" s="17"/>
    </row>
    <row r="6" spans="1:52" ht="23" outlineLevel="1">
      <c r="A6" s="17"/>
      <c r="B6" s="413" t="s">
        <v>78</v>
      </c>
      <c r="C6" s="372"/>
      <c r="D6" s="86"/>
      <c r="E6" s="95" t="s">
        <v>19</v>
      </c>
      <c r="F6" s="94">
        <f>COUNTIF(D20:D50,1)</f>
        <v>22</v>
      </c>
      <c r="G6" s="93">
        <f t="shared" ref="G6:G17" si="1">$B$7*F6</f>
        <v>5421654.1937716268</v>
      </c>
      <c r="H6" s="414">
        <v>0.9</v>
      </c>
      <c r="I6" s="415"/>
      <c r="J6" s="92">
        <f t="shared" ref="J6:J17" si="2">G6*H6</f>
        <v>4879488.7743944647</v>
      </c>
      <c r="K6" s="416">
        <f t="shared" ref="K6:K17" si="3">J6/F6</f>
        <v>221794.9442906575</v>
      </c>
      <c r="L6" s="417"/>
      <c r="M6" s="103">
        <f>SUM(J20:J50)</f>
        <v>4982374</v>
      </c>
      <c r="N6" s="418">
        <f t="shared" ref="N6:N17" si="4">M6-J6</f>
        <v>102885.22560553532</v>
      </c>
      <c r="O6" s="372"/>
      <c r="P6" s="90">
        <f t="shared" ref="P6:P17" si="5">M6/G6</f>
        <v>0.91897672221952664</v>
      </c>
      <c r="R6" s="419" t="s">
        <v>2</v>
      </c>
      <c r="S6" s="419"/>
      <c r="T6" s="420" t="s">
        <v>77</v>
      </c>
      <c r="U6" s="421"/>
      <c r="V6" s="102">
        <v>0.76</v>
      </c>
      <c r="Z6" s="101"/>
      <c r="AO6" s="14" t="str">
        <f t="shared" si="0"/>
        <v>¥209473</v>
      </c>
      <c r="AP6" s="89">
        <f t="shared" ref="AP6:AP17" si="6">(H6/100)*AQ6</f>
        <v>7.4999970000000013E-4</v>
      </c>
      <c r="AQ6" s="88">
        <v>8.3333299999999999E-2</v>
      </c>
      <c r="AR6" s="17"/>
      <c r="AS6" s="17"/>
      <c r="AT6" s="17"/>
    </row>
    <row r="7" spans="1:52" ht="23" outlineLevel="1">
      <c r="A7" s="17"/>
      <c r="B7" s="422">
        <f>G3/E3</f>
        <v>246438.82698961938</v>
      </c>
      <c r="C7" s="372"/>
      <c r="D7" s="86"/>
      <c r="E7" s="95" t="s">
        <v>21</v>
      </c>
      <c r="F7" s="94">
        <f>COUNTIF(D51:D79,1)</f>
        <v>23</v>
      </c>
      <c r="G7" s="93">
        <f t="shared" si="1"/>
        <v>5668093.0207612459</v>
      </c>
      <c r="H7" s="414">
        <v>0.85</v>
      </c>
      <c r="I7" s="415"/>
      <c r="J7" s="92">
        <f t="shared" si="2"/>
        <v>4817879.0676470585</v>
      </c>
      <c r="K7" s="416">
        <f t="shared" si="3"/>
        <v>209473.00294117647</v>
      </c>
      <c r="L7" s="417"/>
      <c r="M7" s="91">
        <f>SUM(J51:J79)</f>
        <v>5001830</v>
      </c>
      <c r="N7" s="418">
        <f t="shared" si="4"/>
        <v>183950.93235294148</v>
      </c>
      <c r="O7" s="372"/>
      <c r="P7" s="90">
        <f t="shared" si="5"/>
        <v>0.88245376031747547</v>
      </c>
      <c r="R7" s="419"/>
      <c r="S7" s="419"/>
      <c r="T7" s="423">
        <f>T6*V6</f>
        <v>177508.64</v>
      </c>
      <c r="U7" s="423"/>
      <c r="V7" s="423"/>
      <c r="AO7" s="14" t="str">
        <f t="shared" si="0"/>
        <v>¥246439</v>
      </c>
      <c r="AP7" s="89">
        <f t="shared" si="6"/>
        <v>7.0833305000000003E-4</v>
      </c>
      <c r="AQ7" s="88">
        <v>8.3333299999999999E-2</v>
      </c>
      <c r="AR7" s="17"/>
      <c r="AS7" s="17"/>
      <c r="AT7" s="17"/>
    </row>
    <row r="8" spans="1:52" ht="23" outlineLevel="1">
      <c r="A8" s="17"/>
      <c r="D8" s="86"/>
      <c r="E8" s="95" t="s">
        <v>23</v>
      </c>
      <c r="F8" s="94">
        <f>COUNTIF(D80:D110,1)</f>
        <v>25</v>
      </c>
      <c r="G8" s="93">
        <f t="shared" si="1"/>
        <v>6160970.6747404849</v>
      </c>
      <c r="H8" s="414">
        <v>1</v>
      </c>
      <c r="I8" s="415"/>
      <c r="J8" s="92">
        <f t="shared" si="2"/>
        <v>6160970.6747404849</v>
      </c>
      <c r="K8" s="416">
        <f t="shared" si="3"/>
        <v>246438.82698961941</v>
      </c>
      <c r="L8" s="417"/>
      <c r="M8" s="91">
        <f>SUM(J80:J110)</f>
        <v>6460608</v>
      </c>
      <c r="N8" s="418">
        <f t="shared" si="4"/>
        <v>299637.32525951508</v>
      </c>
      <c r="O8" s="372"/>
      <c r="P8" s="90">
        <f t="shared" si="5"/>
        <v>1.0486347592089678</v>
      </c>
      <c r="R8" s="419" t="s">
        <v>76</v>
      </c>
      <c r="S8" s="419"/>
      <c r="T8" s="430">
        <f>T9-T6</f>
        <v>87436</v>
      </c>
      <c r="U8" s="430"/>
      <c r="V8" s="430"/>
      <c r="AO8" s="14" t="str">
        <f t="shared" si="0"/>
        <v>¥258761</v>
      </c>
      <c r="AP8" s="89">
        <f t="shared" si="6"/>
        <v>8.3333300000000001E-4</v>
      </c>
      <c r="AQ8" s="88">
        <v>8.3333299999999999E-2</v>
      </c>
      <c r="AR8" s="17"/>
      <c r="AS8" s="17"/>
      <c r="AT8" s="17"/>
    </row>
    <row r="9" spans="1:52" ht="23" outlineLevel="1">
      <c r="A9" s="17"/>
      <c r="B9" s="99"/>
      <c r="C9" s="40"/>
      <c r="D9" s="86"/>
      <c r="E9" s="95" t="s">
        <v>25</v>
      </c>
      <c r="F9" s="94">
        <f>COUNTIF(D111:D140,1)</f>
        <v>25</v>
      </c>
      <c r="G9" s="93">
        <f t="shared" si="1"/>
        <v>6160970.6747404849</v>
      </c>
      <c r="H9" s="414">
        <v>1.05</v>
      </c>
      <c r="I9" s="415"/>
      <c r="J9" s="92">
        <f t="shared" si="2"/>
        <v>6469019.2084775092</v>
      </c>
      <c r="K9" s="416">
        <f t="shared" si="3"/>
        <v>258760.76833910038</v>
      </c>
      <c r="L9" s="417"/>
      <c r="M9" s="91">
        <f>SUM(J111:J140)</f>
        <v>6676657</v>
      </c>
      <c r="N9" s="418">
        <f t="shared" si="4"/>
        <v>207637.79152249079</v>
      </c>
      <c r="O9" s="372"/>
      <c r="P9" s="90">
        <f t="shared" si="5"/>
        <v>1.0837021230069785</v>
      </c>
      <c r="R9" s="431" t="s">
        <v>75</v>
      </c>
      <c r="S9" s="431"/>
      <c r="T9" s="432">
        <f>SUM(V11:V16)</f>
        <v>321000</v>
      </c>
      <c r="U9" s="432"/>
      <c r="V9" s="432"/>
      <c r="AO9" s="14" t="str">
        <f t="shared" si="0"/>
        <v>¥246439</v>
      </c>
      <c r="AP9" s="89">
        <f t="shared" si="6"/>
        <v>8.7499965000000001E-4</v>
      </c>
      <c r="AQ9" s="88">
        <v>8.3333299999999999E-2</v>
      </c>
      <c r="AR9" s="17"/>
      <c r="AS9" s="17"/>
      <c r="AT9" s="17"/>
    </row>
    <row r="10" spans="1:52" ht="20" outlineLevel="1">
      <c r="A10" s="17"/>
      <c r="B10" s="99"/>
      <c r="C10" s="40"/>
      <c r="D10" s="86"/>
      <c r="E10" s="95" t="s">
        <v>27</v>
      </c>
      <c r="F10" s="94">
        <f>COUNTIF(D141:D171,1)</f>
        <v>24</v>
      </c>
      <c r="G10" s="93">
        <f t="shared" si="1"/>
        <v>5914531.8477508649</v>
      </c>
      <c r="H10" s="414">
        <v>1</v>
      </c>
      <c r="I10" s="415"/>
      <c r="J10" s="92">
        <f t="shared" si="2"/>
        <v>5914531.8477508649</v>
      </c>
      <c r="K10" s="416">
        <f t="shared" si="3"/>
        <v>246438.82698961938</v>
      </c>
      <c r="L10" s="417"/>
      <c r="M10" s="91">
        <f>SUM(J141:J171)</f>
        <v>6165010</v>
      </c>
      <c r="N10" s="418">
        <f t="shared" si="4"/>
        <v>250478.15224913508</v>
      </c>
      <c r="O10" s="372"/>
      <c r="P10" s="90">
        <f t="shared" si="5"/>
        <v>1.0423496159454082</v>
      </c>
      <c r="R10" s="100" t="s">
        <v>74</v>
      </c>
      <c r="S10" s="100" t="s">
        <v>73</v>
      </c>
      <c r="T10" s="429" t="s">
        <v>72</v>
      </c>
      <c r="U10" s="429"/>
      <c r="V10" s="100" t="s">
        <v>71</v>
      </c>
      <c r="AO10" s="14" t="str">
        <f t="shared" si="0"/>
        <v>¥221795</v>
      </c>
      <c r="AP10" s="89">
        <f t="shared" si="6"/>
        <v>8.3333300000000001E-4</v>
      </c>
      <c r="AQ10" s="88">
        <v>8.3333299999999999E-2</v>
      </c>
      <c r="AR10" s="17"/>
      <c r="AS10" s="17"/>
      <c r="AT10" s="17"/>
    </row>
    <row r="11" spans="1:52" ht="20" outlineLevel="1">
      <c r="A11" s="17"/>
      <c r="B11" s="99"/>
      <c r="C11" s="40"/>
      <c r="D11" s="86"/>
      <c r="E11" s="95" t="s">
        <v>70</v>
      </c>
      <c r="F11" s="94">
        <f>COUNTIF(D172:D201,1)</f>
        <v>25</v>
      </c>
      <c r="G11" s="93">
        <f t="shared" si="1"/>
        <v>6160970.6747404849</v>
      </c>
      <c r="H11" s="414">
        <v>0.9</v>
      </c>
      <c r="I11" s="415"/>
      <c r="J11" s="92">
        <f t="shared" si="2"/>
        <v>5544873.6072664363</v>
      </c>
      <c r="K11" s="416">
        <f t="shared" si="3"/>
        <v>221794.94429065744</v>
      </c>
      <c r="L11" s="417"/>
      <c r="M11" s="91">
        <f>SUM(J172:J201)</f>
        <v>5907950</v>
      </c>
      <c r="N11" s="418">
        <f t="shared" si="4"/>
        <v>363076.39273356367</v>
      </c>
      <c r="O11" s="372"/>
      <c r="P11" s="90">
        <f t="shared" si="5"/>
        <v>0.95893168656396133</v>
      </c>
      <c r="R11" s="98" t="s">
        <v>69</v>
      </c>
      <c r="S11" s="97">
        <v>1100</v>
      </c>
      <c r="T11" s="433">
        <v>60</v>
      </c>
      <c r="U11" s="433"/>
      <c r="V11" s="96">
        <f t="shared" ref="V11:V16" si="7">S11*T11</f>
        <v>66000</v>
      </c>
      <c r="AO11" s="14" t="str">
        <f t="shared" si="0"/>
        <v>¥234117</v>
      </c>
      <c r="AP11" s="89">
        <f t="shared" si="6"/>
        <v>7.4999970000000013E-4</v>
      </c>
      <c r="AQ11" s="88">
        <v>8.3333299999999999E-2</v>
      </c>
      <c r="AR11" s="17"/>
      <c r="AS11" s="17"/>
      <c r="AT11" s="17"/>
    </row>
    <row r="12" spans="1:52" ht="20" outlineLevel="1">
      <c r="A12" s="17"/>
      <c r="B12" s="40"/>
      <c r="C12" s="40"/>
      <c r="D12" s="86"/>
      <c r="E12" s="95" t="s">
        <v>68</v>
      </c>
      <c r="F12" s="94">
        <f>COUNTIF(D202:D232,1)</f>
        <v>26</v>
      </c>
      <c r="G12" s="93">
        <f t="shared" si="1"/>
        <v>6407409.501730104</v>
      </c>
      <c r="H12" s="414">
        <v>0.95</v>
      </c>
      <c r="I12" s="415"/>
      <c r="J12" s="92">
        <f t="shared" si="2"/>
        <v>6087039.0266435985</v>
      </c>
      <c r="K12" s="416">
        <f t="shared" si="3"/>
        <v>234116.88564013841</v>
      </c>
      <c r="L12" s="417"/>
      <c r="M12" s="91">
        <f>SUM(J202:J232)</f>
        <v>6522185</v>
      </c>
      <c r="N12" s="418">
        <f t="shared" si="4"/>
        <v>435145.97335640155</v>
      </c>
      <c r="O12" s="372"/>
      <c r="P12" s="90">
        <f t="shared" si="5"/>
        <v>1.0179129331813277</v>
      </c>
      <c r="R12" s="98" t="s">
        <v>67</v>
      </c>
      <c r="S12" s="97">
        <v>4500</v>
      </c>
      <c r="T12" s="433">
        <v>20</v>
      </c>
      <c r="U12" s="433"/>
      <c r="V12" s="96">
        <f t="shared" si="7"/>
        <v>90000</v>
      </c>
      <c r="AO12" s="14" t="str">
        <f t="shared" si="0"/>
        <v>¥197151</v>
      </c>
      <c r="AP12" s="89">
        <f t="shared" si="6"/>
        <v>7.9166635000000002E-4</v>
      </c>
      <c r="AQ12" s="88">
        <v>8.3333299999999999E-2</v>
      </c>
      <c r="AR12" s="17"/>
      <c r="AS12" s="17"/>
      <c r="AT12" s="17"/>
    </row>
    <row r="13" spans="1:52" ht="20" outlineLevel="1">
      <c r="A13" s="17"/>
      <c r="B13" s="40"/>
      <c r="C13" s="40"/>
      <c r="D13" s="86"/>
      <c r="E13" s="95" t="s">
        <v>66</v>
      </c>
      <c r="F13" s="94">
        <f>COUNTIF(D233:D263,1)</f>
        <v>22</v>
      </c>
      <c r="G13" s="93">
        <f t="shared" si="1"/>
        <v>5421654.1937716268</v>
      </c>
      <c r="H13" s="414">
        <v>0.8</v>
      </c>
      <c r="I13" s="415"/>
      <c r="J13" s="92">
        <f t="shared" si="2"/>
        <v>4337323.3550173016</v>
      </c>
      <c r="K13" s="416">
        <f t="shared" si="3"/>
        <v>197151.06159169553</v>
      </c>
      <c r="L13" s="417"/>
      <c r="M13" s="91">
        <f>SUM(J233:J263)</f>
        <v>4512002</v>
      </c>
      <c r="N13" s="418">
        <f t="shared" si="4"/>
        <v>174678.64498269837</v>
      </c>
      <c r="O13" s="372"/>
      <c r="P13" s="90">
        <f t="shared" si="5"/>
        <v>0.83221869907958512</v>
      </c>
      <c r="R13" s="98" t="s">
        <v>65</v>
      </c>
      <c r="S13" s="97">
        <v>5500</v>
      </c>
      <c r="T13" s="433">
        <v>30</v>
      </c>
      <c r="U13" s="433"/>
      <c r="V13" s="96">
        <f t="shared" si="7"/>
        <v>165000</v>
      </c>
      <c r="Z13" s="17"/>
      <c r="AA13" s="17"/>
      <c r="AB13" s="17"/>
      <c r="AC13" s="17"/>
      <c r="AD13" s="17"/>
      <c r="AE13" s="17"/>
      <c r="AF13" s="139"/>
      <c r="AG13" s="256"/>
      <c r="AH13" s="256"/>
      <c r="AI13" s="256"/>
      <c r="AJ13" s="256"/>
      <c r="AK13" s="17"/>
      <c r="AL13" s="17"/>
      <c r="AM13" s="17"/>
      <c r="AN13" s="18"/>
      <c r="AO13" s="14" t="str">
        <f t="shared" si="0"/>
        <v>¥234117</v>
      </c>
      <c r="AP13" s="89">
        <f t="shared" si="6"/>
        <v>6.6666640000000003E-4</v>
      </c>
      <c r="AQ13" s="88">
        <v>8.3333299999999999E-2</v>
      </c>
      <c r="AR13" s="17"/>
      <c r="AS13" s="87"/>
      <c r="AT13" s="87"/>
    </row>
    <row r="14" spans="1:52" ht="20" customHeight="1" outlineLevel="1">
      <c r="A14" s="17"/>
      <c r="B14" s="40"/>
      <c r="C14" s="40"/>
      <c r="D14" s="86"/>
      <c r="E14" s="95" t="s">
        <v>64</v>
      </c>
      <c r="F14" s="94">
        <f>COUNTIF(D264:D293,1)</f>
        <v>23</v>
      </c>
      <c r="G14" s="93">
        <f t="shared" si="1"/>
        <v>5668093.0207612459</v>
      </c>
      <c r="H14" s="414">
        <v>0.95</v>
      </c>
      <c r="I14" s="415"/>
      <c r="J14" s="92">
        <f t="shared" si="2"/>
        <v>5384688.3697231831</v>
      </c>
      <c r="K14" s="416">
        <f t="shared" si="3"/>
        <v>234116.88564013838</v>
      </c>
      <c r="L14" s="417"/>
      <c r="M14" s="91">
        <f>SUM(J264:J293)</f>
        <v>5425075</v>
      </c>
      <c r="N14" s="418">
        <f t="shared" si="4"/>
        <v>40386.630276816897</v>
      </c>
      <c r="O14" s="372"/>
      <c r="P14" s="90">
        <f t="shared" si="5"/>
        <v>0.957125258906106</v>
      </c>
      <c r="R14" s="98"/>
      <c r="S14" s="97"/>
      <c r="T14" s="433">
        <v>0</v>
      </c>
      <c r="U14" s="433"/>
      <c r="V14" s="96">
        <f t="shared" si="7"/>
        <v>0</v>
      </c>
      <c r="Z14" s="17"/>
      <c r="AA14" s="17"/>
      <c r="AB14" s="17"/>
      <c r="AC14" s="17"/>
      <c r="AD14" s="17"/>
      <c r="AE14" s="17"/>
      <c r="AF14" s="139"/>
      <c r="AG14" s="256"/>
      <c r="AH14" s="256"/>
      <c r="AI14" s="256"/>
      <c r="AJ14" s="256"/>
      <c r="AK14" s="17"/>
      <c r="AL14" s="17"/>
      <c r="AM14" s="17"/>
      <c r="AN14" s="18"/>
      <c r="AO14" s="14" t="str">
        <f t="shared" si="0"/>
        <v>¥308049</v>
      </c>
      <c r="AP14" s="89">
        <f t="shared" si="6"/>
        <v>7.9166635000000002E-4</v>
      </c>
      <c r="AQ14" s="88">
        <v>8.3333299999999999E-2</v>
      </c>
      <c r="AR14" s="17"/>
      <c r="AS14" s="87"/>
      <c r="AT14" s="87"/>
    </row>
    <row r="15" spans="1:52" ht="20" customHeight="1" outlineLevel="1">
      <c r="A15" s="17"/>
      <c r="B15" s="40"/>
      <c r="C15" s="40"/>
      <c r="D15" s="86"/>
      <c r="E15" s="95" t="s">
        <v>63</v>
      </c>
      <c r="F15" s="94">
        <f>COUNTIF(D294:D324,1)</f>
        <v>26</v>
      </c>
      <c r="G15" s="93">
        <f t="shared" si="1"/>
        <v>6407409.501730104</v>
      </c>
      <c r="H15" s="414">
        <v>1.25</v>
      </c>
      <c r="I15" s="415"/>
      <c r="J15" s="92">
        <f t="shared" si="2"/>
        <v>8009261.8771626297</v>
      </c>
      <c r="K15" s="416">
        <f t="shared" si="3"/>
        <v>308048.53373702423</v>
      </c>
      <c r="L15" s="417"/>
      <c r="M15" s="91">
        <f>SUM(J294:J324)</f>
        <v>5555530</v>
      </c>
      <c r="N15" s="418">
        <f t="shared" si="4"/>
        <v>-2453731.8771626297</v>
      </c>
      <c r="O15" s="372"/>
      <c r="P15" s="90">
        <f t="shared" si="5"/>
        <v>0.86704775127918965</v>
      </c>
      <c r="R15" s="98"/>
      <c r="S15" s="97"/>
      <c r="T15" s="434">
        <v>0</v>
      </c>
      <c r="U15" s="434"/>
      <c r="V15" s="96">
        <f t="shared" si="7"/>
        <v>0</v>
      </c>
      <c r="Z15" s="17"/>
      <c r="AA15" s="17"/>
      <c r="AB15" s="17"/>
      <c r="AC15" s="17"/>
      <c r="AD15" s="17"/>
      <c r="AE15" s="17"/>
      <c r="AF15" s="139"/>
      <c r="AG15" s="256"/>
      <c r="AH15" s="256"/>
      <c r="AI15" s="256"/>
      <c r="AJ15" s="256"/>
      <c r="AK15" s="17"/>
      <c r="AL15" s="17"/>
      <c r="AM15" s="17"/>
      <c r="AN15" s="18"/>
      <c r="AO15" s="14" t="str">
        <f t="shared" si="0"/>
        <v>¥258761</v>
      </c>
      <c r="AP15" s="89">
        <f t="shared" si="6"/>
        <v>1.04166625E-3</v>
      </c>
      <c r="AQ15" s="88">
        <v>8.3333299999999999E-2</v>
      </c>
      <c r="AR15" s="17"/>
      <c r="AS15" s="87"/>
      <c r="AT15" s="87"/>
      <c r="AU15" s="87"/>
    </row>
    <row r="16" spans="1:52" ht="22" outlineLevel="1">
      <c r="A16" s="17"/>
      <c r="B16" s="40"/>
      <c r="C16" s="40"/>
      <c r="D16" s="86"/>
      <c r="E16" s="95" t="s">
        <v>62</v>
      </c>
      <c r="F16" s="94">
        <f>COUNTIF(D325:D354,1)</f>
        <v>24</v>
      </c>
      <c r="G16" s="93">
        <f t="shared" si="1"/>
        <v>5914531.8477508649</v>
      </c>
      <c r="H16" s="414">
        <v>1.05</v>
      </c>
      <c r="I16" s="415"/>
      <c r="J16" s="92">
        <f t="shared" si="2"/>
        <v>6210258.440138408</v>
      </c>
      <c r="K16" s="416">
        <f t="shared" si="3"/>
        <v>258760.76833910032</v>
      </c>
      <c r="L16" s="417"/>
      <c r="M16" s="91">
        <f>SUM(J325:J354)</f>
        <v>6112150</v>
      </c>
      <c r="N16" s="418">
        <f t="shared" si="4"/>
        <v>-98108.440138407983</v>
      </c>
      <c r="O16" s="372"/>
      <c r="P16" s="90">
        <f t="shared" si="5"/>
        <v>1.0334123067279253</v>
      </c>
      <c r="R16" s="98"/>
      <c r="S16" s="97"/>
      <c r="T16" s="434">
        <v>0</v>
      </c>
      <c r="U16" s="434"/>
      <c r="V16" s="96">
        <f t="shared" si="7"/>
        <v>0</v>
      </c>
      <c r="W16" s="17"/>
      <c r="X16" s="17"/>
      <c r="Y16" s="17"/>
      <c r="Z16" s="17"/>
      <c r="AA16" s="17"/>
      <c r="AB16" s="17"/>
      <c r="AC16" s="17"/>
      <c r="AD16" s="17"/>
      <c r="AE16" s="17"/>
      <c r="AF16" s="139"/>
      <c r="AG16" s="256"/>
      <c r="AH16" s="256"/>
      <c r="AI16" s="256"/>
      <c r="AJ16" s="256"/>
      <c r="AK16" s="17"/>
      <c r="AL16" s="17"/>
      <c r="AM16" s="17"/>
      <c r="AN16" s="18"/>
      <c r="AO16" s="14" t="str">
        <f t="shared" si="0"/>
        <v>¥320370</v>
      </c>
      <c r="AP16" s="89">
        <f t="shared" si="6"/>
        <v>8.7499965000000001E-4</v>
      </c>
      <c r="AQ16" s="88">
        <v>8.3333299999999999E-2</v>
      </c>
      <c r="AR16" s="17"/>
      <c r="AS16" s="87"/>
      <c r="AT16" s="87"/>
      <c r="AU16" s="87"/>
    </row>
    <row r="17" spans="1:52" ht="20" outlineLevel="1">
      <c r="A17" s="17"/>
      <c r="B17" s="40"/>
      <c r="C17" s="40"/>
      <c r="D17" s="86"/>
      <c r="E17" s="95" t="s">
        <v>61</v>
      </c>
      <c r="F17" s="94">
        <f>COUNTIF(D355:D385,1)</f>
        <v>24</v>
      </c>
      <c r="G17" s="93">
        <f t="shared" si="1"/>
        <v>5914531.8477508649</v>
      </c>
      <c r="H17" s="414">
        <v>1.3</v>
      </c>
      <c r="I17" s="415"/>
      <c r="J17" s="92">
        <f t="shared" si="2"/>
        <v>7688891.4020761242</v>
      </c>
      <c r="K17" s="416">
        <f t="shared" si="3"/>
        <v>320370.47508650518</v>
      </c>
      <c r="L17" s="417"/>
      <c r="M17" s="91">
        <f>SUM(J355:J385)</f>
        <v>7899450</v>
      </c>
      <c r="N17" s="418">
        <f t="shared" si="4"/>
        <v>210558.59792387579</v>
      </c>
      <c r="O17" s="372"/>
      <c r="P17" s="90">
        <f t="shared" si="5"/>
        <v>1.3356002137352503</v>
      </c>
      <c r="R17" s="17"/>
      <c r="S17" s="17"/>
      <c r="U17" s="40"/>
      <c r="V17" s="40"/>
      <c r="W17" s="17"/>
      <c r="X17" s="17"/>
      <c r="Y17" s="17"/>
      <c r="Z17" s="17"/>
      <c r="AA17" s="17"/>
      <c r="AB17" s="17"/>
      <c r="AC17" s="17"/>
      <c r="AD17" s="17"/>
      <c r="AE17" s="17"/>
      <c r="AF17" s="139"/>
      <c r="AG17" s="256"/>
      <c r="AH17" s="256"/>
      <c r="AI17" s="256"/>
      <c r="AJ17" s="256"/>
      <c r="AK17" s="17"/>
      <c r="AL17" s="17"/>
      <c r="AM17" s="17"/>
      <c r="AN17" s="18"/>
      <c r="AO17" s="18"/>
      <c r="AP17" s="89">
        <f t="shared" si="6"/>
        <v>1.0833329000000001E-3</v>
      </c>
      <c r="AQ17" s="88">
        <v>8.3333299999999999E-2</v>
      </c>
      <c r="AR17" s="17"/>
      <c r="AS17" s="87"/>
      <c r="AT17" s="87"/>
      <c r="AU17" s="87"/>
      <c r="AV17" s="87"/>
      <c r="AW17" s="87"/>
      <c r="AX17" s="87"/>
      <c r="AY17" s="87"/>
      <c r="AZ17" s="87"/>
    </row>
    <row r="18" spans="1:52" ht="15" customHeight="1">
      <c r="A18" s="17"/>
      <c r="B18" s="40"/>
      <c r="C18" s="40"/>
      <c r="D18" s="86"/>
      <c r="E18" s="40"/>
      <c r="F18" s="85"/>
      <c r="G18" s="40"/>
      <c r="H18" s="40"/>
      <c r="I18" s="40"/>
      <c r="J18" s="40"/>
      <c r="K18" s="84"/>
      <c r="L18" s="40"/>
      <c r="M18" s="40"/>
      <c r="N18" s="40"/>
      <c r="O18" s="40"/>
      <c r="P18" s="40"/>
      <c r="Q18" s="40"/>
      <c r="R18" s="40"/>
      <c r="S18" s="40"/>
      <c r="T18" s="40"/>
      <c r="U18" s="40"/>
      <c r="V18" s="40"/>
      <c r="W18" s="17"/>
      <c r="X18" s="17"/>
      <c r="Y18" s="17"/>
      <c r="Z18" s="17"/>
      <c r="AA18" s="17"/>
      <c r="AB18" s="17"/>
      <c r="AC18" s="17"/>
      <c r="AD18" s="17"/>
      <c r="AE18" s="17"/>
      <c r="AF18" s="139"/>
      <c r="AG18" s="256"/>
      <c r="AH18" s="256"/>
      <c r="AI18" s="256"/>
      <c r="AJ18" s="256"/>
      <c r="AK18" s="17"/>
      <c r="AL18" s="17"/>
      <c r="AM18" s="17"/>
      <c r="AN18" s="18"/>
      <c r="AO18" s="18"/>
      <c r="AP18" s="18"/>
      <c r="AQ18" s="18"/>
      <c r="AR18" s="17"/>
      <c r="AS18" s="17"/>
      <c r="AT18" s="17"/>
      <c r="AU18" s="17"/>
      <c r="AV18" s="17"/>
      <c r="AW18" s="17"/>
      <c r="AX18" s="17"/>
      <c r="AY18" s="17"/>
      <c r="AZ18" s="17"/>
    </row>
    <row r="19" spans="1:52" ht="20">
      <c r="A19" s="17"/>
      <c r="B19" s="40"/>
      <c r="C19" s="71"/>
      <c r="D19" s="83"/>
      <c r="E19" s="72" t="s">
        <v>17</v>
      </c>
      <c r="F19" s="72" t="s">
        <v>60</v>
      </c>
      <c r="G19" s="82" t="s">
        <v>36</v>
      </c>
      <c r="H19" s="76" t="s">
        <v>59</v>
      </c>
      <c r="I19" s="74"/>
      <c r="J19" s="76" t="s">
        <v>58</v>
      </c>
      <c r="K19" s="81"/>
      <c r="L19" s="80" t="s">
        <v>57</v>
      </c>
      <c r="M19" s="79" t="s">
        <v>56</v>
      </c>
      <c r="N19" s="78" t="s">
        <v>55</v>
      </c>
      <c r="O19" s="77"/>
      <c r="P19" s="73" t="s">
        <v>11</v>
      </c>
      <c r="Q19" s="72" t="s">
        <v>54</v>
      </c>
      <c r="R19" s="76" t="s">
        <v>53</v>
      </c>
      <c r="S19" s="75" t="s">
        <v>52</v>
      </c>
      <c r="T19" s="74"/>
      <c r="U19" s="73" t="s">
        <v>12</v>
      </c>
      <c r="V19" s="72" t="s">
        <v>51</v>
      </c>
      <c r="W19" s="72" t="s">
        <v>50</v>
      </c>
      <c r="X19" s="71" t="s">
        <v>49</v>
      </c>
      <c r="Y19" s="17"/>
      <c r="Z19" s="17"/>
      <c r="AA19" s="17"/>
      <c r="AB19" s="17"/>
      <c r="AC19" s="266" t="s">
        <v>188</v>
      </c>
      <c r="AD19" s="266" t="s">
        <v>96</v>
      </c>
      <c r="AE19" s="266" t="s">
        <v>187</v>
      </c>
      <c r="AF19" s="267" t="s">
        <v>186</v>
      </c>
      <c r="AG19" s="269"/>
      <c r="AH19" s="269" t="s">
        <v>185</v>
      </c>
      <c r="AI19" s="394" t="s">
        <v>184</v>
      </c>
      <c r="AJ19" s="394"/>
      <c r="AK19" s="17"/>
      <c r="AL19" s="17"/>
      <c r="AM19" s="17"/>
      <c r="AN19" s="18"/>
      <c r="AO19" s="18"/>
      <c r="AP19" s="18"/>
      <c r="AQ19" s="18"/>
      <c r="AR19" s="17"/>
      <c r="AS19" s="17"/>
      <c r="AT19" s="17"/>
      <c r="AU19" s="17"/>
      <c r="AV19" s="17"/>
      <c r="AW19" s="17"/>
      <c r="AX19" s="17"/>
      <c r="AY19" s="17"/>
      <c r="AZ19" s="17"/>
    </row>
    <row r="20" spans="1:52" ht="20">
      <c r="A20" s="17"/>
      <c r="B20" s="40"/>
      <c r="C20" s="55">
        <v>1</v>
      </c>
      <c r="D20" s="54">
        <v>0</v>
      </c>
      <c r="E20" s="53" t="str">
        <f t="shared" ref="E20:E83" si="8">TEXT(AA20,"m")</f>
        <v>1</v>
      </c>
      <c r="F20" s="52">
        <f>B2</f>
        <v>45292</v>
      </c>
      <c r="G20" s="51" t="str">
        <f>TEXT(AS20,"ddd")</f>
        <v>Mon</v>
      </c>
      <c r="H20" s="50" t="s">
        <v>48</v>
      </c>
      <c r="I20" s="67"/>
      <c r="J20" s="66">
        <v>0</v>
      </c>
      <c r="K20" s="65"/>
      <c r="L20" s="43">
        <f t="shared" ref="L20:L50" si="9">IF(D20=0,0,$K$6)</f>
        <v>0</v>
      </c>
      <c r="M20" s="47">
        <f t="shared" ref="M20:M83" si="10">IF(D20=0,0,J20-L20)</f>
        <v>0</v>
      </c>
      <c r="N20" s="60" t="str">
        <f t="shared" ref="N20:N83" si="11">IFERROR(J20/L20,"0%")</f>
        <v>0%</v>
      </c>
      <c r="O20" s="46"/>
      <c r="P20" s="45">
        <f>IF(D20=0,0,$K$6)</f>
        <v>0</v>
      </c>
      <c r="Q20" s="43">
        <f>IF(D20=0,0,$J$20)</f>
        <v>0</v>
      </c>
      <c r="R20" s="42">
        <f t="shared" ref="R20:R83" si="12">IF(D20=0,0,Q20-P20)</f>
        <v>0</v>
      </c>
      <c r="S20" s="41" t="str">
        <f t="shared" ref="S20:S83" si="13">IFERROR(Q20/P20,"0%")</f>
        <v>0%</v>
      </c>
      <c r="T20" s="69"/>
      <c r="U20" s="43">
        <f>IF(D20=0,0,$L$20)</f>
        <v>0</v>
      </c>
      <c r="V20" s="43">
        <f>IF(D20=0,0,$J$20)</f>
        <v>0</v>
      </c>
      <c r="W20" s="42">
        <f t="shared" ref="W20:W83" si="14">IF(D20=0,0,V20-U20)</f>
        <v>0</v>
      </c>
      <c r="X20" s="41" t="str">
        <f t="shared" ref="X20:X83" si="15">IFERROR(V20/U20,"0%")</f>
        <v>0%</v>
      </c>
      <c r="Y20" s="17"/>
      <c r="Z20" s="23">
        <f>B2</f>
        <v>45292</v>
      </c>
      <c r="AA20" s="22">
        <f>B2</f>
        <v>45292</v>
      </c>
      <c r="AB20" s="137">
        <v>45292</v>
      </c>
      <c r="AC20" s="141">
        <v>1</v>
      </c>
      <c r="AD20" s="136" t="s">
        <v>122</v>
      </c>
      <c r="AE20" s="138">
        <f>IFERROR(AVERAGEIFS(J20:J50,D20:D50,1,G20:G50,"mon"),0)</f>
        <v>253025</v>
      </c>
      <c r="AF20" s="141">
        <f>COUNTIFS(D20:D50,1,G20:G50,"Mon")</f>
        <v>4</v>
      </c>
      <c r="AG20" s="138">
        <f>SUMIFS(J20:J50,D20:D50,1,G20:G50,"mon")</f>
        <v>1012100</v>
      </c>
      <c r="AH20" s="138">
        <f>AE20*AF20</f>
        <v>1012100</v>
      </c>
      <c r="AI20" s="264">
        <f>AH20/$M$6</f>
        <v>0.20313609536337496</v>
      </c>
      <c r="AJ20" s="393">
        <f>SUM(AI20:AI26)</f>
        <v>0.99999999999999989</v>
      </c>
      <c r="AK20" s="15"/>
      <c r="AL20" s="134"/>
      <c r="AM20" s="134"/>
      <c r="AN20" s="18"/>
      <c r="AO20" s="18"/>
      <c r="AP20" s="18"/>
      <c r="AQ20" s="18"/>
      <c r="AR20" s="17"/>
      <c r="AS20" s="21">
        <f>B2</f>
        <v>45292</v>
      </c>
      <c r="AT20" s="17"/>
      <c r="AU20" s="17"/>
      <c r="AV20" s="17"/>
      <c r="AW20" s="17"/>
      <c r="AX20" s="17"/>
      <c r="AY20" s="17"/>
      <c r="AZ20" s="17"/>
    </row>
    <row r="21" spans="1:52" ht="20">
      <c r="A21" s="17"/>
      <c r="B21" s="40"/>
      <c r="C21" s="55">
        <f t="shared" ref="C21:C84" si="16">C20+1</f>
        <v>2</v>
      </c>
      <c r="D21" s="54">
        <v>0</v>
      </c>
      <c r="E21" s="53" t="str">
        <f t="shared" si="8"/>
        <v>1</v>
      </c>
      <c r="F21" s="52">
        <f t="shared" ref="F21:F84" si="17">F20+1</f>
        <v>45293</v>
      </c>
      <c r="G21" s="51" t="str">
        <f t="shared" ref="G21:G83" si="18">TEXT(AS21,"ddd")</f>
        <v>Tue</v>
      </c>
      <c r="H21" s="50" t="s">
        <v>45</v>
      </c>
      <c r="I21" s="67"/>
      <c r="J21" s="66">
        <v>0</v>
      </c>
      <c r="K21" s="65"/>
      <c r="L21" s="43">
        <f t="shared" si="9"/>
        <v>0</v>
      </c>
      <c r="M21" s="47">
        <f t="shared" si="10"/>
        <v>0</v>
      </c>
      <c r="N21" s="41" t="str">
        <f t="shared" si="11"/>
        <v>0%</v>
      </c>
      <c r="O21" s="46"/>
      <c r="P21" s="45">
        <f>IF(D21=0,0,SUM($L$20:L21))</f>
        <v>0</v>
      </c>
      <c r="Q21" s="43">
        <f>IF(D21=0,0,SUM($J$20:J21))</f>
        <v>0</v>
      </c>
      <c r="R21" s="42">
        <f t="shared" si="12"/>
        <v>0</v>
      </c>
      <c r="S21" s="41" t="str">
        <f t="shared" si="13"/>
        <v>0%</v>
      </c>
      <c r="T21" s="69"/>
      <c r="U21" s="43">
        <f>IF(D21=0,0,SUM($L$20:L21))</f>
        <v>0</v>
      </c>
      <c r="V21" s="43">
        <f>IF(D21=0,0,SUM($J$20:J21))</f>
        <v>0</v>
      </c>
      <c r="W21" s="42">
        <f t="shared" si="14"/>
        <v>0</v>
      </c>
      <c r="X21" s="41" t="str">
        <f t="shared" si="15"/>
        <v>0%</v>
      </c>
      <c r="Y21" s="17"/>
      <c r="Z21" s="23">
        <f t="shared" ref="Z21:Z84" si="19">Z20+1</f>
        <v>45293</v>
      </c>
      <c r="AA21" s="135">
        <f t="shared" ref="AA21:AA84" si="20">AA20+1</f>
        <v>45293</v>
      </c>
      <c r="AB21" s="137">
        <v>45293</v>
      </c>
      <c r="AC21" s="141">
        <v>1</v>
      </c>
      <c r="AD21" s="136" t="s">
        <v>123</v>
      </c>
      <c r="AE21" s="138">
        <f>IFERROR(AVERAGEIFS(J20:J50,D20:D50,1,G20:G50,"tue"),0)</f>
        <v>214411</v>
      </c>
      <c r="AF21" s="141">
        <f>COUNTIFS(D20:D50,1,G20:G50,"Tue")</f>
        <v>4</v>
      </c>
      <c r="AG21" s="138"/>
      <c r="AH21" s="138">
        <f t="shared" ref="AH21:AH84" si="21">AE21*AF21</f>
        <v>857644</v>
      </c>
      <c r="AI21" s="264">
        <f t="shared" ref="AI21:AI26" si="22">AH21/$M$6</f>
        <v>0.17213561246104769</v>
      </c>
      <c r="AJ21" s="393"/>
      <c r="AK21" s="15"/>
      <c r="AL21" s="134"/>
      <c r="AM21" s="134"/>
      <c r="AN21" s="18"/>
      <c r="AO21" s="18"/>
      <c r="AP21" s="18"/>
      <c r="AQ21" s="18"/>
      <c r="AR21" s="17"/>
      <c r="AS21" s="21">
        <f t="shared" ref="AS21:AS84" si="23">AS20+1</f>
        <v>45293</v>
      </c>
      <c r="AT21" s="17"/>
      <c r="AU21" s="17"/>
      <c r="AV21" s="17"/>
      <c r="AW21" s="17"/>
      <c r="AX21" s="17"/>
      <c r="AY21" s="17"/>
      <c r="AZ21" s="17"/>
    </row>
    <row r="22" spans="1:52" ht="20">
      <c r="A22" s="17"/>
      <c r="B22" s="40"/>
      <c r="C22" s="55">
        <f t="shared" si="16"/>
        <v>3</v>
      </c>
      <c r="D22" s="54">
        <v>0</v>
      </c>
      <c r="E22" s="53" t="str">
        <f t="shared" si="8"/>
        <v>1</v>
      </c>
      <c r="F22" s="52">
        <f t="shared" si="17"/>
        <v>45294</v>
      </c>
      <c r="G22" s="51" t="str">
        <f t="shared" si="18"/>
        <v>Wed</v>
      </c>
      <c r="H22" s="50" t="s">
        <v>45</v>
      </c>
      <c r="I22" s="67"/>
      <c r="J22" s="66">
        <v>0</v>
      </c>
      <c r="K22" s="65"/>
      <c r="L22" s="43">
        <f t="shared" si="9"/>
        <v>0</v>
      </c>
      <c r="M22" s="47">
        <f t="shared" si="10"/>
        <v>0</v>
      </c>
      <c r="N22" s="41" t="str">
        <f t="shared" si="11"/>
        <v>0%</v>
      </c>
      <c r="O22" s="46"/>
      <c r="P22" s="45">
        <f>IF(D22=0,0,SUM($L$20:L22))</f>
        <v>0</v>
      </c>
      <c r="Q22" s="43">
        <f>IF(D22=0,0,SUM($J$20:J22))</f>
        <v>0</v>
      </c>
      <c r="R22" s="42">
        <f t="shared" si="12"/>
        <v>0</v>
      </c>
      <c r="S22" s="41" t="str">
        <f t="shared" si="13"/>
        <v>0%</v>
      </c>
      <c r="T22" s="69"/>
      <c r="U22" s="43">
        <f>IF(D22=0,0,SUM($L$20:L22))</f>
        <v>0</v>
      </c>
      <c r="V22" s="43">
        <f>IF(D22=0,0,SUM($J$20:J22))</f>
        <v>0</v>
      </c>
      <c r="W22" s="42">
        <f t="shared" si="14"/>
        <v>0</v>
      </c>
      <c r="X22" s="41" t="str">
        <f t="shared" si="15"/>
        <v>0%</v>
      </c>
      <c r="Y22" s="17"/>
      <c r="Z22" s="23">
        <f t="shared" si="19"/>
        <v>45294</v>
      </c>
      <c r="AA22" s="135">
        <f t="shared" si="20"/>
        <v>45294</v>
      </c>
      <c r="AB22" s="137">
        <v>45294</v>
      </c>
      <c r="AC22" s="141">
        <v>1</v>
      </c>
      <c r="AD22" s="136" t="s">
        <v>124</v>
      </c>
      <c r="AE22" s="138">
        <f>IFERROR(AVERAGEIFS(J20:J50,D20:D50,1,G20:G50,"wed"),0)</f>
        <v>241500</v>
      </c>
      <c r="AF22" s="141">
        <f>COUNTIFS(D20:D50,1,G20:G50,"wed")</f>
        <v>4</v>
      </c>
      <c r="AG22" s="138"/>
      <c r="AH22" s="138">
        <f t="shared" si="21"/>
        <v>966000</v>
      </c>
      <c r="AI22" s="264">
        <f t="shared" si="22"/>
        <v>0.19388347803677525</v>
      </c>
      <c r="AJ22" s="393"/>
      <c r="AK22" s="15"/>
      <c r="AL22" s="134"/>
      <c r="AM22" s="134"/>
      <c r="AN22" s="18"/>
      <c r="AO22" s="18"/>
      <c r="AP22" s="18"/>
      <c r="AQ22" s="18"/>
      <c r="AR22" s="17"/>
      <c r="AS22" s="21">
        <f t="shared" si="23"/>
        <v>45294</v>
      </c>
      <c r="AT22" s="17"/>
      <c r="AU22" s="17"/>
      <c r="AV22" s="17"/>
      <c r="AW22" s="17"/>
      <c r="AX22" s="17"/>
      <c r="AY22" s="17"/>
      <c r="AZ22" s="17"/>
    </row>
    <row r="23" spans="1:52" ht="20">
      <c r="A23" s="17"/>
      <c r="B23" s="40"/>
      <c r="C23" s="55">
        <f t="shared" si="16"/>
        <v>4</v>
      </c>
      <c r="D23" s="54">
        <v>0</v>
      </c>
      <c r="E23" s="53" t="str">
        <f t="shared" si="8"/>
        <v>1</v>
      </c>
      <c r="F23" s="52">
        <f t="shared" si="17"/>
        <v>45295</v>
      </c>
      <c r="G23" s="51" t="str">
        <f t="shared" si="18"/>
        <v>Thu</v>
      </c>
      <c r="H23" s="50" t="s">
        <v>47</v>
      </c>
      <c r="I23" s="67"/>
      <c r="J23" s="66">
        <v>0</v>
      </c>
      <c r="K23" s="65"/>
      <c r="L23" s="43">
        <f t="shared" si="9"/>
        <v>0</v>
      </c>
      <c r="M23" s="47">
        <f t="shared" si="10"/>
        <v>0</v>
      </c>
      <c r="N23" s="41" t="str">
        <f t="shared" si="11"/>
        <v>0%</v>
      </c>
      <c r="O23" s="46"/>
      <c r="P23" s="45">
        <f>IF(D23=0,0,SUM($L$20:L23))</f>
        <v>0</v>
      </c>
      <c r="Q23" s="43">
        <f>IF(D23=0,0,SUM($J$20:J23))</f>
        <v>0</v>
      </c>
      <c r="R23" s="42">
        <f t="shared" si="12"/>
        <v>0</v>
      </c>
      <c r="S23" s="41" t="str">
        <f t="shared" si="13"/>
        <v>0%</v>
      </c>
      <c r="T23" s="70"/>
      <c r="U23" s="43">
        <f>IF(D23=0,0,SUM($L$20:L23))</f>
        <v>0</v>
      </c>
      <c r="V23" s="43">
        <f>IF(D23=0,0,SUM($J$20:J23))</f>
        <v>0</v>
      </c>
      <c r="W23" s="42">
        <f t="shared" si="14"/>
        <v>0</v>
      </c>
      <c r="X23" s="41" t="str">
        <f t="shared" si="15"/>
        <v>0%</v>
      </c>
      <c r="Y23" s="17"/>
      <c r="Z23" s="23">
        <f t="shared" si="19"/>
        <v>45295</v>
      </c>
      <c r="AA23" s="135">
        <f t="shared" si="20"/>
        <v>45295</v>
      </c>
      <c r="AB23" s="137">
        <v>45295</v>
      </c>
      <c r="AC23" s="141">
        <v>1</v>
      </c>
      <c r="AD23" s="136" t="s">
        <v>125</v>
      </c>
      <c r="AE23" s="138">
        <f>IFERROR(AVERAGEIFS(J20:J50,D20:D50,1,G20:G50,"thu"),0)</f>
        <v>223706.66666666666</v>
      </c>
      <c r="AF23" s="141">
        <f>COUNTIFS(D20:D50,1,G20:G50,"thu")</f>
        <v>3</v>
      </c>
      <c r="AG23" s="138"/>
      <c r="AH23" s="138">
        <f t="shared" si="21"/>
        <v>671120</v>
      </c>
      <c r="AI23" s="264">
        <f t="shared" si="22"/>
        <v>0.13469884035200891</v>
      </c>
      <c r="AJ23" s="393"/>
      <c r="AK23" s="15"/>
      <c r="AL23" s="134"/>
      <c r="AM23" s="134"/>
      <c r="AN23" s="18"/>
      <c r="AO23" s="18"/>
      <c r="AP23" s="18"/>
      <c r="AQ23" s="18"/>
      <c r="AR23" s="17"/>
      <c r="AS23" s="21">
        <f t="shared" si="23"/>
        <v>45295</v>
      </c>
      <c r="AT23" s="17"/>
      <c r="AU23" s="17"/>
      <c r="AV23" s="17"/>
      <c r="AW23" s="17"/>
      <c r="AX23" s="17"/>
      <c r="AY23" s="17"/>
      <c r="AZ23" s="17"/>
    </row>
    <row r="24" spans="1:52" ht="20">
      <c r="A24" s="17"/>
      <c r="B24" s="40"/>
      <c r="C24" s="55">
        <f t="shared" si="16"/>
        <v>5</v>
      </c>
      <c r="D24" s="54">
        <v>1</v>
      </c>
      <c r="E24" s="53" t="str">
        <f t="shared" si="8"/>
        <v>1</v>
      </c>
      <c r="F24" s="52">
        <f t="shared" si="17"/>
        <v>45296</v>
      </c>
      <c r="G24" s="51" t="str">
        <f t="shared" si="18"/>
        <v>Fri</v>
      </c>
      <c r="H24" s="50"/>
      <c r="I24" s="67"/>
      <c r="J24" s="66">
        <v>365950</v>
      </c>
      <c r="K24" s="65"/>
      <c r="L24" s="43">
        <f t="shared" si="9"/>
        <v>221794.9442906575</v>
      </c>
      <c r="M24" s="47">
        <f t="shared" si="10"/>
        <v>144155.0557093425</v>
      </c>
      <c r="N24" s="41">
        <f t="shared" si="11"/>
        <v>1.6499474375774337</v>
      </c>
      <c r="O24" s="46"/>
      <c r="P24" s="45">
        <f>IF(D24=0,0,SUM($L$20:L24))</f>
        <v>221794.9442906575</v>
      </c>
      <c r="Q24" s="43">
        <f>IF(D24=0,0,SUM($J$20:J24))</f>
        <v>365950</v>
      </c>
      <c r="R24" s="42">
        <f t="shared" si="12"/>
        <v>144155.0557093425</v>
      </c>
      <c r="S24" s="41">
        <f t="shared" si="13"/>
        <v>1.6499474375774337</v>
      </c>
      <c r="T24" s="69"/>
      <c r="U24" s="43">
        <f>IF(D24=0,0,SUM($L$20:L24))</f>
        <v>221794.9442906575</v>
      </c>
      <c r="V24" s="43">
        <f>IF(D24=0,0,SUM($J$20:J24))</f>
        <v>365950</v>
      </c>
      <c r="W24" s="42">
        <f t="shared" si="14"/>
        <v>144155.0557093425</v>
      </c>
      <c r="X24" s="41">
        <f t="shared" si="15"/>
        <v>1.6499474375774337</v>
      </c>
      <c r="Y24" s="17"/>
      <c r="Z24" s="23">
        <f t="shared" si="19"/>
        <v>45296</v>
      </c>
      <c r="AA24" s="135">
        <f t="shared" si="20"/>
        <v>45296</v>
      </c>
      <c r="AB24" s="137">
        <v>45296</v>
      </c>
      <c r="AC24" s="141">
        <v>1</v>
      </c>
      <c r="AD24" s="136" t="s">
        <v>126</v>
      </c>
      <c r="AE24" s="138">
        <f>IFERROR(AVERAGEIFS(J20:J50,D20:D50,1,G20:G50,"fri"),0)</f>
        <v>292927.5</v>
      </c>
      <c r="AF24" s="141">
        <f>COUNTIFS(D20:D50,1,G20:G50,"fri")</f>
        <v>4</v>
      </c>
      <c r="AG24" s="138"/>
      <c r="AH24" s="138">
        <f t="shared" si="21"/>
        <v>1171710</v>
      </c>
      <c r="AI24" s="264">
        <f t="shared" si="22"/>
        <v>0.23517102489696678</v>
      </c>
      <c r="AJ24" s="393"/>
      <c r="AK24" s="15"/>
      <c r="AL24" s="134"/>
      <c r="AM24" s="134"/>
      <c r="AN24" s="18"/>
      <c r="AO24" s="18"/>
      <c r="AP24" s="18"/>
      <c r="AQ24" s="18"/>
      <c r="AR24" s="17"/>
      <c r="AS24" s="21">
        <f t="shared" si="23"/>
        <v>45296</v>
      </c>
      <c r="AT24" s="17"/>
      <c r="AU24" s="17"/>
      <c r="AV24" s="17"/>
      <c r="AW24" s="17"/>
      <c r="AX24" s="17"/>
      <c r="AY24" s="17"/>
      <c r="AZ24" s="17"/>
    </row>
    <row r="25" spans="1:52" ht="20">
      <c r="A25" s="17"/>
      <c r="B25" s="40"/>
      <c r="C25" s="55">
        <f t="shared" si="16"/>
        <v>6</v>
      </c>
      <c r="D25" s="54">
        <v>0</v>
      </c>
      <c r="E25" s="53" t="str">
        <f t="shared" si="8"/>
        <v>1</v>
      </c>
      <c r="F25" s="52">
        <f t="shared" si="17"/>
        <v>45297</v>
      </c>
      <c r="G25" s="51" t="str">
        <f t="shared" si="18"/>
        <v>Sat</v>
      </c>
      <c r="H25" s="50"/>
      <c r="I25" s="67"/>
      <c r="J25" s="66">
        <v>0</v>
      </c>
      <c r="K25" s="65"/>
      <c r="L25" s="43">
        <f t="shared" si="9"/>
        <v>0</v>
      </c>
      <c r="M25" s="47">
        <f t="shared" si="10"/>
        <v>0</v>
      </c>
      <c r="N25" s="41" t="str">
        <f t="shared" si="11"/>
        <v>0%</v>
      </c>
      <c r="O25" s="46"/>
      <c r="P25" s="45">
        <f>IF(D25=0,0,SUM($L$20:L25))</f>
        <v>0</v>
      </c>
      <c r="Q25" s="43">
        <f>IF(D25=0,0,SUM($J$20:J25))</f>
        <v>0</v>
      </c>
      <c r="R25" s="42">
        <f t="shared" si="12"/>
        <v>0</v>
      </c>
      <c r="S25" s="41" t="str">
        <f t="shared" si="13"/>
        <v>0%</v>
      </c>
      <c r="T25" s="56"/>
      <c r="U25" s="43">
        <f>IF(D25=0,0,SUM($L$20:L25))</f>
        <v>0</v>
      </c>
      <c r="V25" s="43">
        <f>IF(D25=0,0,SUM($J$20:J25))</f>
        <v>0</v>
      </c>
      <c r="W25" s="42">
        <f t="shared" si="14"/>
        <v>0</v>
      </c>
      <c r="X25" s="41" t="str">
        <f t="shared" si="15"/>
        <v>0%</v>
      </c>
      <c r="Y25" s="17"/>
      <c r="Z25" s="23">
        <f t="shared" si="19"/>
        <v>45297</v>
      </c>
      <c r="AA25" s="135">
        <f t="shared" si="20"/>
        <v>45297</v>
      </c>
      <c r="AB25" s="137">
        <v>45297</v>
      </c>
      <c r="AC25" s="141">
        <v>1</v>
      </c>
      <c r="AD25" s="136" t="s">
        <v>127</v>
      </c>
      <c r="AE25" s="138">
        <f>IFERROR(AVERAGEIFS(J20:J50,D20:D50,1,G20:G50,"sat"),0)</f>
        <v>101266.66666666667</v>
      </c>
      <c r="AF25" s="141">
        <f>COUNTIFS(D20:D50,1,G20:G50,"sat")</f>
        <v>3</v>
      </c>
      <c r="AG25" s="138"/>
      <c r="AH25" s="138">
        <f t="shared" si="21"/>
        <v>303800</v>
      </c>
      <c r="AI25" s="264">
        <f t="shared" si="22"/>
        <v>6.0974948889826415E-2</v>
      </c>
      <c r="AJ25" s="393"/>
      <c r="AK25" s="15"/>
      <c r="AL25" s="134"/>
      <c r="AM25" s="134"/>
      <c r="AN25" s="18"/>
      <c r="AO25" s="18"/>
      <c r="AP25" s="18"/>
      <c r="AQ25" s="18"/>
      <c r="AR25" s="17"/>
      <c r="AS25" s="21">
        <f t="shared" si="23"/>
        <v>45297</v>
      </c>
      <c r="AT25" s="17"/>
      <c r="AU25" s="17"/>
      <c r="AV25" s="17"/>
      <c r="AW25" s="17"/>
      <c r="AX25" s="17"/>
      <c r="AY25" s="17"/>
      <c r="AZ25" s="17"/>
    </row>
    <row r="26" spans="1:52" ht="20">
      <c r="A26" s="17"/>
      <c r="B26" s="40"/>
      <c r="C26" s="55">
        <f t="shared" si="16"/>
        <v>7</v>
      </c>
      <c r="D26" s="54">
        <v>0</v>
      </c>
      <c r="E26" s="53" t="str">
        <f t="shared" si="8"/>
        <v>1</v>
      </c>
      <c r="F26" s="52">
        <f t="shared" si="17"/>
        <v>45298</v>
      </c>
      <c r="G26" s="51" t="str">
        <f t="shared" si="18"/>
        <v>Sun</v>
      </c>
      <c r="H26" s="50" t="s">
        <v>46</v>
      </c>
      <c r="I26" s="67"/>
      <c r="J26" s="66">
        <v>0</v>
      </c>
      <c r="K26" s="65"/>
      <c r="L26" s="43">
        <f t="shared" si="9"/>
        <v>0</v>
      </c>
      <c r="M26" s="47">
        <f t="shared" si="10"/>
        <v>0</v>
      </c>
      <c r="N26" s="41" t="str">
        <f t="shared" si="11"/>
        <v>0%</v>
      </c>
      <c r="O26" s="46"/>
      <c r="P26" s="45">
        <f>IF(D26=0,0,SUM($L$20:L26))</f>
        <v>0</v>
      </c>
      <c r="Q26" s="43">
        <f>IF(D26=0,0,SUM($J$20:J26))</f>
        <v>0</v>
      </c>
      <c r="R26" s="42">
        <f t="shared" si="12"/>
        <v>0</v>
      </c>
      <c r="S26" s="41" t="str">
        <f t="shared" si="13"/>
        <v>0%</v>
      </c>
      <c r="T26" s="56"/>
      <c r="U26" s="43">
        <f>IF(D26=0,0,SUM($L$20:L26))</f>
        <v>0</v>
      </c>
      <c r="V26" s="43">
        <f>IF(D26=0,0,SUM($J$20:J26))</f>
        <v>0</v>
      </c>
      <c r="W26" s="42">
        <f t="shared" si="14"/>
        <v>0</v>
      </c>
      <c r="X26" s="41" t="str">
        <f t="shared" si="15"/>
        <v>0%</v>
      </c>
      <c r="Y26" s="17"/>
      <c r="Z26" s="23">
        <f t="shared" si="19"/>
        <v>45298</v>
      </c>
      <c r="AA26" s="135">
        <f t="shared" si="20"/>
        <v>45298</v>
      </c>
      <c r="AB26" s="137">
        <v>45298</v>
      </c>
      <c r="AC26" s="141">
        <v>1</v>
      </c>
      <c r="AD26" s="136" t="s">
        <v>128</v>
      </c>
      <c r="AE26" s="138">
        <f>IFERROR(AVERAGEIFS(J20:J50,D20:D50,1,G20:G50,"sun"),0)</f>
        <v>0</v>
      </c>
      <c r="AF26" s="141">
        <f>IFERROR(COUNTIFS(D20:D50,1,G20:G50,"sun"),0)</f>
        <v>0</v>
      </c>
      <c r="AG26" s="138"/>
      <c r="AH26" s="138">
        <f t="shared" si="21"/>
        <v>0</v>
      </c>
      <c r="AI26" s="264">
        <f t="shared" si="22"/>
        <v>0</v>
      </c>
      <c r="AJ26" s="393"/>
      <c r="AL26" s="134"/>
      <c r="AM26" s="134"/>
      <c r="AN26" s="18"/>
      <c r="AO26" s="18"/>
      <c r="AP26" s="18"/>
      <c r="AQ26" s="18"/>
      <c r="AR26" s="17"/>
      <c r="AS26" s="21">
        <f t="shared" si="23"/>
        <v>45298</v>
      </c>
      <c r="AT26" s="17"/>
      <c r="AU26" s="17"/>
      <c r="AV26" s="17"/>
      <c r="AW26" s="17"/>
      <c r="AX26" s="17"/>
      <c r="AY26" s="17"/>
      <c r="AZ26" s="17"/>
    </row>
    <row r="27" spans="1:52" ht="20">
      <c r="A27" s="17"/>
      <c r="B27" s="40"/>
      <c r="C27" s="55">
        <f t="shared" si="16"/>
        <v>8</v>
      </c>
      <c r="D27" s="54">
        <v>1</v>
      </c>
      <c r="E27" s="53" t="str">
        <f t="shared" si="8"/>
        <v>1</v>
      </c>
      <c r="F27" s="52">
        <f t="shared" si="17"/>
        <v>45299</v>
      </c>
      <c r="G27" s="51" t="str">
        <f t="shared" si="18"/>
        <v>Mon</v>
      </c>
      <c r="H27" s="50"/>
      <c r="I27" s="49"/>
      <c r="J27" s="48">
        <v>250000</v>
      </c>
      <c r="K27" s="31"/>
      <c r="L27" s="43">
        <f t="shared" si="9"/>
        <v>221794.9442906575</v>
      </c>
      <c r="M27" s="47">
        <f t="shared" si="10"/>
        <v>28205.055709342501</v>
      </c>
      <c r="N27" s="41">
        <f t="shared" si="11"/>
        <v>1.1271672616323498</v>
      </c>
      <c r="O27" s="46"/>
      <c r="P27" s="45">
        <f>IF(D27=0,0,SUM($L$20:L27))</f>
        <v>443589.888581315</v>
      </c>
      <c r="Q27" s="43">
        <f>IF(D27=0,0,SUM($J$20:J27))</f>
        <v>615950</v>
      </c>
      <c r="R27" s="42">
        <f t="shared" si="12"/>
        <v>172360.111418685</v>
      </c>
      <c r="S27" s="41">
        <f t="shared" si="13"/>
        <v>1.3885573496048917</v>
      </c>
      <c r="T27" s="56"/>
      <c r="U27" s="43">
        <f>IF(D27=0,0,SUM($L$20:L27))</f>
        <v>443589.888581315</v>
      </c>
      <c r="V27" s="43">
        <f>IF(D27=0,0,SUM($J$20:J27))</f>
        <v>615950</v>
      </c>
      <c r="W27" s="42">
        <f t="shared" si="14"/>
        <v>172360.111418685</v>
      </c>
      <c r="X27" s="41">
        <f t="shared" si="15"/>
        <v>1.3885573496048917</v>
      </c>
      <c r="Y27" s="17"/>
      <c r="Z27" s="23">
        <f t="shared" si="19"/>
        <v>45299</v>
      </c>
      <c r="AA27" s="135">
        <f t="shared" si="20"/>
        <v>45299</v>
      </c>
      <c r="AB27" s="137">
        <v>45299</v>
      </c>
      <c r="AC27" s="141">
        <v>2</v>
      </c>
      <c r="AD27" s="136" t="s">
        <v>122</v>
      </c>
      <c r="AE27" s="138">
        <f>AVERAGEIFS(J51:J79,D51:D79,1,G51:G79,"mon")</f>
        <v>231250</v>
      </c>
      <c r="AF27" s="141">
        <f>COUNTIFS(D51:D79,1,G51:G79,"Mon")</f>
        <v>3</v>
      </c>
      <c r="AG27" s="138"/>
      <c r="AH27" s="138">
        <f t="shared" si="21"/>
        <v>693750</v>
      </c>
      <c r="AI27" s="264">
        <f>AH27/$M$7</f>
        <v>0.13869923607959486</v>
      </c>
      <c r="AJ27" s="393">
        <f>SUM(AI27:AI33)</f>
        <v>1</v>
      </c>
      <c r="AK27" s="134" t="s">
        <v>129</v>
      </c>
      <c r="AL27" s="134"/>
      <c r="AM27" s="134"/>
      <c r="AN27" s="18"/>
      <c r="AO27" s="18"/>
      <c r="AP27" s="18"/>
      <c r="AQ27" s="18"/>
      <c r="AR27" s="17"/>
      <c r="AS27" s="21">
        <f t="shared" si="23"/>
        <v>45299</v>
      </c>
      <c r="AT27" s="17"/>
      <c r="AU27" s="17"/>
      <c r="AV27" s="17"/>
      <c r="AW27" s="17"/>
      <c r="AX27" s="17"/>
      <c r="AY27" s="17"/>
      <c r="AZ27" s="17"/>
    </row>
    <row r="28" spans="1:52" ht="20">
      <c r="A28" s="17"/>
      <c r="B28" s="40"/>
      <c r="C28" s="55">
        <f t="shared" si="16"/>
        <v>9</v>
      </c>
      <c r="D28" s="54">
        <v>1</v>
      </c>
      <c r="E28" s="53" t="str">
        <f t="shared" si="8"/>
        <v>1</v>
      </c>
      <c r="F28" s="52">
        <f t="shared" si="17"/>
        <v>45300</v>
      </c>
      <c r="G28" s="51" t="str">
        <f t="shared" si="18"/>
        <v>Tue</v>
      </c>
      <c r="H28" s="50"/>
      <c r="I28" s="49"/>
      <c r="J28" s="48">
        <v>143850</v>
      </c>
      <c r="K28" s="31"/>
      <c r="L28" s="43">
        <f t="shared" si="9"/>
        <v>221794.9442906575</v>
      </c>
      <c r="M28" s="47">
        <f t="shared" si="10"/>
        <v>-77944.944290657499</v>
      </c>
      <c r="N28" s="41">
        <f t="shared" si="11"/>
        <v>0.64857204234325405</v>
      </c>
      <c r="O28" s="46"/>
      <c r="P28" s="45">
        <f>IF(D28=0,0,SUM($L$20:L28))</f>
        <v>665384.83287197247</v>
      </c>
      <c r="Q28" s="43">
        <f>IF(D28=0,0,SUM($J$20:J28))</f>
        <v>759800</v>
      </c>
      <c r="R28" s="42">
        <f t="shared" si="12"/>
        <v>94415.167128027533</v>
      </c>
      <c r="S28" s="41">
        <f t="shared" si="13"/>
        <v>1.1418955805176794</v>
      </c>
      <c r="T28" s="56"/>
      <c r="U28" s="43">
        <f>IF(D28=0,0,SUM($L$20:L28))</f>
        <v>665384.83287197247</v>
      </c>
      <c r="V28" s="43">
        <f>IF(D28=0,0,SUM($J$20:J28))</f>
        <v>759800</v>
      </c>
      <c r="W28" s="42">
        <f t="shared" si="14"/>
        <v>94415.167128027533</v>
      </c>
      <c r="X28" s="41">
        <f t="shared" si="15"/>
        <v>1.1418955805176794</v>
      </c>
      <c r="Y28" s="17"/>
      <c r="Z28" s="23">
        <f t="shared" si="19"/>
        <v>45300</v>
      </c>
      <c r="AA28" s="22">
        <f t="shared" si="20"/>
        <v>45300</v>
      </c>
      <c r="AB28" s="137">
        <v>45300</v>
      </c>
      <c r="AC28" s="141">
        <v>2</v>
      </c>
      <c r="AD28" s="136" t="s">
        <v>123</v>
      </c>
      <c r="AE28" s="138">
        <f>AVERAGEIFS(J51:J79,D51:D79,1,G51:G79,"tue")</f>
        <v>214245</v>
      </c>
      <c r="AF28" s="141">
        <f>COUNTIFS(D51:D79,1,G51:G79,"tue")</f>
        <v>4</v>
      </c>
      <c r="AG28" s="138"/>
      <c r="AH28" s="138">
        <f t="shared" si="21"/>
        <v>856980</v>
      </c>
      <c r="AI28" s="264">
        <f t="shared" ref="AI28:AI33" si="24">AH28/$M$7</f>
        <v>0.17133329201512246</v>
      </c>
      <c r="AJ28" s="393"/>
      <c r="AK28" s="134"/>
      <c r="AL28" s="134"/>
      <c r="AM28" s="134"/>
      <c r="AN28" s="18"/>
      <c r="AO28" s="18"/>
      <c r="AP28" s="18"/>
      <c r="AQ28" s="18"/>
      <c r="AR28" s="17"/>
      <c r="AS28" s="21">
        <f t="shared" si="23"/>
        <v>45300</v>
      </c>
      <c r="AT28" s="17"/>
      <c r="AU28" s="17"/>
      <c r="AV28" s="17"/>
      <c r="AW28" s="17"/>
      <c r="AX28" s="17"/>
      <c r="AY28" s="17"/>
      <c r="AZ28" s="17"/>
    </row>
    <row r="29" spans="1:52" ht="20">
      <c r="A29" s="17"/>
      <c r="B29" s="40"/>
      <c r="C29" s="55">
        <f t="shared" si="16"/>
        <v>10</v>
      </c>
      <c r="D29" s="54">
        <v>1</v>
      </c>
      <c r="E29" s="53" t="str">
        <f t="shared" si="8"/>
        <v>1</v>
      </c>
      <c r="F29" s="52">
        <f t="shared" si="17"/>
        <v>45301</v>
      </c>
      <c r="G29" s="51" t="str">
        <f t="shared" si="18"/>
        <v>Wed</v>
      </c>
      <c r="H29" s="50"/>
      <c r="I29" s="49"/>
      <c r="J29" s="48">
        <v>331400</v>
      </c>
      <c r="K29" s="31"/>
      <c r="L29" s="43">
        <f t="shared" si="9"/>
        <v>221794.9442906575</v>
      </c>
      <c r="M29" s="47">
        <f t="shared" si="10"/>
        <v>109605.0557093425</v>
      </c>
      <c r="N29" s="41">
        <f t="shared" si="11"/>
        <v>1.494172922019843</v>
      </c>
      <c r="O29" s="46"/>
      <c r="P29" s="45">
        <f>IF(D29=0,0,SUM($L$20:L29))</f>
        <v>887179.77716262999</v>
      </c>
      <c r="Q29" s="43">
        <f>IF(D29=0,0,SUM($J$20:J29))</f>
        <v>1091200</v>
      </c>
      <c r="R29" s="42">
        <f t="shared" si="12"/>
        <v>204020.22283737001</v>
      </c>
      <c r="S29" s="41">
        <f t="shared" si="13"/>
        <v>1.2299649158932202</v>
      </c>
      <c r="T29" s="56"/>
      <c r="U29" s="43">
        <f>IF(D29=0,0,SUM($L$20:L29))</f>
        <v>887179.77716262999</v>
      </c>
      <c r="V29" s="43">
        <f>IF(D29=0,0,SUM($J$20:J29))</f>
        <v>1091200</v>
      </c>
      <c r="W29" s="42">
        <f t="shared" si="14"/>
        <v>204020.22283737001</v>
      </c>
      <c r="X29" s="41">
        <f t="shared" si="15"/>
        <v>1.2299649158932202</v>
      </c>
      <c r="Y29" s="17"/>
      <c r="Z29" s="23">
        <f t="shared" si="19"/>
        <v>45301</v>
      </c>
      <c r="AA29" s="22">
        <f t="shared" si="20"/>
        <v>45301</v>
      </c>
      <c r="AB29" s="137">
        <v>45301</v>
      </c>
      <c r="AC29" s="141">
        <v>2</v>
      </c>
      <c r="AD29" s="136" t="s">
        <v>124</v>
      </c>
      <c r="AE29" s="138">
        <f>AVERAGEIFS(J51:J79,D51:D79,1,G51:G79,"wed")</f>
        <v>221717.5</v>
      </c>
      <c r="AF29" s="141">
        <f>COUNTIFS(D51:D79,1,G51:G79,"wed")</f>
        <v>4</v>
      </c>
      <c r="AG29" s="138"/>
      <c r="AH29" s="138">
        <f t="shared" si="21"/>
        <v>886870</v>
      </c>
      <c r="AI29" s="264">
        <f t="shared" si="24"/>
        <v>0.17730910486761844</v>
      </c>
      <c r="AJ29" s="393"/>
      <c r="AK29" s="134"/>
      <c r="AL29" s="134"/>
      <c r="AM29" s="134"/>
      <c r="AN29" s="18"/>
      <c r="AO29" s="18"/>
      <c r="AP29" s="18"/>
      <c r="AQ29" s="18"/>
      <c r="AR29" s="17"/>
      <c r="AS29" s="21">
        <f t="shared" si="23"/>
        <v>45301</v>
      </c>
      <c r="AT29" s="17"/>
      <c r="AU29" s="17"/>
      <c r="AV29" s="17"/>
      <c r="AW29" s="17"/>
      <c r="AX29" s="17"/>
      <c r="AY29" s="17"/>
      <c r="AZ29" s="17"/>
    </row>
    <row r="30" spans="1:52" ht="20">
      <c r="A30" s="17"/>
      <c r="B30" s="40"/>
      <c r="C30" s="55">
        <f t="shared" si="16"/>
        <v>11</v>
      </c>
      <c r="D30" s="54">
        <v>1</v>
      </c>
      <c r="E30" s="53" t="str">
        <f t="shared" si="8"/>
        <v>1</v>
      </c>
      <c r="F30" s="52">
        <f t="shared" si="17"/>
        <v>45302</v>
      </c>
      <c r="G30" s="51" t="str">
        <f t="shared" si="18"/>
        <v>Thu</v>
      </c>
      <c r="H30" s="50"/>
      <c r="I30" s="49"/>
      <c r="J30" s="48">
        <v>263220</v>
      </c>
      <c r="K30" s="31"/>
      <c r="L30" s="43">
        <f t="shared" si="9"/>
        <v>221794.9442906575</v>
      </c>
      <c r="M30" s="47">
        <f t="shared" si="10"/>
        <v>41425.055709342501</v>
      </c>
      <c r="N30" s="41">
        <f t="shared" si="11"/>
        <v>1.1867718664274685</v>
      </c>
      <c r="O30" s="46"/>
      <c r="P30" s="45">
        <f>IF(D30=0,0,SUM($L$20:L30))</f>
        <v>1108974.7214532874</v>
      </c>
      <c r="Q30" s="43">
        <f>IF(D30=0,0,SUM($J$20:J30))</f>
        <v>1354420</v>
      </c>
      <c r="R30" s="42">
        <f t="shared" si="12"/>
        <v>245445.27854671259</v>
      </c>
      <c r="S30" s="41">
        <f t="shared" si="13"/>
        <v>1.2213263060000699</v>
      </c>
      <c r="T30" s="56"/>
      <c r="U30" s="43">
        <f>IF(D30=0,0,SUM($L$20:L30))</f>
        <v>1108974.7214532874</v>
      </c>
      <c r="V30" s="43">
        <f>IF(D30=0,0,SUM($J$20:J30))</f>
        <v>1354420</v>
      </c>
      <c r="W30" s="42">
        <f t="shared" si="14"/>
        <v>245445.27854671259</v>
      </c>
      <c r="X30" s="41">
        <f t="shared" si="15"/>
        <v>1.2213263060000699</v>
      </c>
      <c r="Y30" s="17"/>
      <c r="Z30" s="23">
        <f t="shared" si="19"/>
        <v>45302</v>
      </c>
      <c r="AA30" s="22">
        <f t="shared" si="20"/>
        <v>45302</v>
      </c>
      <c r="AB30" s="137">
        <v>45302</v>
      </c>
      <c r="AC30" s="141">
        <v>2</v>
      </c>
      <c r="AD30" s="136" t="s">
        <v>125</v>
      </c>
      <c r="AE30" s="138">
        <f>AVERAGEIFS(J51:J79,D51:D79,1,G51:G79,"thu")</f>
        <v>233396</v>
      </c>
      <c r="AF30" s="141">
        <f>COUNTIFS(D51:D79,1,G51:G79,"thu")</f>
        <v>5</v>
      </c>
      <c r="AG30" s="138"/>
      <c r="AH30" s="138">
        <f t="shared" si="21"/>
        <v>1166980</v>
      </c>
      <c r="AI30" s="264">
        <f t="shared" si="24"/>
        <v>0.23331060831735584</v>
      </c>
      <c r="AJ30" s="393"/>
      <c r="AK30" s="134"/>
      <c r="AL30" s="134"/>
      <c r="AM30" s="134"/>
      <c r="AN30" s="18"/>
      <c r="AO30" s="18"/>
      <c r="AP30" s="18"/>
      <c r="AQ30" s="18"/>
      <c r="AR30" s="17"/>
      <c r="AS30" s="21">
        <f t="shared" si="23"/>
        <v>45302</v>
      </c>
      <c r="AT30" s="17"/>
      <c r="AU30" s="17"/>
      <c r="AV30" s="17"/>
      <c r="AW30" s="17"/>
      <c r="AX30" s="17"/>
      <c r="AY30" s="17"/>
      <c r="AZ30" s="17"/>
    </row>
    <row r="31" spans="1:52" ht="20">
      <c r="A31" s="17"/>
      <c r="B31" s="40"/>
      <c r="C31" s="55">
        <f t="shared" si="16"/>
        <v>12</v>
      </c>
      <c r="D31" s="54">
        <v>1</v>
      </c>
      <c r="E31" s="53" t="str">
        <f t="shared" si="8"/>
        <v>1</v>
      </c>
      <c r="F31" s="52">
        <f t="shared" si="17"/>
        <v>45303</v>
      </c>
      <c r="G31" s="51" t="str">
        <f t="shared" si="18"/>
        <v>Fri</v>
      </c>
      <c r="H31" s="50"/>
      <c r="I31" s="49"/>
      <c r="J31" s="48">
        <v>230860</v>
      </c>
      <c r="K31" s="31"/>
      <c r="L31" s="43">
        <f t="shared" si="9"/>
        <v>221794.9442906575</v>
      </c>
      <c r="M31" s="47">
        <f t="shared" si="10"/>
        <v>9065.0557093425014</v>
      </c>
      <c r="N31" s="41">
        <f t="shared" si="11"/>
        <v>1.0408713360817772</v>
      </c>
      <c r="O31" s="46"/>
      <c r="P31" s="45">
        <f>IF(D31=0,0,SUM($L$20:L31))</f>
        <v>1330769.6657439449</v>
      </c>
      <c r="Q31" s="43">
        <f>IF(D31=0,0,SUM($J$20:J31))</f>
        <v>1585280</v>
      </c>
      <c r="R31" s="42">
        <f t="shared" si="12"/>
        <v>254510.33425605507</v>
      </c>
      <c r="S31" s="41">
        <f t="shared" si="13"/>
        <v>1.1912504776803545</v>
      </c>
      <c r="T31" s="44"/>
      <c r="U31" s="43">
        <f>IF(D31=0,0,SUM($L$20:L31))</f>
        <v>1330769.6657439449</v>
      </c>
      <c r="V31" s="43">
        <f>IF(D31=0,0,SUM($J$20:J31))</f>
        <v>1585280</v>
      </c>
      <c r="W31" s="42">
        <f t="shared" si="14"/>
        <v>254510.33425605507</v>
      </c>
      <c r="X31" s="41">
        <f t="shared" si="15"/>
        <v>1.1912504776803545</v>
      </c>
      <c r="Y31" s="17"/>
      <c r="Z31" s="23">
        <f t="shared" si="19"/>
        <v>45303</v>
      </c>
      <c r="AA31" s="22">
        <f t="shared" si="20"/>
        <v>45303</v>
      </c>
      <c r="AB31" s="137">
        <v>45303</v>
      </c>
      <c r="AC31" s="141">
        <v>2</v>
      </c>
      <c r="AD31" s="136" t="s">
        <v>126</v>
      </c>
      <c r="AE31" s="138">
        <f>AVERAGEIFS(J51:J79,D51:D79,1,G51:G79,"fri")</f>
        <v>283893.33333333331</v>
      </c>
      <c r="AF31" s="141">
        <f>COUNTIFS(D51:D79,1,G51:G79,"fri")</f>
        <v>3</v>
      </c>
      <c r="AG31" s="138"/>
      <c r="AH31" s="138">
        <f t="shared" si="21"/>
        <v>851680</v>
      </c>
      <c r="AI31" s="264">
        <f t="shared" si="24"/>
        <v>0.17027367983318106</v>
      </c>
      <c r="AJ31" s="393"/>
      <c r="AK31" s="134"/>
      <c r="AL31" s="134"/>
      <c r="AM31" s="134"/>
      <c r="AN31" s="18"/>
      <c r="AO31" s="18"/>
      <c r="AP31" s="18"/>
      <c r="AQ31" s="18"/>
      <c r="AR31" s="17"/>
      <c r="AS31" s="21">
        <f t="shared" si="23"/>
        <v>45303</v>
      </c>
      <c r="AT31" s="17"/>
      <c r="AU31" s="17"/>
      <c r="AV31" s="17"/>
      <c r="AW31" s="17"/>
      <c r="AX31" s="17"/>
      <c r="AY31" s="17"/>
      <c r="AZ31" s="17"/>
    </row>
    <row r="32" spans="1:52" ht="20">
      <c r="A32" s="17"/>
      <c r="B32" s="40"/>
      <c r="C32" s="55">
        <f t="shared" si="16"/>
        <v>13</v>
      </c>
      <c r="D32" s="54">
        <v>1</v>
      </c>
      <c r="E32" s="53" t="str">
        <f t="shared" si="8"/>
        <v>1</v>
      </c>
      <c r="F32" s="52">
        <f t="shared" si="17"/>
        <v>45304</v>
      </c>
      <c r="G32" s="51" t="str">
        <f t="shared" si="18"/>
        <v>Sat</v>
      </c>
      <c r="H32" s="50"/>
      <c r="I32" s="49"/>
      <c r="J32" s="48">
        <v>50050</v>
      </c>
      <c r="K32" s="31"/>
      <c r="L32" s="43">
        <f t="shared" si="9"/>
        <v>221794.9442906575</v>
      </c>
      <c r="M32" s="47">
        <f t="shared" si="10"/>
        <v>-171744.9442906575</v>
      </c>
      <c r="N32" s="41">
        <f t="shared" si="11"/>
        <v>0.22565888577879645</v>
      </c>
      <c r="O32" s="46"/>
      <c r="P32" s="45">
        <f>IF(D32=0,0,SUM($L$20:L32))</f>
        <v>1552564.6100346025</v>
      </c>
      <c r="Q32" s="43">
        <f>IF(D32=0,0,SUM($J$20:J32))</f>
        <v>1635330</v>
      </c>
      <c r="R32" s="42">
        <f t="shared" si="12"/>
        <v>82765.389965397539</v>
      </c>
      <c r="S32" s="41">
        <f t="shared" si="13"/>
        <v>1.0533088216944175</v>
      </c>
      <c r="T32" s="44"/>
      <c r="U32" s="43">
        <f>IF(D32=0,0,SUM($L$20:L32))</f>
        <v>1552564.6100346025</v>
      </c>
      <c r="V32" s="43">
        <f>IF(D32=0,0,SUM($J$20:J32))</f>
        <v>1635330</v>
      </c>
      <c r="W32" s="42">
        <f t="shared" si="14"/>
        <v>82765.389965397539</v>
      </c>
      <c r="X32" s="41">
        <f t="shared" si="15"/>
        <v>1.0533088216944175</v>
      </c>
      <c r="Y32" s="17"/>
      <c r="Z32" s="23">
        <f t="shared" si="19"/>
        <v>45304</v>
      </c>
      <c r="AA32" s="22">
        <f t="shared" si="20"/>
        <v>45304</v>
      </c>
      <c r="AB32" s="137">
        <v>45304</v>
      </c>
      <c r="AC32" s="141">
        <v>2</v>
      </c>
      <c r="AD32" s="136" t="s">
        <v>127</v>
      </c>
      <c r="AE32" s="138">
        <f>AVERAGEIFS(J51:J79,D51:D79,1,G51:G79,"sat")</f>
        <v>136392.5</v>
      </c>
      <c r="AF32" s="141">
        <f>COUNTIFS(D51:D79,1,G51:G79,"sat")</f>
        <v>4</v>
      </c>
      <c r="AG32" s="138"/>
      <c r="AH32" s="138">
        <f t="shared" si="21"/>
        <v>545570</v>
      </c>
      <c r="AI32" s="264">
        <f t="shared" si="24"/>
        <v>0.10907407888712731</v>
      </c>
      <c r="AJ32" s="393"/>
      <c r="AK32" s="134"/>
      <c r="AL32" s="134"/>
      <c r="AM32" s="134"/>
      <c r="AN32" s="18"/>
      <c r="AO32" s="18"/>
      <c r="AP32" s="18"/>
      <c r="AQ32" s="18"/>
      <c r="AR32" s="17"/>
      <c r="AS32" s="21">
        <f t="shared" si="23"/>
        <v>45304</v>
      </c>
      <c r="AT32" s="17"/>
      <c r="AU32" s="17"/>
      <c r="AV32" s="17"/>
      <c r="AW32" s="17"/>
      <c r="AX32" s="17"/>
      <c r="AY32" s="17"/>
      <c r="AZ32" s="17"/>
    </row>
    <row r="33" spans="1:52" ht="20">
      <c r="A33" s="17"/>
      <c r="B33" s="40"/>
      <c r="C33" s="55">
        <f t="shared" si="16"/>
        <v>14</v>
      </c>
      <c r="D33" s="54">
        <v>0</v>
      </c>
      <c r="E33" s="53" t="str">
        <f t="shared" si="8"/>
        <v>1</v>
      </c>
      <c r="F33" s="52">
        <f t="shared" si="17"/>
        <v>45305</v>
      </c>
      <c r="G33" s="51" t="str">
        <f t="shared" si="18"/>
        <v>Sun</v>
      </c>
      <c r="H33" s="50"/>
      <c r="I33" s="67"/>
      <c r="J33" s="66">
        <v>0</v>
      </c>
      <c r="K33" s="65"/>
      <c r="L33" s="43">
        <f t="shared" si="9"/>
        <v>0</v>
      </c>
      <c r="M33" s="47">
        <f t="shared" si="10"/>
        <v>0</v>
      </c>
      <c r="N33" s="41" t="str">
        <f t="shared" si="11"/>
        <v>0%</v>
      </c>
      <c r="O33" s="46"/>
      <c r="P33" s="45">
        <f>IF(D33=0,0,SUM($L$20:L33))</f>
        <v>0</v>
      </c>
      <c r="Q33" s="43">
        <f>IF(D33=0,0,SUM($J$20:J33))</f>
        <v>0</v>
      </c>
      <c r="R33" s="42">
        <f t="shared" si="12"/>
        <v>0</v>
      </c>
      <c r="S33" s="41" t="str">
        <f t="shared" si="13"/>
        <v>0%</v>
      </c>
      <c r="T33" s="56"/>
      <c r="U33" s="43">
        <f>IF(D33=0,0,SUM($L$20:L33))</f>
        <v>0</v>
      </c>
      <c r="V33" s="43">
        <f>IF(D33=0,0,SUM($J$20:J33))</f>
        <v>0</v>
      </c>
      <c r="W33" s="42">
        <f t="shared" si="14"/>
        <v>0</v>
      </c>
      <c r="X33" s="41" t="str">
        <f t="shared" si="15"/>
        <v>0%</v>
      </c>
      <c r="Y33" s="17"/>
      <c r="Z33" s="23">
        <f t="shared" si="19"/>
        <v>45305</v>
      </c>
      <c r="AA33" s="22">
        <f t="shared" si="20"/>
        <v>45305</v>
      </c>
      <c r="AB33" s="137">
        <v>45305</v>
      </c>
      <c r="AC33" s="141">
        <v>2</v>
      </c>
      <c r="AD33" s="136" t="s">
        <v>128</v>
      </c>
      <c r="AE33" s="138">
        <f>IFERROR(AVERAGEIFS(J51:J79,D51:D79,1,G51:G79,"sun"),0)</f>
        <v>0</v>
      </c>
      <c r="AF33" s="141">
        <f>IFERROR(COUNTIFS(D51:D79,1,G51:G79,"sun"),0)</f>
        <v>0</v>
      </c>
      <c r="AG33" s="138"/>
      <c r="AH33" s="138">
        <f t="shared" si="21"/>
        <v>0</v>
      </c>
      <c r="AI33" s="264">
        <f t="shared" si="24"/>
        <v>0</v>
      </c>
      <c r="AJ33" s="393"/>
      <c r="AK33" s="134"/>
      <c r="AL33" s="134"/>
      <c r="AM33" s="134"/>
      <c r="AN33" s="18"/>
      <c r="AO33" s="18"/>
      <c r="AP33" s="18"/>
      <c r="AQ33" s="18"/>
      <c r="AR33" s="17"/>
      <c r="AS33" s="21">
        <f t="shared" si="23"/>
        <v>45305</v>
      </c>
      <c r="AT33" s="17"/>
      <c r="AU33" s="17"/>
      <c r="AV33" s="17"/>
      <c r="AW33" s="17"/>
      <c r="AX33" s="17"/>
      <c r="AY33" s="17"/>
      <c r="AZ33" s="17"/>
    </row>
    <row r="34" spans="1:52" ht="20">
      <c r="A34" s="17"/>
      <c r="B34" s="40"/>
      <c r="C34" s="55">
        <f t="shared" si="16"/>
        <v>15</v>
      </c>
      <c r="D34" s="54">
        <v>1</v>
      </c>
      <c r="E34" s="53" t="str">
        <f t="shared" si="8"/>
        <v>1</v>
      </c>
      <c r="F34" s="52">
        <f t="shared" si="17"/>
        <v>45306</v>
      </c>
      <c r="G34" s="51" t="str">
        <f t="shared" si="18"/>
        <v>Mon</v>
      </c>
      <c r="H34" s="50"/>
      <c r="I34" s="49"/>
      <c r="J34" s="48">
        <v>189100</v>
      </c>
      <c r="K34" s="31"/>
      <c r="L34" s="43">
        <f t="shared" si="9"/>
        <v>221794.9442906575</v>
      </c>
      <c r="M34" s="47">
        <f t="shared" si="10"/>
        <v>-32694.944290657499</v>
      </c>
      <c r="N34" s="41">
        <f t="shared" si="11"/>
        <v>0.85258931669870941</v>
      </c>
      <c r="O34" s="46"/>
      <c r="P34" s="45">
        <f>IF(D34=0,0,SUM($L$20:L34))</f>
        <v>1774359.55432526</v>
      </c>
      <c r="Q34" s="43">
        <f>IF(D34=0,0,SUM($J$20:J34))</f>
        <v>1824430</v>
      </c>
      <c r="R34" s="42">
        <f t="shared" si="12"/>
        <v>50070.445674740011</v>
      </c>
      <c r="S34" s="41">
        <f t="shared" si="13"/>
        <v>1.0282188835699539</v>
      </c>
      <c r="T34" s="56"/>
      <c r="U34" s="43">
        <f>IF(D34=0,0,SUM($L$20:L34))</f>
        <v>1774359.55432526</v>
      </c>
      <c r="V34" s="43">
        <f>IF(D34=0,0,SUM($J$20:J34))</f>
        <v>1824430</v>
      </c>
      <c r="W34" s="42">
        <f t="shared" si="14"/>
        <v>50070.445674740011</v>
      </c>
      <c r="X34" s="41">
        <f t="shared" si="15"/>
        <v>1.0282188835699539</v>
      </c>
      <c r="Y34" s="17"/>
      <c r="Z34" s="23">
        <f t="shared" si="19"/>
        <v>45306</v>
      </c>
      <c r="AA34" s="22">
        <f t="shared" si="20"/>
        <v>45306</v>
      </c>
      <c r="AB34" s="137">
        <v>45306</v>
      </c>
      <c r="AC34" s="141">
        <v>3</v>
      </c>
      <c r="AD34" s="136" t="s">
        <v>122</v>
      </c>
      <c r="AE34" s="138">
        <f>AVERAGEIFS(J80:J110,D80:D110,1,G80:G110,"mon")</f>
        <v>228962.5</v>
      </c>
      <c r="AF34" s="141">
        <f>COUNTIFS( D80:D110,1,G80:G110,"Mon")</f>
        <v>4</v>
      </c>
      <c r="AG34" s="138"/>
      <c r="AH34" s="138">
        <f t="shared" si="21"/>
        <v>915850</v>
      </c>
      <c r="AI34" s="264">
        <f>AH34/$M$8</f>
        <v>0.14175910378713583</v>
      </c>
      <c r="AJ34" s="393">
        <f>SUM(AI34:AI40)</f>
        <v>0.99999999999999989</v>
      </c>
      <c r="AK34" s="134" t="s">
        <v>130</v>
      </c>
      <c r="AL34" s="134"/>
      <c r="AM34" s="134"/>
      <c r="AN34" s="18"/>
      <c r="AO34" s="18"/>
      <c r="AP34" s="18"/>
      <c r="AQ34" s="18"/>
      <c r="AR34" s="17"/>
      <c r="AS34" s="21">
        <f t="shared" si="23"/>
        <v>45306</v>
      </c>
      <c r="AT34" s="17"/>
      <c r="AU34" s="17"/>
      <c r="AV34" s="17"/>
      <c r="AW34" s="17"/>
      <c r="AX34" s="17"/>
      <c r="AY34" s="17"/>
      <c r="AZ34" s="17"/>
    </row>
    <row r="35" spans="1:52" ht="20">
      <c r="A35" s="17"/>
      <c r="B35" s="40"/>
      <c r="C35" s="55">
        <f t="shared" si="16"/>
        <v>16</v>
      </c>
      <c r="D35" s="54">
        <v>1</v>
      </c>
      <c r="E35" s="53" t="str">
        <f t="shared" si="8"/>
        <v>1</v>
      </c>
      <c r="F35" s="52">
        <f t="shared" si="17"/>
        <v>45307</v>
      </c>
      <c r="G35" s="51" t="str">
        <f t="shared" si="18"/>
        <v>Tue</v>
      </c>
      <c r="H35" s="50"/>
      <c r="I35" s="49"/>
      <c r="J35" s="48">
        <v>212700</v>
      </c>
      <c r="K35" s="31"/>
      <c r="L35" s="43">
        <f t="shared" si="9"/>
        <v>221794.9442906575</v>
      </c>
      <c r="M35" s="47">
        <f t="shared" si="10"/>
        <v>-9094.9442906574986</v>
      </c>
      <c r="N35" s="41">
        <f t="shared" si="11"/>
        <v>0.95899390619680325</v>
      </c>
      <c r="O35" s="46"/>
      <c r="P35" s="45">
        <f>IF(D35=0,0,SUM($L$20:L35))</f>
        <v>1996154.4986159175</v>
      </c>
      <c r="Q35" s="43">
        <f>IF(D35=0,0,SUM($J$20:J35))</f>
        <v>2037130</v>
      </c>
      <c r="R35" s="42">
        <f t="shared" si="12"/>
        <v>40975.501384082483</v>
      </c>
      <c r="S35" s="41">
        <f t="shared" si="13"/>
        <v>1.0205272194173818</v>
      </c>
      <c r="T35" s="56"/>
      <c r="U35" s="43">
        <f>IF(D35=0,0,SUM($L$20:L35))</f>
        <v>1996154.4986159175</v>
      </c>
      <c r="V35" s="43">
        <f>IF(D35=0,0,SUM($J$20:J35))</f>
        <v>2037130</v>
      </c>
      <c r="W35" s="42">
        <f t="shared" si="14"/>
        <v>40975.501384082483</v>
      </c>
      <c r="X35" s="41">
        <f t="shared" si="15"/>
        <v>1.0205272194173818</v>
      </c>
      <c r="Y35" s="17"/>
      <c r="Z35" s="23">
        <f t="shared" si="19"/>
        <v>45307</v>
      </c>
      <c r="AA35" s="22">
        <f t="shared" si="20"/>
        <v>45307</v>
      </c>
      <c r="AB35" s="137">
        <v>45307</v>
      </c>
      <c r="AC35" s="141">
        <v>3</v>
      </c>
      <c r="AD35" s="136" t="s">
        <v>123</v>
      </c>
      <c r="AE35" s="138">
        <f>AVERAGEIFS(J80:J110,D80:D110,1,G80:G110,"tue")</f>
        <v>263967.5</v>
      </c>
      <c r="AF35" s="141">
        <f>COUNTIFS( D80:D110,1,G80:G110,"tue")</f>
        <v>4</v>
      </c>
      <c r="AG35" s="138"/>
      <c r="AH35" s="138">
        <f t="shared" si="21"/>
        <v>1055870</v>
      </c>
      <c r="AI35" s="264">
        <f t="shared" ref="AI35:AI40" si="25">AH35/$M$8</f>
        <v>0.16343198658702091</v>
      </c>
      <c r="AJ35" s="393"/>
      <c r="AK35" s="134"/>
      <c r="AL35" s="134"/>
      <c r="AM35" s="134"/>
      <c r="AN35" s="18"/>
      <c r="AO35" s="18"/>
      <c r="AP35" s="18"/>
      <c r="AQ35" s="18"/>
      <c r="AR35" s="17"/>
      <c r="AS35" s="21">
        <f t="shared" si="23"/>
        <v>45307</v>
      </c>
      <c r="AT35" s="17"/>
      <c r="AU35" s="17"/>
      <c r="AV35" s="17"/>
      <c r="AW35" s="17"/>
      <c r="AX35" s="17"/>
      <c r="AY35" s="17"/>
      <c r="AZ35" s="17"/>
    </row>
    <row r="36" spans="1:52" ht="20">
      <c r="A36" s="17"/>
      <c r="B36" s="40"/>
      <c r="C36" s="55">
        <f t="shared" si="16"/>
        <v>17</v>
      </c>
      <c r="D36" s="54">
        <v>1</v>
      </c>
      <c r="E36" s="53" t="str">
        <f t="shared" si="8"/>
        <v>1</v>
      </c>
      <c r="F36" s="52">
        <f t="shared" si="17"/>
        <v>45308</v>
      </c>
      <c r="G36" s="51" t="str">
        <f t="shared" si="18"/>
        <v>Wed</v>
      </c>
      <c r="H36" s="50"/>
      <c r="I36" s="49"/>
      <c r="J36" s="48">
        <v>172600</v>
      </c>
      <c r="K36" s="31"/>
      <c r="L36" s="43">
        <f t="shared" si="9"/>
        <v>221794.9442906575</v>
      </c>
      <c r="M36" s="47">
        <f t="shared" si="10"/>
        <v>-49194.944290657499</v>
      </c>
      <c r="N36" s="41">
        <f t="shared" si="11"/>
        <v>0.7781962774309743</v>
      </c>
      <c r="O36" s="46"/>
      <c r="P36" s="45">
        <f>IF(D36=0,0,SUM($L$20:L36))</f>
        <v>2217949.4429065748</v>
      </c>
      <c r="Q36" s="43">
        <f>IF(D36=0,0,SUM($J$20:J36))</f>
        <v>2209730</v>
      </c>
      <c r="R36" s="42">
        <f t="shared" si="12"/>
        <v>-8219.4429065748118</v>
      </c>
      <c r="S36" s="41">
        <f t="shared" si="13"/>
        <v>0.99629412521874106</v>
      </c>
      <c r="T36" s="56"/>
      <c r="U36" s="43">
        <f>IF(D36=0,0,SUM($L$20:L36))</f>
        <v>2217949.4429065748</v>
      </c>
      <c r="V36" s="43">
        <f>IF(D36=0,0,SUM($J$20:J36))</f>
        <v>2209730</v>
      </c>
      <c r="W36" s="42">
        <f t="shared" si="14"/>
        <v>-8219.4429065748118</v>
      </c>
      <c r="X36" s="41">
        <f t="shared" si="15"/>
        <v>0.99629412521874106</v>
      </c>
      <c r="Y36" s="17"/>
      <c r="Z36" s="23">
        <f t="shared" si="19"/>
        <v>45308</v>
      </c>
      <c r="AA36" s="22">
        <f t="shared" si="20"/>
        <v>45308</v>
      </c>
      <c r="AB36" s="137">
        <v>45308</v>
      </c>
      <c r="AC36" s="141">
        <v>3</v>
      </c>
      <c r="AD36" s="136" t="s">
        <v>124</v>
      </c>
      <c r="AE36" s="138">
        <f>AVERAGEIFS(J80:J110,D80:D110,1,G80:G110,"wed")</f>
        <v>293950</v>
      </c>
      <c r="AF36" s="141">
        <f>COUNTIFS( D80:D110,1,G80:G110,"wed")</f>
        <v>3</v>
      </c>
      <c r="AG36" s="138"/>
      <c r="AH36" s="138">
        <f t="shared" si="21"/>
        <v>881850</v>
      </c>
      <c r="AI36" s="264">
        <f t="shared" si="25"/>
        <v>0.13649644120181878</v>
      </c>
      <c r="AJ36" s="393"/>
      <c r="AK36" s="134"/>
      <c r="AL36" s="134"/>
      <c r="AM36" s="134"/>
      <c r="AN36" s="18"/>
      <c r="AO36" s="18"/>
      <c r="AP36" s="18"/>
      <c r="AQ36" s="18"/>
      <c r="AR36" s="17"/>
      <c r="AS36" s="21">
        <f t="shared" si="23"/>
        <v>45308</v>
      </c>
      <c r="AT36" s="17"/>
      <c r="AU36" s="17"/>
      <c r="AV36" s="17"/>
      <c r="AW36" s="17"/>
      <c r="AX36" s="17"/>
      <c r="AY36" s="17"/>
      <c r="AZ36" s="17"/>
    </row>
    <row r="37" spans="1:52" ht="20">
      <c r="A37" s="17"/>
      <c r="B37" s="40"/>
      <c r="C37" s="55">
        <f t="shared" si="16"/>
        <v>18</v>
      </c>
      <c r="D37" s="54">
        <v>1</v>
      </c>
      <c r="E37" s="53" t="str">
        <f t="shared" si="8"/>
        <v>1</v>
      </c>
      <c r="F37" s="52">
        <f t="shared" si="17"/>
        <v>45309</v>
      </c>
      <c r="G37" s="51" t="str">
        <f t="shared" si="18"/>
        <v>Thu</v>
      </c>
      <c r="H37" s="50"/>
      <c r="I37" s="49"/>
      <c r="J37" s="48">
        <v>155450</v>
      </c>
      <c r="K37" s="31"/>
      <c r="L37" s="43">
        <f t="shared" si="9"/>
        <v>221794.9442906575</v>
      </c>
      <c r="M37" s="47">
        <f t="shared" si="10"/>
        <v>-66344.944290657499</v>
      </c>
      <c r="N37" s="41">
        <f t="shared" si="11"/>
        <v>0.70087260328299517</v>
      </c>
      <c r="O37" s="46"/>
      <c r="P37" s="45">
        <f>IF(D37=0,0,SUM($L$20:L37))</f>
        <v>2439744.3871972323</v>
      </c>
      <c r="Q37" s="43">
        <f>IF(D37=0,0,SUM($J$20:J37))</f>
        <v>2365180</v>
      </c>
      <c r="R37" s="42">
        <f t="shared" si="12"/>
        <v>-74564.38719723234</v>
      </c>
      <c r="S37" s="41">
        <f t="shared" si="13"/>
        <v>0.96943762322458227</v>
      </c>
      <c r="T37" s="56"/>
      <c r="U37" s="43">
        <f>IF(D37=0,0,SUM($L$20:L37))</f>
        <v>2439744.3871972323</v>
      </c>
      <c r="V37" s="43">
        <f>IF(D37=0,0,SUM($J$20:J37))</f>
        <v>2365180</v>
      </c>
      <c r="W37" s="42">
        <f t="shared" si="14"/>
        <v>-74564.38719723234</v>
      </c>
      <c r="X37" s="41">
        <f t="shared" si="15"/>
        <v>0.96943762322458227</v>
      </c>
      <c r="Y37" s="17"/>
      <c r="Z37" s="23">
        <f t="shared" si="19"/>
        <v>45309</v>
      </c>
      <c r="AA37" s="22">
        <f t="shared" si="20"/>
        <v>45309</v>
      </c>
      <c r="AB37" s="137">
        <v>45309</v>
      </c>
      <c r="AC37" s="141">
        <v>3</v>
      </c>
      <c r="AD37" s="136" t="s">
        <v>125</v>
      </c>
      <c r="AE37" s="138">
        <f>AVERAGEIFS(J80:J110,D80:D110,1,G80:G110,"thu")</f>
        <v>308607.5</v>
      </c>
      <c r="AF37" s="141">
        <f>COUNTIFS( D80:D110,1,G80:G110,"thu")</f>
        <v>4</v>
      </c>
      <c r="AG37" s="138"/>
      <c r="AH37" s="138">
        <f t="shared" si="21"/>
        <v>1234430</v>
      </c>
      <c r="AI37" s="264">
        <f t="shared" si="25"/>
        <v>0.19107025221155655</v>
      </c>
      <c r="AJ37" s="393"/>
      <c r="AK37" s="134"/>
      <c r="AL37" s="134"/>
      <c r="AM37" s="134"/>
      <c r="AN37" s="18"/>
      <c r="AO37" s="18"/>
      <c r="AP37" s="18"/>
      <c r="AQ37" s="18"/>
      <c r="AR37" s="17"/>
      <c r="AS37" s="21">
        <f t="shared" si="23"/>
        <v>45309</v>
      </c>
      <c r="AT37" s="17"/>
      <c r="AU37" s="17"/>
      <c r="AV37" s="17"/>
      <c r="AW37" s="17"/>
      <c r="AX37" s="17"/>
      <c r="AY37" s="17"/>
      <c r="AZ37" s="17"/>
    </row>
    <row r="38" spans="1:52" ht="20">
      <c r="A38" s="17"/>
      <c r="B38" s="40"/>
      <c r="C38" s="55">
        <f t="shared" si="16"/>
        <v>19</v>
      </c>
      <c r="D38" s="54">
        <v>1</v>
      </c>
      <c r="E38" s="53" t="str">
        <f t="shared" si="8"/>
        <v>1</v>
      </c>
      <c r="F38" s="52">
        <f t="shared" si="17"/>
        <v>45310</v>
      </c>
      <c r="G38" s="51" t="str">
        <f t="shared" si="18"/>
        <v>Fri</v>
      </c>
      <c r="H38" s="50"/>
      <c r="I38" s="49"/>
      <c r="J38" s="48">
        <v>286750</v>
      </c>
      <c r="K38" s="31"/>
      <c r="L38" s="43">
        <f t="shared" si="9"/>
        <v>221794.9442906575</v>
      </c>
      <c r="M38" s="47">
        <f t="shared" si="10"/>
        <v>64955.055709342501</v>
      </c>
      <c r="N38" s="41">
        <f t="shared" si="11"/>
        <v>1.2928608490923053</v>
      </c>
      <c r="O38" s="46"/>
      <c r="P38" s="45">
        <f>IF(D38=0,0,SUM($L$20:L38))</f>
        <v>2661539.3314878899</v>
      </c>
      <c r="Q38" s="43">
        <f>IF(D38=0,0,SUM($J$20:J38))</f>
        <v>2651930</v>
      </c>
      <c r="R38" s="42">
        <f t="shared" si="12"/>
        <v>-9609.3314878898673</v>
      </c>
      <c r="S38" s="41">
        <f t="shared" si="13"/>
        <v>0.99638955871355928</v>
      </c>
      <c r="T38" s="44"/>
      <c r="U38" s="43">
        <f>IF(D38=0,0,SUM($L$20:L38))</f>
        <v>2661539.3314878899</v>
      </c>
      <c r="V38" s="43">
        <f>IF(D38=0,0,SUM($J$20:J38))</f>
        <v>2651930</v>
      </c>
      <c r="W38" s="42">
        <f t="shared" si="14"/>
        <v>-9609.3314878898673</v>
      </c>
      <c r="X38" s="41">
        <f t="shared" si="15"/>
        <v>0.99638955871355928</v>
      </c>
      <c r="Y38" s="17"/>
      <c r="Z38" s="23">
        <f t="shared" si="19"/>
        <v>45310</v>
      </c>
      <c r="AA38" s="22">
        <f t="shared" si="20"/>
        <v>45310</v>
      </c>
      <c r="AB38" s="137">
        <v>45310</v>
      </c>
      <c r="AC38" s="141">
        <v>3</v>
      </c>
      <c r="AD38" s="136" t="s">
        <v>126</v>
      </c>
      <c r="AE38" s="138">
        <f>AVERAGEIFS(J80:J110,D80:D110,1,G80:G110,"fri")</f>
        <v>322626</v>
      </c>
      <c r="AF38" s="141">
        <f>COUNTIFS( D80:D110,1,G80:G110,"fri")</f>
        <v>5</v>
      </c>
      <c r="AG38" s="138"/>
      <c r="AH38" s="138">
        <f t="shared" si="21"/>
        <v>1613130</v>
      </c>
      <c r="AI38" s="264">
        <f t="shared" si="25"/>
        <v>0.24968702636036733</v>
      </c>
      <c r="AJ38" s="393"/>
      <c r="AK38" s="134"/>
      <c r="AL38" s="134"/>
      <c r="AM38" s="134"/>
      <c r="AN38" s="18"/>
      <c r="AO38" s="18"/>
      <c r="AP38" s="18"/>
      <c r="AQ38" s="18"/>
      <c r="AR38" s="17"/>
      <c r="AS38" s="21">
        <f t="shared" si="23"/>
        <v>45310</v>
      </c>
      <c r="AT38" s="17"/>
      <c r="AU38" s="17"/>
      <c r="AV38" s="17"/>
      <c r="AW38" s="17"/>
      <c r="AX38" s="17"/>
      <c r="AY38" s="17"/>
      <c r="AZ38" s="17"/>
    </row>
    <row r="39" spans="1:52" ht="20">
      <c r="A39" s="17"/>
      <c r="B39" s="40"/>
      <c r="C39" s="55">
        <f t="shared" si="16"/>
        <v>20</v>
      </c>
      <c r="D39" s="54">
        <v>1</v>
      </c>
      <c r="E39" s="53" t="str">
        <f t="shared" si="8"/>
        <v>1</v>
      </c>
      <c r="F39" s="52">
        <f t="shared" si="17"/>
        <v>45311</v>
      </c>
      <c r="G39" s="51" t="str">
        <f t="shared" si="18"/>
        <v>Sat</v>
      </c>
      <c r="H39" s="50"/>
      <c r="I39" s="49"/>
      <c r="J39" s="48">
        <v>139100</v>
      </c>
      <c r="K39" s="31"/>
      <c r="L39" s="43">
        <f t="shared" si="9"/>
        <v>221794.9442906575</v>
      </c>
      <c r="M39" s="47">
        <f t="shared" si="10"/>
        <v>-82694.944290657499</v>
      </c>
      <c r="N39" s="41">
        <f t="shared" si="11"/>
        <v>0.62715586437223947</v>
      </c>
      <c r="O39" s="46"/>
      <c r="P39" s="45">
        <f>IF(D39=0,0,SUM($L$20:L39))</f>
        <v>2883334.2757785474</v>
      </c>
      <c r="Q39" s="43">
        <f>IF(D39=0,0,SUM($J$20:J39))</f>
        <v>2791030</v>
      </c>
      <c r="R39" s="42">
        <f t="shared" si="12"/>
        <v>-92304.275778547395</v>
      </c>
      <c r="S39" s="41">
        <f t="shared" si="13"/>
        <v>0.96798696684115004</v>
      </c>
      <c r="T39" s="56"/>
      <c r="U39" s="43">
        <f>IF(D39=0,0,SUM($L$20:L39))</f>
        <v>2883334.2757785474</v>
      </c>
      <c r="V39" s="43">
        <f>IF(D39=0,0,SUM($J$20:J39))</f>
        <v>2791030</v>
      </c>
      <c r="W39" s="42">
        <f t="shared" si="14"/>
        <v>-92304.275778547395</v>
      </c>
      <c r="X39" s="41">
        <f t="shared" si="15"/>
        <v>0.96798696684115004</v>
      </c>
      <c r="Y39" s="17"/>
      <c r="Z39" s="23">
        <f t="shared" si="19"/>
        <v>45311</v>
      </c>
      <c r="AA39" s="22">
        <f t="shared" si="20"/>
        <v>45311</v>
      </c>
      <c r="AB39" s="137">
        <v>45311</v>
      </c>
      <c r="AC39" s="141">
        <v>3</v>
      </c>
      <c r="AD39" s="136" t="s">
        <v>127</v>
      </c>
      <c r="AE39" s="138">
        <f>AVERAGEIFS(J80:J110,D80:D110,1,G80:G110,"sat")</f>
        <v>151895.6</v>
      </c>
      <c r="AF39" s="141">
        <f>COUNTIFS( D80:D110,1,G80:G110,"sat")</f>
        <v>5</v>
      </c>
      <c r="AG39" s="138"/>
      <c r="AH39" s="138">
        <f t="shared" si="21"/>
        <v>759478</v>
      </c>
      <c r="AI39" s="264">
        <f t="shared" si="25"/>
        <v>0.1175551898521006</v>
      </c>
      <c r="AJ39" s="393"/>
      <c r="AK39" s="134"/>
      <c r="AL39" s="134"/>
      <c r="AM39" s="134"/>
      <c r="AN39" s="18"/>
      <c r="AO39" s="18"/>
      <c r="AP39" s="18"/>
      <c r="AQ39" s="18"/>
      <c r="AR39" s="17"/>
      <c r="AS39" s="21">
        <f t="shared" si="23"/>
        <v>45311</v>
      </c>
      <c r="AT39" s="17"/>
      <c r="AU39" s="17"/>
      <c r="AV39" s="17"/>
      <c r="AW39" s="17"/>
      <c r="AX39" s="17"/>
      <c r="AY39" s="17"/>
      <c r="AZ39" s="17"/>
    </row>
    <row r="40" spans="1:52" ht="20">
      <c r="A40" s="17"/>
      <c r="B40" s="40"/>
      <c r="C40" s="55">
        <f t="shared" si="16"/>
        <v>21</v>
      </c>
      <c r="D40" s="54">
        <v>0</v>
      </c>
      <c r="E40" s="53" t="str">
        <f t="shared" si="8"/>
        <v>1</v>
      </c>
      <c r="F40" s="52">
        <f t="shared" si="17"/>
        <v>45312</v>
      </c>
      <c r="G40" s="51" t="str">
        <f t="shared" si="18"/>
        <v>Sun</v>
      </c>
      <c r="H40" s="50" t="s">
        <v>46</v>
      </c>
      <c r="I40" s="67"/>
      <c r="J40" s="66">
        <v>0</v>
      </c>
      <c r="K40" s="65"/>
      <c r="L40" s="43">
        <f t="shared" si="9"/>
        <v>0</v>
      </c>
      <c r="M40" s="47">
        <f t="shared" si="10"/>
        <v>0</v>
      </c>
      <c r="N40" s="41" t="str">
        <f t="shared" si="11"/>
        <v>0%</v>
      </c>
      <c r="O40" s="46"/>
      <c r="P40" s="45">
        <f>IF(D40=0,0,SUM($L$20:L40))</f>
        <v>0</v>
      </c>
      <c r="Q40" s="43">
        <f>IF(D40=0,0,SUM($J$20:J40))</f>
        <v>0</v>
      </c>
      <c r="R40" s="42">
        <f t="shared" si="12"/>
        <v>0</v>
      </c>
      <c r="S40" s="41" t="str">
        <f t="shared" si="13"/>
        <v>0%</v>
      </c>
      <c r="T40" s="56"/>
      <c r="U40" s="43">
        <f>IF(D40=0,0,SUM($L$20:L40))</f>
        <v>0</v>
      </c>
      <c r="V40" s="43">
        <f>IF(D40=0,0,SUM($J$20:J40))</f>
        <v>0</v>
      </c>
      <c r="W40" s="42">
        <f t="shared" si="14"/>
        <v>0</v>
      </c>
      <c r="X40" s="41" t="str">
        <f t="shared" si="15"/>
        <v>0%</v>
      </c>
      <c r="Y40" s="17"/>
      <c r="Z40" s="23">
        <f t="shared" si="19"/>
        <v>45312</v>
      </c>
      <c r="AA40" s="22">
        <f t="shared" si="20"/>
        <v>45312</v>
      </c>
      <c r="AB40" s="137">
        <v>45312</v>
      </c>
      <c r="AC40" s="141">
        <v>3</v>
      </c>
      <c r="AD40" s="136" t="s">
        <v>128</v>
      </c>
      <c r="AE40" s="138">
        <f>IFERROR(AVERAGEIFS(J80:J110,D80:D110,3,G80:G110,"sun"),0)</f>
        <v>0</v>
      </c>
      <c r="AF40" s="141">
        <f>IFERROR(COUNTIFS( D80:D110,1,G80:G110,"sun"),0)</f>
        <v>0</v>
      </c>
      <c r="AG40" s="138"/>
      <c r="AH40" s="138">
        <f t="shared" si="21"/>
        <v>0</v>
      </c>
      <c r="AI40" s="264">
        <f t="shared" si="25"/>
        <v>0</v>
      </c>
      <c r="AJ40" s="393"/>
      <c r="AK40" s="134"/>
      <c r="AL40" s="134"/>
      <c r="AM40" s="134"/>
      <c r="AN40" s="18"/>
      <c r="AO40" s="18"/>
      <c r="AP40" s="18"/>
      <c r="AQ40" s="18"/>
      <c r="AR40" s="17"/>
      <c r="AS40" s="21">
        <f t="shared" si="23"/>
        <v>45312</v>
      </c>
      <c r="AT40" s="17"/>
      <c r="AU40" s="17"/>
      <c r="AV40" s="17"/>
      <c r="AW40" s="17"/>
      <c r="AX40" s="17"/>
      <c r="AY40" s="17"/>
      <c r="AZ40" s="17"/>
    </row>
    <row r="41" spans="1:52" ht="20">
      <c r="A41" s="17"/>
      <c r="B41" s="40"/>
      <c r="C41" s="55">
        <f t="shared" si="16"/>
        <v>22</v>
      </c>
      <c r="D41" s="54">
        <v>1</v>
      </c>
      <c r="E41" s="53" t="str">
        <f t="shared" si="8"/>
        <v>1</v>
      </c>
      <c r="F41" s="52">
        <f t="shared" si="17"/>
        <v>45313</v>
      </c>
      <c r="G41" s="51" t="str">
        <f t="shared" si="18"/>
        <v>Mon</v>
      </c>
      <c r="H41" s="50"/>
      <c r="I41" s="49"/>
      <c r="J41" s="48">
        <v>250550</v>
      </c>
      <c r="K41" s="31"/>
      <c r="L41" s="43">
        <f t="shared" si="9"/>
        <v>221794.9442906575</v>
      </c>
      <c r="M41" s="47">
        <f t="shared" si="10"/>
        <v>28755.055709342501</v>
      </c>
      <c r="N41" s="41">
        <f t="shared" si="11"/>
        <v>1.1296470296079411</v>
      </c>
      <c r="O41" s="46"/>
      <c r="P41" s="45">
        <f>IF(D41=0,0,SUM($L$20:L41))</f>
        <v>3105129.2200692049</v>
      </c>
      <c r="Q41" s="43">
        <f>IF(D41=0,0,SUM($J$20:J41))</f>
        <v>3041580</v>
      </c>
      <c r="R41" s="42">
        <f t="shared" si="12"/>
        <v>-63549.220069204923</v>
      </c>
      <c r="S41" s="41">
        <f t="shared" si="13"/>
        <v>0.97953411418163505</v>
      </c>
      <c r="T41" s="56"/>
      <c r="U41" s="43">
        <f>IF(D41=0,0,SUM($L$20:L41))</f>
        <v>3105129.2200692049</v>
      </c>
      <c r="V41" s="43">
        <f>IF(D41=0,0,SUM($J$20:J41))</f>
        <v>3041580</v>
      </c>
      <c r="W41" s="42">
        <f t="shared" si="14"/>
        <v>-63549.220069204923</v>
      </c>
      <c r="X41" s="41">
        <f t="shared" si="15"/>
        <v>0.97953411418163505</v>
      </c>
      <c r="Y41" s="17"/>
      <c r="Z41" s="23">
        <f t="shared" si="19"/>
        <v>45313</v>
      </c>
      <c r="AA41" s="22">
        <f t="shared" si="20"/>
        <v>45313</v>
      </c>
      <c r="AB41" s="137">
        <v>45313</v>
      </c>
      <c r="AC41" s="141">
        <v>4</v>
      </c>
      <c r="AD41" s="136" t="s">
        <v>122</v>
      </c>
      <c r="AE41" s="138">
        <f>AVERAGEIFS(J111:J140,D111:D140,1,G111:G140,"mon")</f>
        <v>228365</v>
      </c>
      <c r="AF41" s="141">
        <f>COUNTIFS(D111:D140,1,G111:G140,"Mon")</f>
        <v>4</v>
      </c>
      <c r="AG41" s="138"/>
      <c r="AH41" s="138">
        <f t="shared" si="21"/>
        <v>913460</v>
      </c>
      <c r="AI41" s="264">
        <f>AH41/$M$9</f>
        <v>0.13681397741414603</v>
      </c>
      <c r="AJ41" s="393">
        <f>SUM(AI41:AI47)</f>
        <v>1</v>
      </c>
      <c r="AK41" s="134" t="s">
        <v>131</v>
      </c>
      <c r="AL41" s="134"/>
      <c r="AM41" s="134"/>
      <c r="AN41" s="18"/>
      <c r="AO41" s="18"/>
      <c r="AP41" s="18"/>
      <c r="AQ41" s="18"/>
      <c r="AR41" s="17"/>
      <c r="AS41" s="21">
        <f t="shared" si="23"/>
        <v>45313</v>
      </c>
      <c r="AT41" s="17"/>
      <c r="AU41" s="17"/>
      <c r="AV41" s="17"/>
      <c r="AW41" s="17"/>
      <c r="AX41" s="17"/>
      <c r="AY41" s="17"/>
      <c r="AZ41" s="17"/>
    </row>
    <row r="42" spans="1:52" ht="20">
      <c r="A42" s="17"/>
      <c r="B42" s="40"/>
      <c r="C42" s="55">
        <f t="shared" si="16"/>
        <v>23</v>
      </c>
      <c r="D42" s="54">
        <v>1</v>
      </c>
      <c r="E42" s="53" t="str">
        <f t="shared" si="8"/>
        <v>1</v>
      </c>
      <c r="F42" s="52">
        <f t="shared" si="17"/>
        <v>45314</v>
      </c>
      <c r="G42" s="51" t="str">
        <f t="shared" si="18"/>
        <v>Tue</v>
      </c>
      <c r="H42" s="50"/>
      <c r="I42" s="49"/>
      <c r="J42" s="48">
        <v>312544</v>
      </c>
      <c r="K42" s="31"/>
      <c r="L42" s="43">
        <f t="shared" si="9"/>
        <v>221794.9442906575</v>
      </c>
      <c r="M42" s="47">
        <f t="shared" si="10"/>
        <v>90749.055709342501</v>
      </c>
      <c r="N42" s="41">
        <f t="shared" si="11"/>
        <v>1.4091574584784845</v>
      </c>
      <c r="O42" s="46"/>
      <c r="P42" s="45">
        <f>IF(D42=0,0,SUM($L$20:L42))</f>
        <v>3326924.1643598625</v>
      </c>
      <c r="Q42" s="43">
        <f>IF(D42=0,0,SUM($J$20:J42))</f>
        <v>3354124</v>
      </c>
      <c r="R42" s="42">
        <f t="shared" si="12"/>
        <v>27199.835640137549</v>
      </c>
      <c r="S42" s="41">
        <f t="shared" si="13"/>
        <v>1.0081756704680918</v>
      </c>
      <c r="T42" s="56"/>
      <c r="U42" s="43">
        <f>IF(D42=0,0,SUM($L$20:L42))</f>
        <v>3326924.1643598625</v>
      </c>
      <c r="V42" s="43">
        <f>IF(D42=0,0,SUM($J$20:J42))</f>
        <v>3354124</v>
      </c>
      <c r="W42" s="42">
        <f t="shared" si="14"/>
        <v>27199.835640137549</v>
      </c>
      <c r="X42" s="41">
        <f t="shared" si="15"/>
        <v>1.0081756704680918</v>
      </c>
      <c r="Y42" s="17"/>
      <c r="Z42" s="23">
        <f t="shared" si="19"/>
        <v>45314</v>
      </c>
      <c r="AA42" s="22">
        <f t="shared" si="20"/>
        <v>45314</v>
      </c>
      <c r="AB42" s="137">
        <v>45314</v>
      </c>
      <c r="AC42" s="141">
        <v>4</v>
      </c>
      <c r="AD42" s="136" t="s">
        <v>123</v>
      </c>
      <c r="AE42" s="138">
        <f>AVERAGEIFS(J111:J140,D111:D140,1,G111:G140,"tue")</f>
        <v>269807.40000000002</v>
      </c>
      <c r="AF42" s="141">
        <f>COUNTIFS(D111:D140,1,G111:G140,"tue")</f>
        <v>5</v>
      </c>
      <c r="AG42" s="138"/>
      <c r="AH42" s="138">
        <f t="shared" si="21"/>
        <v>1349037</v>
      </c>
      <c r="AI42" s="264">
        <f t="shared" ref="AI42:AI47" si="26">AH42/$M$9</f>
        <v>0.2020527638307614</v>
      </c>
      <c r="AJ42" s="393"/>
      <c r="AK42" s="134"/>
      <c r="AL42" s="134"/>
      <c r="AM42" s="134"/>
      <c r="AN42" s="18"/>
      <c r="AO42" s="18"/>
      <c r="AP42" s="18"/>
      <c r="AQ42" s="18"/>
      <c r="AR42" s="17"/>
      <c r="AS42" s="21">
        <f t="shared" si="23"/>
        <v>45314</v>
      </c>
      <c r="AT42" s="17"/>
      <c r="AU42" s="17"/>
      <c r="AV42" s="17"/>
      <c r="AW42" s="17"/>
      <c r="AX42" s="17"/>
      <c r="AY42" s="17"/>
      <c r="AZ42" s="17"/>
    </row>
    <row r="43" spans="1:52" ht="20">
      <c r="A43" s="17"/>
      <c r="B43" s="40"/>
      <c r="C43" s="55">
        <f t="shared" si="16"/>
        <v>24</v>
      </c>
      <c r="D43" s="54">
        <v>1</v>
      </c>
      <c r="E43" s="53" t="str">
        <f t="shared" si="8"/>
        <v>1</v>
      </c>
      <c r="F43" s="52">
        <f t="shared" si="17"/>
        <v>45315</v>
      </c>
      <c r="G43" s="51" t="str">
        <f t="shared" si="18"/>
        <v>Wed</v>
      </c>
      <c r="H43" s="50"/>
      <c r="I43" s="49"/>
      <c r="J43" s="48">
        <v>255500</v>
      </c>
      <c r="K43" s="31"/>
      <c r="L43" s="43">
        <f t="shared" si="9"/>
        <v>221794.9442906575</v>
      </c>
      <c r="M43" s="47">
        <f t="shared" si="10"/>
        <v>33705.055709342501</v>
      </c>
      <c r="N43" s="41">
        <f t="shared" si="11"/>
        <v>1.1519649413882616</v>
      </c>
      <c r="O43" s="46"/>
      <c r="P43" s="45">
        <f>IF(D43=0,0,SUM($L$20:L43))</f>
        <v>3548719.10865052</v>
      </c>
      <c r="Q43" s="43">
        <f>IF(D43=0,0,SUM($J$20:J43))</f>
        <v>3609624</v>
      </c>
      <c r="R43" s="42">
        <f t="shared" si="12"/>
        <v>60904.891349480022</v>
      </c>
      <c r="S43" s="41">
        <f t="shared" si="13"/>
        <v>1.0171624999006024</v>
      </c>
      <c r="T43" s="56"/>
      <c r="U43" s="43">
        <f>IF(D43=0,0,SUM($L$20:L43))</f>
        <v>3548719.10865052</v>
      </c>
      <c r="V43" s="43">
        <f>IF(D43=0,0,SUM($J$20:J43))</f>
        <v>3609624</v>
      </c>
      <c r="W43" s="42">
        <f t="shared" si="14"/>
        <v>60904.891349480022</v>
      </c>
      <c r="X43" s="41">
        <f t="shared" si="15"/>
        <v>1.0171624999006024</v>
      </c>
      <c r="Y43" s="17"/>
      <c r="Z43" s="23">
        <f t="shared" si="19"/>
        <v>45315</v>
      </c>
      <c r="AA43" s="22">
        <f t="shared" si="20"/>
        <v>45315</v>
      </c>
      <c r="AB43" s="137">
        <v>45315</v>
      </c>
      <c r="AC43" s="141">
        <v>4</v>
      </c>
      <c r="AD43" s="136" t="s">
        <v>124</v>
      </c>
      <c r="AE43" s="138">
        <f>AVERAGEIFS(J111:J140,D111:D140,1,G111:G140,"wed")</f>
        <v>292710</v>
      </c>
      <c r="AF43" s="141">
        <f>COUNTIFS(D111:D140,1,G111:G140,"wed")</f>
        <v>4</v>
      </c>
      <c r="AG43" s="138"/>
      <c r="AH43" s="138">
        <f t="shared" si="21"/>
        <v>1170840</v>
      </c>
      <c r="AI43" s="264">
        <f t="shared" si="26"/>
        <v>0.17536320946246003</v>
      </c>
      <c r="AJ43" s="393"/>
      <c r="AK43" s="134"/>
      <c r="AL43" s="134"/>
      <c r="AM43" s="134"/>
      <c r="AN43" s="18"/>
      <c r="AO43" s="18"/>
      <c r="AP43" s="18"/>
      <c r="AQ43" s="18"/>
      <c r="AR43" s="17"/>
      <c r="AS43" s="21">
        <f t="shared" si="23"/>
        <v>45315</v>
      </c>
      <c r="AT43" s="17"/>
      <c r="AU43" s="17"/>
      <c r="AV43" s="17"/>
      <c r="AW43" s="17"/>
      <c r="AX43" s="17"/>
      <c r="AY43" s="17"/>
      <c r="AZ43" s="17"/>
    </row>
    <row r="44" spans="1:52" ht="20">
      <c r="A44" s="17"/>
      <c r="B44" s="40"/>
      <c r="C44" s="55">
        <f t="shared" si="16"/>
        <v>25</v>
      </c>
      <c r="D44" s="54">
        <v>1</v>
      </c>
      <c r="E44" s="53" t="str">
        <f t="shared" si="8"/>
        <v>1</v>
      </c>
      <c r="F44" s="52">
        <f t="shared" si="17"/>
        <v>45316</v>
      </c>
      <c r="G44" s="51" t="str">
        <f t="shared" si="18"/>
        <v>Thu</v>
      </c>
      <c r="H44" s="50"/>
      <c r="I44" s="49"/>
      <c r="J44" s="48">
        <v>252450</v>
      </c>
      <c r="K44" s="31"/>
      <c r="L44" s="43">
        <f t="shared" si="9"/>
        <v>221794.9442906575</v>
      </c>
      <c r="M44" s="47">
        <f t="shared" si="10"/>
        <v>30655.055709342501</v>
      </c>
      <c r="N44" s="41">
        <f t="shared" si="11"/>
        <v>1.138213500796347</v>
      </c>
      <c r="O44" s="46"/>
      <c r="P44" s="45">
        <f>IF(D44=0,0,SUM($L$20:L44))</f>
        <v>3770514.0529411775</v>
      </c>
      <c r="Q44" s="43">
        <f>IF(D44=0,0,SUM($J$20:J44))</f>
        <v>3862074</v>
      </c>
      <c r="R44" s="42">
        <f t="shared" si="12"/>
        <v>91559.947058822494</v>
      </c>
      <c r="S44" s="41">
        <f t="shared" si="13"/>
        <v>1.0242831470121168</v>
      </c>
      <c r="T44" s="56"/>
      <c r="U44" s="43">
        <f>IF(D44=0,0,SUM($L$20:L44))</f>
        <v>3770514.0529411775</v>
      </c>
      <c r="V44" s="43">
        <f>IF(D44=0,0,SUM($J$20:J44))</f>
        <v>3862074</v>
      </c>
      <c r="W44" s="42">
        <f t="shared" si="14"/>
        <v>91559.947058822494</v>
      </c>
      <c r="X44" s="41">
        <f t="shared" si="15"/>
        <v>1.0242831470121168</v>
      </c>
      <c r="Y44" s="17"/>
      <c r="Z44" s="23">
        <f t="shared" si="19"/>
        <v>45316</v>
      </c>
      <c r="AA44" s="22">
        <f t="shared" si="20"/>
        <v>45316</v>
      </c>
      <c r="AB44" s="137">
        <v>45316</v>
      </c>
      <c r="AC44" s="141">
        <v>4</v>
      </c>
      <c r="AD44" s="136" t="s">
        <v>125</v>
      </c>
      <c r="AE44" s="138">
        <f>AVERAGEIFS(J111:J140,D111:D140,1,G111:G140,"thu")</f>
        <v>278042.5</v>
      </c>
      <c r="AF44" s="141">
        <f>COUNTIFS(D111:D140,1,G111:G140,"thu")</f>
        <v>4</v>
      </c>
      <c r="AG44" s="138"/>
      <c r="AH44" s="138">
        <f t="shared" si="21"/>
        <v>1112170</v>
      </c>
      <c r="AI44" s="264">
        <f t="shared" si="26"/>
        <v>0.16657587771844504</v>
      </c>
      <c r="AJ44" s="393"/>
      <c r="AK44" s="134"/>
      <c r="AL44" s="134"/>
      <c r="AM44" s="134"/>
      <c r="AN44" s="18"/>
      <c r="AO44" s="18"/>
      <c r="AP44" s="18"/>
      <c r="AQ44" s="18"/>
      <c r="AR44" s="17"/>
      <c r="AS44" s="21">
        <f t="shared" si="23"/>
        <v>45316</v>
      </c>
      <c r="AT44" s="17"/>
      <c r="AU44" s="17"/>
      <c r="AV44" s="17"/>
      <c r="AW44" s="17"/>
      <c r="AX44" s="17"/>
      <c r="AY44" s="17"/>
      <c r="AZ44" s="17"/>
    </row>
    <row r="45" spans="1:52" ht="20">
      <c r="A45" s="17"/>
      <c r="B45" s="40"/>
      <c r="C45" s="55">
        <f t="shared" si="16"/>
        <v>26</v>
      </c>
      <c r="D45" s="54">
        <v>1</v>
      </c>
      <c r="E45" s="53" t="str">
        <f t="shared" si="8"/>
        <v>1</v>
      </c>
      <c r="F45" s="52">
        <f t="shared" si="17"/>
        <v>45317</v>
      </c>
      <c r="G45" s="51" t="str">
        <f t="shared" si="18"/>
        <v>Fri</v>
      </c>
      <c r="H45" s="50"/>
      <c r="I45" s="49"/>
      <c r="J45" s="48">
        <v>288150</v>
      </c>
      <c r="K45" s="31"/>
      <c r="L45" s="43">
        <f t="shared" si="9"/>
        <v>221794.9442906575</v>
      </c>
      <c r="M45" s="47">
        <f t="shared" si="10"/>
        <v>66355.055709342501</v>
      </c>
      <c r="N45" s="41">
        <f t="shared" si="11"/>
        <v>1.2991729857574463</v>
      </c>
      <c r="O45" s="46"/>
      <c r="P45" s="45">
        <f>IF(D45=0,0,SUM($L$20:L45))</f>
        <v>3992308.997231835</v>
      </c>
      <c r="Q45" s="43">
        <f>IF(D45=0,0,SUM($J$20:J45))</f>
        <v>4150224</v>
      </c>
      <c r="R45" s="42">
        <f t="shared" si="12"/>
        <v>157915.00276816497</v>
      </c>
      <c r="S45" s="41">
        <f t="shared" si="13"/>
        <v>1.0395548047201906</v>
      </c>
      <c r="T45" s="44"/>
      <c r="U45" s="43">
        <f>IF(D45=0,0,SUM($L$20:L45))</f>
        <v>3992308.997231835</v>
      </c>
      <c r="V45" s="43">
        <f>IF(D45=0,0,SUM($J$20:J45))</f>
        <v>4150224</v>
      </c>
      <c r="W45" s="42">
        <f t="shared" si="14"/>
        <v>157915.00276816497</v>
      </c>
      <c r="X45" s="41">
        <f t="shared" si="15"/>
        <v>1.0395548047201906</v>
      </c>
      <c r="Y45" s="17"/>
      <c r="Z45" s="23">
        <f t="shared" si="19"/>
        <v>45317</v>
      </c>
      <c r="AA45" s="22">
        <f t="shared" si="20"/>
        <v>45317</v>
      </c>
      <c r="AB45" s="137">
        <v>45317</v>
      </c>
      <c r="AC45" s="141">
        <v>4</v>
      </c>
      <c r="AD45" s="136" t="s">
        <v>126</v>
      </c>
      <c r="AE45" s="138">
        <f>AVERAGEIFS(J111:J140,D111:D140,1,G111:G140,"fri")</f>
        <v>331130</v>
      </c>
      <c r="AF45" s="141">
        <f>COUNTIFS(D111:D140,1,G111:G140,"fri")</f>
        <v>4</v>
      </c>
      <c r="AG45" s="138"/>
      <c r="AH45" s="138">
        <f t="shared" si="21"/>
        <v>1324520</v>
      </c>
      <c r="AI45" s="264">
        <f t="shared" si="26"/>
        <v>0.19838071657717327</v>
      </c>
      <c r="AJ45" s="393"/>
      <c r="AK45" s="134"/>
      <c r="AL45" s="134"/>
      <c r="AM45" s="134"/>
      <c r="AN45" s="18"/>
      <c r="AO45" s="18"/>
      <c r="AP45" s="18"/>
      <c r="AQ45" s="18"/>
      <c r="AR45" s="17"/>
      <c r="AS45" s="21">
        <f t="shared" si="23"/>
        <v>45317</v>
      </c>
      <c r="AT45" s="17"/>
      <c r="AU45" s="17"/>
      <c r="AV45" s="17"/>
      <c r="AW45" s="17"/>
      <c r="AX45" s="17"/>
      <c r="AY45" s="17"/>
      <c r="AZ45" s="17"/>
    </row>
    <row r="46" spans="1:52" ht="20">
      <c r="A46" s="17"/>
      <c r="B46" s="40"/>
      <c r="C46" s="55">
        <f t="shared" si="16"/>
        <v>27</v>
      </c>
      <c r="D46" s="54">
        <v>1</v>
      </c>
      <c r="E46" s="53" t="str">
        <f t="shared" si="8"/>
        <v>1</v>
      </c>
      <c r="F46" s="52">
        <f t="shared" si="17"/>
        <v>45318</v>
      </c>
      <c r="G46" s="51" t="str">
        <f t="shared" si="18"/>
        <v>Sat</v>
      </c>
      <c r="H46" s="50"/>
      <c r="I46" s="49"/>
      <c r="J46" s="48">
        <v>114650</v>
      </c>
      <c r="K46" s="31"/>
      <c r="L46" s="43">
        <f t="shared" si="9"/>
        <v>221794.9442906575</v>
      </c>
      <c r="M46" s="47">
        <f t="shared" si="10"/>
        <v>-107144.9442906575</v>
      </c>
      <c r="N46" s="41">
        <f t="shared" si="11"/>
        <v>0.51691890618459568</v>
      </c>
      <c r="O46" s="46"/>
      <c r="P46" s="45">
        <f>IF(D46=0,0,SUM($L$20:L46))</f>
        <v>4214103.9415224921</v>
      </c>
      <c r="Q46" s="43">
        <f>IF(D46=0,0,SUM($J$20:J46))</f>
        <v>4264874</v>
      </c>
      <c r="R46" s="42">
        <f t="shared" si="12"/>
        <v>50770.058477507904</v>
      </c>
      <c r="S46" s="41">
        <f t="shared" si="13"/>
        <v>1.0120476521656856</v>
      </c>
      <c r="T46" s="56"/>
      <c r="U46" s="43">
        <f>IF(D46=0,0,SUM($L$20:L46))</f>
        <v>4214103.9415224921</v>
      </c>
      <c r="V46" s="43">
        <f>IF(D46=0,0,SUM($J$20:J46))</f>
        <v>4264874</v>
      </c>
      <c r="W46" s="42">
        <f t="shared" si="14"/>
        <v>50770.058477507904</v>
      </c>
      <c r="X46" s="41">
        <f t="shared" si="15"/>
        <v>1.0120476521656856</v>
      </c>
      <c r="Y46" s="17"/>
      <c r="Z46" s="23">
        <f t="shared" si="19"/>
        <v>45318</v>
      </c>
      <c r="AA46" s="22">
        <f t="shared" si="20"/>
        <v>45318</v>
      </c>
      <c r="AB46" s="137">
        <v>45318</v>
      </c>
      <c r="AC46" s="141">
        <v>4</v>
      </c>
      <c r="AD46" s="136" t="s">
        <v>127</v>
      </c>
      <c r="AE46" s="138">
        <f>AVERAGEIFS(J111:J140,D111:D140,1,G111:G140,"sat")</f>
        <v>201657.5</v>
      </c>
      <c r="AF46" s="141">
        <f>COUNTIFS(D111:D140,1,G111:G140,"sat")</f>
        <v>4</v>
      </c>
      <c r="AG46" s="138"/>
      <c r="AH46" s="138">
        <f t="shared" si="21"/>
        <v>806630</v>
      </c>
      <c r="AI46" s="264">
        <f t="shared" si="26"/>
        <v>0.12081345499701422</v>
      </c>
      <c r="AJ46" s="393"/>
      <c r="AK46" s="134"/>
      <c r="AL46" s="134"/>
      <c r="AM46" s="134"/>
      <c r="AN46" s="18"/>
      <c r="AO46" s="18"/>
      <c r="AP46" s="18"/>
      <c r="AQ46" s="18"/>
      <c r="AR46" s="17"/>
      <c r="AS46" s="21">
        <f t="shared" si="23"/>
        <v>45318</v>
      </c>
      <c r="AT46" s="17"/>
      <c r="AU46" s="17"/>
      <c r="AV46" s="17"/>
      <c r="AW46" s="17"/>
      <c r="AX46" s="17"/>
      <c r="AY46" s="17"/>
      <c r="AZ46" s="17"/>
    </row>
    <row r="47" spans="1:52" ht="20">
      <c r="A47" s="17"/>
      <c r="B47" s="40"/>
      <c r="C47" s="55">
        <f t="shared" si="16"/>
        <v>28</v>
      </c>
      <c r="D47" s="54">
        <v>0</v>
      </c>
      <c r="E47" s="53" t="str">
        <f t="shared" si="8"/>
        <v>1</v>
      </c>
      <c r="F47" s="52">
        <f t="shared" si="17"/>
        <v>45319</v>
      </c>
      <c r="G47" s="51" t="str">
        <f t="shared" si="18"/>
        <v>Sun</v>
      </c>
      <c r="H47" s="50" t="s">
        <v>46</v>
      </c>
      <c r="I47" s="67"/>
      <c r="J47" s="66">
        <v>0</v>
      </c>
      <c r="K47" s="65"/>
      <c r="L47" s="43">
        <f t="shared" si="9"/>
        <v>0</v>
      </c>
      <c r="M47" s="47">
        <f t="shared" si="10"/>
        <v>0</v>
      </c>
      <c r="N47" s="41" t="str">
        <f t="shared" si="11"/>
        <v>0%</v>
      </c>
      <c r="O47" s="46"/>
      <c r="P47" s="45">
        <f>IF(D47=0,0,SUM($L$20:L47))</f>
        <v>0</v>
      </c>
      <c r="Q47" s="43">
        <f>IF(D47=0,0,SUM($J$20:J47))</f>
        <v>0</v>
      </c>
      <c r="R47" s="42">
        <f t="shared" si="12"/>
        <v>0</v>
      </c>
      <c r="S47" s="41" t="str">
        <f t="shared" si="13"/>
        <v>0%</v>
      </c>
      <c r="T47" s="56"/>
      <c r="U47" s="43">
        <f>IF(D47=0,0,SUM($L$20:L47))</f>
        <v>0</v>
      </c>
      <c r="V47" s="43">
        <f>IF(D47=0,0,SUM($J$20:J47))</f>
        <v>0</v>
      </c>
      <c r="W47" s="42">
        <f t="shared" si="14"/>
        <v>0</v>
      </c>
      <c r="X47" s="41" t="str">
        <f t="shared" si="15"/>
        <v>0%</v>
      </c>
      <c r="Y47" s="17"/>
      <c r="Z47" s="23">
        <f t="shared" si="19"/>
        <v>45319</v>
      </c>
      <c r="AA47" s="22">
        <f t="shared" si="20"/>
        <v>45319</v>
      </c>
      <c r="AB47" s="137">
        <v>45319</v>
      </c>
      <c r="AC47" s="141">
        <v>4</v>
      </c>
      <c r="AD47" s="136" t="s">
        <v>128</v>
      </c>
      <c r="AE47" s="138">
        <f>IFERROR(AVERAGEIFS(J111:J140,D111:D140,1,G111:G140,"sun"),0)</f>
        <v>0</v>
      </c>
      <c r="AF47" s="141">
        <f>IFERROR(COUNTIFS(D111:D140,1,G111:G140,"sun"),0)</f>
        <v>0</v>
      </c>
      <c r="AG47" s="138"/>
      <c r="AH47" s="138">
        <f t="shared" si="21"/>
        <v>0</v>
      </c>
      <c r="AI47" s="264">
        <f t="shared" si="26"/>
        <v>0</v>
      </c>
      <c r="AJ47" s="393"/>
      <c r="AK47" s="134"/>
      <c r="AL47" s="134"/>
      <c r="AM47" s="134"/>
      <c r="AN47" s="18"/>
      <c r="AO47" s="18"/>
      <c r="AP47" s="18"/>
      <c r="AQ47" s="18"/>
      <c r="AR47" s="17"/>
      <c r="AS47" s="21">
        <f t="shared" si="23"/>
        <v>45319</v>
      </c>
      <c r="AT47" s="17"/>
      <c r="AU47" s="17"/>
      <c r="AV47" s="17"/>
      <c r="AW47" s="17"/>
      <c r="AX47" s="17"/>
      <c r="AY47" s="17"/>
      <c r="AZ47" s="17"/>
    </row>
    <row r="48" spans="1:52" ht="20">
      <c r="A48" s="17"/>
      <c r="B48" s="40"/>
      <c r="C48" s="55">
        <f t="shared" si="16"/>
        <v>29</v>
      </c>
      <c r="D48" s="54">
        <v>1</v>
      </c>
      <c r="E48" s="53" t="str">
        <f t="shared" si="8"/>
        <v>1</v>
      </c>
      <c r="F48" s="52">
        <f t="shared" si="17"/>
        <v>45320</v>
      </c>
      <c r="G48" s="51" t="str">
        <f t="shared" si="18"/>
        <v>Mon</v>
      </c>
      <c r="H48" s="50"/>
      <c r="I48" s="49"/>
      <c r="J48" s="48">
        <v>322450</v>
      </c>
      <c r="K48" s="31"/>
      <c r="L48" s="43">
        <f t="shared" si="9"/>
        <v>221794.9442906575</v>
      </c>
      <c r="M48" s="47">
        <f t="shared" si="10"/>
        <v>100655.0557093425</v>
      </c>
      <c r="N48" s="41">
        <f t="shared" si="11"/>
        <v>1.4538203340534048</v>
      </c>
      <c r="O48" s="46"/>
      <c r="P48" s="45">
        <f>IF(D48=0,0,SUM($L$20:L48))</f>
        <v>4435898.8858131496</v>
      </c>
      <c r="Q48" s="43">
        <f>IF(D48=0,0,SUM($J$20:J48))</f>
        <v>4587324</v>
      </c>
      <c r="R48" s="42">
        <f t="shared" si="12"/>
        <v>151425.11418685038</v>
      </c>
      <c r="S48" s="41">
        <f t="shared" si="13"/>
        <v>1.0341362862600716</v>
      </c>
      <c r="T48" s="56"/>
      <c r="U48" s="43">
        <f>IF(D48=0,0,SUM($L$20:L48))</f>
        <v>4435898.8858131496</v>
      </c>
      <c r="V48" s="43">
        <f>IF(D48=0,0,SUM($J$20:J48))</f>
        <v>4587324</v>
      </c>
      <c r="W48" s="42">
        <f t="shared" si="14"/>
        <v>151425.11418685038</v>
      </c>
      <c r="X48" s="41">
        <f t="shared" si="15"/>
        <v>1.0341362862600716</v>
      </c>
      <c r="Y48" s="17"/>
      <c r="Z48" s="23">
        <f t="shared" si="19"/>
        <v>45320</v>
      </c>
      <c r="AA48" s="22">
        <f t="shared" si="20"/>
        <v>45320</v>
      </c>
      <c r="AB48" s="137">
        <v>45320</v>
      </c>
      <c r="AC48" s="141">
        <v>5</v>
      </c>
      <c r="AD48" s="136" t="s">
        <v>122</v>
      </c>
      <c r="AE48" s="138">
        <f>AVERAGEIFS(J141:J171,D141:D171,1,G141:G171,"mon")</f>
        <v>238610</v>
      </c>
      <c r="AF48" s="141">
        <f>COUNTIFS(D141:D171,1,G141:G171,"Mon")</f>
        <v>3</v>
      </c>
      <c r="AG48" s="138"/>
      <c r="AH48" s="138">
        <f t="shared" si="21"/>
        <v>715830</v>
      </c>
      <c r="AI48" s="264">
        <f>AH48/$M$10</f>
        <v>0.11611173380091841</v>
      </c>
      <c r="AJ48" s="393">
        <f>SUM(AI48:AI54)</f>
        <v>1</v>
      </c>
      <c r="AK48" s="134" t="s">
        <v>132</v>
      </c>
      <c r="AL48" s="134"/>
      <c r="AM48" s="134"/>
      <c r="AN48" s="18"/>
      <c r="AO48" s="18"/>
      <c r="AP48" s="18"/>
      <c r="AQ48" s="18"/>
      <c r="AR48" s="17"/>
      <c r="AS48" s="21">
        <f t="shared" si="23"/>
        <v>45320</v>
      </c>
      <c r="AT48" s="17"/>
      <c r="AU48" s="17"/>
      <c r="AV48" s="17"/>
      <c r="AW48" s="17"/>
      <c r="AX48" s="17"/>
      <c r="AY48" s="17"/>
      <c r="AZ48" s="17"/>
    </row>
    <row r="49" spans="1:52" ht="20">
      <c r="A49" s="17"/>
      <c r="B49" s="40"/>
      <c r="C49" s="55">
        <f t="shared" si="16"/>
        <v>30</v>
      </c>
      <c r="D49" s="54">
        <v>1</v>
      </c>
      <c r="E49" s="53" t="str">
        <f t="shared" si="8"/>
        <v>1</v>
      </c>
      <c r="F49" s="52">
        <f t="shared" si="17"/>
        <v>45321</v>
      </c>
      <c r="G49" s="51" t="str">
        <f t="shared" si="18"/>
        <v>Tue</v>
      </c>
      <c r="H49" s="50"/>
      <c r="I49" s="49"/>
      <c r="J49" s="48">
        <v>188550</v>
      </c>
      <c r="K49" s="31"/>
      <c r="L49" s="43">
        <f t="shared" si="9"/>
        <v>221794.9442906575</v>
      </c>
      <c r="M49" s="47">
        <f t="shared" si="10"/>
        <v>-33244.944290657499</v>
      </c>
      <c r="N49" s="41">
        <f t="shared" si="11"/>
        <v>0.85010954872311828</v>
      </c>
      <c r="O49" s="46"/>
      <c r="P49" s="45">
        <f>IF(D49=0,0,SUM($L$20:L49))</f>
        <v>4657693.8301038072</v>
      </c>
      <c r="Q49" s="43">
        <f>IF(D49=0,0,SUM($J$20:J49))</f>
        <v>4775874</v>
      </c>
      <c r="R49" s="42">
        <f t="shared" si="12"/>
        <v>118180.16989619285</v>
      </c>
      <c r="S49" s="41">
        <f t="shared" si="13"/>
        <v>1.0253731082821214</v>
      </c>
      <c r="T49" s="56"/>
      <c r="U49" s="43">
        <f>IF(D49=0,0,SUM($L$20:L49))</f>
        <v>4657693.8301038072</v>
      </c>
      <c r="V49" s="43">
        <f>IF(D49=0,0,SUM($J$20:J49))</f>
        <v>4775874</v>
      </c>
      <c r="W49" s="42">
        <f t="shared" si="14"/>
        <v>118180.16989619285</v>
      </c>
      <c r="X49" s="41">
        <f t="shared" si="15"/>
        <v>1.0253731082821214</v>
      </c>
      <c r="Y49" s="17"/>
      <c r="Z49" s="23">
        <f t="shared" si="19"/>
        <v>45321</v>
      </c>
      <c r="AA49" s="22">
        <f t="shared" si="20"/>
        <v>45321</v>
      </c>
      <c r="AB49" s="137">
        <v>45321</v>
      </c>
      <c r="AC49" s="141">
        <v>5</v>
      </c>
      <c r="AD49" s="136" t="s">
        <v>123</v>
      </c>
      <c r="AE49" s="138">
        <f>AVERAGEIFS(J141:J171,D141:D171,1,G141:G171,"tue")</f>
        <v>232011.25</v>
      </c>
      <c r="AF49" s="141">
        <f>COUNTIFS(D141:D171,1,G141:G171,"tue")</f>
        <v>4</v>
      </c>
      <c r="AG49" s="138"/>
      <c r="AH49" s="138">
        <f t="shared" si="21"/>
        <v>928045</v>
      </c>
      <c r="AI49" s="264">
        <f t="shared" ref="AI49:AI54" si="27">AH49/$M$10</f>
        <v>0.1505342245997979</v>
      </c>
      <c r="AJ49" s="393"/>
      <c r="AK49" s="134"/>
      <c r="AL49" s="134"/>
      <c r="AM49" s="134"/>
      <c r="AN49" s="18"/>
      <c r="AO49" s="18"/>
      <c r="AP49" s="18"/>
      <c r="AQ49" s="18"/>
      <c r="AR49" s="17"/>
      <c r="AS49" s="21">
        <f t="shared" si="23"/>
        <v>45321</v>
      </c>
      <c r="AT49" s="17"/>
      <c r="AU49" s="17"/>
      <c r="AV49" s="17"/>
      <c r="AW49" s="17"/>
      <c r="AX49" s="17"/>
      <c r="AY49" s="17"/>
      <c r="AZ49" s="17"/>
    </row>
    <row r="50" spans="1:52" ht="21" thickBot="1">
      <c r="A50" s="17"/>
      <c r="B50" s="40"/>
      <c r="C50" s="39">
        <f t="shared" si="16"/>
        <v>31</v>
      </c>
      <c r="D50" s="38">
        <v>1</v>
      </c>
      <c r="E50" s="37" t="str">
        <f t="shared" si="8"/>
        <v>1</v>
      </c>
      <c r="F50" s="36">
        <f t="shared" si="17"/>
        <v>45322</v>
      </c>
      <c r="G50" s="35" t="str">
        <f t="shared" si="18"/>
        <v>Wed</v>
      </c>
      <c r="H50" s="34"/>
      <c r="I50" s="33"/>
      <c r="J50" s="32">
        <v>206500</v>
      </c>
      <c r="K50" s="31"/>
      <c r="L50" s="26">
        <f t="shared" si="9"/>
        <v>221794.9442906575</v>
      </c>
      <c r="M50" s="30">
        <f t="shared" si="10"/>
        <v>-15294.944290657499</v>
      </c>
      <c r="N50" s="24">
        <f t="shared" si="11"/>
        <v>0.93104015810832097</v>
      </c>
      <c r="O50" s="29"/>
      <c r="P50" s="63">
        <f>IF(D50=0,0,SUM($L$20:L50))</f>
        <v>4879488.7743944647</v>
      </c>
      <c r="Q50" s="26">
        <f>IF(D50=0,0,SUM($J$20:J50))</f>
        <v>4982374</v>
      </c>
      <c r="R50" s="25">
        <f t="shared" si="12"/>
        <v>102885.22560553532</v>
      </c>
      <c r="S50" s="24">
        <f t="shared" si="13"/>
        <v>1.0210852469105851</v>
      </c>
      <c r="T50" s="64"/>
      <c r="U50" s="26">
        <f>IF(D50=0,0,SUM($L$20:L50))</f>
        <v>4879488.7743944647</v>
      </c>
      <c r="V50" s="26">
        <f>IF(D50=0,0,SUM($J$20:J50))</f>
        <v>4982374</v>
      </c>
      <c r="W50" s="25">
        <f t="shared" si="14"/>
        <v>102885.22560553532</v>
      </c>
      <c r="X50" s="24">
        <f t="shared" si="15"/>
        <v>1.0210852469105851</v>
      </c>
      <c r="Y50" s="17"/>
      <c r="Z50" s="23">
        <f t="shared" si="19"/>
        <v>45322</v>
      </c>
      <c r="AA50" s="22">
        <f t="shared" si="20"/>
        <v>45322</v>
      </c>
      <c r="AB50" s="137">
        <v>45322</v>
      </c>
      <c r="AC50" s="141">
        <v>5</v>
      </c>
      <c r="AD50" s="136" t="s">
        <v>124</v>
      </c>
      <c r="AE50" s="138">
        <f>AVERAGEIFS(J141:J171,D141:D171,1,G141:G171,"wed")</f>
        <v>320767</v>
      </c>
      <c r="AF50" s="141">
        <f>COUNTIFS(D141:D171,1,G141:G171,"wed")</f>
        <v>5</v>
      </c>
      <c r="AG50" s="138"/>
      <c r="AH50" s="138">
        <f t="shared" si="21"/>
        <v>1603835</v>
      </c>
      <c r="AI50" s="264">
        <f t="shared" si="27"/>
        <v>0.26015124063059103</v>
      </c>
      <c r="AJ50" s="393"/>
      <c r="AK50" s="134"/>
      <c r="AL50" s="134"/>
      <c r="AM50" s="134"/>
      <c r="AN50" s="18"/>
      <c r="AO50" s="18"/>
      <c r="AP50" s="18"/>
      <c r="AQ50" s="18"/>
      <c r="AR50" s="17"/>
      <c r="AS50" s="21">
        <f t="shared" si="23"/>
        <v>45322</v>
      </c>
      <c r="AT50" s="17"/>
      <c r="AU50" s="17"/>
      <c r="AV50" s="17"/>
      <c r="AW50" s="17"/>
      <c r="AX50" s="17"/>
      <c r="AY50" s="17"/>
      <c r="AZ50" s="17"/>
    </row>
    <row r="51" spans="1:52" ht="21" thickTop="1">
      <c r="A51" s="17"/>
      <c r="B51" s="40"/>
      <c r="C51" s="55">
        <f t="shared" si="16"/>
        <v>32</v>
      </c>
      <c r="D51" s="62">
        <v>1</v>
      </c>
      <c r="E51" s="53" t="str">
        <f t="shared" si="8"/>
        <v>2</v>
      </c>
      <c r="F51" s="52">
        <f t="shared" si="17"/>
        <v>45323</v>
      </c>
      <c r="G51" s="51" t="str">
        <f t="shared" si="18"/>
        <v>Thu</v>
      </c>
      <c r="H51" s="50"/>
      <c r="I51" s="49"/>
      <c r="J51" s="48">
        <v>218090</v>
      </c>
      <c r="K51" s="31"/>
      <c r="L51" s="43">
        <f t="shared" ref="L51:L79" si="28">IF(D51=0,0,$K$7)</f>
        <v>209473.00294117647</v>
      </c>
      <c r="M51" s="42">
        <f t="shared" si="10"/>
        <v>8616.9970588235301</v>
      </c>
      <c r="N51" s="60">
        <f t="shared" si="11"/>
        <v>1.0411365519080438</v>
      </c>
      <c r="O51" s="46"/>
      <c r="P51" s="61">
        <f>IF(D51=0,0,$L$51)</f>
        <v>209473.00294117647</v>
      </c>
      <c r="Q51" s="43">
        <f>IF(D51=0,0,$J$51)</f>
        <v>218090</v>
      </c>
      <c r="R51" s="42">
        <f t="shared" si="12"/>
        <v>8616.9970588235301</v>
      </c>
      <c r="S51" s="60">
        <f t="shared" si="13"/>
        <v>1.0411365519080438</v>
      </c>
      <c r="T51" s="56"/>
      <c r="U51" s="43">
        <f>IF(D51=0,0,SUM($L$20:L51))</f>
        <v>5088961.777335641</v>
      </c>
      <c r="V51" s="43">
        <f>IF(D51=0,0,SUM($J$20:J51))</f>
        <v>5200464</v>
      </c>
      <c r="W51" s="42">
        <f t="shared" si="14"/>
        <v>111502.22266435903</v>
      </c>
      <c r="X51" s="60">
        <f t="shared" si="15"/>
        <v>1.0219106032906258</v>
      </c>
      <c r="Y51" s="17"/>
      <c r="Z51" s="23">
        <f t="shared" si="19"/>
        <v>45323</v>
      </c>
      <c r="AA51" s="22">
        <f t="shared" si="20"/>
        <v>45323</v>
      </c>
      <c r="AB51" s="137">
        <v>45323</v>
      </c>
      <c r="AC51" s="141">
        <v>5</v>
      </c>
      <c r="AD51" s="136" t="s">
        <v>125</v>
      </c>
      <c r="AE51" s="138">
        <f>AVERAGEIFS(J141:J171,D141:D171,1,G141:G171,"thu")</f>
        <v>220418</v>
      </c>
      <c r="AF51" s="141">
        <f>COUNTIFS(D141:D171,1,G141:G171,"thu")</f>
        <v>5</v>
      </c>
      <c r="AG51" s="138"/>
      <c r="AH51" s="138">
        <f t="shared" si="21"/>
        <v>1102090</v>
      </c>
      <c r="AI51" s="264">
        <f t="shared" si="27"/>
        <v>0.17876532235957443</v>
      </c>
      <c r="AJ51" s="393"/>
      <c r="AK51" s="134"/>
      <c r="AL51" s="134"/>
      <c r="AM51" s="134"/>
      <c r="AN51" s="18"/>
      <c r="AO51" s="18"/>
      <c r="AP51" s="18"/>
      <c r="AQ51" s="18"/>
      <c r="AR51" s="17"/>
      <c r="AS51" s="21">
        <f t="shared" si="23"/>
        <v>45323</v>
      </c>
      <c r="AT51" s="17"/>
      <c r="AU51" s="17"/>
      <c r="AV51" s="17"/>
      <c r="AW51" s="17"/>
      <c r="AX51" s="17"/>
      <c r="AY51" s="17"/>
      <c r="AZ51" s="17"/>
    </row>
    <row r="52" spans="1:52" ht="20">
      <c r="A52" s="17"/>
      <c r="B52" s="40"/>
      <c r="C52" s="55">
        <f t="shared" si="16"/>
        <v>33</v>
      </c>
      <c r="D52" s="54">
        <v>1</v>
      </c>
      <c r="E52" s="53" t="str">
        <f t="shared" si="8"/>
        <v>2</v>
      </c>
      <c r="F52" s="52">
        <f t="shared" si="17"/>
        <v>45324</v>
      </c>
      <c r="G52" s="51" t="str">
        <f t="shared" si="18"/>
        <v>Fri</v>
      </c>
      <c r="H52" s="50"/>
      <c r="I52" s="49"/>
      <c r="J52" s="48">
        <v>236480</v>
      </c>
      <c r="K52" s="31"/>
      <c r="L52" s="43">
        <f t="shared" si="28"/>
        <v>209473.00294117647</v>
      </c>
      <c r="M52" s="47">
        <f t="shared" si="10"/>
        <v>27006.99705882353</v>
      </c>
      <c r="N52" s="41">
        <f t="shared" si="11"/>
        <v>1.1289282947187593</v>
      </c>
      <c r="O52" s="46"/>
      <c r="P52" s="45">
        <f>IF(D52=0,0,SUM($L$51:L52))</f>
        <v>418946.00588235294</v>
      </c>
      <c r="Q52" s="43">
        <f>IF(D52=0,0,SUM($J$51:J52))</f>
        <v>454570</v>
      </c>
      <c r="R52" s="42">
        <f t="shared" si="12"/>
        <v>35623.99411764706</v>
      </c>
      <c r="S52" s="41">
        <f t="shared" si="13"/>
        <v>1.0850324233134017</v>
      </c>
      <c r="T52" s="44"/>
      <c r="U52" s="43">
        <f>IF(D52=0,0,SUM($L$20:L52))</f>
        <v>5298434.7802768173</v>
      </c>
      <c r="V52" s="43">
        <f>IF(D52=0,0,SUM($J$20:J52))</f>
        <v>5436944</v>
      </c>
      <c r="W52" s="42">
        <f t="shared" si="14"/>
        <v>138509.21972318273</v>
      </c>
      <c r="X52" s="41">
        <f t="shared" si="15"/>
        <v>1.0261415352773195</v>
      </c>
      <c r="Y52" s="17"/>
      <c r="Z52" s="23">
        <f t="shared" si="19"/>
        <v>45324</v>
      </c>
      <c r="AA52" s="22">
        <f t="shared" si="20"/>
        <v>45324</v>
      </c>
      <c r="AB52" s="137">
        <v>45324</v>
      </c>
      <c r="AC52" s="141">
        <v>5</v>
      </c>
      <c r="AD52" s="136" t="s">
        <v>126</v>
      </c>
      <c r="AE52" s="138">
        <f>AVERAGEIFS(J141:J171,D141:D171,1,G141:G171,"fri")</f>
        <v>350012.5</v>
      </c>
      <c r="AF52" s="141">
        <f>COUNTIFS(D141:D171,1,G141:G171,"fri")</f>
        <v>4</v>
      </c>
      <c r="AG52" s="138"/>
      <c r="AH52" s="138">
        <f t="shared" si="21"/>
        <v>1400050</v>
      </c>
      <c r="AI52" s="264">
        <f t="shared" si="27"/>
        <v>0.22709614420738977</v>
      </c>
      <c r="AJ52" s="393"/>
      <c r="AK52" s="134"/>
      <c r="AL52" s="134"/>
      <c r="AM52" s="134"/>
      <c r="AN52" s="18"/>
      <c r="AO52" s="18"/>
      <c r="AP52" s="18"/>
      <c r="AQ52" s="18"/>
      <c r="AR52" s="17"/>
      <c r="AS52" s="21">
        <f t="shared" si="23"/>
        <v>45324</v>
      </c>
      <c r="AT52" s="17"/>
      <c r="AU52" s="17"/>
      <c r="AV52" s="17"/>
      <c r="AW52" s="17"/>
      <c r="AX52" s="17"/>
      <c r="AY52" s="17"/>
      <c r="AZ52" s="17"/>
    </row>
    <row r="53" spans="1:52" ht="20">
      <c r="A53" s="17"/>
      <c r="B53" s="40"/>
      <c r="C53" s="55">
        <f t="shared" si="16"/>
        <v>34</v>
      </c>
      <c r="D53" s="54">
        <v>1</v>
      </c>
      <c r="E53" s="53" t="str">
        <f t="shared" si="8"/>
        <v>2</v>
      </c>
      <c r="F53" s="52">
        <f t="shared" si="17"/>
        <v>45325</v>
      </c>
      <c r="G53" s="51" t="str">
        <f t="shared" si="18"/>
        <v>Sat</v>
      </c>
      <c r="H53" s="50"/>
      <c r="I53" s="49"/>
      <c r="J53" s="48">
        <v>113750</v>
      </c>
      <c r="K53" s="31"/>
      <c r="L53" s="43">
        <f t="shared" si="28"/>
        <v>209473.00294117647</v>
      </c>
      <c r="M53" s="47">
        <f t="shared" si="10"/>
        <v>-95723.00294117647</v>
      </c>
      <c r="N53" s="41">
        <f t="shared" si="11"/>
        <v>0.54302940428052637</v>
      </c>
      <c r="O53" s="46"/>
      <c r="P53" s="45">
        <f>IF(D53=0,0,SUM($L$51:L53))</f>
        <v>628419.00882352935</v>
      </c>
      <c r="Q53" s="43">
        <f>IF(D53=0,0,SUM($J$51:J53))</f>
        <v>568320</v>
      </c>
      <c r="R53" s="42">
        <f t="shared" si="12"/>
        <v>-60099.008823529352</v>
      </c>
      <c r="S53" s="41">
        <f t="shared" si="13"/>
        <v>0.90436475030244323</v>
      </c>
      <c r="T53" s="56"/>
      <c r="U53" s="43">
        <f>IF(D53=0,0,SUM($L$20:L53))</f>
        <v>5507907.7832179936</v>
      </c>
      <c r="V53" s="43">
        <f>IF(D53=0,0,SUM($J$20:J53))</f>
        <v>5550694</v>
      </c>
      <c r="W53" s="42">
        <f t="shared" si="14"/>
        <v>42786.216782006435</v>
      </c>
      <c r="X53" s="41">
        <f t="shared" si="15"/>
        <v>1.0077681432707299</v>
      </c>
      <c r="Y53" s="17"/>
      <c r="Z53" s="23">
        <f t="shared" si="19"/>
        <v>45325</v>
      </c>
      <c r="AA53" s="22">
        <f t="shared" si="20"/>
        <v>45325</v>
      </c>
      <c r="AB53" s="137">
        <v>45325</v>
      </c>
      <c r="AC53" s="141">
        <v>5</v>
      </c>
      <c r="AD53" s="136" t="s">
        <v>127</v>
      </c>
      <c r="AE53" s="138">
        <f>AVERAGEIFS(J141:J171,D141:D171,1,G141:G171,"sat")</f>
        <v>138386.66666666666</v>
      </c>
      <c r="AF53" s="141">
        <f>COUNTIFS(D141:D171,1,G141:G171,"sat")</f>
        <v>3</v>
      </c>
      <c r="AG53" s="138"/>
      <c r="AH53" s="138">
        <f t="shared" si="21"/>
        <v>415160</v>
      </c>
      <c r="AI53" s="264">
        <f t="shared" si="27"/>
        <v>6.7341334401728459E-2</v>
      </c>
      <c r="AJ53" s="393"/>
      <c r="AK53" s="134"/>
      <c r="AL53" s="134"/>
      <c r="AM53" s="134"/>
      <c r="AN53" s="18"/>
      <c r="AO53" s="18"/>
      <c r="AP53" s="18"/>
      <c r="AQ53" s="18"/>
      <c r="AR53" s="17"/>
      <c r="AS53" s="21">
        <f t="shared" si="23"/>
        <v>45325</v>
      </c>
      <c r="AT53" s="17"/>
      <c r="AU53" s="17"/>
      <c r="AV53" s="17"/>
      <c r="AW53" s="17"/>
      <c r="AX53" s="17"/>
      <c r="AY53" s="17"/>
      <c r="AZ53" s="17"/>
    </row>
    <row r="54" spans="1:52" ht="20">
      <c r="A54" s="17"/>
      <c r="B54" s="40"/>
      <c r="C54" s="55">
        <f t="shared" si="16"/>
        <v>35</v>
      </c>
      <c r="D54" s="54">
        <v>0</v>
      </c>
      <c r="E54" s="53" t="str">
        <f t="shared" si="8"/>
        <v>2</v>
      </c>
      <c r="F54" s="52">
        <f t="shared" si="17"/>
        <v>45326</v>
      </c>
      <c r="G54" s="51" t="str">
        <f t="shared" si="18"/>
        <v>Sun</v>
      </c>
      <c r="H54" s="50" t="s">
        <v>46</v>
      </c>
      <c r="I54" s="67"/>
      <c r="J54" s="66">
        <v>0</v>
      </c>
      <c r="K54" s="65"/>
      <c r="L54" s="43">
        <f t="shared" si="28"/>
        <v>0</v>
      </c>
      <c r="M54" s="47">
        <f t="shared" si="10"/>
        <v>0</v>
      </c>
      <c r="N54" s="41" t="str">
        <f t="shared" si="11"/>
        <v>0%</v>
      </c>
      <c r="O54" s="46"/>
      <c r="P54" s="45">
        <f>IF(D54=0,0,SUM($L$51:L54))</f>
        <v>0</v>
      </c>
      <c r="Q54" s="43">
        <f>IF(D54=0,0,SUM($J$51:J54))</f>
        <v>0</v>
      </c>
      <c r="R54" s="42">
        <f t="shared" si="12"/>
        <v>0</v>
      </c>
      <c r="S54" s="41" t="str">
        <f t="shared" si="13"/>
        <v>0%</v>
      </c>
      <c r="T54" s="56"/>
      <c r="U54" s="43">
        <f>IF(D54=0,0,SUM($L$20:L54))</f>
        <v>0</v>
      </c>
      <c r="V54" s="43">
        <f>IF(D54=0,0,SUM($J$20:J54))</f>
        <v>0</v>
      </c>
      <c r="W54" s="42">
        <f t="shared" si="14"/>
        <v>0</v>
      </c>
      <c r="X54" s="41" t="str">
        <f t="shared" si="15"/>
        <v>0%</v>
      </c>
      <c r="Y54" s="17"/>
      <c r="Z54" s="23">
        <f t="shared" si="19"/>
        <v>45326</v>
      </c>
      <c r="AA54" s="22">
        <f t="shared" si="20"/>
        <v>45326</v>
      </c>
      <c r="AB54" s="137">
        <v>45326</v>
      </c>
      <c r="AC54" s="141">
        <v>5</v>
      </c>
      <c r="AD54" s="136" t="s">
        <v>128</v>
      </c>
      <c r="AE54" s="138">
        <f>IFERROR(AVERAGEIFS(J141:J171,D141:D171,1,G141:G171,"sun"),0)</f>
        <v>0</v>
      </c>
      <c r="AF54" s="141">
        <f>IFERROR(COUNTIFS(D141:D171,1,G141:G171,"sun"),0)</f>
        <v>0</v>
      </c>
      <c r="AG54" s="138"/>
      <c r="AH54" s="138">
        <f t="shared" si="21"/>
        <v>0</v>
      </c>
      <c r="AI54" s="264">
        <f t="shared" si="27"/>
        <v>0</v>
      </c>
      <c r="AJ54" s="393"/>
      <c r="AK54" s="134"/>
      <c r="AL54" s="134"/>
      <c r="AM54" s="134"/>
      <c r="AN54" s="18"/>
      <c r="AO54" s="18"/>
      <c r="AP54" s="18"/>
      <c r="AQ54" s="18"/>
      <c r="AR54" s="17"/>
      <c r="AS54" s="21">
        <f t="shared" si="23"/>
        <v>45326</v>
      </c>
      <c r="AT54" s="17"/>
      <c r="AU54" s="17"/>
      <c r="AV54" s="17"/>
      <c r="AW54" s="17"/>
      <c r="AX54" s="17"/>
      <c r="AY54" s="17"/>
      <c r="AZ54" s="17"/>
    </row>
    <row r="55" spans="1:52" ht="20">
      <c r="A55" s="17"/>
      <c r="B55" s="40"/>
      <c r="C55" s="55">
        <f t="shared" si="16"/>
        <v>36</v>
      </c>
      <c r="D55" s="54">
        <v>1</v>
      </c>
      <c r="E55" s="53" t="str">
        <f t="shared" si="8"/>
        <v>2</v>
      </c>
      <c r="F55" s="52">
        <f t="shared" si="17"/>
        <v>45327</v>
      </c>
      <c r="G55" s="51" t="str">
        <f t="shared" si="18"/>
        <v>Mon</v>
      </c>
      <c r="H55" s="50"/>
      <c r="I55" s="49"/>
      <c r="J55" s="48">
        <v>155200</v>
      </c>
      <c r="K55" s="31"/>
      <c r="L55" s="43">
        <f t="shared" si="28"/>
        <v>209473.00294117647</v>
      </c>
      <c r="M55" s="47">
        <f t="shared" si="10"/>
        <v>-54273.00294117647</v>
      </c>
      <c r="N55" s="41">
        <f t="shared" si="11"/>
        <v>0.74090693225791371</v>
      </c>
      <c r="O55" s="46"/>
      <c r="P55" s="45">
        <f>IF(D55=0,0,SUM($L$51:L55))</f>
        <v>837892.01176470588</v>
      </c>
      <c r="Q55" s="43">
        <f>IF(D55=0,0,SUM($J$51:J55))</f>
        <v>723520</v>
      </c>
      <c r="R55" s="42">
        <f t="shared" si="12"/>
        <v>-114372.01176470588</v>
      </c>
      <c r="S55" s="41">
        <f t="shared" si="13"/>
        <v>0.86350029579131082</v>
      </c>
      <c r="T55" s="56"/>
      <c r="U55" s="43">
        <f>IF(D55=0,0,SUM($L$20:L55))</f>
        <v>5717380.7861591699</v>
      </c>
      <c r="V55" s="43">
        <f>IF(D55=0,0,SUM($J$20:J55))</f>
        <v>5705894</v>
      </c>
      <c r="W55" s="42">
        <f t="shared" si="14"/>
        <v>-11486.78615916986</v>
      </c>
      <c r="X55" s="41">
        <f t="shared" si="15"/>
        <v>0.99799090062586393</v>
      </c>
      <c r="Y55" s="17"/>
      <c r="Z55" s="23">
        <f t="shared" si="19"/>
        <v>45327</v>
      </c>
      <c r="AA55" s="22">
        <f t="shared" si="20"/>
        <v>45327</v>
      </c>
      <c r="AB55" s="137">
        <v>45327</v>
      </c>
      <c r="AC55" s="141">
        <v>6</v>
      </c>
      <c r="AD55" s="136" t="s">
        <v>122</v>
      </c>
      <c r="AE55" s="138">
        <f>AVERAGEIFS(J172:J201,D172:D201,1,G172:G201,"mon")</f>
        <v>192255</v>
      </c>
      <c r="AF55" s="141">
        <f>COUNTIFS(D172:D201,1,G172:G201,"Mon")</f>
        <v>4</v>
      </c>
      <c r="AG55" s="138"/>
      <c r="AH55" s="138">
        <f t="shared" si="21"/>
        <v>769020</v>
      </c>
      <c r="AI55" s="264">
        <f>AH55/$M$11</f>
        <v>0.13016697839352059</v>
      </c>
      <c r="AJ55" s="393">
        <f>SUM(AI55:AI61)</f>
        <v>1</v>
      </c>
      <c r="AK55" s="134" t="s">
        <v>133</v>
      </c>
      <c r="AL55" s="134"/>
      <c r="AM55" s="134"/>
      <c r="AN55" s="18"/>
      <c r="AO55" s="18"/>
      <c r="AP55" s="18"/>
      <c r="AQ55" s="18"/>
      <c r="AR55" s="17"/>
      <c r="AS55" s="21">
        <f t="shared" si="23"/>
        <v>45327</v>
      </c>
      <c r="AT55" s="17"/>
      <c r="AU55" s="17"/>
      <c r="AV55" s="17"/>
      <c r="AW55" s="17"/>
      <c r="AX55" s="17"/>
      <c r="AY55" s="17"/>
      <c r="AZ55" s="17"/>
    </row>
    <row r="56" spans="1:52" ht="20">
      <c r="A56" s="17"/>
      <c r="B56" s="40"/>
      <c r="C56" s="55">
        <f t="shared" si="16"/>
        <v>37</v>
      </c>
      <c r="D56" s="54">
        <v>1</v>
      </c>
      <c r="E56" s="53" t="str">
        <f t="shared" si="8"/>
        <v>2</v>
      </c>
      <c r="F56" s="52">
        <f t="shared" si="17"/>
        <v>45328</v>
      </c>
      <c r="G56" s="51" t="str">
        <f t="shared" si="18"/>
        <v>Tue</v>
      </c>
      <c r="H56" s="50"/>
      <c r="I56" s="49"/>
      <c r="J56" s="48">
        <v>191910</v>
      </c>
      <c r="K56" s="31"/>
      <c r="L56" s="43">
        <f t="shared" si="28"/>
        <v>209473.00294117647</v>
      </c>
      <c r="M56" s="47">
        <f t="shared" si="10"/>
        <v>-17563.00294117647</v>
      </c>
      <c r="N56" s="41">
        <f t="shared" si="11"/>
        <v>0.91615624593824885</v>
      </c>
      <c r="O56" s="46"/>
      <c r="P56" s="45">
        <f>IF(D56=0,0,SUM($L$51:L56))</f>
        <v>1047365.0147058824</v>
      </c>
      <c r="Q56" s="43">
        <f>IF(D56=0,0,SUM($J$51:J56))</f>
        <v>915430</v>
      </c>
      <c r="R56" s="42">
        <f t="shared" si="12"/>
        <v>-131935.01470588241</v>
      </c>
      <c r="S56" s="41">
        <f t="shared" si="13"/>
        <v>0.87403148582069834</v>
      </c>
      <c r="T56" s="56"/>
      <c r="U56" s="43">
        <f>IF(D56=0,0,SUM($L$20:L56))</f>
        <v>5926853.7891003462</v>
      </c>
      <c r="V56" s="43">
        <f>IF(D56=0,0,SUM($J$20:J56))</f>
        <v>5897804</v>
      </c>
      <c r="W56" s="42">
        <f t="shared" si="14"/>
        <v>-29049.789100346155</v>
      </c>
      <c r="X56" s="41">
        <f t="shared" si="15"/>
        <v>0.99509861553295453</v>
      </c>
      <c r="Y56" s="17"/>
      <c r="Z56" s="23">
        <f t="shared" si="19"/>
        <v>45328</v>
      </c>
      <c r="AA56" s="22">
        <f t="shared" si="20"/>
        <v>45328</v>
      </c>
      <c r="AB56" s="137">
        <v>45328</v>
      </c>
      <c r="AC56" s="141">
        <v>6</v>
      </c>
      <c r="AD56" s="136" t="s">
        <v>123</v>
      </c>
      <c r="AE56" s="138">
        <f>AVERAGEIFS(J172:J201,D172:D201,1,G172:G201,"tue")</f>
        <v>204712.5</v>
      </c>
      <c r="AF56" s="141">
        <f>COUNTIFS(D172:D201,1,G172:G201,"tue")</f>
        <v>4</v>
      </c>
      <c r="AG56" s="138"/>
      <c r="AH56" s="138">
        <f t="shared" si="21"/>
        <v>818850</v>
      </c>
      <c r="AI56" s="264">
        <f t="shared" ref="AI56:AI61" si="29">AH56/$M$11</f>
        <v>0.13860137611184928</v>
      </c>
      <c r="AJ56" s="393"/>
      <c r="AK56" s="134"/>
      <c r="AL56" s="134"/>
      <c r="AM56" s="134"/>
      <c r="AN56" s="18"/>
      <c r="AO56" s="18"/>
      <c r="AP56" s="18"/>
      <c r="AQ56" s="18"/>
      <c r="AR56" s="17"/>
      <c r="AS56" s="21">
        <f t="shared" si="23"/>
        <v>45328</v>
      </c>
      <c r="AT56" s="17"/>
      <c r="AU56" s="17"/>
      <c r="AV56" s="17"/>
      <c r="AW56" s="17"/>
      <c r="AX56" s="17"/>
      <c r="AY56" s="17"/>
      <c r="AZ56" s="17"/>
    </row>
    <row r="57" spans="1:52" ht="20">
      <c r="A57" s="17"/>
      <c r="B57" s="40"/>
      <c r="C57" s="55">
        <f t="shared" si="16"/>
        <v>38</v>
      </c>
      <c r="D57" s="54">
        <v>1</v>
      </c>
      <c r="E57" s="53" t="str">
        <f t="shared" si="8"/>
        <v>2</v>
      </c>
      <c r="F57" s="52">
        <f t="shared" si="17"/>
        <v>45329</v>
      </c>
      <c r="G57" s="51" t="str">
        <f t="shared" si="18"/>
        <v>Wed</v>
      </c>
      <c r="H57" s="50"/>
      <c r="I57" s="49"/>
      <c r="J57" s="48">
        <v>331350</v>
      </c>
      <c r="K57" s="31"/>
      <c r="L57" s="43">
        <f t="shared" si="28"/>
        <v>209473.00294117647</v>
      </c>
      <c r="M57" s="47">
        <f t="shared" si="10"/>
        <v>121876.99705882353</v>
      </c>
      <c r="N57" s="41">
        <f t="shared" si="11"/>
        <v>1.5818267526009002</v>
      </c>
      <c r="O57" s="46"/>
      <c r="P57" s="45">
        <f>IF(D57=0,0,SUM($L$51:L57))</f>
        <v>1256838.0176470589</v>
      </c>
      <c r="Q57" s="43">
        <f>IF(D57=0,0,SUM($J$51:J57))</f>
        <v>1246780</v>
      </c>
      <c r="R57" s="42">
        <f t="shared" si="12"/>
        <v>-10058.017647058936</v>
      </c>
      <c r="S57" s="41">
        <f t="shared" si="13"/>
        <v>0.99199736361739865</v>
      </c>
      <c r="T57" s="56"/>
      <c r="U57" s="43">
        <f>IF(D57=0,0,SUM($L$20:L57))</f>
        <v>6136326.7920415225</v>
      </c>
      <c r="V57" s="43">
        <f>IF(D57=0,0,SUM($J$20:J57))</f>
        <v>6229154</v>
      </c>
      <c r="W57" s="42">
        <f t="shared" si="14"/>
        <v>92827.207958477549</v>
      </c>
      <c r="X57" s="41">
        <f t="shared" si="15"/>
        <v>1.0151274876818603</v>
      </c>
      <c r="Y57" s="17"/>
      <c r="Z57" s="23">
        <f t="shared" si="19"/>
        <v>45329</v>
      </c>
      <c r="AA57" s="22">
        <f t="shared" si="20"/>
        <v>45329</v>
      </c>
      <c r="AB57" s="137">
        <v>45329</v>
      </c>
      <c r="AC57" s="141">
        <v>6</v>
      </c>
      <c r="AD57" s="136" t="s">
        <v>124</v>
      </c>
      <c r="AE57" s="138">
        <f>AVERAGEIFS(J172:J201,D172:D201,1,G172:G201,"wed")</f>
        <v>308407.5</v>
      </c>
      <c r="AF57" s="141">
        <f>COUNTIFS(D172:D201,1,G172:G201,"wed")</f>
        <v>4</v>
      </c>
      <c r="AG57" s="138"/>
      <c r="AH57" s="138">
        <f t="shared" si="21"/>
        <v>1233630</v>
      </c>
      <c r="AI57" s="264">
        <f t="shared" si="29"/>
        <v>0.20880846994304286</v>
      </c>
      <c r="AJ57" s="393"/>
      <c r="AK57" s="134"/>
      <c r="AL57" s="134"/>
      <c r="AM57" s="134"/>
      <c r="AN57" s="18"/>
      <c r="AO57" s="18"/>
      <c r="AP57" s="18"/>
      <c r="AQ57" s="18"/>
      <c r="AR57" s="17"/>
      <c r="AS57" s="21">
        <f t="shared" si="23"/>
        <v>45329</v>
      </c>
      <c r="AT57" s="17"/>
      <c r="AU57" s="17"/>
      <c r="AV57" s="17"/>
      <c r="AW57" s="17"/>
      <c r="AX57" s="17"/>
      <c r="AY57" s="17"/>
      <c r="AZ57" s="17"/>
    </row>
    <row r="58" spans="1:52" ht="20">
      <c r="A58" s="17"/>
      <c r="B58" s="40"/>
      <c r="C58" s="55">
        <f t="shared" si="16"/>
        <v>39</v>
      </c>
      <c r="D58" s="54">
        <v>1</v>
      </c>
      <c r="E58" s="53" t="str">
        <f t="shared" si="8"/>
        <v>2</v>
      </c>
      <c r="F58" s="52">
        <f t="shared" si="17"/>
        <v>45330</v>
      </c>
      <c r="G58" s="51" t="str">
        <f t="shared" si="18"/>
        <v>Thu</v>
      </c>
      <c r="H58" s="50"/>
      <c r="I58" s="49"/>
      <c r="J58" s="48">
        <v>178550</v>
      </c>
      <c r="K58" s="31"/>
      <c r="L58" s="43">
        <f t="shared" si="28"/>
        <v>209473.00294117647</v>
      </c>
      <c r="M58" s="47">
        <f t="shared" si="10"/>
        <v>-30923.00294117647</v>
      </c>
      <c r="N58" s="41">
        <f t="shared" si="11"/>
        <v>0.85237714403769649</v>
      </c>
      <c r="O58" s="46"/>
      <c r="P58" s="45">
        <f>IF(D58=0,0,SUM($L$51:L58))</f>
        <v>1466311.0205882355</v>
      </c>
      <c r="Q58" s="43">
        <f>IF(D58=0,0,SUM($J$51:J58))</f>
        <v>1425330</v>
      </c>
      <c r="R58" s="42">
        <f t="shared" si="12"/>
        <v>-40981.020588235464</v>
      </c>
      <c r="S58" s="41">
        <f t="shared" si="13"/>
        <v>0.97205161796315542</v>
      </c>
      <c r="T58" s="56"/>
      <c r="U58" s="43">
        <f>IF(D58=0,0,SUM($L$20:L58))</f>
        <v>6345799.7949826987</v>
      </c>
      <c r="V58" s="43">
        <f>IF(D58=0,0,SUM($J$20:J58))</f>
        <v>6407704</v>
      </c>
      <c r="W58" s="42">
        <f t="shared" si="14"/>
        <v>61904.205017301254</v>
      </c>
      <c r="X58" s="41">
        <f t="shared" si="15"/>
        <v>1.0097551462411791</v>
      </c>
      <c r="Y58" s="17"/>
      <c r="Z58" s="23">
        <f t="shared" si="19"/>
        <v>45330</v>
      </c>
      <c r="AA58" s="22">
        <f t="shared" si="20"/>
        <v>45330</v>
      </c>
      <c r="AB58" s="137">
        <v>45330</v>
      </c>
      <c r="AC58" s="141">
        <v>6</v>
      </c>
      <c r="AD58" s="136" t="s">
        <v>125</v>
      </c>
      <c r="AE58" s="138">
        <f>AVERAGEIFS(J172:J201,D172:D201,1,G172:G201,"thu")</f>
        <v>279470</v>
      </c>
      <c r="AF58" s="141">
        <f>COUNTIFS(D172:D201,1,G172:G201,"thu")</f>
        <v>4</v>
      </c>
      <c r="AG58" s="138"/>
      <c r="AH58" s="138">
        <f t="shared" si="21"/>
        <v>1117880</v>
      </c>
      <c r="AI58" s="264">
        <f t="shared" si="29"/>
        <v>0.1892162255943263</v>
      </c>
      <c r="AJ58" s="393"/>
      <c r="AK58" s="134"/>
      <c r="AL58" s="134"/>
      <c r="AM58" s="134"/>
      <c r="AN58" s="18"/>
      <c r="AO58" s="18"/>
      <c r="AP58" s="18"/>
      <c r="AQ58" s="18"/>
      <c r="AR58" s="17"/>
      <c r="AS58" s="21">
        <f t="shared" si="23"/>
        <v>45330</v>
      </c>
      <c r="AT58" s="17"/>
      <c r="AU58" s="17"/>
      <c r="AV58" s="17"/>
      <c r="AW58" s="17"/>
      <c r="AX58" s="17"/>
      <c r="AY58" s="17"/>
      <c r="AZ58" s="17"/>
    </row>
    <row r="59" spans="1:52" ht="20">
      <c r="A59" s="17"/>
      <c r="B59" s="40"/>
      <c r="C59" s="55">
        <f t="shared" si="16"/>
        <v>40</v>
      </c>
      <c r="D59" s="54">
        <v>1</v>
      </c>
      <c r="E59" s="53" t="str">
        <f t="shared" si="8"/>
        <v>2</v>
      </c>
      <c r="F59" s="52">
        <f t="shared" si="17"/>
        <v>45331</v>
      </c>
      <c r="G59" s="51" t="str">
        <f t="shared" si="18"/>
        <v>Fri</v>
      </c>
      <c r="H59" s="50"/>
      <c r="I59" s="49"/>
      <c r="J59" s="48">
        <v>291050</v>
      </c>
      <c r="K59" s="31"/>
      <c r="L59" s="43">
        <f t="shared" si="28"/>
        <v>209473.00294117647</v>
      </c>
      <c r="M59" s="47">
        <f t="shared" si="10"/>
        <v>81576.99705882353</v>
      </c>
      <c r="N59" s="41">
        <f t="shared" si="11"/>
        <v>1.389439192227228</v>
      </c>
      <c r="O59" s="46"/>
      <c r="P59" s="45">
        <f>IF(D59=0,0,SUM($L$51:L59))</f>
        <v>1675784.023529412</v>
      </c>
      <c r="Q59" s="43">
        <f>IF(D59=0,0,SUM($J$51:J59))</f>
        <v>1716380</v>
      </c>
      <c r="R59" s="42">
        <f t="shared" si="12"/>
        <v>40595.976470588008</v>
      </c>
      <c r="S59" s="41">
        <f t="shared" si="13"/>
        <v>1.0242250647461644</v>
      </c>
      <c r="T59" s="44"/>
      <c r="U59" s="43">
        <f>IF(D59=0,0,SUM($L$20:L59))</f>
        <v>6555272.797923875</v>
      </c>
      <c r="V59" s="43">
        <f>IF(D59=0,0,SUM($J$20:J59))</f>
        <v>6698754</v>
      </c>
      <c r="W59" s="42">
        <f t="shared" si="14"/>
        <v>143481.20207612496</v>
      </c>
      <c r="X59" s="41">
        <f t="shared" si="15"/>
        <v>1.0218879071091544</v>
      </c>
      <c r="Y59" s="17"/>
      <c r="Z59" s="23">
        <f t="shared" si="19"/>
        <v>45331</v>
      </c>
      <c r="AA59" s="22">
        <f t="shared" si="20"/>
        <v>45331</v>
      </c>
      <c r="AB59" s="137">
        <v>45331</v>
      </c>
      <c r="AC59" s="141">
        <v>6</v>
      </c>
      <c r="AD59" s="136" t="s">
        <v>126</v>
      </c>
      <c r="AE59" s="138">
        <f>AVERAGEIFS(J172:J201,D172:D201,1,G172:G201,"fri")</f>
        <v>322747.5</v>
      </c>
      <c r="AF59" s="141">
        <f>COUNTIFS(D172:D201,1,G172:G201,"fri")</f>
        <v>4</v>
      </c>
      <c r="AG59" s="138"/>
      <c r="AH59" s="138">
        <f t="shared" si="21"/>
        <v>1290990</v>
      </c>
      <c r="AI59" s="264">
        <f t="shared" si="29"/>
        <v>0.21851742144060121</v>
      </c>
      <c r="AJ59" s="393"/>
      <c r="AK59" s="134"/>
      <c r="AL59" s="134"/>
      <c r="AM59" s="134"/>
      <c r="AN59" s="18"/>
      <c r="AO59" s="18"/>
      <c r="AP59" s="18"/>
      <c r="AQ59" s="18"/>
      <c r="AR59" s="17"/>
      <c r="AS59" s="21">
        <f t="shared" si="23"/>
        <v>45331</v>
      </c>
      <c r="AT59" s="17"/>
      <c r="AU59" s="17"/>
      <c r="AV59" s="17"/>
      <c r="AW59" s="17"/>
      <c r="AX59" s="17"/>
      <c r="AY59" s="17"/>
      <c r="AZ59" s="17"/>
    </row>
    <row r="60" spans="1:52" ht="20">
      <c r="A60" s="17"/>
      <c r="B60" s="40"/>
      <c r="C60" s="55">
        <f t="shared" si="16"/>
        <v>41</v>
      </c>
      <c r="D60" s="54">
        <v>1</v>
      </c>
      <c r="E60" s="53" t="str">
        <f t="shared" si="8"/>
        <v>2</v>
      </c>
      <c r="F60" s="52">
        <f t="shared" si="17"/>
        <v>45332</v>
      </c>
      <c r="G60" s="51" t="str">
        <f t="shared" si="18"/>
        <v>Sat</v>
      </c>
      <c r="H60" s="50"/>
      <c r="I60" s="49"/>
      <c r="J60" s="48">
        <v>222220</v>
      </c>
      <c r="K60" s="31"/>
      <c r="L60" s="43">
        <f t="shared" si="28"/>
        <v>209473.00294117647</v>
      </c>
      <c r="M60" s="47">
        <f t="shared" si="10"/>
        <v>12746.99705882353</v>
      </c>
      <c r="N60" s="41">
        <f t="shared" si="11"/>
        <v>1.0608526964326908</v>
      </c>
      <c r="O60" s="46"/>
      <c r="P60" s="45">
        <f>IF(D60=0,0,SUM($L$51:L60))</f>
        <v>1885257.0264705885</v>
      </c>
      <c r="Q60" s="43">
        <f>IF(D60=0,0,SUM($J$51:J60))</f>
        <v>1938600</v>
      </c>
      <c r="R60" s="42">
        <f t="shared" si="12"/>
        <v>53342.97352941148</v>
      </c>
      <c r="S60" s="41">
        <f t="shared" si="13"/>
        <v>1.0282948016002229</v>
      </c>
      <c r="T60" s="56"/>
      <c r="U60" s="43">
        <f>IF(D60=0,0,SUM($L$20:L60))</f>
        <v>6764745.8008650513</v>
      </c>
      <c r="V60" s="43">
        <f>IF(D60=0,0,SUM($J$20:J60))</f>
        <v>6920974</v>
      </c>
      <c r="W60" s="42">
        <f t="shared" si="14"/>
        <v>156228.19913494866</v>
      </c>
      <c r="X60" s="41">
        <f t="shared" si="15"/>
        <v>1.0230944670699926</v>
      </c>
      <c r="Y60" s="17"/>
      <c r="Z60" s="23">
        <f t="shared" si="19"/>
        <v>45332</v>
      </c>
      <c r="AA60" s="22">
        <f t="shared" si="20"/>
        <v>45332</v>
      </c>
      <c r="AB60" s="137">
        <v>45332</v>
      </c>
      <c r="AC60" s="141">
        <v>6</v>
      </c>
      <c r="AD60" s="136" t="s">
        <v>127</v>
      </c>
      <c r="AE60" s="138">
        <f>AVERAGEIFS(J172:J201,D172:D201,1,G172:G201,"sat")</f>
        <v>135516</v>
      </c>
      <c r="AF60" s="141">
        <f>COUNTIFS(D172:D201,1,G172:G201,"sat")</f>
        <v>5</v>
      </c>
      <c r="AG60" s="138"/>
      <c r="AH60" s="138">
        <f t="shared" si="21"/>
        <v>677580</v>
      </c>
      <c r="AI60" s="264">
        <f t="shared" si="29"/>
        <v>0.11468952851665976</v>
      </c>
      <c r="AJ60" s="393"/>
      <c r="AK60" s="134"/>
      <c r="AL60" s="134"/>
      <c r="AM60" s="134"/>
      <c r="AN60" s="18"/>
      <c r="AO60" s="18"/>
      <c r="AP60" s="18"/>
      <c r="AQ60" s="18"/>
      <c r="AR60" s="17"/>
      <c r="AS60" s="21">
        <f t="shared" si="23"/>
        <v>45332</v>
      </c>
      <c r="AT60" s="17"/>
      <c r="AU60" s="17"/>
      <c r="AV60" s="17"/>
      <c r="AW60" s="17"/>
      <c r="AX60" s="17"/>
      <c r="AY60" s="17"/>
      <c r="AZ60" s="17"/>
    </row>
    <row r="61" spans="1:52" ht="20">
      <c r="A61" s="17"/>
      <c r="B61" s="40"/>
      <c r="C61" s="55">
        <f t="shared" si="16"/>
        <v>42</v>
      </c>
      <c r="D61" s="54">
        <v>0</v>
      </c>
      <c r="E61" s="53" t="str">
        <f t="shared" si="8"/>
        <v>2</v>
      </c>
      <c r="F61" s="52">
        <f t="shared" si="17"/>
        <v>45333</v>
      </c>
      <c r="G61" s="51" t="str">
        <f t="shared" si="18"/>
        <v>Sun</v>
      </c>
      <c r="H61" s="50" t="s">
        <v>46</v>
      </c>
      <c r="I61" s="67"/>
      <c r="J61" s="66">
        <v>0</v>
      </c>
      <c r="K61" s="65"/>
      <c r="L61" s="43">
        <f t="shared" si="28"/>
        <v>0</v>
      </c>
      <c r="M61" s="47">
        <f t="shared" si="10"/>
        <v>0</v>
      </c>
      <c r="N61" s="41" t="str">
        <f t="shared" si="11"/>
        <v>0%</v>
      </c>
      <c r="O61" s="46"/>
      <c r="P61" s="45">
        <f>IF(D61=0,0,SUM($L$51:L61))</f>
        <v>0</v>
      </c>
      <c r="Q61" s="43">
        <f>IF(D61=0,0,SUM($J$51:J61))</f>
        <v>0</v>
      </c>
      <c r="R61" s="42">
        <f t="shared" si="12"/>
        <v>0</v>
      </c>
      <c r="S61" s="41" t="str">
        <f t="shared" si="13"/>
        <v>0%</v>
      </c>
      <c r="T61" s="44"/>
      <c r="U61" s="43">
        <f>IF(D61=0,0,SUM($L$20:L61))</f>
        <v>0</v>
      </c>
      <c r="V61" s="43">
        <f>IF(D61=0,0,SUM($J$20:J61))</f>
        <v>0</v>
      </c>
      <c r="W61" s="42">
        <f t="shared" si="14"/>
        <v>0</v>
      </c>
      <c r="X61" s="41" t="str">
        <f t="shared" si="15"/>
        <v>0%</v>
      </c>
      <c r="Y61" s="17"/>
      <c r="Z61" s="23">
        <f t="shared" si="19"/>
        <v>45333</v>
      </c>
      <c r="AA61" s="22">
        <f t="shared" si="20"/>
        <v>45333</v>
      </c>
      <c r="AB61" s="137">
        <v>45333</v>
      </c>
      <c r="AC61" s="141">
        <v>6</v>
      </c>
      <c r="AD61" s="136" t="s">
        <v>128</v>
      </c>
      <c r="AE61" s="138">
        <f>IFERROR(AVERAGEIFS(J172:J201,D172:D201,1,G172:G201,"sun"),0)</f>
        <v>0</v>
      </c>
      <c r="AF61" s="141">
        <f>IFERROR(COUNTIFS(D172:D201,1,G172:G201,"sun"),0)</f>
        <v>0</v>
      </c>
      <c r="AG61" s="138"/>
      <c r="AH61" s="138">
        <f t="shared" si="21"/>
        <v>0</v>
      </c>
      <c r="AI61" s="264">
        <f t="shared" si="29"/>
        <v>0</v>
      </c>
      <c r="AJ61" s="393"/>
      <c r="AK61" s="134"/>
      <c r="AL61" s="134"/>
      <c r="AM61" s="134"/>
      <c r="AN61" s="18"/>
      <c r="AO61" s="18"/>
      <c r="AP61" s="18"/>
      <c r="AQ61" s="18"/>
      <c r="AR61" s="17"/>
      <c r="AS61" s="21">
        <f t="shared" si="23"/>
        <v>45333</v>
      </c>
      <c r="AT61" s="17"/>
      <c r="AU61" s="17"/>
      <c r="AV61" s="17"/>
      <c r="AW61" s="17"/>
      <c r="AX61" s="17"/>
      <c r="AY61" s="17"/>
      <c r="AZ61" s="17"/>
    </row>
    <row r="62" spans="1:52" ht="20">
      <c r="A62" s="17"/>
      <c r="B62" s="40"/>
      <c r="C62" s="55">
        <f t="shared" si="16"/>
        <v>43</v>
      </c>
      <c r="D62" s="54">
        <v>0</v>
      </c>
      <c r="E62" s="53" t="str">
        <f t="shared" si="8"/>
        <v>2</v>
      </c>
      <c r="F62" s="52">
        <f t="shared" si="17"/>
        <v>45334</v>
      </c>
      <c r="G62" s="51" t="str">
        <f t="shared" si="18"/>
        <v>Mon</v>
      </c>
      <c r="H62" s="50" t="s">
        <v>47</v>
      </c>
      <c r="I62" s="67"/>
      <c r="J62" s="66">
        <v>0</v>
      </c>
      <c r="K62" s="65"/>
      <c r="L62" s="43">
        <f t="shared" si="28"/>
        <v>0</v>
      </c>
      <c r="M62" s="47">
        <f t="shared" si="10"/>
        <v>0</v>
      </c>
      <c r="N62" s="41" t="str">
        <f t="shared" si="11"/>
        <v>0%</v>
      </c>
      <c r="O62" s="46"/>
      <c r="P62" s="45">
        <f>IF(D62=0,0,SUM($L$51:L62))</f>
        <v>0</v>
      </c>
      <c r="Q62" s="43">
        <f>IF(D62=0,0,SUM($J$51:J62))</f>
        <v>0</v>
      </c>
      <c r="R62" s="42">
        <f t="shared" si="12"/>
        <v>0</v>
      </c>
      <c r="S62" s="41" t="str">
        <f t="shared" si="13"/>
        <v>0%</v>
      </c>
      <c r="T62" s="56"/>
      <c r="U62" s="43">
        <f>IF(D62=0,0,SUM($L$20:L62))</f>
        <v>0</v>
      </c>
      <c r="V62" s="43">
        <f>IF(D62=0,0,SUM($J$20:J62))</f>
        <v>0</v>
      </c>
      <c r="W62" s="42">
        <f t="shared" si="14"/>
        <v>0</v>
      </c>
      <c r="X62" s="41" t="str">
        <f t="shared" si="15"/>
        <v>0%</v>
      </c>
      <c r="Y62" s="17"/>
      <c r="Z62" s="23">
        <f t="shared" si="19"/>
        <v>45334</v>
      </c>
      <c r="AA62" s="22">
        <f t="shared" si="20"/>
        <v>45334</v>
      </c>
      <c r="AB62" s="137">
        <v>45334</v>
      </c>
      <c r="AC62" s="141">
        <v>7</v>
      </c>
      <c r="AD62" s="136" t="s">
        <v>122</v>
      </c>
      <c r="AE62" s="138">
        <f>AVERAGEIFS(J202:J232,D202:D232,1,G202:G232,"mon")</f>
        <v>247005</v>
      </c>
      <c r="AF62" s="141">
        <f>COUNTIFS(D202:D232,1,G202:G232,"Mon")</f>
        <v>4</v>
      </c>
      <c r="AG62" s="138"/>
      <c r="AH62" s="138">
        <f t="shared" si="21"/>
        <v>988020</v>
      </c>
      <c r="AI62" s="264">
        <f>AH62/$M$12</f>
        <v>0.15148604340416594</v>
      </c>
      <c r="AJ62" s="393">
        <f>SUM(AI62:AI68)</f>
        <v>1</v>
      </c>
      <c r="AK62" s="134" t="s">
        <v>134</v>
      </c>
      <c r="AL62" s="134"/>
      <c r="AM62" s="134"/>
      <c r="AN62" s="18"/>
      <c r="AO62" s="18"/>
      <c r="AP62" s="18"/>
      <c r="AQ62" s="18"/>
      <c r="AR62" s="17"/>
      <c r="AS62" s="21">
        <f t="shared" si="23"/>
        <v>45334</v>
      </c>
      <c r="AT62" s="17"/>
      <c r="AU62" s="17"/>
      <c r="AV62" s="17"/>
      <c r="AW62" s="17"/>
      <c r="AX62" s="17"/>
      <c r="AY62" s="17"/>
      <c r="AZ62" s="17"/>
    </row>
    <row r="63" spans="1:52" ht="20">
      <c r="A63" s="17"/>
      <c r="B63" s="40"/>
      <c r="C63" s="55">
        <f t="shared" si="16"/>
        <v>44</v>
      </c>
      <c r="D63" s="54">
        <v>1</v>
      </c>
      <c r="E63" s="53" t="str">
        <f t="shared" si="8"/>
        <v>2</v>
      </c>
      <c r="F63" s="52">
        <f t="shared" si="17"/>
        <v>45335</v>
      </c>
      <c r="G63" s="51" t="str">
        <f t="shared" si="18"/>
        <v>Tue</v>
      </c>
      <c r="H63" s="50"/>
      <c r="I63" s="49"/>
      <c r="J63" s="48">
        <v>138350</v>
      </c>
      <c r="K63" s="31"/>
      <c r="L63" s="43">
        <f t="shared" si="28"/>
        <v>209473.00294117647</v>
      </c>
      <c r="M63" s="47">
        <f t="shared" si="10"/>
        <v>-71123.00294117647</v>
      </c>
      <c r="N63" s="41">
        <f t="shared" si="11"/>
        <v>0.6604669721513039</v>
      </c>
      <c r="O63" s="46"/>
      <c r="P63" s="45">
        <f>IF(D63=0,0,SUM($L$51:L63))</f>
        <v>2094730.029411765</v>
      </c>
      <c r="Q63" s="43">
        <f>IF(D63=0,0,SUM($J$51:J63))</f>
        <v>2076950</v>
      </c>
      <c r="R63" s="42">
        <f t="shared" si="12"/>
        <v>-17780.029411765048</v>
      </c>
      <c r="S63" s="41">
        <f t="shared" si="13"/>
        <v>0.99151201865533101</v>
      </c>
      <c r="T63" s="56"/>
      <c r="U63" s="43">
        <f>IF(D63=0,0,SUM($L$20:L63))</f>
        <v>6974218.8038062276</v>
      </c>
      <c r="V63" s="43">
        <f>IF(D63=0,0,SUM($J$20:J63))</f>
        <v>7059324</v>
      </c>
      <c r="W63" s="42">
        <f t="shared" si="14"/>
        <v>85105.196193772368</v>
      </c>
      <c r="X63" s="41">
        <f t="shared" si="15"/>
        <v>1.012202828530032</v>
      </c>
      <c r="Y63" s="17"/>
      <c r="Z63" s="23">
        <f t="shared" si="19"/>
        <v>45335</v>
      </c>
      <c r="AA63" s="22">
        <f t="shared" si="20"/>
        <v>45335</v>
      </c>
      <c r="AB63" s="137">
        <v>45335</v>
      </c>
      <c r="AC63" s="141">
        <v>7</v>
      </c>
      <c r="AD63" s="136" t="s">
        <v>123</v>
      </c>
      <c r="AE63" s="138">
        <f>AVERAGEIFS(J202:J232,D202:D232,1,G202:G232,"tue")</f>
        <v>186148</v>
      </c>
      <c r="AF63" s="141">
        <f>COUNTIFS(D202:D232,1,G202:G232,"tue")</f>
        <v>5</v>
      </c>
      <c r="AG63" s="138"/>
      <c r="AH63" s="138">
        <f t="shared" si="21"/>
        <v>930740</v>
      </c>
      <c r="AI63" s="264">
        <f t="shared" ref="AI63:AI68" si="30">AH63/$M$12</f>
        <v>0.14270371048965952</v>
      </c>
      <c r="AJ63" s="393"/>
      <c r="AK63" s="134"/>
      <c r="AL63" s="134"/>
      <c r="AM63" s="134"/>
      <c r="AN63" s="18"/>
      <c r="AO63" s="18"/>
      <c r="AP63" s="18"/>
      <c r="AQ63" s="18"/>
      <c r="AR63" s="17"/>
      <c r="AS63" s="21">
        <f t="shared" si="23"/>
        <v>45335</v>
      </c>
      <c r="AT63" s="17"/>
      <c r="AU63" s="17"/>
      <c r="AV63" s="17"/>
      <c r="AW63" s="17"/>
      <c r="AX63" s="17"/>
      <c r="AY63" s="17"/>
      <c r="AZ63" s="17"/>
    </row>
    <row r="64" spans="1:52" ht="20">
      <c r="A64" s="17"/>
      <c r="B64" s="40"/>
      <c r="C64" s="55">
        <f t="shared" si="16"/>
        <v>45</v>
      </c>
      <c r="D64" s="54">
        <v>1</v>
      </c>
      <c r="E64" s="53" t="str">
        <f t="shared" si="8"/>
        <v>2</v>
      </c>
      <c r="F64" s="52">
        <f t="shared" si="17"/>
        <v>45336</v>
      </c>
      <c r="G64" s="51" t="str">
        <f t="shared" si="18"/>
        <v>Wed</v>
      </c>
      <c r="H64" s="50"/>
      <c r="I64" s="49"/>
      <c r="J64" s="48">
        <v>185750</v>
      </c>
      <c r="K64" s="31"/>
      <c r="L64" s="43">
        <f t="shared" si="28"/>
        <v>209473.00294117647</v>
      </c>
      <c r="M64" s="47">
        <f t="shared" si="10"/>
        <v>-23723.00294117647</v>
      </c>
      <c r="N64" s="41">
        <f t="shared" si="11"/>
        <v>0.88674911512182653</v>
      </c>
      <c r="O64" s="46"/>
      <c r="P64" s="45">
        <f>IF(D64=0,0,SUM($L$51:L64))</f>
        <v>2304203.0323529416</v>
      </c>
      <c r="Q64" s="43">
        <f>IF(D64=0,0,SUM($J$51:J64))</f>
        <v>2262700</v>
      </c>
      <c r="R64" s="42">
        <f t="shared" si="12"/>
        <v>-41503.032352941576</v>
      </c>
      <c r="S64" s="41">
        <f t="shared" si="13"/>
        <v>0.98198811833410327</v>
      </c>
      <c r="T64" s="56"/>
      <c r="U64" s="43">
        <f>IF(D64=0,0,SUM($L$20:L64))</f>
        <v>7183691.8067474039</v>
      </c>
      <c r="V64" s="43">
        <f>IF(D64=0,0,SUM($J$20:J64))</f>
        <v>7245074</v>
      </c>
      <c r="W64" s="42">
        <f t="shared" si="14"/>
        <v>61382.193252596073</v>
      </c>
      <c r="X64" s="41">
        <f t="shared" si="15"/>
        <v>1.008544658499261</v>
      </c>
      <c r="Y64" s="17"/>
      <c r="Z64" s="23">
        <f t="shared" si="19"/>
        <v>45336</v>
      </c>
      <c r="AA64" s="22">
        <f t="shared" si="20"/>
        <v>45336</v>
      </c>
      <c r="AB64" s="137">
        <v>45336</v>
      </c>
      <c r="AC64" s="141">
        <v>7</v>
      </c>
      <c r="AD64" s="136" t="s">
        <v>124</v>
      </c>
      <c r="AE64" s="138">
        <f>AVERAGEIFS(J202:J232,D202:D232,1,G202:G232,"wed")</f>
        <v>269772</v>
      </c>
      <c r="AF64" s="141">
        <f>COUNTIFS(D202:D232,1,G202:G232,"wed")</f>
        <v>5</v>
      </c>
      <c r="AG64" s="138"/>
      <c r="AH64" s="138">
        <f t="shared" si="21"/>
        <v>1348860</v>
      </c>
      <c r="AI64" s="264">
        <f t="shared" si="30"/>
        <v>0.20681106101712846</v>
      </c>
      <c r="AJ64" s="393"/>
      <c r="AK64" s="134"/>
      <c r="AL64" s="134"/>
      <c r="AM64" s="134"/>
      <c r="AN64" s="18"/>
      <c r="AO64" s="18"/>
      <c r="AP64" s="18"/>
      <c r="AQ64" s="18"/>
      <c r="AR64" s="17"/>
      <c r="AS64" s="21">
        <f t="shared" si="23"/>
        <v>45336</v>
      </c>
      <c r="AT64" s="17"/>
      <c r="AU64" s="17"/>
      <c r="AV64" s="17"/>
      <c r="AW64" s="17"/>
      <c r="AX64" s="17"/>
      <c r="AY64" s="17"/>
      <c r="AZ64" s="17"/>
    </row>
    <row r="65" spans="1:52" ht="20">
      <c r="A65" s="17"/>
      <c r="B65" s="40"/>
      <c r="C65" s="55">
        <f t="shared" si="16"/>
        <v>46</v>
      </c>
      <c r="D65" s="54">
        <v>1</v>
      </c>
      <c r="E65" s="53" t="str">
        <f t="shared" si="8"/>
        <v>2</v>
      </c>
      <c r="F65" s="52">
        <f t="shared" si="17"/>
        <v>45337</v>
      </c>
      <c r="G65" s="51" t="str">
        <f t="shared" si="18"/>
        <v>Thu</v>
      </c>
      <c r="H65" s="50"/>
      <c r="I65" s="49"/>
      <c r="J65" s="48">
        <v>270370</v>
      </c>
      <c r="K65" s="31"/>
      <c r="L65" s="43">
        <f t="shared" si="28"/>
        <v>209473.00294117647</v>
      </c>
      <c r="M65" s="47">
        <f t="shared" si="10"/>
        <v>60896.99705882353</v>
      </c>
      <c r="N65" s="41">
        <f t="shared" si="11"/>
        <v>1.2907152530578101</v>
      </c>
      <c r="O65" s="46"/>
      <c r="P65" s="45">
        <f>IF(D65=0,0,SUM($L$51:L65))</f>
        <v>2513676.0352941179</v>
      </c>
      <c r="Q65" s="43">
        <f>IF(D65=0,0,SUM($J$51:J65))</f>
        <v>2533070</v>
      </c>
      <c r="R65" s="42">
        <f t="shared" si="12"/>
        <v>19393.964705882128</v>
      </c>
      <c r="S65" s="41">
        <f t="shared" si="13"/>
        <v>1.0077153795610789</v>
      </c>
      <c r="T65" s="56"/>
      <c r="U65" s="43">
        <f>IF(D65=0,0,SUM($L$20:L65))</f>
        <v>7393164.8096885802</v>
      </c>
      <c r="V65" s="43">
        <f>IF(D65=0,0,SUM($J$20:J65))</f>
        <v>7515444</v>
      </c>
      <c r="W65" s="42">
        <f t="shared" si="14"/>
        <v>122279.19031141978</v>
      </c>
      <c r="X65" s="41">
        <f t="shared" si="15"/>
        <v>1.0165394920117532</v>
      </c>
      <c r="Y65" s="17"/>
      <c r="Z65" s="23">
        <f t="shared" si="19"/>
        <v>45337</v>
      </c>
      <c r="AA65" s="22">
        <f t="shared" si="20"/>
        <v>45337</v>
      </c>
      <c r="AB65" s="137">
        <v>45337</v>
      </c>
      <c r="AC65" s="141">
        <v>7</v>
      </c>
      <c r="AD65" s="136" t="s">
        <v>125</v>
      </c>
      <c r="AE65" s="138">
        <f>AVERAGEIFS(J202:J232,D202:D232,1,G202:G232,"thu")</f>
        <v>302282.5</v>
      </c>
      <c r="AF65" s="141">
        <f>COUNTIFS(D202:D232,1,G202:G232,"thu")</f>
        <v>4</v>
      </c>
      <c r="AG65" s="138"/>
      <c r="AH65" s="138">
        <f t="shared" si="21"/>
        <v>1209130</v>
      </c>
      <c r="AI65" s="264">
        <f t="shared" si="30"/>
        <v>0.18538725902439138</v>
      </c>
      <c r="AJ65" s="393"/>
      <c r="AK65" s="134"/>
      <c r="AL65" s="134"/>
      <c r="AM65" s="134"/>
      <c r="AN65" s="18"/>
      <c r="AO65" s="18"/>
      <c r="AP65" s="18"/>
      <c r="AQ65" s="18"/>
      <c r="AR65" s="17"/>
      <c r="AS65" s="21">
        <f t="shared" si="23"/>
        <v>45337</v>
      </c>
      <c r="AT65" s="17"/>
      <c r="AU65" s="17"/>
      <c r="AV65" s="17"/>
      <c r="AW65" s="17"/>
      <c r="AX65" s="17"/>
      <c r="AY65" s="17"/>
      <c r="AZ65" s="17"/>
    </row>
    <row r="66" spans="1:52" ht="20">
      <c r="A66" s="17"/>
      <c r="B66" s="40"/>
      <c r="C66" s="55">
        <f t="shared" si="16"/>
        <v>47</v>
      </c>
      <c r="D66" s="54">
        <v>1</v>
      </c>
      <c r="E66" s="53" t="str">
        <f t="shared" si="8"/>
        <v>2</v>
      </c>
      <c r="F66" s="52">
        <f t="shared" si="17"/>
        <v>45338</v>
      </c>
      <c r="G66" s="51" t="str">
        <f t="shared" si="18"/>
        <v>Fri</v>
      </c>
      <c r="H66" s="50"/>
      <c r="I66" s="49"/>
      <c r="J66" s="48">
        <v>324150</v>
      </c>
      <c r="K66" s="31"/>
      <c r="L66" s="43">
        <f t="shared" si="28"/>
        <v>209473.00294117647</v>
      </c>
      <c r="M66" s="47">
        <f t="shared" si="10"/>
        <v>114676.99705882353</v>
      </c>
      <c r="N66" s="41">
        <f t="shared" si="11"/>
        <v>1.5474547815167703</v>
      </c>
      <c r="O66" s="46"/>
      <c r="P66" s="45">
        <f>IF(D66=0,0,SUM($L$51:L66))</f>
        <v>2723149.0382352942</v>
      </c>
      <c r="Q66" s="43">
        <f>IF(D66=0,0,SUM($J$51:J66))</f>
        <v>2857220</v>
      </c>
      <c r="R66" s="42">
        <f t="shared" si="12"/>
        <v>134070.96176470583</v>
      </c>
      <c r="S66" s="41">
        <f t="shared" si="13"/>
        <v>1.0492337950961321</v>
      </c>
      <c r="T66" s="44"/>
      <c r="U66" s="43">
        <f>IF(D66=0,0,SUM($L$20:L66))</f>
        <v>7602637.8126297565</v>
      </c>
      <c r="V66" s="43">
        <f>IF(D66=0,0,SUM($J$20:J66))</f>
        <v>7839594</v>
      </c>
      <c r="W66" s="42">
        <f t="shared" si="14"/>
        <v>236956.18737024348</v>
      </c>
      <c r="X66" s="41">
        <f t="shared" si="15"/>
        <v>1.0311676280272886</v>
      </c>
      <c r="Y66" s="17"/>
      <c r="Z66" s="23">
        <f t="shared" si="19"/>
        <v>45338</v>
      </c>
      <c r="AA66" s="22">
        <f t="shared" si="20"/>
        <v>45338</v>
      </c>
      <c r="AB66" s="137">
        <v>45338</v>
      </c>
      <c r="AC66" s="141">
        <v>7</v>
      </c>
      <c r="AD66" s="136" t="s">
        <v>126</v>
      </c>
      <c r="AE66" s="138">
        <f>AVERAGEIFS(J202:J232,D202:D232,1,G202:G232,"fri")</f>
        <v>362762.5</v>
      </c>
      <c r="AF66" s="141">
        <f>COUNTIFS(D202:D232,1,G202:G232,"fri")</f>
        <v>4</v>
      </c>
      <c r="AG66" s="138"/>
      <c r="AH66" s="138">
        <f t="shared" si="21"/>
        <v>1451050</v>
      </c>
      <c r="AI66" s="264">
        <f t="shared" si="30"/>
        <v>0.22247912317727878</v>
      </c>
      <c r="AJ66" s="393"/>
      <c r="AK66" s="134"/>
      <c r="AL66" s="134"/>
      <c r="AM66" s="134"/>
      <c r="AN66" s="18"/>
      <c r="AO66" s="18"/>
      <c r="AP66" s="18"/>
      <c r="AQ66" s="18"/>
      <c r="AR66" s="17"/>
      <c r="AS66" s="21">
        <f t="shared" si="23"/>
        <v>45338</v>
      </c>
      <c r="AT66" s="17"/>
      <c r="AU66" s="17"/>
      <c r="AV66" s="17"/>
      <c r="AW66" s="17"/>
      <c r="AX66" s="17"/>
      <c r="AY66" s="17"/>
      <c r="AZ66" s="17"/>
    </row>
    <row r="67" spans="1:52" ht="20">
      <c r="A67" s="17"/>
      <c r="B67" s="40"/>
      <c r="C67" s="55">
        <f t="shared" si="16"/>
        <v>48</v>
      </c>
      <c r="D67" s="54">
        <v>1</v>
      </c>
      <c r="E67" s="53" t="str">
        <f t="shared" si="8"/>
        <v>2</v>
      </c>
      <c r="F67" s="52">
        <f t="shared" si="17"/>
        <v>45339</v>
      </c>
      <c r="G67" s="51" t="str">
        <f t="shared" si="18"/>
        <v>Sat</v>
      </c>
      <c r="H67" s="50"/>
      <c r="I67" s="49"/>
      <c r="J67" s="48">
        <v>136800</v>
      </c>
      <c r="K67" s="31"/>
      <c r="L67" s="43">
        <f t="shared" si="28"/>
        <v>209473.00294117647</v>
      </c>
      <c r="M67" s="47">
        <f t="shared" si="10"/>
        <v>-72673.00294117647</v>
      </c>
      <c r="N67" s="41">
        <f t="shared" si="11"/>
        <v>0.65306745059847038</v>
      </c>
      <c r="O67" s="46"/>
      <c r="P67" s="45">
        <f>IF(D67=0,0,SUM($L$51:L67))</f>
        <v>2932622.0411764705</v>
      </c>
      <c r="Q67" s="43">
        <f>IF(D67=0,0,SUM($J$51:J67))</f>
        <v>2994020</v>
      </c>
      <c r="R67" s="42">
        <f t="shared" si="12"/>
        <v>61397.958823529538</v>
      </c>
      <c r="S67" s="41">
        <f t="shared" si="13"/>
        <v>1.020936199060585</v>
      </c>
      <c r="T67" s="56"/>
      <c r="U67" s="43">
        <f>IF(D67=0,0,SUM($L$20:L67))</f>
        <v>7812110.8155709328</v>
      </c>
      <c r="V67" s="43">
        <f>IF(D67=0,0,SUM($J$20:J67))</f>
        <v>7976394</v>
      </c>
      <c r="W67" s="42">
        <f t="shared" si="14"/>
        <v>164283.18442906719</v>
      </c>
      <c r="X67" s="41">
        <f t="shared" si="15"/>
        <v>1.0210292951940239</v>
      </c>
      <c r="Y67" s="17"/>
      <c r="Z67" s="23">
        <f t="shared" si="19"/>
        <v>45339</v>
      </c>
      <c r="AA67" s="22">
        <f t="shared" si="20"/>
        <v>45339</v>
      </c>
      <c r="AB67" s="137">
        <v>45339</v>
      </c>
      <c r="AC67" s="141">
        <v>7</v>
      </c>
      <c r="AD67" s="136" t="s">
        <v>127</v>
      </c>
      <c r="AE67" s="138">
        <f>AVERAGEIFS(J202:J232,D202:D232,1,G202:G232,"sat")</f>
        <v>148596.25</v>
      </c>
      <c r="AF67" s="141">
        <f>COUNTIFS(D202:D232,1,G202:G232,"sat")</f>
        <v>4</v>
      </c>
      <c r="AG67" s="138"/>
      <c r="AH67" s="138">
        <f t="shared" si="21"/>
        <v>594385</v>
      </c>
      <c r="AI67" s="264">
        <f t="shared" si="30"/>
        <v>9.1132802887375935E-2</v>
      </c>
      <c r="AJ67" s="393"/>
      <c r="AK67" s="134"/>
      <c r="AL67" s="134"/>
      <c r="AM67" s="134"/>
      <c r="AN67" s="18"/>
      <c r="AO67" s="18"/>
      <c r="AP67" s="18"/>
      <c r="AQ67" s="18"/>
      <c r="AR67" s="17"/>
      <c r="AS67" s="21">
        <f t="shared" si="23"/>
        <v>45339</v>
      </c>
      <c r="AT67" s="17"/>
      <c r="AU67" s="17"/>
      <c r="AV67" s="17"/>
      <c r="AW67" s="17"/>
      <c r="AX67" s="17"/>
      <c r="AY67" s="17"/>
      <c r="AZ67" s="17"/>
    </row>
    <row r="68" spans="1:52" ht="20">
      <c r="A68" s="17"/>
      <c r="B68" s="40"/>
      <c r="C68" s="55">
        <f t="shared" si="16"/>
        <v>49</v>
      </c>
      <c r="D68" s="54">
        <v>0</v>
      </c>
      <c r="E68" s="53" t="str">
        <f t="shared" si="8"/>
        <v>2</v>
      </c>
      <c r="F68" s="52">
        <f t="shared" si="17"/>
        <v>45340</v>
      </c>
      <c r="G68" s="51" t="str">
        <f t="shared" si="18"/>
        <v>Sun</v>
      </c>
      <c r="H68" s="50" t="s">
        <v>46</v>
      </c>
      <c r="I68" s="67"/>
      <c r="J68" s="66">
        <v>0</v>
      </c>
      <c r="K68" s="65"/>
      <c r="L68" s="43">
        <f t="shared" si="28"/>
        <v>0</v>
      </c>
      <c r="M68" s="47">
        <f t="shared" si="10"/>
        <v>0</v>
      </c>
      <c r="N68" s="41" t="str">
        <f t="shared" si="11"/>
        <v>0%</v>
      </c>
      <c r="O68" s="46"/>
      <c r="P68" s="45">
        <f>IF(D68=0,0,SUM($L$51:L68))</f>
        <v>0</v>
      </c>
      <c r="Q68" s="43">
        <f>IF(D68=0,0,SUM($J$51:J68))</f>
        <v>0</v>
      </c>
      <c r="R68" s="42">
        <f t="shared" si="12"/>
        <v>0</v>
      </c>
      <c r="S68" s="41" t="str">
        <f t="shared" si="13"/>
        <v>0%</v>
      </c>
      <c r="T68" s="56"/>
      <c r="U68" s="43">
        <f>IF(D68=0,0,SUM($L$20:L68))</f>
        <v>0</v>
      </c>
      <c r="V68" s="43">
        <f>IF(D68=0,0,SUM($J$20:J68))</f>
        <v>0</v>
      </c>
      <c r="W68" s="42">
        <f t="shared" si="14"/>
        <v>0</v>
      </c>
      <c r="X68" s="41" t="str">
        <f t="shared" si="15"/>
        <v>0%</v>
      </c>
      <c r="Y68" s="17"/>
      <c r="Z68" s="23">
        <f t="shared" si="19"/>
        <v>45340</v>
      </c>
      <c r="AA68" s="22">
        <f t="shared" si="20"/>
        <v>45340</v>
      </c>
      <c r="AB68" s="137">
        <v>45340</v>
      </c>
      <c r="AC68" s="141">
        <v>7</v>
      </c>
      <c r="AD68" s="136" t="s">
        <v>128</v>
      </c>
      <c r="AE68" s="138">
        <f>IFERROR(AVERAGEIFS(J202:J232,D202:D232,1,G202:G232,"sun"),0)</f>
        <v>0</v>
      </c>
      <c r="AF68" s="141">
        <f>IFERROR(COUNTIFS(D202:D232,1,G202:G232,"sun"),0)</f>
        <v>0</v>
      </c>
      <c r="AG68" s="138"/>
      <c r="AH68" s="138">
        <f t="shared" si="21"/>
        <v>0</v>
      </c>
      <c r="AI68" s="264">
        <f t="shared" si="30"/>
        <v>0</v>
      </c>
      <c r="AJ68" s="393"/>
      <c r="AK68" s="134"/>
      <c r="AL68" s="134"/>
      <c r="AM68" s="134"/>
      <c r="AN68" s="18"/>
      <c r="AO68" s="18"/>
      <c r="AP68" s="18"/>
      <c r="AQ68" s="18"/>
      <c r="AR68" s="17"/>
      <c r="AS68" s="21">
        <f t="shared" si="23"/>
        <v>45340</v>
      </c>
      <c r="AT68" s="17"/>
      <c r="AU68" s="17"/>
      <c r="AV68" s="17"/>
      <c r="AW68" s="17"/>
      <c r="AX68" s="17"/>
      <c r="AY68" s="17"/>
      <c r="AZ68" s="17"/>
    </row>
    <row r="69" spans="1:52" ht="20">
      <c r="A69" s="17"/>
      <c r="B69" s="40"/>
      <c r="C69" s="55">
        <f t="shared" si="16"/>
        <v>50</v>
      </c>
      <c r="D69" s="54">
        <v>1</v>
      </c>
      <c r="E69" s="53" t="str">
        <f t="shared" si="8"/>
        <v>2</v>
      </c>
      <c r="F69" s="52">
        <f t="shared" si="17"/>
        <v>45341</v>
      </c>
      <c r="G69" s="51" t="str">
        <f t="shared" si="18"/>
        <v>Mon</v>
      </c>
      <c r="H69" s="50"/>
      <c r="I69" s="49"/>
      <c r="J69" s="48">
        <v>285600</v>
      </c>
      <c r="K69" s="31"/>
      <c r="L69" s="43">
        <f t="shared" si="28"/>
        <v>209473.00294117647</v>
      </c>
      <c r="M69" s="47">
        <f t="shared" si="10"/>
        <v>76126.99705882353</v>
      </c>
      <c r="N69" s="41">
        <f t="shared" si="11"/>
        <v>1.3634215196704909</v>
      </c>
      <c r="O69" s="46"/>
      <c r="P69" s="45">
        <f>IF(D69=0,0,SUM($L$51:L69))</f>
        <v>3142095.0441176468</v>
      </c>
      <c r="Q69" s="43">
        <f>IF(D69=0,0,SUM($J$51:J69))</f>
        <v>3279620</v>
      </c>
      <c r="R69" s="42">
        <f t="shared" si="12"/>
        <v>137524.95588235324</v>
      </c>
      <c r="S69" s="41">
        <f t="shared" si="13"/>
        <v>1.043768553767912</v>
      </c>
      <c r="T69" s="56"/>
      <c r="U69" s="43">
        <f>IF(D69=0,0,SUM($L$20:L69))</f>
        <v>8021583.8185121091</v>
      </c>
      <c r="V69" s="43">
        <f>IF(D69=0,0,SUM($J$20:J69))</f>
        <v>8261994</v>
      </c>
      <c r="W69" s="42">
        <f t="shared" si="14"/>
        <v>240410.18148789089</v>
      </c>
      <c r="X69" s="41">
        <f t="shared" si="15"/>
        <v>1.0299704131911052</v>
      </c>
      <c r="Y69" s="17"/>
      <c r="Z69" s="23">
        <f t="shared" si="19"/>
        <v>45341</v>
      </c>
      <c r="AA69" s="22">
        <f t="shared" si="20"/>
        <v>45341</v>
      </c>
      <c r="AB69" s="137">
        <v>45341</v>
      </c>
      <c r="AC69" s="141">
        <v>8</v>
      </c>
      <c r="AD69" s="136" t="s">
        <v>122</v>
      </c>
      <c r="AE69" s="138">
        <f>AVERAGEIFS(J233:J263,D233:D263,1,G233:G263,"mon")</f>
        <v>187033.33333333334</v>
      </c>
      <c r="AF69" s="141">
        <f>COUNTIFS(D233:D263,1,G233:G263,"Mon")</f>
        <v>3</v>
      </c>
      <c r="AG69" s="138"/>
      <c r="AH69" s="138">
        <f t="shared" si="21"/>
        <v>561100</v>
      </c>
      <c r="AI69" s="264">
        <f>AH69/$M$13</f>
        <v>0.12435721438066738</v>
      </c>
      <c r="AJ69" s="393">
        <f>SUM(AI69:AI75)</f>
        <v>1</v>
      </c>
      <c r="AK69" s="134" t="s">
        <v>135</v>
      </c>
      <c r="AL69" s="134"/>
      <c r="AM69" s="134"/>
      <c r="AN69" s="18"/>
      <c r="AO69" s="18"/>
      <c r="AP69" s="18"/>
      <c r="AQ69" s="18"/>
      <c r="AR69" s="17"/>
      <c r="AS69" s="21">
        <f t="shared" si="23"/>
        <v>45341</v>
      </c>
      <c r="AT69" s="17"/>
      <c r="AU69" s="17"/>
      <c r="AV69" s="17"/>
      <c r="AW69" s="17"/>
      <c r="AX69" s="17"/>
      <c r="AY69" s="17"/>
      <c r="AZ69" s="17"/>
    </row>
    <row r="70" spans="1:52" ht="20">
      <c r="A70" s="17"/>
      <c r="B70" s="40"/>
      <c r="C70" s="55">
        <f t="shared" si="16"/>
        <v>51</v>
      </c>
      <c r="D70" s="54">
        <v>1</v>
      </c>
      <c r="E70" s="53" t="str">
        <f t="shared" si="8"/>
        <v>2</v>
      </c>
      <c r="F70" s="52">
        <f t="shared" si="17"/>
        <v>45342</v>
      </c>
      <c r="G70" s="51" t="str">
        <f t="shared" si="18"/>
        <v>Tue</v>
      </c>
      <c r="H70" s="50"/>
      <c r="I70" s="49"/>
      <c r="J70" s="48">
        <v>316820</v>
      </c>
      <c r="K70" s="31"/>
      <c r="L70" s="43">
        <f t="shared" si="28"/>
        <v>209473.00294117647</v>
      </c>
      <c r="M70" s="47">
        <f t="shared" si="10"/>
        <v>107346.99705882353</v>
      </c>
      <c r="N70" s="41">
        <f t="shared" si="11"/>
        <v>1.5124622053991768</v>
      </c>
      <c r="O70" s="46"/>
      <c r="P70" s="45">
        <f>IF(D70=0,0,SUM($L$51:L70))</f>
        <v>3351568.0470588231</v>
      </c>
      <c r="Q70" s="43">
        <f>IF(D70=0,0,SUM($J$51:J70))</f>
        <v>3596440</v>
      </c>
      <c r="R70" s="42">
        <f t="shared" si="12"/>
        <v>244871.95294117695</v>
      </c>
      <c r="S70" s="41">
        <f t="shared" si="13"/>
        <v>1.0730619069948661</v>
      </c>
      <c r="T70" s="56"/>
      <c r="U70" s="43">
        <f>IF(D70=0,0,SUM($L$20:L70))</f>
        <v>8231056.8214532854</v>
      </c>
      <c r="V70" s="43">
        <f>IF(D70=0,0,SUM($J$20:J70))</f>
        <v>8578814</v>
      </c>
      <c r="W70" s="42">
        <f t="shared" si="14"/>
        <v>347757.1785467146</v>
      </c>
      <c r="X70" s="41">
        <f t="shared" si="15"/>
        <v>1.0422493959269394</v>
      </c>
      <c r="Y70" s="17"/>
      <c r="Z70" s="23">
        <f t="shared" si="19"/>
        <v>45342</v>
      </c>
      <c r="AA70" s="22">
        <f t="shared" si="20"/>
        <v>45342</v>
      </c>
      <c r="AB70" s="137">
        <v>45342</v>
      </c>
      <c r="AC70" s="141">
        <v>8</v>
      </c>
      <c r="AD70" s="136" t="s">
        <v>123</v>
      </c>
      <c r="AE70" s="138">
        <f>AVERAGEIFS(J233:J263,D233:D263,1,G233:G263,"tue")</f>
        <v>156850</v>
      </c>
      <c r="AF70" s="141">
        <f>COUNTIFS(D233:D263,1,G233:G263,"tue")</f>
        <v>3</v>
      </c>
      <c r="AG70" s="138"/>
      <c r="AH70" s="138">
        <f t="shared" si="21"/>
        <v>470550</v>
      </c>
      <c r="AI70" s="264">
        <f t="shared" ref="AI70:AI75" si="31">AH70/$M$13</f>
        <v>0.10428851760260745</v>
      </c>
      <c r="AJ70" s="393"/>
      <c r="AK70" s="134"/>
      <c r="AL70" s="134"/>
      <c r="AM70" s="134"/>
      <c r="AN70" s="18"/>
      <c r="AO70" s="18"/>
      <c r="AP70" s="18"/>
      <c r="AQ70" s="18"/>
      <c r="AR70" s="17"/>
      <c r="AS70" s="21">
        <f t="shared" si="23"/>
        <v>45342</v>
      </c>
      <c r="AT70" s="17"/>
      <c r="AU70" s="17"/>
      <c r="AV70" s="17"/>
      <c r="AW70" s="17"/>
      <c r="AX70" s="17"/>
      <c r="AY70" s="17"/>
      <c r="AZ70" s="17"/>
    </row>
    <row r="71" spans="1:52" ht="20">
      <c r="A71" s="17"/>
      <c r="B71" s="40"/>
      <c r="C71" s="55">
        <f t="shared" si="16"/>
        <v>52</v>
      </c>
      <c r="D71" s="54">
        <v>1</v>
      </c>
      <c r="E71" s="53" t="str">
        <f t="shared" si="8"/>
        <v>2</v>
      </c>
      <c r="F71" s="52">
        <f t="shared" si="17"/>
        <v>45343</v>
      </c>
      <c r="G71" s="51" t="str">
        <f t="shared" si="18"/>
        <v>Wed</v>
      </c>
      <c r="H71" s="50"/>
      <c r="I71" s="49"/>
      <c r="J71" s="48">
        <v>135300</v>
      </c>
      <c r="K71" s="31"/>
      <c r="L71" s="43">
        <f t="shared" si="28"/>
        <v>209473.00294117647</v>
      </c>
      <c r="M71" s="47">
        <f t="shared" si="10"/>
        <v>-74173.00294117647</v>
      </c>
      <c r="N71" s="41">
        <f t="shared" si="11"/>
        <v>0.64590662328927662</v>
      </c>
      <c r="O71" s="46"/>
      <c r="P71" s="45">
        <f>IF(D71=0,0,SUM($L$51:L71))</f>
        <v>3561041.0499999993</v>
      </c>
      <c r="Q71" s="43">
        <f>IF(D71=0,0,SUM($J$51:J71))</f>
        <v>3731740</v>
      </c>
      <c r="R71" s="42">
        <f t="shared" si="12"/>
        <v>170698.95000000065</v>
      </c>
      <c r="S71" s="41">
        <f t="shared" si="13"/>
        <v>1.0479351256004197</v>
      </c>
      <c r="T71" s="56"/>
      <c r="U71" s="43">
        <f>IF(D71=0,0,SUM($L$20:L71))</f>
        <v>8440529.8243944626</v>
      </c>
      <c r="V71" s="43">
        <f>IF(D71=0,0,SUM($J$20:J71))</f>
        <v>8714114</v>
      </c>
      <c r="W71" s="42">
        <f t="shared" si="14"/>
        <v>273584.17560553737</v>
      </c>
      <c r="X71" s="41">
        <f t="shared" si="15"/>
        <v>1.0324131519344717</v>
      </c>
      <c r="Y71" s="17"/>
      <c r="Z71" s="23">
        <f t="shared" si="19"/>
        <v>45343</v>
      </c>
      <c r="AA71" s="22">
        <f t="shared" si="20"/>
        <v>45343</v>
      </c>
      <c r="AB71" s="137">
        <v>45343</v>
      </c>
      <c r="AC71" s="141">
        <v>8</v>
      </c>
      <c r="AD71" s="136" t="s">
        <v>124</v>
      </c>
      <c r="AE71" s="138">
        <f>AVERAGEIFS(J233:J263,D233:D263,1,G233:G263,"wed")</f>
        <v>294026.33333333331</v>
      </c>
      <c r="AF71" s="141">
        <f>COUNTIFS(D233:D263,1,G233:G263,"wed")</f>
        <v>3</v>
      </c>
      <c r="AG71" s="138"/>
      <c r="AH71" s="138">
        <f t="shared" si="21"/>
        <v>882079</v>
      </c>
      <c r="AI71" s="264">
        <f t="shared" si="31"/>
        <v>0.19549614561341064</v>
      </c>
      <c r="AJ71" s="393"/>
      <c r="AK71" s="134"/>
      <c r="AL71" s="134"/>
      <c r="AM71" s="134"/>
      <c r="AN71" s="18"/>
      <c r="AO71" s="18"/>
      <c r="AP71" s="18"/>
      <c r="AQ71" s="18"/>
      <c r="AR71" s="17"/>
      <c r="AS71" s="21">
        <f t="shared" si="23"/>
        <v>45343</v>
      </c>
      <c r="AT71" s="17"/>
      <c r="AU71" s="17"/>
      <c r="AV71" s="17"/>
      <c r="AW71" s="17"/>
      <c r="AX71" s="17"/>
      <c r="AY71" s="17"/>
      <c r="AZ71" s="17"/>
    </row>
    <row r="72" spans="1:52" ht="20">
      <c r="A72" s="17"/>
      <c r="B72" s="40"/>
      <c r="C72" s="55">
        <f t="shared" si="16"/>
        <v>53</v>
      </c>
      <c r="D72" s="54">
        <v>1</v>
      </c>
      <c r="E72" s="53" t="str">
        <f t="shared" si="8"/>
        <v>2</v>
      </c>
      <c r="F72" s="52">
        <f t="shared" si="17"/>
        <v>45344</v>
      </c>
      <c r="G72" s="51" t="str">
        <f t="shared" si="18"/>
        <v>Thu</v>
      </c>
      <c r="H72" s="50"/>
      <c r="I72" s="49"/>
      <c r="J72" s="48">
        <v>331320</v>
      </c>
      <c r="K72" s="31"/>
      <c r="L72" s="43">
        <f t="shared" si="28"/>
        <v>209473.00294117647</v>
      </c>
      <c r="M72" s="47">
        <f t="shared" si="10"/>
        <v>121846.99705882353</v>
      </c>
      <c r="N72" s="41">
        <f t="shared" si="11"/>
        <v>1.5816835360547163</v>
      </c>
      <c r="O72" s="46"/>
      <c r="P72" s="45">
        <f>IF(D72=0,0,SUM($L$51:L72))</f>
        <v>3770514.0529411756</v>
      </c>
      <c r="Q72" s="43">
        <f>IF(D72=0,0,SUM($J$51:J72))</f>
        <v>4063060</v>
      </c>
      <c r="R72" s="42">
        <f t="shared" si="12"/>
        <v>292545.94705882436</v>
      </c>
      <c r="S72" s="41">
        <f t="shared" si="13"/>
        <v>1.077587815070103</v>
      </c>
      <c r="T72" s="56"/>
      <c r="U72" s="43">
        <f>IF(D72=0,0,SUM($L$20:L72))</f>
        <v>8650002.8273356389</v>
      </c>
      <c r="V72" s="43">
        <f>IF(D72=0,0,SUM($J$20:J72))</f>
        <v>9045434</v>
      </c>
      <c r="W72" s="42">
        <f t="shared" si="14"/>
        <v>395431.17266436107</v>
      </c>
      <c r="X72" s="41">
        <f t="shared" si="15"/>
        <v>1.0457145714929392</v>
      </c>
      <c r="Y72" s="17"/>
      <c r="Z72" s="23">
        <f t="shared" si="19"/>
        <v>45344</v>
      </c>
      <c r="AA72" s="22">
        <f t="shared" si="20"/>
        <v>45344</v>
      </c>
      <c r="AB72" s="137">
        <v>45344</v>
      </c>
      <c r="AC72" s="141">
        <v>8</v>
      </c>
      <c r="AD72" s="136" t="s">
        <v>125</v>
      </c>
      <c r="AE72" s="138">
        <f>AVERAGEIFS(J233:J263,D233:D263,1,G233:G263,"thu")</f>
        <v>205528.25</v>
      </c>
      <c r="AF72" s="141">
        <f>COUNTIFS(D233:D263,1,G233:G263,"thu")</f>
        <v>4</v>
      </c>
      <c r="AG72" s="138"/>
      <c r="AH72" s="138">
        <f t="shared" si="21"/>
        <v>822113</v>
      </c>
      <c r="AI72" s="264">
        <f t="shared" si="31"/>
        <v>0.18220581462508217</v>
      </c>
      <c r="AJ72" s="393"/>
      <c r="AK72" s="134"/>
      <c r="AL72" s="134"/>
      <c r="AM72" s="134"/>
      <c r="AN72" s="18"/>
      <c r="AO72" s="18"/>
      <c r="AP72" s="18"/>
      <c r="AQ72" s="18"/>
      <c r="AR72" s="17"/>
      <c r="AS72" s="21">
        <f t="shared" si="23"/>
        <v>45344</v>
      </c>
      <c r="AT72" s="17"/>
      <c r="AU72" s="17"/>
      <c r="AV72" s="17"/>
      <c r="AW72" s="17"/>
      <c r="AX72" s="17"/>
      <c r="AY72" s="17"/>
      <c r="AZ72" s="17"/>
    </row>
    <row r="73" spans="1:52" ht="20">
      <c r="A73" s="17"/>
      <c r="B73" s="40"/>
      <c r="C73" s="55">
        <f t="shared" si="16"/>
        <v>54</v>
      </c>
      <c r="D73" s="54">
        <v>0</v>
      </c>
      <c r="E73" s="53" t="str">
        <f t="shared" si="8"/>
        <v>2</v>
      </c>
      <c r="F73" s="52">
        <f t="shared" si="17"/>
        <v>45345</v>
      </c>
      <c r="G73" s="51" t="str">
        <f t="shared" si="18"/>
        <v>Fri</v>
      </c>
      <c r="H73" s="50" t="s">
        <v>47</v>
      </c>
      <c r="I73" s="67"/>
      <c r="J73" s="66">
        <v>0</v>
      </c>
      <c r="K73" s="65"/>
      <c r="L73" s="43">
        <f t="shared" si="28"/>
        <v>0</v>
      </c>
      <c r="M73" s="47">
        <f t="shared" si="10"/>
        <v>0</v>
      </c>
      <c r="N73" s="41" t="str">
        <f t="shared" si="11"/>
        <v>0%</v>
      </c>
      <c r="O73" s="46"/>
      <c r="P73" s="45">
        <f>IF(D73=0,0,SUM($L$51:L73))</f>
        <v>0</v>
      </c>
      <c r="Q73" s="43">
        <f>IF(D73=0,0,SUM($J$51:J73))</f>
        <v>0</v>
      </c>
      <c r="R73" s="42">
        <f t="shared" si="12"/>
        <v>0</v>
      </c>
      <c r="S73" s="41" t="str">
        <f t="shared" si="13"/>
        <v>0%</v>
      </c>
      <c r="T73" s="44"/>
      <c r="U73" s="43">
        <f>IF(D73=0,0,SUM($L$20:L73))</f>
        <v>0</v>
      </c>
      <c r="V73" s="43">
        <f>IF(D73=0,0,SUM($J$20:J73))</f>
        <v>0</v>
      </c>
      <c r="W73" s="42">
        <f t="shared" si="14"/>
        <v>0</v>
      </c>
      <c r="X73" s="41" t="str">
        <f t="shared" si="15"/>
        <v>0%</v>
      </c>
      <c r="Y73" s="17"/>
      <c r="Z73" s="23">
        <f t="shared" si="19"/>
        <v>45345</v>
      </c>
      <c r="AA73" s="22">
        <f t="shared" si="20"/>
        <v>45345</v>
      </c>
      <c r="AB73" s="137">
        <v>45345</v>
      </c>
      <c r="AC73" s="141">
        <v>8</v>
      </c>
      <c r="AD73" s="136" t="s">
        <v>126</v>
      </c>
      <c r="AE73" s="138">
        <f>AVERAGEIFS(J233:J263,D233:D263,1,G233:G263,"fri")</f>
        <v>287530</v>
      </c>
      <c r="AF73" s="141">
        <f>COUNTIFS(D233:D263,1,G233:G263,"fri")</f>
        <v>4</v>
      </c>
      <c r="AG73" s="138"/>
      <c r="AH73" s="138">
        <f t="shared" si="21"/>
        <v>1150120</v>
      </c>
      <c r="AI73" s="264">
        <f t="shared" si="31"/>
        <v>0.25490236928086468</v>
      </c>
      <c r="AJ73" s="393"/>
      <c r="AK73" s="134"/>
      <c r="AL73" s="134"/>
      <c r="AM73" s="134"/>
      <c r="AN73" s="18"/>
      <c r="AO73" s="18"/>
      <c r="AP73" s="18"/>
      <c r="AQ73" s="18"/>
      <c r="AR73" s="17"/>
      <c r="AS73" s="21">
        <f t="shared" si="23"/>
        <v>45345</v>
      </c>
      <c r="AT73" s="17"/>
      <c r="AU73" s="17"/>
      <c r="AV73" s="17"/>
      <c r="AW73" s="17"/>
      <c r="AX73" s="17"/>
      <c r="AY73" s="17"/>
      <c r="AZ73" s="17"/>
    </row>
    <row r="74" spans="1:52" ht="20">
      <c r="A74" s="17"/>
      <c r="B74" s="40"/>
      <c r="C74" s="55">
        <f t="shared" si="16"/>
        <v>55</v>
      </c>
      <c r="D74" s="54">
        <v>1</v>
      </c>
      <c r="E74" s="53" t="str">
        <f t="shared" si="8"/>
        <v>2</v>
      </c>
      <c r="F74" s="52">
        <f t="shared" si="17"/>
        <v>45346</v>
      </c>
      <c r="G74" s="51" t="str">
        <f t="shared" si="18"/>
        <v>Sat</v>
      </c>
      <c r="H74" s="50"/>
      <c r="I74" s="49"/>
      <c r="J74" s="48">
        <v>72800</v>
      </c>
      <c r="K74" s="31"/>
      <c r="L74" s="43">
        <f t="shared" si="28"/>
        <v>209473.00294117647</v>
      </c>
      <c r="M74" s="47">
        <f t="shared" si="10"/>
        <v>-136673.00294117647</v>
      </c>
      <c r="N74" s="41">
        <f t="shared" si="11"/>
        <v>0.34753881873953685</v>
      </c>
      <c r="O74" s="46"/>
      <c r="P74" s="45">
        <f>IF(D74=0,0,SUM($L$51:L74))</f>
        <v>3979987.0558823519</v>
      </c>
      <c r="Q74" s="43">
        <f>IF(D74=0,0,SUM($J$51:J74))</f>
        <v>4135860</v>
      </c>
      <c r="R74" s="42">
        <f t="shared" si="12"/>
        <v>155872.94411764806</v>
      </c>
      <c r="S74" s="41">
        <f t="shared" si="13"/>
        <v>1.0391641836842838</v>
      </c>
      <c r="T74" s="44"/>
      <c r="U74" s="43">
        <f>IF(D74=0,0,SUM($L$20:L74))</f>
        <v>8859475.8302768152</v>
      </c>
      <c r="V74" s="43">
        <f>IF(D74=0,0,SUM($J$20:J74))</f>
        <v>9118234</v>
      </c>
      <c r="W74" s="42">
        <f t="shared" si="14"/>
        <v>258758.16972318478</v>
      </c>
      <c r="X74" s="41">
        <f t="shared" si="15"/>
        <v>1.0292069389521772</v>
      </c>
      <c r="Y74" s="17"/>
      <c r="Z74" s="23">
        <f t="shared" si="19"/>
        <v>45346</v>
      </c>
      <c r="AA74" s="22">
        <f t="shared" si="20"/>
        <v>45346</v>
      </c>
      <c r="AB74" s="137">
        <v>45346</v>
      </c>
      <c r="AC74" s="141">
        <v>8</v>
      </c>
      <c r="AD74" s="136" t="s">
        <v>127</v>
      </c>
      <c r="AE74" s="138">
        <f>AVERAGEIFS(J233:J263,D233:D263,1,G233:G263,"sat")</f>
        <v>125208</v>
      </c>
      <c r="AF74" s="141">
        <f>COUNTIFS(D233:D263,1,G233:G263,"sat")</f>
        <v>5</v>
      </c>
      <c r="AG74" s="138"/>
      <c r="AH74" s="138">
        <f t="shared" si="21"/>
        <v>626040</v>
      </c>
      <c r="AI74" s="264">
        <f t="shared" si="31"/>
        <v>0.13874993849736769</v>
      </c>
      <c r="AJ74" s="393"/>
      <c r="AK74" s="134"/>
      <c r="AL74" s="134"/>
      <c r="AM74" s="134"/>
      <c r="AN74" s="18"/>
      <c r="AO74" s="18"/>
      <c r="AP74" s="18"/>
      <c r="AQ74" s="18"/>
      <c r="AR74" s="17"/>
      <c r="AS74" s="21">
        <f t="shared" si="23"/>
        <v>45346</v>
      </c>
      <c r="AT74" s="17"/>
      <c r="AU74" s="17"/>
      <c r="AV74" s="17"/>
      <c r="AW74" s="17"/>
      <c r="AX74" s="17"/>
      <c r="AY74" s="17"/>
      <c r="AZ74" s="17"/>
    </row>
    <row r="75" spans="1:52" ht="20">
      <c r="A75" s="17"/>
      <c r="B75" s="40"/>
      <c r="C75" s="55">
        <f t="shared" si="16"/>
        <v>56</v>
      </c>
      <c r="D75" s="54">
        <v>0</v>
      </c>
      <c r="E75" s="53" t="str">
        <f t="shared" si="8"/>
        <v>2</v>
      </c>
      <c r="F75" s="52">
        <f t="shared" si="17"/>
        <v>45347</v>
      </c>
      <c r="G75" s="51" t="str">
        <f t="shared" si="18"/>
        <v>Sun</v>
      </c>
      <c r="H75" s="50" t="s">
        <v>46</v>
      </c>
      <c r="I75" s="67"/>
      <c r="J75" s="66">
        <v>0</v>
      </c>
      <c r="K75" s="65"/>
      <c r="L75" s="43">
        <f t="shared" si="28"/>
        <v>0</v>
      </c>
      <c r="M75" s="47">
        <f t="shared" si="10"/>
        <v>0</v>
      </c>
      <c r="N75" s="41" t="str">
        <f t="shared" si="11"/>
        <v>0%</v>
      </c>
      <c r="O75" s="46"/>
      <c r="P75" s="45">
        <f>IF(D75=0,0,SUM($L$51:L75))</f>
        <v>0</v>
      </c>
      <c r="Q75" s="43">
        <f>IF(D75=0,0,SUM($J$51:J75))</f>
        <v>0</v>
      </c>
      <c r="R75" s="42">
        <f t="shared" si="12"/>
        <v>0</v>
      </c>
      <c r="S75" s="41" t="str">
        <f t="shared" si="13"/>
        <v>0%</v>
      </c>
      <c r="T75" s="56"/>
      <c r="U75" s="43">
        <f>IF(D75=0,0,SUM($L$20:L75))</f>
        <v>0</v>
      </c>
      <c r="V75" s="43">
        <f>IF(D75=0,0,SUM($J$20:J75))</f>
        <v>0</v>
      </c>
      <c r="W75" s="42">
        <f t="shared" si="14"/>
        <v>0</v>
      </c>
      <c r="X75" s="41" t="str">
        <f t="shared" si="15"/>
        <v>0%</v>
      </c>
      <c r="Y75" s="17"/>
      <c r="Z75" s="23">
        <f t="shared" si="19"/>
        <v>45347</v>
      </c>
      <c r="AA75" s="22">
        <f t="shared" si="20"/>
        <v>45347</v>
      </c>
      <c r="AB75" s="137">
        <v>45347</v>
      </c>
      <c r="AC75" s="141">
        <v>8</v>
      </c>
      <c r="AD75" s="136" t="s">
        <v>128</v>
      </c>
      <c r="AE75" s="138">
        <f>IFERROR(AVERAGEIFS(J233:J263,D233:D263,1,G233:G263,"sun"),0)</f>
        <v>0</v>
      </c>
      <c r="AF75" s="141">
        <f>IFERROR(COUNTIFS(D233:D263,1,G233:G263,"sun"),0)</f>
        <v>0</v>
      </c>
      <c r="AG75" s="138"/>
      <c r="AH75" s="138">
        <f t="shared" si="21"/>
        <v>0</v>
      </c>
      <c r="AI75" s="264">
        <f t="shared" si="31"/>
        <v>0</v>
      </c>
      <c r="AJ75" s="393"/>
      <c r="AK75" s="134"/>
      <c r="AL75" s="134"/>
      <c r="AM75" s="134"/>
      <c r="AN75" s="18"/>
      <c r="AO75" s="18"/>
      <c r="AP75" s="18"/>
      <c r="AQ75" s="18"/>
      <c r="AR75" s="17"/>
      <c r="AS75" s="21">
        <f t="shared" si="23"/>
        <v>45347</v>
      </c>
      <c r="AT75" s="17"/>
      <c r="AU75" s="17"/>
      <c r="AV75" s="17"/>
      <c r="AW75" s="17"/>
      <c r="AX75" s="17"/>
      <c r="AY75" s="17"/>
      <c r="AZ75" s="17"/>
    </row>
    <row r="76" spans="1:52" ht="20">
      <c r="A76" s="17"/>
      <c r="B76" s="40"/>
      <c r="C76" s="55">
        <f t="shared" si="16"/>
        <v>57</v>
      </c>
      <c r="D76" s="54">
        <v>1</v>
      </c>
      <c r="E76" s="53" t="str">
        <f t="shared" si="8"/>
        <v>2</v>
      </c>
      <c r="F76" s="52">
        <f t="shared" si="17"/>
        <v>45348</v>
      </c>
      <c r="G76" s="51" t="str">
        <f t="shared" si="18"/>
        <v>Mon</v>
      </c>
      <c r="H76" s="50"/>
      <c r="I76" s="49"/>
      <c r="J76" s="48">
        <v>252950</v>
      </c>
      <c r="K76" s="31"/>
      <c r="L76" s="43">
        <f t="shared" si="28"/>
        <v>209473.00294117647</v>
      </c>
      <c r="M76" s="47">
        <f t="shared" si="10"/>
        <v>43476.99705882353</v>
      </c>
      <c r="N76" s="41">
        <f t="shared" si="11"/>
        <v>1.2075541785737067</v>
      </c>
      <c r="O76" s="46"/>
      <c r="P76" s="45">
        <f>IF(D76=0,0,SUM($L$51:L76))</f>
        <v>4189460.0588235282</v>
      </c>
      <c r="Q76" s="43">
        <f>IF(D76=0,0,SUM($J$51:J76))</f>
        <v>4388810</v>
      </c>
      <c r="R76" s="42">
        <f t="shared" si="12"/>
        <v>199349.94117647177</v>
      </c>
      <c r="S76" s="41">
        <f t="shared" si="13"/>
        <v>1.0475836834287549</v>
      </c>
      <c r="T76" s="56"/>
      <c r="U76" s="43">
        <f>IF(D76=0,0,SUM($L$20:L76))</f>
        <v>9068948.8332179915</v>
      </c>
      <c r="V76" s="43">
        <f>IF(D76=0,0,SUM($J$20:J76))</f>
        <v>9371184</v>
      </c>
      <c r="W76" s="42">
        <f t="shared" si="14"/>
        <v>302235.16678200848</v>
      </c>
      <c r="X76" s="41">
        <f t="shared" si="15"/>
        <v>1.0333263724760442</v>
      </c>
      <c r="Y76" s="17"/>
      <c r="Z76" s="23">
        <f t="shared" si="19"/>
        <v>45348</v>
      </c>
      <c r="AA76" s="22">
        <f t="shared" si="20"/>
        <v>45348</v>
      </c>
      <c r="AB76" s="137">
        <v>45348</v>
      </c>
      <c r="AC76" s="141">
        <v>9</v>
      </c>
      <c r="AD76" s="136" t="s">
        <v>122</v>
      </c>
      <c r="AE76" s="138">
        <f>AVERAGEIFS(J264:J293,D264:D293,1,G264:G293,"mon")</f>
        <v>236500</v>
      </c>
      <c r="AF76" s="141">
        <f>COUNTIFS(D264:D293,1,G264:G293,"Mon")</f>
        <v>3</v>
      </c>
      <c r="AG76" s="138"/>
      <c r="AH76" s="138">
        <f t="shared" si="21"/>
        <v>709500</v>
      </c>
      <c r="AI76" s="264">
        <f>AH76/$M$14</f>
        <v>0.13078160209766684</v>
      </c>
      <c r="AJ76" s="393">
        <f>SUM(AI76:AI82)</f>
        <v>0.99999999999999989</v>
      </c>
      <c r="AK76" s="134" t="s">
        <v>136</v>
      </c>
      <c r="AL76" s="134"/>
      <c r="AM76" s="134"/>
      <c r="AN76" s="18"/>
      <c r="AO76" s="18"/>
      <c r="AP76" s="18"/>
      <c r="AQ76" s="18"/>
      <c r="AR76" s="17"/>
      <c r="AS76" s="21">
        <f t="shared" si="23"/>
        <v>45348</v>
      </c>
      <c r="AT76" s="17"/>
      <c r="AU76" s="17"/>
      <c r="AV76" s="17"/>
      <c r="AW76" s="17"/>
      <c r="AX76" s="17"/>
      <c r="AY76" s="17"/>
      <c r="AZ76" s="17"/>
    </row>
    <row r="77" spans="1:52" ht="20">
      <c r="A77" s="17"/>
      <c r="B77" s="40"/>
      <c r="C77" s="55">
        <f t="shared" si="16"/>
        <v>58</v>
      </c>
      <c r="D77" s="54">
        <v>1</v>
      </c>
      <c r="E77" s="53" t="str">
        <f t="shared" si="8"/>
        <v>2</v>
      </c>
      <c r="F77" s="52">
        <f t="shared" si="17"/>
        <v>45349</v>
      </c>
      <c r="G77" s="51" t="str">
        <f t="shared" si="18"/>
        <v>Tue</v>
      </c>
      <c r="H77" s="50"/>
      <c r="I77" s="49"/>
      <c r="J77" s="48">
        <v>209900</v>
      </c>
      <c r="K77" s="31"/>
      <c r="L77" s="43">
        <f t="shared" si="28"/>
        <v>209473.00294117647</v>
      </c>
      <c r="M77" s="47">
        <f t="shared" si="10"/>
        <v>426.9970588235301</v>
      </c>
      <c r="N77" s="41">
        <f t="shared" si="11"/>
        <v>1.0020384347998459</v>
      </c>
      <c r="O77" s="46"/>
      <c r="P77" s="45">
        <f>IF(D77=0,0,SUM($L$51:L77))</f>
        <v>4398933.061764705</v>
      </c>
      <c r="Q77" s="43">
        <f>IF(D77=0,0,SUM($J$51:J77))</f>
        <v>4598710</v>
      </c>
      <c r="R77" s="42">
        <f t="shared" si="12"/>
        <v>199776.93823529501</v>
      </c>
      <c r="S77" s="41">
        <f t="shared" si="13"/>
        <v>1.0454148620654735</v>
      </c>
      <c r="T77" s="56"/>
      <c r="U77" s="43">
        <f>IF(D77=0,0,SUM($L$20:L77))</f>
        <v>9278421.8361591678</v>
      </c>
      <c r="V77" s="43">
        <f>IF(D77=0,0,SUM($J$20:J77))</f>
        <v>9581084</v>
      </c>
      <c r="W77" s="42">
        <f t="shared" si="14"/>
        <v>302662.16384083219</v>
      </c>
      <c r="X77" s="41">
        <f t="shared" si="15"/>
        <v>1.0326200046931817</v>
      </c>
      <c r="Y77" s="17"/>
      <c r="Z77" s="23">
        <f t="shared" si="19"/>
        <v>45349</v>
      </c>
      <c r="AA77" s="22">
        <f t="shared" si="20"/>
        <v>45349</v>
      </c>
      <c r="AB77" s="137">
        <v>45349</v>
      </c>
      <c r="AC77" s="141">
        <v>9</v>
      </c>
      <c r="AD77" s="136" t="s">
        <v>123</v>
      </c>
      <c r="AE77" s="138">
        <f>AVERAGEIFS(J264:J293,D264:D293,1,G264:G293,"tue")</f>
        <v>293290</v>
      </c>
      <c r="AF77" s="141">
        <f>COUNTIFS(D264:D293,1,G264:G293,"tue")</f>
        <v>4</v>
      </c>
      <c r="AG77" s="138"/>
      <c r="AH77" s="138">
        <f t="shared" si="21"/>
        <v>1173160</v>
      </c>
      <c r="AI77" s="264">
        <f t="shared" ref="AI77:AI82" si="32">AH77/$M$14</f>
        <v>0.21624770164467771</v>
      </c>
      <c r="AJ77" s="393"/>
      <c r="AK77" s="134"/>
      <c r="AL77" s="134"/>
      <c r="AM77" s="134"/>
      <c r="AN77" s="18"/>
      <c r="AO77" s="18"/>
      <c r="AP77" s="18"/>
      <c r="AQ77" s="18"/>
      <c r="AR77" s="17"/>
      <c r="AS77" s="21">
        <f t="shared" si="23"/>
        <v>45349</v>
      </c>
      <c r="AT77" s="17"/>
      <c r="AU77" s="17"/>
      <c r="AV77" s="17"/>
      <c r="AW77" s="17"/>
      <c r="AX77" s="17"/>
      <c r="AY77" s="17"/>
      <c r="AZ77" s="17"/>
    </row>
    <row r="78" spans="1:52" ht="20">
      <c r="A78" s="17"/>
      <c r="B78" s="40"/>
      <c r="C78" s="55">
        <f t="shared" si="16"/>
        <v>59</v>
      </c>
      <c r="D78" s="68">
        <v>1</v>
      </c>
      <c r="E78" s="53" t="str">
        <f t="shared" si="8"/>
        <v>2</v>
      </c>
      <c r="F78" s="52">
        <f t="shared" si="17"/>
        <v>45350</v>
      </c>
      <c r="G78" s="51" t="str">
        <f t="shared" si="18"/>
        <v>Wed</v>
      </c>
      <c r="H78" s="50"/>
      <c r="I78" s="49"/>
      <c r="J78" s="48">
        <v>234470</v>
      </c>
      <c r="K78" s="31"/>
      <c r="L78" s="43">
        <f t="shared" si="28"/>
        <v>209473.00294117647</v>
      </c>
      <c r="M78" s="47">
        <f t="shared" si="10"/>
        <v>24996.99705882353</v>
      </c>
      <c r="N78" s="41">
        <f t="shared" si="11"/>
        <v>1.1193327861244398</v>
      </c>
      <c r="O78" s="46"/>
      <c r="P78" s="45">
        <f>IF(D78=0,0,SUM($L$51:L78))</f>
        <v>4608406.0647058813</v>
      </c>
      <c r="Q78" s="43">
        <f>IF(D78=0,0,SUM($J$51:J78))</f>
        <v>4833180</v>
      </c>
      <c r="R78" s="42">
        <f t="shared" si="12"/>
        <v>224773.93529411871</v>
      </c>
      <c r="S78" s="41">
        <f t="shared" si="13"/>
        <v>1.0487747677045174</v>
      </c>
      <c r="T78" s="56"/>
      <c r="U78" s="43">
        <f>IF(D78=0,0,SUM($L$20:L78))</f>
        <v>9487894.8391003441</v>
      </c>
      <c r="V78" s="43">
        <f>IF(D78=0,0,SUM($J$20:J78))</f>
        <v>9815554</v>
      </c>
      <c r="W78" s="42">
        <f t="shared" si="14"/>
        <v>327659.16089965589</v>
      </c>
      <c r="X78" s="41">
        <f t="shared" si="15"/>
        <v>1.0345344427247809</v>
      </c>
      <c r="Y78" s="17"/>
      <c r="Z78" s="23">
        <f t="shared" si="19"/>
        <v>45350</v>
      </c>
      <c r="AA78" s="22">
        <f t="shared" si="20"/>
        <v>45350</v>
      </c>
      <c r="AB78" s="137">
        <v>45350</v>
      </c>
      <c r="AC78" s="141">
        <v>9</v>
      </c>
      <c r="AD78" s="136" t="s">
        <v>124</v>
      </c>
      <c r="AE78" s="138">
        <f>AVERAGEIFS(J264:J293,D264:D293,1,G264:G293,"wed")</f>
        <v>197822.5</v>
      </c>
      <c r="AF78" s="141">
        <f>COUNTIFS(D264:D293,1,G264:G293,"wed")</f>
        <v>4</v>
      </c>
      <c r="AG78" s="138"/>
      <c r="AH78" s="138">
        <f t="shared" si="21"/>
        <v>791290</v>
      </c>
      <c r="AI78" s="264">
        <f t="shared" si="32"/>
        <v>0.14585789136555716</v>
      </c>
      <c r="AJ78" s="393"/>
      <c r="AK78" s="134"/>
      <c r="AL78" s="134"/>
      <c r="AM78" s="134"/>
      <c r="AN78" s="18"/>
      <c r="AO78" s="18"/>
      <c r="AP78" s="18"/>
      <c r="AQ78" s="18"/>
      <c r="AR78" s="17"/>
      <c r="AS78" s="21">
        <f t="shared" si="23"/>
        <v>45350</v>
      </c>
      <c r="AT78" s="17"/>
      <c r="AU78" s="17"/>
      <c r="AV78" s="17"/>
      <c r="AW78" s="17"/>
      <c r="AX78" s="17"/>
      <c r="AY78" s="17"/>
      <c r="AZ78" s="17"/>
    </row>
    <row r="79" spans="1:52" ht="21" thickBot="1">
      <c r="A79" s="17"/>
      <c r="B79" s="40"/>
      <c r="C79" s="39">
        <f t="shared" si="16"/>
        <v>60</v>
      </c>
      <c r="D79" s="38">
        <v>1</v>
      </c>
      <c r="E79" s="37" t="str">
        <f t="shared" si="8"/>
        <v>2</v>
      </c>
      <c r="F79" s="36">
        <f t="shared" si="17"/>
        <v>45351</v>
      </c>
      <c r="G79" s="35" t="str">
        <f t="shared" si="18"/>
        <v>Thu</v>
      </c>
      <c r="H79" s="34"/>
      <c r="I79" s="33"/>
      <c r="J79" s="32">
        <v>168650</v>
      </c>
      <c r="K79" s="31"/>
      <c r="L79" s="26">
        <f t="shared" si="28"/>
        <v>209473.00294117647</v>
      </c>
      <c r="M79" s="30">
        <f t="shared" si="10"/>
        <v>-40823.00294117647</v>
      </c>
      <c r="N79" s="24">
        <f t="shared" si="11"/>
        <v>0.8051156837970177</v>
      </c>
      <c r="O79" s="29"/>
      <c r="P79" s="63">
        <f>IF(D79=0,0,SUM($L$51:L79))</f>
        <v>4817879.0676470576</v>
      </c>
      <c r="Q79" s="26">
        <f>IF(D79=0,0,SUM($J$51:J79))</f>
        <v>5001830</v>
      </c>
      <c r="R79" s="25">
        <f t="shared" si="12"/>
        <v>183950.93235294241</v>
      </c>
      <c r="S79" s="24">
        <f t="shared" si="13"/>
        <v>1.0381808944911479</v>
      </c>
      <c r="T79" s="64"/>
      <c r="U79" s="26">
        <f>IF(D79=0,0,SUM($L$20:L79))</f>
        <v>9697367.8420415204</v>
      </c>
      <c r="V79" s="26">
        <f>IF(D79=0,0,SUM($J$20:J79))</f>
        <v>9984204</v>
      </c>
      <c r="W79" s="25">
        <f t="shared" si="14"/>
        <v>286836.1579584796</v>
      </c>
      <c r="X79" s="24">
        <f t="shared" si="15"/>
        <v>1.0295787643235459</v>
      </c>
      <c r="Y79" s="17"/>
      <c r="Z79" s="23">
        <f t="shared" si="19"/>
        <v>45351</v>
      </c>
      <c r="AA79" s="22">
        <f t="shared" si="20"/>
        <v>45351</v>
      </c>
      <c r="AB79" s="137">
        <v>45351</v>
      </c>
      <c r="AC79" s="141">
        <v>9</v>
      </c>
      <c r="AD79" s="136" t="s">
        <v>125</v>
      </c>
      <c r="AE79" s="138">
        <f>AVERAGEIFS(J264:J293,D264:D293,1,G264:G293,"thu")</f>
        <v>222967.5</v>
      </c>
      <c r="AF79" s="141">
        <f>COUNTIFS(D264:D293,1,G264:G293,"thu")</f>
        <v>4</v>
      </c>
      <c r="AG79" s="138"/>
      <c r="AH79" s="138">
        <f t="shared" si="21"/>
        <v>891870</v>
      </c>
      <c r="AI79" s="264">
        <f t="shared" si="32"/>
        <v>0.164397727220361</v>
      </c>
      <c r="AJ79" s="393"/>
      <c r="AK79" s="134"/>
      <c r="AL79" s="134"/>
      <c r="AM79" s="134"/>
      <c r="AN79" s="18"/>
      <c r="AO79" s="18"/>
      <c r="AP79" s="18"/>
      <c r="AQ79" s="18"/>
      <c r="AR79" s="17"/>
      <c r="AS79" s="21">
        <f t="shared" si="23"/>
        <v>45351</v>
      </c>
      <c r="AT79" s="17"/>
      <c r="AU79" s="17"/>
      <c r="AV79" s="17"/>
      <c r="AW79" s="17"/>
      <c r="AX79" s="17"/>
      <c r="AY79" s="17"/>
      <c r="AZ79" s="17"/>
    </row>
    <row r="80" spans="1:52" ht="21" thickTop="1">
      <c r="A80" s="17"/>
      <c r="B80" s="40"/>
      <c r="C80" s="55">
        <f t="shared" si="16"/>
        <v>61</v>
      </c>
      <c r="D80" s="62">
        <v>1</v>
      </c>
      <c r="E80" s="53" t="str">
        <f t="shared" si="8"/>
        <v>3</v>
      </c>
      <c r="F80" s="52">
        <f t="shared" si="17"/>
        <v>45352</v>
      </c>
      <c r="G80" s="51" t="str">
        <f t="shared" si="18"/>
        <v>Fri</v>
      </c>
      <c r="H80" s="50"/>
      <c r="I80" s="49"/>
      <c r="J80" s="48">
        <v>305050</v>
      </c>
      <c r="K80" s="31"/>
      <c r="L80" s="43">
        <f t="shared" ref="L80:L110" si="33">IF(D80=0,0,$K$8)</f>
        <v>246438.82698961941</v>
      </c>
      <c r="M80" s="42">
        <f t="shared" si="10"/>
        <v>58611.173010380589</v>
      </c>
      <c r="N80" s="60">
        <f t="shared" si="11"/>
        <v>1.2378325433794142</v>
      </c>
      <c r="O80" s="46"/>
      <c r="P80" s="61">
        <f>IF(D80=0,0,$L$80)</f>
        <v>246438.82698961941</v>
      </c>
      <c r="Q80" s="43">
        <f>IF(D80=0,0,$J$80)</f>
        <v>305050</v>
      </c>
      <c r="R80" s="42">
        <f t="shared" si="12"/>
        <v>58611.173010380589</v>
      </c>
      <c r="S80" s="60">
        <f t="shared" si="13"/>
        <v>1.2378325433794142</v>
      </c>
      <c r="T80" s="56"/>
      <c r="U80" s="43">
        <f>IF(D80=0,0,SUM($L$20:L80))</f>
        <v>9943806.6690311395</v>
      </c>
      <c r="V80" s="43">
        <f>IF(D80=0,0,SUM($J$20:J80))</f>
        <v>10289254</v>
      </c>
      <c r="W80" s="42">
        <f t="shared" si="14"/>
        <v>345447.33096886054</v>
      </c>
      <c r="X80" s="60">
        <f t="shared" si="15"/>
        <v>1.034739948438933</v>
      </c>
      <c r="Y80" s="17"/>
      <c r="Z80" s="23">
        <f t="shared" si="19"/>
        <v>45352</v>
      </c>
      <c r="AA80" s="22">
        <f t="shared" si="20"/>
        <v>45352</v>
      </c>
      <c r="AB80" s="137">
        <v>45352</v>
      </c>
      <c r="AC80" s="141">
        <v>9</v>
      </c>
      <c r="AD80" s="136" t="s">
        <v>126</v>
      </c>
      <c r="AE80" s="138">
        <f>AVERAGEIFS(J264:J293,D264:D293,1,G264:G293,"fri")</f>
        <v>331241.25</v>
      </c>
      <c r="AF80" s="141">
        <f>COUNTIFS(D264:D293,1,G264:G293,"fri")</f>
        <v>4</v>
      </c>
      <c r="AG80" s="138"/>
      <c r="AH80" s="138">
        <f t="shared" si="21"/>
        <v>1324965</v>
      </c>
      <c r="AI80" s="264">
        <f t="shared" si="32"/>
        <v>0.24422980327460911</v>
      </c>
      <c r="AJ80" s="393"/>
      <c r="AK80" s="134"/>
      <c r="AL80" s="134"/>
      <c r="AM80" s="134"/>
      <c r="AN80" s="18"/>
      <c r="AO80" s="18"/>
      <c r="AP80" s="18"/>
      <c r="AQ80" s="18"/>
      <c r="AR80" s="17"/>
      <c r="AS80" s="21">
        <f t="shared" si="23"/>
        <v>45352</v>
      </c>
      <c r="AT80" s="17"/>
      <c r="AU80" s="17"/>
      <c r="AV80" s="17"/>
      <c r="AW80" s="17"/>
      <c r="AX80" s="17"/>
      <c r="AY80" s="17"/>
      <c r="AZ80" s="17"/>
    </row>
    <row r="81" spans="1:52" ht="20">
      <c r="A81" s="17"/>
      <c r="B81" s="40"/>
      <c r="C81" s="55">
        <f t="shared" si="16"/>
        <v>62</v>
      </c>
      <c r="D81" s="54">
        <v>1</v>
      </c>
      <c r="E81" s="53" t="str">
        <f t="shared" si="8"/>
        <v>3</v>
      </c>
      <c r="F81" s="52">
        <f t="shared" si="17"/>
        <v>45353</v>
      </c>
      <c r="G81" s="51" t="str">
        <f t="shared" si="18"/>
        <v>Sat</v>
      </c>
      <c r="H81" s="50"/>
      <c r="I81" s="49"/>
      <c r="J81" s="48">
        <v>148490</v>
      </c>
      <c r="K81" s="31"/>
      <c r="L81" s="43">
        <f t="shared" si="33"/>
        <v>246438.82698961941</v>
      </c>
      <c r="M81" s="47">
        <f t="shared" si="10"/>
        <v>-97948.826989619411</v>
      </c>
      <c r="N81" s="41">
        <f t="shared" si="11"/>
        <v>0.60254304004723558</v>
      </c>
      <c r="O81" s="46"/>
      <c r="P81" s="45">
        <f>IF(D81=0,0,SUM($L$80:L81))</f>
        <v>492877.65397923882</v>
      </c>
      <c r="Q81" s="43">
        <f>IF(D81=0,0,SUM($J$80:J81))</f>
        <v>453540</v>
      </c>
      <c r="R81" s="42">
        <f t="shared" si="12"/>
        <v>-39337.653979238821</v>
      </c>
      <c r="S81" s="41">
        <f t="shared" si="13"/>
        <v>0.92018779171332488</v>
      </c>
      <c r="T81" s="44"/>
      <c r="U81" s="43">
        <f>IF(D81=0,0,SUM($L$20:L81))</f>
        <v>10190245.496020759</v>
      </c>
      <c r="V81" s="43">
        <f>IF(D81=0,0,SUM($J$20:J81))</f>
        <v>10437744</v>
      </c>
      <c r="W81" s="42">
        <f t="shared" si="14"/>
        <v>247498.50397924148</v>
      </c>
      <c r="X81" s="41">
        <f t="shared" si="15"/>
        <v>1.024287786204551</v>
      </c>
      <c r="Y81" s="17"/>
      <c r="Z81" s="23">
        <f t="shared" si="19"/>
        <v>45353</v>
      </c>
      <c r="AA81" s="22">
        <f t="shared" si="20"/>
        <v>45353</v>
      </c>
      <c r="AB81" s="137">
        <v>45353</v>
      </c>
      <c r="AC81" s="141">
        <v>9</v>
      </c>
      <c r="AD81" s="136" t="s">
        <v>127</v>
      </c>
      <c r="AE81" s="138">
        <f>AVERAGEIFS(J264:J293,D264:D293,1,G264:G293,"sat")</f>
        <v>133572.5</v>
      </c>
      <c r="AF81" s="141">
        <f>COUNTIFS(D264:D293,1,G264:G293,"sat")</f>
        <v>4</v>
      </c>
      <c r="AG81" s="138"/>
      <c r="AH81" s="138">
        <f t="shared" si="21"/>
        <v>534290</v>
      </c>
      <c r="AI81" s="264">
        <f t="shared" si="32"/>
        <v>9.8485274397128147E-2</v>
      </c>
      <c r="AJ81" s="393"/>
      <c r="AK81" s="134"/>
      <c r="AL81" s="134"/>
      <c r="AM81" s="134"/>
      <c r="AN81" s="18"/>
      <c r="AO81" s="18"/>
      <c r="AP81" s="18"/>
      <c r="AQ81" s="18"/>
      <c r="AR81" s="17"/>
      <c r="AS81" s="21">
        <f t="shared" si="23"/>
        <v>45353</v>
      </c>
      <c r="AT81" s="17"/>
      <c r="AU81" s="17"/>
      <c r="AV81" s="17"/>
      <c r="AW81" s="17"/>
      <c r="AX81" s="17"/>
      <c r="AY81" s="17"/>
      <c r="AZ81" s="17"/>
    </row>
    <row r="82" spans="1:52" ht="20">
      <c r="A82" s="17"/>
      <c r="B82" s="40"/>
      <c r="C82" s="55">
        <f t="shared" si="16"/>
        <v>63</v>
      </c>
      <c r="D82" s="54">
        <v>0</v>
      </c>
      <c r="E82" s="53" t="str">
        <f t="shared" si="8"/>
        <v>3</v>
      </c>
      <c r="F82" s="52">
        <f t="shared" si="17"/>
        <v>45354</v>
      </c>
      <c r="G82" s="51" t="str">
        <f t="shared" si="18"/>
        <v>Sun</v>
      </c>
      <c r="H82" s="50" t="s">
        <v>46</v>
      </c>
      <c r="I82" s="67"/>
      <c r="J82" s="66">
        <v>0</v>
      </c>
      <c r="K82" s="65"/>
      <c r="L82" s="43">
        <f t="shared" si="33"/>
        <v>0</v>
      </c>
      <c r="M82" s="47">
        <f t="shared" si="10"/>
        <v>0</v>
      </c>
      <c r="N82" s="41" t="str">
        <f t="shared" si="11"/>
        <v>0%</v>
      </c>
      <c r="O82" s="46"/>
      <c r="P82" s="45">
        <f>IF(D82=0,0,SUM($L$80:L82))</f>
        <v>0</v>
      </c>
      <c r="Q82" s="43">
        <f>IF(D82=0,0,SUM($J$80:J82))</f>
        <v>0</v>
      </c>
      <c r="R82" s="42">
        <f t="shared" si="12"/>
        <v>0</v>
      </c>
      <c r="S82" s="41" t="str">
        <f t="shared" si="13"/>
        <v>0%</v>
      </c>
      <c r="T82" s="56"/>
      <c r="U82" s="43">
        <f>IF(D82=0,0,SUM($L$20:L82))</f>
        <v>0</v>
      </c>
      <c r="V82" s="43">
        <f>IF(D82=0,0,SUM($J$20:J82))</f>
        <v>0</v>
      </c>
      <c r="W82" s="42">
        <f t="shared" si="14"/>
        <v>0</v>
      </c>
      <c r="X82" s="41" t="str">
        <f t="shared" si="15"/>
        <v>0%</v>
      </c>
      <c r="Y82" s="17"/>
      <c r="Z82" s="23">
        <f t="shared" si="19"/>
        <v>45354</v>
      </c>
      <c r="AA82" s="22">
        <f t="shared" si="20"/>
        <v>45354</v>
      </c>
      <c r="AB82" s="137">
        <v>45354</v>
      </c>
      <c r="AC82" s="141">
        <v>9</v>
      </c>
      <c r="AD82" s="136" t="s">
        <v>128</v>
      </c>
      <c r="AE82" s="138">
        <f>IFERROR(AVERAGEIFS(J264:J293,D264:D293,1,G264:G293,"sun"),0)</f>
        <v>0</v>
      </c>
      <c r="AF82" s="141">
        <f>IFERROR(COUNTIFS(D264:D293,1,G264:G293,"sun"),0)</f>
        <v>0</v>
      </c>
      <c r="AG82" s="138"/>
      <c r="AH82" s="138">
        <f t="shared" si="21"/>
        <v>0</v>
      </c>
      <c r="AI82" s="264">
        <f t="shared" si="32"/>
        <v>0</v>
      </c>
      <c r="AJ82" s="393"/>
      <c r="AK82" s="134"/>
      <c r="AL82" s="134"/>
      <c r="AM82" s="134"/>
      <c r="AN82" s="18"/>
      <c r="AO82" s="18"/>
      <c r="AP82" s="18"/>
      <c r="AQ82" s="18"/>
      <c r="AR82" s="17"/>
      <c r="AS82" s="21">
        <f t="shared" si="23"/>
        <v>45354</v>
      </c>
      <c r="AT82" s="17"/>
      <c r="AU82" s="17"/>
      <c r="AV82" s="17"/>
      <c r="AW82" s="17"/>
      <c r="AX82" s="17"/>
      <c r="AY82" s="17"/>
      <c r="AZ82" s="17"/>
    </row>
    <row r="83" spans="1:52" ht="20">
      <c r="A83" s="17"/>
      <c r="B83" s="40"/>
      <c r="C83" s="55">
        <f t="shared" si="16"/>
        <v>64</v>
      </c>
      <c r="D83" s="54">
        <v>1</v>
      </c>
      <c r="E83" s="53" t="str">
        <f t="shared" si="8"/>
        <v>3</v>
      </c>
      <c r="F83" s="52">
        <f t="shared" si="17"/>
        <v>45355</v>
      </c>
      <c r="G83" s="51" t="str">
        <f t="shared" si="18"/>
        <v>Mon</v>
      </c>
      <c r="H83" s="50"/>
      <c r="I83" s="49"/>
      <c r="J83" s="48">
        <v>166560</v>
      </c>
      <c r="K83" s="31"/>
      <c r="L83" s="43">
        <f t="shared" si="33"/>
        <v>246438.82698961941</v>
      </c>
      <c r="M83" s="47">
        <f t="shared" si="10"/>
        <v>-79878.826989619411</v>
      </c>
      <c r="N83" s="41">
        <f t="shared" si="11"/>
        <v>0.67586752475094314</v>
      </c>
      <c r="O83" s="46"/>
      <c r="P83" s="45">
        <f>IF(D83=0,0,SUM($L$80:L83))</f>
        <v>739316.48096885823</v>
      </c>
      <c r="Q83" s="43">
        <f>IF(D83=0,0,SUM($J$80:J83))</f>
        <v>620100</v>
      </c>
      <c r="R83" s="42">
        <f t="shared" si="12"/>
        <v>-119216.48096885823</v>
      </c>
      <c r="S83" s="41">
        <f t="shared" si="13"/>
        <v>0.8387477027258643</v>
      </c>
      <c r="T83" s="56"/>
      <c r="U83" s="43">
        <f>IF(D83=0,0,SUM($L$20:L83))</f>
        <v>10436684.323010378</v>
      </c>
      <c r="V83" s="43">
        <f>IF(D83=0,0,SUM($J$20:J83))</f>
        <v>10604304</v>
      </c>
      <c r="W83" s="42">
        <f t="shared" si="14"/>
        <v>167619.67698962241</v>
      </c>
      <c r="X83" s="41">
        <f t="shared" si="15"/>
        <v>1.0160606253673938</v>
      </c>
      <c r="Y83" s="17"/>
      <c r="Z83" s="23">
        <f t="shared" si="19"/>
        <v>45355</v>
      </c>
      <c r="AA83" s="22">
        <f t="shared" si="20"/>
        <v>45355</v>
      </c>
      <c r="AB83" s="137">
        <v>45355</v>
      </c>
      <c r="AC83" s="141">
        <v>10</v>
      </c>
      <c r="AD83" s="136" t="s">
        <v>122</v>
      </c>
      <c r="AE83" s="138">
        <f>AVERAGEIFS(J294:J324,D294:D324,1,G294:G324,"mon")</f>
        <v>234683.33333333334</v>
      </c>
      <c r="AF83" s="141">
        <f>COUNTIFS(D294:D324,1,G294:G324,"Mon")</f>
        <v>3</v>
      </c>
      <c r="AG83" s="138"/>
      <c r="AH83" s="138">
        <f t="shared" si="21"/>
        <v>704050</v>
      </c>
      <c r="AI83" s="264">
        <f>AH83/$M$15</f>
        <v>0.12672958295608161</v>
      </c>
      <c r="AJ83" s="393">
        <f>SUM(AI83:AI89)</f>
        <v>1</v>
      </c>
      <c r="AK83" s="134" t="s">
        <v>137</v>
      </c>
      <c r="AL83" s="134"/>
      <c r="AM83" s="134"/>
      <c r="AN83" s="18"/>
      <c r="AO83" s="18"/>
      <c r="AP83" s="18"/>
      <c r="AQ83" s="18"/>
      <c r="AR83" s="17"/>
      <c r="AS83" s="21">
        <f t="shared" si="23"/>
        <v>45355</v>
      </c>
      <c r="AT83" s="17"/>
      <c r="AU83" s="17"/>
      <c r="AV83" s="17"/>
      <c r="AW83" s="17"/>
      <c r="AX83" s="17"/>
      <c r="AY83" s="17"/>
      <c r="AZ83" s="17"/>
    </row>
    <row r="84" spans="1:52" ht="20">
      <c r="A84" s="17"/>
      <c r="B84" s="40"/>
      <c r="C84" s="55">
        <f t="shared" si="16"/>
        <v>65</v>
      </c>
      <c r="D84" s="54">
        <v>1</v>
      </c>
      <c r="E84" s="53" t="str">
        <f t="shared" ref="E84:E147" si="34">TEXT(AA84,"m")</f>
        <v>3</v>
      </c>
      <c r="F84" s="52">
        <f t="shared" si="17"/>
        <v>45356</v>
      </c>
      <c r="G84" s="51" t="str">
        <f t="shared" ref="G84:G147" si="35">TEXT(AS84,"ddd")</f>
        <v>Tue</v>
      </c>
      <c r="H84" s="50"/>
      <c r="I84" s="49"/>
      <c r="J84" s="48">
        <v>292350</v>
      </c>
      <c r="K84" s="31"/>
      <c r="L84" s="43">
        <f t="shared" si="33"/>
        <v>246438.82698961941</v>
      </c>
      <c r="M84" s="47">
        <f t="shared" ref="M84:M147" si="36">IF(D84=0,0,J84-L84)</f>
        <v>45911.173010380589</v>
      </c>
      <c r="N84" s="41">
        <f t="shared" ref="N84:N147" si="37">IFERROR(J84/L84,"0%")</f>
        <v>1.1862984561775831</v>
      </c>
      <c r="O84" s="46"/>
      <c r="P84" s="45">
        <f>IF(D84=0,0,SUM($L$80:L84))</f>
        <v>985755.30795847764</v>
      </c>
      <c r="Q84" s="43">
        <f>IF(D84=0,0,SUM($J$80:J84))</f>
        <v>912450</v>
      </c>
      <c r="R84" s="42">
        <f t="shared" ref="R84:R147" si="38">IF(D84=0,0,Q84-P84)</f>
        <v>-73305.307958477642</v>
      </c>
      <c r="S84" s="41">
        <f t="shared" ref="S84:S147" si="39">IFERROR(Q84/P84,"0%")</f>
        <v>0.925635391088794</v>
      </c>
      <c r="T84" s="56"/>
      <c r="U84" s="43">
        <f>IF(D84=0,0,SUM($L$20:L84))</f>
        <v>10683123.149999997</v>
      </c>
      <c r="V84" s="43">
        <f>IF(D84=0,0,SUM($J$20:J84))</f>
        <v>10896654</v>
      </c>
      <c r="W84" s="42">
        <f t="shared" ref="W84:W147" si="40">IF(D84=0,0,V84-U84)</f>
        <v>213530.85000000335</v>
      </c>
      <c r="X84" s="41">
        <f t="shared" ref="X84:X147" si="41">IFERROR(V84/U84,"0%")</f>
        <v>1.0199876802880441</v>
      </c>
      <c r="Y84" s="17"/>
      <c r="Z84" s="23">
        <f t="shared" si="19"/>
        <v>45356</v>
      </c>
      <c r="AA84" s="22">
        <f t="shared" si="20"/>
        <v>45356</v>
      </c>
      <c r="AB84" s="137">
        <v>45356</v>
      </c>
      <c r="AC84" s="141">
        <v>10</v>
      </c>
      <c r="AD84" s="136" t="s">
        <v>123</v>
      </c>
      <c r="AE84" s="138">
        <f>AVERAGEIFS(J294:J324,D294:D324,1,G294:G324,"tue")</f>
        <v>197950</v>
      </c>
      <c r="AF84" s="141">
        <f>COUNTIFS(D294:D324,1,G294:G324,"tue")</f>
        <v>5</v>
      </c>
      <c r="AG84" s="138"/>
      <c r="AH84" s="138">
        <f t="shared" si="21"/>
        <v>989750</v>
      </c>
      <c r="AI84" s="264">
        <f t="shared" ref="AI84:AI89" si="42">AH84/$M$15</f>
        <v>0.17815581951676979</v>
      </c>
      <c r="AJ84" s="393"/>
      <c r="AK84" s="134"/>
      <c r="AL84" s="134"/>
      <c r="AM84" s="134"/>
      <c r="AN84" s="18"/>
      <c r="AO84" s="18"/>
      <c r="AP84" s="18"/>
      <c r="AQ84" s="18"/>
      <c r="AR84" s="17"/>
      <c r="AS84" s="21">
        <f t="shared" si="23"/>
        <v>45356</v>
      </c>
      <c r="AT84" s="17"/>
      <c r="AU84" s="17"/>
      <c r="AV84" s="17"/>
      <c r="AW84" s="17"/>
      <c r="AX84" s="17"/>
      <c r="AY84" s="17"/>
      <c r="AZ84" s="17"/>
    </row>
    <row r="85" spans="1:52" ht="20">
      <c r="A85" s="17"/>
      <c r="B85" s="40"/>
      <c r="C85" s="55">
        <f t="shared" ref="C85:C148" si="43">C84+1</f>
        <v>66</v>
      </c>
      <c r="D85" s="54">
        <v>1</v>
      </c>
      <c r="E85" s="53" t="str">
        <f t="shared" si="34"/>
        <v>3</v>
      </c>
      <c r="F85" s="52">
        <f t="shared" ref="F85:F148" si="44">F84+1</f>
        <v>45357</v>
      </c>
      <c r="G85" s="51" t="str">
        <f t="shared" si="35"/>
        <v>Wed</v>
      </c>
      <c r="H85" s="50"/>
      <c r="I85" s="49"/>
      <c r="J85" s="48">
        <v>145450</v>
      </c>
      <c r="K85" s="31"/>
      <c r="L85" s="43">
        <f t="shared" si="33"/>
        <v>246438.82698961941</v>
      </c>
      <c r="M85" s="47">
        <f t="shared" si="36"/>
        <v>-100988.82698961941</v>
      </c>
      <c r="N85" s="41">
        <f t="shared" si="37"/>
        <v>0.59020732153593114</v>
      </c>
      <c r="O85" s="46"/>
      <c r="P85" s="45">
        <f>IF(D85=0,0,SUM($L$80:L85))</f>
        <v>1232194.1349480972</v>
      </c>
      <c r="Q85" s="43">
        <f>IF(D85=0,0,SUM($J$80:J85))</f>
        <v>1057900</v>
      </c>
      <c r="R85" s="42">
        <f t="shared" si="38"/>
        <v>-174294.13494809717</v>
      </c>
      <c r="S85" s="41">
        <f t="shared" si="39"/>
        <v>0.85854977717822134</v>
      </c>
      <c r="T85" s="56"/>
      <c r="U85" s="43">
        <f>IF(D85=0,0,SUM($L$20:L85))</f>
        <v>10929561.976989616</v>
      </c>
      <c r="V85" s="43">
        <f>IF(D85=0,0,SUM($J$20:J85))</f>
        <v>11042104</v>
      </c>
      <c r="W85" s="42">
        <f t="shared" si="40"/>
        <v>112542.02301038429</v>
      </c>
      <c r="X85" s="41">
        <f t="shared" si="41"/>
        <v>1.0102970295833742</v>
      </c>
      <c r="Y85" s="17"/>
      <c r="Z85" s="23">
        <f t="shared" ref="Z85:Z148" si="45">Z84+1</f>
        <v>45357</v>
      </c>
      <c r="AA85" s="22">
        <f t="shared" ref="AA85:AA148" si="46">AA84+1</f>
        <v>45357</v>
      </c>
      <c r="AB85" s="137">
        <v>45357</v>
      </c>
      <c r="AC85" s="141">
        <v>10</v>
      </c>
      <c r="AD85" s="136" t="s">
        <v>124</v>
      </c>
      <c r="AE85" s="138">
        <f>AVERAGEIFS(J294:J324,D294:D324,1,G294:G324,"wed")</f>
        <v>213546</v>
      </c>
      <c r="AF85" s="141">
        <f>COUNTIFS(D294:D324,1,G294:G324,"wed")</f>
        <v>5</v>
      </c>
      <c r="AG85" s="138"/>
      <c r="AH85" s="138">
        <f t="shared" ref="AH85:AH103" si="47">AE85*AF85</f>
        <v>1067730</v>
      </c>
      <c r="AI85" s="264">
        <f t="shared" si="42"/>
        <v>0.19219228408450678</v>
      </c>
      <c r="AJ85" s="393"/>
      <c r="AK85" s="134"/>
      <c r="AL85" s="134"/>
      <c r="AM85" s="134"/>
      <c r="AN85" s="18"/>
      <c r="AO85" s="18"/>
      <c r="AP85" s="18"/>
      <c r="AQ85" s="18"/>
      <c r="AR85" s="17"/>
      <c r="AS85" s="21">
        <f t="shared" ref="AS85:AS148" si="48">AS84+1</f>
        <v>45357</v>
      </c>
      <c r="AT85" s="17"/>
      <c r="AU85" s="17"/>
      <c r="AV85" s="17"/>
      <c r="AW85" s="17"/>
      <c r="AX85" s="17"/>
      <c r="AY85" s="17"/>
      <c r="AZ85" s="17"/>
    </row>
    <row r="86" spans="1:52" ht="20">
      <c r="A86" s="17"/>
      <c r="B86" s="40"/>
      <c r="C86" s="55">
        <f t="shared" si="43"/>
        <v>67</v>
      </c>
      <c r="D86" s="54">
        <v>1</v>
      </c>
      <c r="E86" s="53" t="str">
        <f t="shared" si="34"/>
        <v>3</v>
      </c>
      <c r="F86" s="52">
        <f t="shared" si="44"/>
        <v>45358</v>
      </c>
      <c r="G86" s="51" t="str">
        <f t="shared" si="35"/>
        <v>Thu</v>
      </c>
      <c r="H86" s="50"/>
      <c r="I86" s="49"/>
      <c r="J86" s="48">
        <v>317890</v>
      </c>
      <c r="K86" s="31"/>
      <c r="L86" s="43">
        <f t="shared" si="33"/>
        <v>246438.82698961941</v>
      </c>
      <c r="M86" s="47">
        <f t="shared" si="36"/>
        <v>71451.173010380589</v>
      </c>
      <c r="N86" s="41">
        <f t="shared" si="37"/>
        <v>1.2899347228811078</v>
      </c>
      <c r="O86" s="46"/>
      <c r="P86" s="45">
        <f>IF(D86=0,0,SUM($L$80:L86))</f>
        <v>1478632.9619377167</v>
      </c>
      <c r="Q86" s="43">
        <f>IF(D86=0,0,SUM($J$80:J86))</f>
        <v>1375790</v>
      </c>
      <c r="R86" s="42">
        <f t="shared" si="38"/>
        <v>-102842.9619377167</v>
      </c>
      <c r="S86" s="41">
        <f t="shared" si="39"/>
        <v>0.93044726812870238</v>
      </c>
      <c r="T86" s="56"/>
      <c r="U86" s="43">
        <f>IF(D86=0,0,SUM($L$20:L86))</f>
        <v>11176000.803979235</v>
      </c>
      <c r="V86" s="43">
        <f>IF(D86=0,0,SUM($J$20:J86))</f>
        <v>11359994</v>
      </c>
      <c r="W86" s="42">
        <f t="shared" si="40"/>
        <v>183993.19602076523</v>
      </c>
      <c r="X86" s="41">
        <f t="shared" si="41"/>
        <v>1.0164632411224643</v>
      </c>
      <c r="Y86" s="17"/>
      <c r="Z86" s="23">
        <f t="shared" si="45"/>
        <v>45358</v>
      </c>
      <c r="AA86" s="22">
        <f t="shared" si="46"/>
        <v>45358</v>
      </c>
      <c r="AB86" s="137">
        <v>45358</v>
      </c>
      <c r="AC86" s="141">
        <v>10</v>
      </c>
      <c r="AD86" s="136" t="s">
        <v>125</v>
      </c>
      <c r="AE86" s="138">
        <f>AVERAGEIFS(J294:J324,D294:D324,1,G294:G324,"thu")</f>
        <v>249020</v>
      </c>
      <c r="AF86" s="141">
        <f>COUNTIFS(D294:D324,1,G294:G324,"thu")</f>
        <v>5</v>
      </c>
      <c r="AG86" s="138"/>
      <c r="AH86" s="138">
        <f t="shared" si="47"/>
        <v>1245100</v>
      </c>
      <c r="AI86" s="264">
        <f t="shared" si="42"/>
        <v>0.22411903094754235</v>
      </c>
      <c r="AJ86" s="393"/>
      <c r="AK86" s="134"/>
      <c r="AL86" s="134"/>
      <c r="AM86" s="134"/>
      <c r="AN86" s="18"/>
      <c r="AO86" s="18"/>
      <c r="AP86" s="18"/>
      <c r="AQ86" s="18"/>
      <c r="AR86" s="17"/>
      <c r="AS86" s="21">
        <f t="shared" si="48"/>
        <v>45358</v>
      </c>
      <c r="AT86" s="17"/>
      <c r="AU86" s="17"/>
      <c r="AV86" s="17"/>
      <c r="AW86" s="17"/>
      <c r="AX86" s="17"/>
      <c r="AY86" s="17"/>
      <c r="AZ86" s="17"/>
    </row>
    <row r="87" spans="1:52" ht="20">
      <c r="A87" s="17"/>
      <c r="B87" s="40"/>
      <c r="C87" s="55">
        <f t="shared" si="43"/>
        <v>68</v>
      </c>
      <c r="D87" s="54">
        <v>1</v>
      </c>
      <c r="E87" s="53" t="str">
        <f t="shared" si="34"/>
        <v>3</v>
      </c>
      <c r="F87" s="52">
        <f t="shared" si="44"/>
        <v>45359</v>
      </c>
      <c r="G87" s="51" t="str">
        <f t="shared" si="35"/>
        <v>Fri</v>
      </c>
      <c r="H87" s="50"/>
      <c r="I87" s="49"/>
      <c r="J87" s="48">
        <v>266360</v>
      </c>
      <c r="K87" s="31"/>
      <c r="L87" s="43">
        <f t="shared" si="33"/>
        <v>246438.82698961941</v>
      </c>
      <c r="M87" s="47">
        <f t="shared" si="36"/>
        <v>19921.173010380589</v>
      </c>
      <c r="N87" s="41">
        <f t="shared" si="37"/>
        <v>1.0808361785102139</v>
      </c>
      <c r="O87" s="46"/>
      <c r="P87" s="45">
        <f>IF(D87=0,0,SUM($L$80:L87))</f>
        <v>1725071.7889273362</v>
      </c>
      <c r="Q87" s="43">
        <f>IF(D87=0,0,SUM($J$80:J87))</f>
        <v>1642150</v>
      </c>
      <c r="R87" s="42">
        <f t="shared" si="38"/>
        <v>-82921.788927336223</v>
      </c>
      <c r="S87" s="41">
        <f t="shared" si="39"/>
        <v>0.95193139818320394</v>
      </c>
      <c r="T87" s="56"/>
      <c r="U87" s="43">
        <f>IF(D87=0,0,SUM($L$20:L87))</f>
        <v>11422439.630968854</v>
      </c>
      <c r="V87" s="43">
        <f>IF(D87=0,0,SUM($J$20:J87))</f>
        <v>11626354</v>
      </c>
      <c r="W87" s="42">
        <f t="shared" si="40"/>
        <v>203914.36903114617</v>
      </c>
      <c r="X87" s="41">
        <f t="shared" si="41"/>
        <v>1.0178520855105495</v>
      </c>
      <c r="Y87" s="17"/>
      <c r="Z87" s="23">
        <f t="shared" si="45"/>
        <v>45359</v>
      </c>
      <c r="AA87" s="22">
        <f t="shared" si="46"/>
        <v>45359</v>
      </c>
      <c r="AB87" s="137">
        <v>45359</v>
      </c>
      <c r="AC87" s="141">
        <v>10</v>
      </c>
      <c r="AD87" s="136" t="s">
        <v>126</v>
      </c>
      <c r="AE87" s="138">
        <f>AVERAGEIFS(J294:J324,D294:D324,1,G294:G324,"fri")</f>
        <v>250932.5</v>
      </c>
      <c r="AF87" s="141">
        <f>COUNTIFS(D294:D324,1,G294:G324,"fri")</f>
        <v>4</v>
      </c>
      <c r="AG87" s="138"/>
      <c r="AH87" s="138">
        <f t="shared" si="47"/>
        <v>1003730</v>
      </c>
      <c r="AI87" s="264">
        <f t="shared" si="42"/>
        <v>0.18067223109226302</v>
      </c>
      <c r="AJ87" s="393"/>
      <c r="AK87" s="134"/>
      <c r="AL87" s="134"/>
      <c r="AM87" s="134"/>
      <c r="AN87" s="18"/>
      <c r="AO87" s="18"/>
      <c r="AP87" s="18"/>
      <c r="AQ87" s="18"/>
      <c r="AR87" s="17"/>
      <c r="AS87" s="21">
        <f t="shared" si="48"/>
        <v>45359</v>
      </c>
      <c r="AT87" s="17"/>
      <c r="AU87" s="17"/>
      <c r="AV87" s="17"/>
      <c r="AW87" s="17"/>
      <c r="AX87" s="17"/>
      <c r="AY87" s="17"/>
      <c r="AZ87" s="17"/>
    </row>
    <row r="88" spans="1:52" ht="20">
      <c r="A88" s="17"/>
      <c r="B88" s="40"/>
      <c r="C88" s="55">
        <f t="shared" si="43"/>
        <v>69</v>
      </c>
      <c r="D88" s="54">
        <v>1</v>
      </c>
      <c r="E88" s="53" t="str">
        <f t="shared" si="34"/>
        <v>3</v>
      </c>
      <c r="F88" s="52">
        <f t="shared" si="44"/>
        <v>45360</v>
      </c>
      <c r="G88" s="51" t="str">
        <f t="shared" si="35"/>
        <v>Sat</v>
      </c>
      <c r="H88" s="50"/>
      <c r="I88" s="49"/>
      <c r="J88" s="48">
        <v>118114</v>
      </c>
      <c r="K88" s="31"/>
      <c r="L88" s="43">
        <f t="shared" si="33"/>
        <v>246438.82698961941</v>
      </c>
      <c r="M88" s="47">
        <f t="shared" si="36"/>
        <v>-128324.82698961941</v>
      </c>
      <c r="N88" s="41">
        <f t="shared" si="37"/>
        <v>0.4792832421855962</v>
      </c>
      <c r="O88" s="46"/>
      <c r="P88" s="45">
        <f>IF(D88=0,0,SUM($L$80:L88))</f>
        <v>1971510.6159169558</v>
      </c>
      <c r="Q88" s="43">
        <f>IF(D88=0,0,SUM($J$80:J88))</f>
        <v>1760264</v>
      </c>
      <c r="R88" s="42">
        <f t="shared" si="38"/>
        <v>-211246.61591695575</v>
      </c>
      <c r="S88" s="41">
        <f t="shared" si="39"/>
        <v>0.89285037868350292</v>
      </c>
      <c r="T88" s="44"/>
      <c r="U88" s="43">
        <f>IF(D88=0,0,SUM($L$20:L88))</f>
        <v>11668878.457958473</v>
      </c>
      <c r="V88" s="43">
        <f>IF(D88=0,0,SUM($J$20:J88))</f>
        <v>11744468</v>
      </c>
      <c r="W88" s="42">
        <f t="shared" si="40"/>
        <v>75589.542041527107</v>
      </c>
      <c r="X88" s="41">
        <f t="shared" si="41"/>
        <v>1.0064778755142465</v>
      </c>
      <c r="Y88" s="17"/>
      <c r="Z88" s="23">
        <f t="shared" si="45"/>
        <v>45360</v>
      </c>
      <c r="AA88" s="22">
        <f t="shared" si="46"/>
        <v>45360</v>
      </c>
      <c r="AB88" s="137">
        <v>45360</v>
      </c>
      <c r="AC88" s="141">
        <v>10</v>
      </c>
      <c r="AD88" s="136" t="s">
        <v>127</v>
      </c>
      <c r="AE88" s="138">
        <f>AVERAGEIFS(J294:J324,D294:D324,1,G294:G324,"sat")</f>
        <v>136292.5</v>
      </c>
      <c r="AF88" s="141">
        <f>COUNTIFS(D294:D324,1,G294:G324,"sat")</f>
        <v>4</v>
      </c>
      <c r="AG88" s="138"/>
      <c r="AH88" s="138">
        <f t="shared" si="47"/>
        <v>545170</v>
      </c>
      <c r="AI88" s="264">
        <f t="shared" si="42"/>
        <v>9.8131051402836456E-2</v>
      </c>
      <c r="AJ88" s="393"/>
      <c r="AK88" s="134"/>
      <c r="AL88" s="134"/>
      <c r="AM88" s="134"/>
      <c r="AN88" s="18"/>
      <c r="AO88" s="18"/>
      <c r="AP88" s="18"/>
      <c r="AQ88" s="18"/>
      <c r="AR88" s="17"/>
      <c r="AS88" s="21">
        <f t="shared" si="48"/>
        <v>45360</v>
      </c>
      <c r="AT88" s="17"/>
      <c r="AU88" s="17"/>
      <c r="AV88" s="17"/>
      <c r="AW88" s="17"/>
      <c r="AX88" s="17"/>
      <c r="AY88" s="17"/>
      <c r="AZ88" s="17"/>
    </row>
    <row r="89" spans="1:52" ht="20">
      <c r="A89" s="17"/>
      <c r="B89" s="40"/>
      <c r="C89" s="55">
        <f t="shared" si="43"/>
        <v>70</v>
      </c>
      <c r="D89" s="54">
        <v>0</v>
      </c>
      <c r="E89" s="53" t="str">
        <f t="shared" si="34"/>
        <v>3</v>
      </c>
      <c r="F89" s="52">
        <f t="shared" si="44"/>
        <v>45361</v>
      </c>
      <c r="G89" s="51" t="str">
        <f t="shared" si="35"/>
        <v>Sun</v>
      </c>
      <c r="H89" s="50" t="s">
        <v>46</v>
      </c>
      <c r="I89" s="67"/>
      <c r="J89" s="66">
        <v>0</v>
      </c>
      <c r="K89" s="65"/>
      <c r="L89" s="43">
        <f t="shared" si="33"/>
        <v>0</v>
      </c>
      <c r="M89" s="47">
        <f t="shared" si="36"/>
        <v>0</v>
      </c>
      <c r="N89" s="41" t="str">
        <f t="shared" si="37"/>
        <v>0%</v>
      </c>
      <c r="O89" s="46"/>
      <c r="P89" s="45">
        <f>IF(D89=0,0,SUM($L$80:L89))</f>
        <v>0</v>
      </c>
      <c r="Q89" s="43">
        <f>IF(D89=0,0,SUM($J$80:J89))</f>
        <v>0</v>
      </c>
      <c r="R89" s="42">
        <f t="shared" si="38"/>
        <v>0</v>
      </c>
      <c r="S89" s="41" t="str">
        <f t="shared" si="39"/>
        <v>0%</v>
      </c>
      <c r="T89" s="56"/>
      <c r="U89" s="43">
        <f>IF(D89=0,0,SUM($L$20:L89))</f>
        <v>0</v>
      </c>
      <c r="V89" s="43">
        <f>IF(D89=0,0,SUM($J$20:J89))</f>
        <v>0</v>
      </c>
      <c r="W89" s="42">
        <f t="shared" si="40"/>
        <v>0</v>
      </c>
      <c r="X89" s="41" t="str">
        <f t="shared" si="41"/>
        <v>0%</v>
      </c>
      <c r="Y89" s="17"/>
      <c r="Z89" s="23">
        <f t="shared" si="45"/>
        <v>45361</v>
      </c>
      <c r="AA89" s="22">
        <f t="shared" si="46"/>
        <v>45361</v>
      </c>
      <c r="AB89" s="137">
        <v>45361</v>
      </c>
      <c r="AC89" s="141">
        <v>10</v>
      </c>
      <c r="AD89" s="136" t="s">
        <v>128</v>
      </c>
      <c r="AE89" s="138">
        <f>IFERROR(AVERAGEIFS(J294:J324,D294:D324,1,G294:G324,"sun"),0)</f>
        <v>0</v>
      </c>
      <c r="AF89" s="141">
        <f>IFERROR(COUNTIFS(D294:D324,1,G294:G324,"sun"),0)</f>
        <v>0</v>
      </c>
      <c r="AG89" s="138"/>
      <c r="AH89" s="138">
        <f t="shared" si="47"/>
        <v>0</v>
      </c>
      <c r="AI89" s="264">
        <f t="shared" si="42"/>
        <v>0</v>
      </c>
      <c r="AJ89" s="393"/>
      <c r="AK89" s="134"/>
      <c r="AL89" s="134"/>
      <c r="AM89" s="134"/>
      <c r="AN89" s="18"/>
      <c r="AO89" s="18"/>
      <c r="AP89" s="18"/>
      <c r="AQ89" s="18"/>
      <c r="AR89" s="17"/>
      <c r="AS89" s="21">
        <f t="shared" si="48"/>
        <v>45361</v>
      </c>
      <c r="AT89" s="17"/>
      <c r="AU89" s="17"/>
      <c r="AV89" s="17"/>
      <c r="AW89" s="17"/>
      <c r="AX89" s="17"/>
      <c r="AY89" s="17"/>
      <c r="AZ89" s="17"/>
    </row>
    <row r="90" spans="1:52" ht="20">
      <c r="A90" s="17"/>
      <c r="B90" s="40"/>
      <c r="C90" s="55">
        <f t="shared" si="43"/>
        <v>71</v>
      </c>
      <c r="D90" s="54">
        <v>1</v>
      </c>
      <c r="E90" s="53" t="str">
        <f t="shared" si="34"/>
        <v>3</v>
      </c>
      <c r="F90" s="52">
        <f t="shared" si="44"/>
        <v>45362</v>
      </c>
      <c r="G90" s="51" t="str">
        <f t="shared" si="35"/>
        <v>Mon</v>
      </c>
      <c r="H90" s="50"/>
      <c r="I90" s="49"/>
      <c r="J90" s="48">
        <v>315600</v>
      </c>
      <c r="K90" s="31"/>
      <c r="L90" s="43">
        <f t="shared" si="33"/>
        <v>246438.82698961941</v>
      </c>
      <c r="M90" s="47">
        <f t="shared" si="36"/>
        <v>69161.173010380589</v>
      </c>
      <c r="N90" s="41">
        <f t="shared" si="37"/>
        <v>1.2806423559762108</v>
      </c>
      <c r="O90" s="46"/>
      <c r="P90" s="45">
        <f>IF(D90=0,0,SUM($L$80:L90))</f>
        <v>2217949.4429065753</v>
      </c>
      <c r="Q90" s="43">
        <f>IF(D90=0,0,SUM($J$80:J90))</f>
        <v>2075864</v>
      </c>
      <c r="R90" s="42">
        <f t="shared" si="38"/>
        <v>-142085.44290657528</v>
      </c>
      <c r="S90" s="41">
        <f t="shared" si="39"/>
        <v>0.93593837616047038</v>
      </c>
      <c r="T90" s="56"/>
      <c r="U90" s="43">
        <f>IF(D90=0,0,SUM($L$20:L90))</f>
        <v>11915317.284948092</v>
      </c>
      <c r="V90" s="43">
        <f>IF(D90=0,0,SUM($J$20:J90))</f>
        <v>12060068</v>
      </c>
      <c r="W90" s="42">
        <f t="shared" si="40"/>
        <v>144750.71505190805</v>
      </c>
      <c r="X90" s="41">
        <f t="shared" si="41"/>
        <v>1.0121482887606159</v>
      </c>
      <c r="Y90" s="17"/>
      <c r="Z90" s="23">
        <f t="shared" si="45"/>
        <v>45362</v>
      </c>
      <c r="AA90" s="22">
        <f t="shared" si="46"/>
        <v>45362</v>
      </c>
      <c r="AB90" s="137">
        <v>45362</v>
      </c>
      <c r="AC90" s="141">
        <v>11</v>
      </c>
      <c r="AD90" s="136" t="s">
        <v>122</v>
      </c>
      <c r="AE90" s="138">
        <f>AVERAGEIFS(J325:J354,D325:D354,1,G325:G354,"mon")</f>
        <v>176316.66666666666</v>
      </c>
      <c r="AF90" s="141">
        <f>COUNTIFS(D325:D354,1,G325:G354,"Mon")</f>
        <v>3</v>
      </c>
      <c r="AG90" s="138"/>
      <c r="AH90" s="138">
        <f t="shared" si="47"/>
        <v>528950</v>
      </c>
      <c r="AI90" s="264">
        <f>AH90/$M$16</f>
        <v>8.6540742619209285E-2</v>
      </c>
      <c r="AJ90" s="393">
        <f>SUM(AI90:AI96)</f>
        <v>1</v>
      </c>
      <c r="AK90" s="134" t="s">
        <v>138</v>
      </c>
      <c r="AL90" s="134"/>
      <c r="AM90" s="134"/>
      <c r="AN90" s="18"/>
      <c r="AO90" s="18"/>
      <c r="AP90" s="18"/>
      <c r="AQ90" s="18"/>
      <c r="AR90" s="17"/>
      <c r="AS90" s="21">
        <f t="shared" si="48"/>
        <v>45362</v>
      </c>
      <c r="AT90" s="17"/>
      <c r="AU90" s="17"/>
      <c r="AV90" s="17"/>
      <c r="AW90" s="17"/>
      <c r="AX90" s="17"/>
      <c r="AY90" s="17"/>
      <c r="AZ90" s="17"/>
    </row>
    <row r="91" spans="1:52" ht="20">
      <c r="A91" s="17"/>
      <c r="B91" s="40"/>
      <c r="C91" s="55">
        <f t="shared" si="43"/>
        <v>72</v>
      </c>
      <c r="D91" s="54">
        <v>1</v>
      </c>
      <c r="E91" s="53" t="str">
        <f t="shared" si="34"/>
        <v>3</v>
      </c>
      <c r="F91" s="52">
        <f t="shared" si="44"/>
        <v>45363</v>
      </c>
      <c r="G91" s="51" t="str">
        <f t="shared" si="35"/>
        <v>Tue</v>
      </c>
      <c r="H91" s="50"/>
      <c r="I91" s="49"/>
      <c r="J91" s="48">
        <v>320300</v>
      </c>
      <c r="K91" s="31"/>
      <c r="L91" s="43">
        <f t="shared" si="33"/>
        <v>246438.82698961941</v>
      </c>
      <c r="M91" s="47">
        <f t="shared" si="36"/>
        <v>73861.173010380589</v>
      </c>
      <c r="N91" s="41">
        <f t="shared" si="37"/>
        <v>1.2997140260430302</v>
      </c>
      <c r="O91" s="46"/>
      <c r="P91" s="45">
        <f>IF(D91=0,0,SUM($L$80:L91))</f>
        <v>2464388.2698961948</v>
      </c>
      <c r="Q91" s="43">
        <f>IF(D91=0,0,SUM($J$80:J91))</f>
        <v>2396164</v>
      </c>
      <c r="R91" s="42">
        <f t="shared" si="38"/>
        <v>-68224.269896194804</v>
      </c>
      <c r="S91" s="41">
        <f t="shared" si="39"/>
        <v>0.97231594114872633</v>
      </c>
      <c r="T91" s="56"/>
      <c r="U91" s="43">
        <f>IF(D91=0,0,SUM($L$20:L91))</f>
        <v>12161756.111937711</v>
      </c>
      <c r="V91" s="43">
        <f>IF(D91=0,0,SUM($J$20:J91))</f>
        <v>12380368</v>
      </c>
      <c r="W91" s="42">
        <f t="shared" si="40"/>
        <v>218611.88806228898</v>
      </c>
      <c r="X91" s="41">
        <f t="shared" si="41"/>
        <v>1.0179753553722151</v>
      </c>
      <c r="Y91" s="17"/>
      <c r="Z91" s="23">
        <f t="shared" si="45"/>
        <v>45363</v>
      </c>
      <c r="AA91" s="22">
        <f t="shared" si="46"/>
        <v>45363</v>
      </c>
      <c r="AB91" s="137">
        <v>45363</v>
      </c>
      <c r="AC91" s="141">
        <v>11</v>
      </c>
      <c r="AD91" s="136" t="s">
        <v>123</v>
      </c>
      <c r="AE91" s="138">
        <f>AVERAGEIFS(J325:J354,D325:D354,1,G325:G354,"tue")</f>
        <v>231565</v>
      </c>
      <c r="AF91" s="141">
        <f>COUNTIFS(D325:D354,1,G325:G354,"tue")</f>
        <v>4</v>
      </c>
      <c r="AG91" s="138"/>
      <c r="AH91" s="138">
        <f t="shared" si="47"/>
        <v>926260</v>
      </c>
      <c r="AI91" s="264">
        <f t="shared" ref="AI91:AI96" si="49">AH91/$M$16</f>
        <v>0.15154405569235049</v>
      </c>
      <c r="AJ91" s="393"/>
      <c r="AK91" s="134"/>
      <c r="AL91" s="134"/>
      <c r="AM91" s="134"/>
      <c r="AN91" s="18"/>
      <c r="AO91" s="18"/>
      <c r="AP91" s="18"/>
      <c r="AQ91" s="18"/>
      <c r="AR91" s="17"/>
      <c r="AS91" s="21">
        <f t="shared" si="48"/>
        <v>45363</v>
      </c>
      <c r="AT91" s="17"/>
      <c r="AU91" s="17"/>
      <c r="AV91" s="17"/>
      <c r="AW91" s="17"/>
      <c r="AX91" s="17"/>
      <c r="AY91" s="17"/>
      <c r="AZ91" s="17"/>
    </row>
    <row r="92" spans="1:52" ht="20">
      <c r="A92" s="17"/>
      <c r="B92" s="40"/>
      <c r="C92" s="55">
        <f t="shared" si="43"/>
        <v>73</v>
      </c>
      <c r="D92" s="54">
        <v>1</v>
      </c>
      <c r="E92" s="53" t="str">
        <f t="shared" si="34"/>
        <v>3</v>
      </c>
      <c r="F92" s="52">
        <f t="shared" si="44"/>
        <v>45364</v>
      </c>
      <c r="G92" s="51" t="str">
        <f t="shared" si="35"/>
        <v>Wed</v>
      </c>
      <c r="H92" s="50"/>
      <c r="I92" s="49"/>
      <c r="J92" s="48">
        <v>318550</v>
      </c>
      <c r="K92" s="31"/>
      <c r="L92" s="43">
        <f t="shared" si="33"/>
        <v>246438.82698961941</v>
      </c>
      <c r="M92" s="47">
        <f t="shared" si="36"/>
        <v>72111.173010380589</v>
      </c>
      <c r="N92" s="41">
        <f t="shared" si="37"/>
        <v>1.2926128722947463</v>
      </c>
      <c r="O92" s="46"/>
      <c r="P92" s="45">
        <f>IF(D92=0,0,SUM($L$80:L92))</f>
        <v>2710827.0968858143</v>
      </c>
      <c r="Q92" s="43">
        <f>IF(D92=0,0,SUM($J$80:J92))</f>
        <v>2714714</v>
      </c>
      <c r="R92" s="42">
        <f t="shared" si="38"/>
        <v>3886.9031141856685</v>
      </c>
      <c r="S92" s="41">
        <f t="shared" si="39"/>
        <v>1.0014338439801826</v>
      </c>
      <c r="T92" s="56"/>
      <c r="U92" s="43">
        <f>IF(D92=0,0,SUM($L$20:L92))</f>
        <v>12408194.93892733</v>
      </c>
      <c r="V92" s="43">
        <f>IF(D92=0,0,SUM($J$20:J92))</f>
        <v>12698918</v>
      </c>
      <c r="W92" s="42">
        <f t="shared" si="40"/>
        <v>290723.06107266992</v>
      </c>
      <c r="X92" s="41">
        <f t="shared" si="41"/>
        <v>1.0234299237321463</v>
      </c>
      <c r="Y92" s="17"/>
      <c r="Z92" s="23">
        <f t="shared" si="45"/>
        <v>45364</v>
      </c>
      <c r="AA92" s="22">
        <f t="shared" si="46"/>
        <v>45364</v>
      </c>
      <c r="AB92" s="137">
        <v>45364</v>
      </c>
      <c r="AC92" s="141">
        <v>11</v>
      </c>
      <c r="AD92" s="136" t="s">
        <v>124</v>
      </c>
      <c r="AE92" s="138">
        <f>AVERAGEIFS(J325:J354,D325:D354,1,G325:G354,"wed")</f>
        <v>267002.5</v>
      </c>
      <c r="AF92" s="141">
        <f>COUNTIFS(D325:D354,1,G325:G354,"wed")</f>
        <v>4</v>
      </c>
      <c r="AG92" s="138"/>
      <c r="AH92" s="138">
        <f t="shared" si="47"/>
        <v>1068010</v>
      </c>
      <c r="AI92" s="264">
        <f t="shared" si="49"/>
        <v>0.17473556768076701</v>
      </c>
      <c r="AJ92" s="393"/>
      <c r="AK92" s="134"/>
      <c r="AL92" s="134"/>
      <c r="AM92" s="134"/>
      <c r="AN92" s="18"/>
      <c r="AO92" s="18"/>
      <c r="AP92" s="18"/>
      <c r="AQ92" s="18"/>
      <c r="AR92" s="17"/>
      <c r="AS92" s="21">
        <f t="shared" si="48"/>
        <v>45364</v>
      </c>
      <c r="AT92" s="17"/>
      <c r="AU92" s="17"/>
      <c r="AV92" s="17"/>
      <c r="AW92" s="17"/>
      <c r="AX92" s="17"/>
      <c r="AY92" s="17"/>
      <c r="AZ92" s="17"/>
    </row>
    <row r="93" spans="1:52" ht="20">
      <c r="A93" s="17"/>
      <c r="B93" s="40"/>
      <c r="C93" s="55">
        <f t="shared" si="43"/>
        <v>74</v>
      </c>
      <c r="D93" s="54">
        <v>1</v>
      </c>
      <c r="E93" s="53" t="str">
        <f t="shared" si="34"/>
        <v>3</v>
      </c>
      <c r="F93" s="52">
        <f t="shared" si="44"/>
        <v>45365</v>
      </c>
      <c r="G93" s="51" t="str">
        <f t="shared" si="35"/>
        <v>Thu</v>
      </c>
      <c r="H93" s="50"/>
      <c r="I93" s="49"/>
      <c r="J93" s="48">
        <v>219880</v>
      </c>
      <c r="K93" s="31"/>
      <c r="L93" s="43">
        <f t="shared" si="33"/>
        <v>246438.82698961941</v>
      </c>
      <c r="M93" s="47">
        <f t="shared" si="36"/>
        <v>-26558.826989619411</v>
      </c>
      <c r="N93" s="41">
        <f t="shared" si="37"/>
        <v>0.89222953495579604</v>
      </c>
      <c r="O93" s="46"/>
      <c r="P93" s="45">
        <f>IF(D93=0,0,SUM($L$80:L93))</f>
        <v>2957265.9238754339</v>
      </c>
      <c r="Q93" s="43">
        <f>IF(D93=0,0,SUM($J$80:J93))</f>
        <v>2934594</v>
      </c>
      <c r="R93" s="42">
        <f t="shared" si="38"/>
        <v>-22671.923875433858</v>
      </c>
      <c r="S93" s="41">
        <f t="shared" si="39"/>
        <v>0.99233348489481699</v>
      </c>
      <c r="T93" s="56"/>
      <c r="U93" s="43">
        <f>IF(D93=0,0,SUM($L$20:L93))</f>
        <v>12654633.765916949</v>
      </c>
      <c r="V93" s="43">
        <f>IF(D93=0,0,SUM($J$20:J93))</f>
        <v>12918798</v>
      </c>
      <c r="W93" s="42">
        <f t="shared" si="40"/>
        <v>264164.23408305086</v>
      </c>
      <c r="X93" s="41">
        <f t="shared" si="41"/>
        <v>1.0208749015553915</v>
      </c>
      <c r="Y93" s="17"/>
      <c r="Z93" s="23">
        <f t="shared" si="45"/>
        <v>45365</v>
      </c>
      <c r="AA93" s="22">
        <f t="shared" si="46"/>
        <v>45365</v>
      </c>
      <c r="AB93" s="137">
        <v>45365</v>
      </c>
      <c r="AC93" s="141">
        <v>11</v>
      </c>
      <c r="AD93" s="136" t="s">
        <v>125</v>
      </c>
      <c r="AE93" s="138">
        <f>AVERAGEIFS(J325:J354,D325:D354,1,G325:G354,"thu")</f>
        <v>260102.5</v>
      </c>
      <c r="AF93" s="141">
        <f>COUNTIFS(D325:D354,1,G325:G354,"thu")</f>
        <v>4</v>
      </c>
      <c r="AG93" s="138"/>
      <c r="AH93" s="138">
        <f t="shared" si="47"/>
        <v>1040410</v>
      </c>
      <c r="AI93" s="264">
        <f t="shared" si="49"/>
        <v>0.17021997169572081</v>
      </c>
      <c r="AJ93" s="393"/>
      <c r="AK93" s="134"/>
      <c r="AL93" s="134"/>
      <c r="AM93" s="134"/>
      <c r="AN93" s="18"/>
      <c r="AO93" s="18"/>
      <c r="AP93" s="18"/>
      <c r="AQ93" s="18"/>
      <c r="AR93" s="17"/>
      <c r="AS93" s="21">
        <f t="shared" si="48"/>
        <v>45365</v>
      </c>
      <c r="AT93" s="17"/>
      <c r="AU93" s="17"/>
      <c r="AV93" s="17"/>
      <c r="AW93" s="17"/>
      <c r="AX93" s="17"/>
      <c r="AY93" s="17"/>
      <c r="AZ93" s="17"/>
    </row>
    <row r="94" spans="1:52" ht="20">
      <c r="A94" s="17"/>
      <c r="B94" s="40"/>
      <c r="C94" s="55">
        <f t="shared" si="43"/>
        <v>75</v>
      </c>
      <c r="D94" s="54">
        <v>1</v>
      </c>
      <c r="E94" s="53" t="str">
        <f t="shared" si="34"/>
        <v>3</v>
      </c>
      <c r="F94" s="52">
        <f t="shared" si="44"/>
        <v>45366</v>
      </c>
      <c r="G94" s="51" t="str">
        <f t="shared" si="35"/>
        <v>Fri</v>
      </c>
      <c r="H94" s="50"/>
      <c r="I94" s="49"/>
      <c r="J94" s="48">
        <v>350170</v>
      </c>
      <c r="K94" s="31"/>
      <c r="L94" s="43">
        <f t="shared" si="33"/>
        <v>246438.82698961941</v>
      </c>
      <c r="M94" s="47">
        <f t="shared" si="36"/>
        <v>103731.17301038059</v>
      </c>
      <c r="N94" s="41">
        <f t="shared" si="37"/>
        <v>1.4209205760208801</v>
      </c>
      <c r="O94" s="46"/>
      <c r="P94" s="45">
        <f>IF(D94=0,0,SUM($L$80:L94))</f>
        <v>3203704.7508650534</v>
      </c>
      <c r="Q94" s="43">
        <f>IF(D94=0,0,SUM($J$80:J94))</f>
        <v>3284764</v>
      </c>
      <c r="R94" s="42">
        <f t="shared" si="38"/>
        <v>81059.249134946615</v>
      </c>
      <c r="S94" s="41">
        <f t="shared" si="39"/>
        <v>1.0253017226737449</v>
      </c>
      <c r="T94" s="56"/>
      <c r="U94" s="43">
        <f>IF(D94=0,0,SUM($L$20:L94))</f>
        <v>12901072.592906568</v>
      </c>
      <c r="V94" s="43">
        <f>IF(D94=0,0,SUM($J$20:J94))</f>
        <v>13268968</v>
      </c>
      <c r="W94" s="42">
        <f t="shared" si="40"/>
        <v>367895.4070934318</v>
      </c>
      <c r="X94" s="41">
        <f t="shared" si="41"/>
        <v>1.0285166527390686</v>
      </c>
      <c r="Y94" s="17"/>
      <c r="Z94" s="23">
        <f t="shared" si="45"/>
        <v>45366</v>
      </c>
      <c r="AA94" s="22">
        <f t="shared" si="46"/>
        <v>45366</v>
      </c>
      <c r="AB94" s="137">
        <v>45366</v>
      </c>
      <c r="AC94" s="141">
        <v>11</v>
      </c>
      <c r="AD94" s="136" t="s">
        <v>126</v>
      </c>
      <c r="AE94" s="138">
        <f>AVERAGEIFS(J325:J354,D325:D354,1,G325:G354,"fri")</f>
        <v>333106</v>
      </c>
      <c r="AF94" s="141">
        <f>COUNTIFS(D325:D354,1,G325:G354,"fri")</f>
        <v>5</v>
      </c>
      <c r="AG94" s="138"/>
      <c r="AH94" s="138">
        <f t="shared" si="47"/>
        <v>1665530</v>
      </c>
      <c r="AI94" s="264">
        <f t="shared" si="49"/>
        <v>0.27249494858601309</v>
      </c>
      <c r="AJ94" s="393"/>
      <c r="AK94" s="134"/>
      <c r="AL94" s="134"/>
      <c r="AM94" s="134"/>
      <c r="AN94" s="18"/>
      <c r="AO94" s="18"/>
      <c r="AP94" s="18"/>
      <c r="AQ94" s="18"/>
      <c r="AR94" s="17"/>
      <c r="AS94" s="21">
        <f t="shared" si="48"/>
        <v>45366</v>
      </c>
      <c r="AT94" s="17"/>
      <c r="AU94" s="17"/>
      <c r="AV94" s="17"/>
      <c r="AW94" s="17"/>
      <c r="AX94" s="17"/>
      <c r="AY94" s="17"/>
      <c r="AZ94" s="17"/>
    </row>
    <row r="95" spans="1:52" ht="20">
      <c r="A95" s="17"/>
      <c r="B95" s="40"/>
      <c r="C95" s="55">
        <f t="shared" si="43"/>
        <v>76</v>
      </c>
      <c r="D95" s="54">
        <v>1</v>
      </c>
      <c r="E95" s="53" t="str">
        <f t="shared" si="34"/>
        <v>3</v>
      </c>
      <c r="F95" s="52">
        <f t="shared" si="44"/>
        <v>45367</v>
      </c>
      <c r="G95" s="51" t="str">
        <f t="shared" si="35"/>
        <v>Sat</v>
      </c>
      <c r="H95" s="50"/>
      <c r="I95" s="49"/>
      <c r="J95" s="48">
        <v>156750</v>
      </c>
      <c r="K95" s="31"/>
      <c r="L95" s="43">
        <f t="shared" si="33"/>
        <v>246438.82698961941</v>
      </c>
      <c r="M95" s="47">
        <f t="shared" si="36"/>
        <v>-89688.826989619411</v>
      </c>
      <c r="N95" s="41">
        <f t="shared" si="37"/>
        <v>0.6360604857391351</v>
      </c>
      <c r="O95" s="46"/>
      <c r="P95" s="45">
        <f>IF(D95=0,0,SUM($L$80:L95))</f>
        <v>3450143.5778546729</v>
      </c>
      <c r="Q95" s="43">
        <f>IF(D95=0,0,SUM($J$80:J95))</f>
        <v>3441514</v>
      </c>
      <c r="R95" s="42">
        <f t="shared" si="38"/>
        <v>-8629.5778546729125</v>
      </c>
      <c r="S95" s="41">
        <f t="shared" si="39"/>
        <v>0.99749877717841562</v>
      </c>
      <c r="T95" s="44"/>
      <c r="U95" s="43">
        <f>IF(D95=0,0,SUM($L$20:L95))</f>
        <v>13147511.419896187</v>
      </c>
      <c r="V95" s="43">
        <f>IF(D95=0,0,SUM($J$20:J95))</f>
        <v>13425718</v>
      </c>
      <c r="W95" s="42">
        <f t="shared" si="40"/>
        <v>278206.58010381274</v>
      </c>
      <c r="X95" s="41">
        <f t="shared" si="41"/>
        <v>1.0211603984372892</v>
      </c>
      <c r="Y95" s="17"/>
      <c r="Z95" s="23">
        <f t="shared" si="45"/>
        <v>45367</v>
      </c>
      <c r="AA95" s="22">
        <f t="shared" si="46"/>
        <v>45367</v>
      </c>
      <c r="AB95" s="137">
        <v>45367</v>
      </c>
      <c r="AC95" s="141">
        <v>11</v>
      </c>
      <c r="AD95" s="136" t="s">
        <v>127</v>
      </c>
      <c r="AE95" s="138">
        <f>AVERAGEIFS(J325:J354,D325:D354,1,G325:G354,"sat")</f>
        <v>220747.5</v>
      </c>
      <c r="AF95" s="141">
        <f>COUNTIFS(D325:D354,1,G325:G354,"sat")</f>
        <v>4</v>
      </c>
      <c r="AG95" s="138"/>
      <c r="AH95" s="138">
        <f t="shared" si="47"/>
        <v>882990</v>
      </c>
      <c r="AI95" s="264">
        <f t="shared" si="49"/>
        <v>0.14446471372593933</v>
      </c>
      <c r="AJ95" s="393"/>
      <c r="AK95" s="134"/>
      <c r="AL95" s="134"/>
      <c r="AM95" s="134"/>
      <c r="AN95" s="18"/>
      <c r="AO95" s="18"/>
      <c r="AP95" s="18"/>
      <c r="AQ95" s="18"/>
      <c r="AR95" s="17"/>
      <c r="AS95" s="21">
        <f t="shared" si="48"/>
        <v>45367</v>
      </c>
      <c r="AT95" s="17"/>
      <c r="AU95" s="17"/>
      <c r="AV95" s="17"/>
      <c r="AW95" s="17"/>
      <c r="AX95" s="17"/>
      <c r="AY95" s="17"/>
      <c r="AZ95" s="17"/>
    </row>
    <row r="96" spans="1:52" ht="20">
      <c r="A96" s="17"/>
      <c r="B96" s="40"/>
      <c r="C96" s="55">
        <f t="shared" si="43"/>
        <v>77</v>
      </c>
      <c r="D96" s="54">
        <v>0</v>
      </c>
      <c r="E96" s="53" t="str">
        <f t="shared" si="34"/>
        <v>3</v>
      </c>
      <c r="F96" s="52">
        <f t="shared" si="44"/>
        <v>45368</v>
      </c>
      <c r="G96" s="51" t="str">
        <f t="shared" si="35"/>
        <v>Sun</v>
      </c>
      <c r="H96" s="50" t="s">
        <v>46</v>
      </c>
      <c r="I96" s="67"/>
      <c r="J96" s="66">
        <v>0</v>
      </c>
      <c r="K96" s="65"/>
      <c r="L96" s="43">
        <f t="shared" si="33"/>
        <v>0</v>
      </c>
      <c r="M96" s="47">
        <f t="shared" si="36"/>
        <v>0</v>
      </c>
      <c r="N96" s="41" t="str">
        <f t="shared" si="37"/>
        <v>0%</v>
      </c>
      <c r="O96" s="46"/>
      <c r="P96" s="45">
        <f>IF(D96=0,0,SUM($L$80:L96))</f>
        <v>0</v>
      </c>
      <c r="Q96" s="43">
        <f>IF(D96=0,0,SUM($J$80:J96))</f>
        <v>0</v>
      </c>
      <c r="R96" s="42">
        <f t="shared" si="38"/>
        <v>0</v>
      </c>
      <c r="S96" s="41" t="str">
        <f t="shared" si="39"/>
        <v>0%</v>
      </c>
      <c r="T96" s="56"/>
      <c r="U96" s="43">
        <f>IF(D96=0,0,SUM($L$20:L96))</f>
        <v>0</v>
      </c>
      <c r="V96" s="43">
        <f>IF(D96=0,0,SUM($J$20:J96))</f>
        <v>0</v>
      </c>
      <c r="W96" s="42">
        <f t="shared" si="40"/>
        <v>0</v>
      </c>
      <c r="X96" s="41" t="str">
        <f t="shared" si="41"/>
        <v>0%</v>
      </c>
      <c r="Y96" s="17"/>
      <c r="Z96" s="23">
        <f t="shared" si="45"/>
        <v>45368</v>
      </c>
      <c r="AA96" s="22">
        <f t="shared" si="46"/>
        <v>45368</v>
      </c>
      <c r="AB96" s="137">
        <v>45368</v>
      </c>
      <c r="AC96" s="141">
        <v>11</v>
      </c>
      <c r="AD96" s="136" t="s">
        <v>128</v>
      </c>
      <c r="AE96" s="138">
        <f>IFERROR(AVERAGEIFS(J325:J354,D325:D354,1,G325:G354,"sun"),0)</f>
        <v>0</v>
      </c>
      <c r="AF96" s="141">
        <f>IFERROR(COUNTIFS(D325:D354,1,G325:G354,"sun"),0)</f>
        <v>0</v>
      </c>
      <c r="AG96" s="138"/>
      <c r="AH96" s="138">
        <f t="shared" si="47"/>
        <v>0</v>
      </c>
      <c r="AI96" s="264">
        <f t="shared" si="49"/>
        <v>0</v>
      </c>
      <c r="AJ96" s="393"/>
      <c r="AK96" s="134"/>
      <c r="AL96" s="134"/>
      <c r="AM96" s="134"/>
      <c r="AN96" s="18"/>
      <c r="AO96" s="18"/>
      <c r="AP96" s="18"/>
      <c r="AQ96" s="18"/>
      <c r="AR96" s="17"/>
      <c r="AS96" s="21">
        <f t="shared" si="48"/>
        <v>45368</v>
      </c>
      <c r="AT96" s="17"/>
      <c r="AU96" s="17"/>
      <c r="AV96" s="17"/>
      <c r="AW96" s="17"/>
      <c r="AX96" s="17"/>
      <c r="AY96" s="17"/>
      <c r="AZ96" s="17"/>
    </row>
    <row r="97" spans="1:52" ht="20">
      <c r="A97" s="17"/>
      <c r="B97" s="40"/>
      <c r="C97" s="55">
        <f t="shared" si="43"/>
        <v>78</v>
      </c>
      <c r="D97" s="54">
        <v>1</v>
      </c>
      <c r="E97" s="53" t="str">
        <f t="shared" si="34"/>
        <v>3</v>
      </c>
      <c r="F97" s="52">
        <f t="shared" si="44"/>
        <v>45369</v>
      </c>
      <c r="G97" s="51" t="str">
        <f t="shared" si="35"/>
        <v>Mon</v>
      </c>
      <c r="H97" s="50"/>
      <c r="I97" s="49"/>
      <c r="J97" s="48">
        <v>201050</v>
      </c>
      <c r="K97" s="31"/>
      <c r="L97" s="43">
        <f t="shared" si="33"/>
        <v>246438.82698961941</v>
      </c>
      <c r="M97" s="47">
        <f t="shared" si="36"/>
        <v>-45388.826989619411</v>
      </c>
      <c r="N97" s="41">
        <f t="shared" si="37"/>
        <v>0.81582112062426226</v>
      </c>
      <c r="O97" s="46"/>
      <c r="P97" s="45">
        <f>IF(D97=0,0,SUM($L$80:L97))</f>
        <v>3696582.4048442924</v>
      </c>
      <c r="Q97" s="43">
        <f>IF(D97=0,0,SUM($J$80:J97))</f>
        <v>3642564</v>
      </c>
      <c r="R97" s="42">
        <f t="shared" si="38"/>
        <v>-54018.40484429244</v>
      </c>
      <c r="S97" s="41">
        <f t="shared" si="39"/>
        <v>0.98538693340813865</v>
      </c>
      <c r="T97" s="56"/>
      <c r="U97" s="43">
        <f>IF(D97=0,0,SUM($L$20:L97))</f>
        <v>13393950.246885806</v>
      </c>
      <c r="V97" s="43">
        <f>IF(D97=0,0,SUM($J$20:J97))</f>
        <v>13626768</v>
      </c>
      <c r="W97" s="42">
        <f t="shared" si="40"/>
        <v>232817.75311419368</v>
      </c>
      <c r="X97" s="41">
        <f t="shared" si="41"/>
        <v>1.017382306849193</v>
      </c>
      <c r="Y97" s="17"/>
      <c r="Z97" s="23">
        <f t="shared" si="45"/>
        <v>45369</v>
      </c>
      <c r="AA97" s="22">
        <f t="shared" si="46"/>
        <v>45369</v>
      </c>
      <c r="AB97" s="137">
        <v>45369</v>
      </c>
      <c r="AC97" s="141">
        <v>12</v>
      </c>
      <c r="AD97" s="136" t="s">
        <v>122</v>
      </c>
      <c r="AE97" s="138">
        <f>AVERAGEIFS(J355:J385,D355:D385,1,G355:G385,"mon")</f>
        <v>283835</v>
      </c>
      <c r="AF97" s="141">
        <f>COUNTIFS(D355:D385,1,G355:G385,"Mon")</f>
        <v>4</v>
      </c>
      <c r="AG97" s="138"/>
      <c r="AH97" s="138">
        <f t="shared" si="47"/>
        <v>1135340</v>
      </c>
      <c r="AI97" s="264">
        <f>AH97/$M$17</f>
        <v>0.14372393014703555</v>
      </c>
      <c r="AJ97" s="393">
        <f>SUM(AI97:AI103)</f>
        <v>1</v>
      </c>
      <c r="AK97" s="134" t="s">
        <v>139</v>
      </c>
      <c r="AL97" s="134"/>
      <c r="AM97" s="134"/>
      <c r="AN97" s="18"/>
      <c r="AO97" s="18"/>
      <c r="AP97" s="18"/>
      <c r="AQ97" s="18"/>
      <c r="AR97" s="17"/>
      <c r="AS97" s="21">
        <f t="shared" si="48"/>
        <v>45369</v>
      </c>
      <c r="AT97" s="17"/>
      <c r="AU97" s="17"/>
      <c r="AV97" s="17"/>
      <c r="AW97" s="17"/>
      <c r="AX97" s="17"/>
      <c r="AY97" s="17"/>
      <c r="AZ97" s="17"/>
    </row>
    <row r="98" spans="1:52" ht="20">
      <c r="A98" s="17"/>
      <c r="B98" s="40"/>
      <c r="C98" s="55">
        <f t="shared" si="43"/>
        <v>79</v>
      </c>
      <c r="D98" s="54">
        <v>1</v>
      </c>
      <c r="E98" s="53" t="str">
        <f t="shared" si="34"/>
        <v>3</v>
      </c>
      <c r="F98" s="52">
        <f t="shared" si="44"/>
        <v>45370</v>
      </c>
      <c r="G98" s="51" t="str">
        <f t="shared" si="35"/>
        <v>Tue</v>
      </c>
      <c r="H98" s="50"/>
      <c r="I98" s="49"/>
      <c r="J98" s="48">
        <v>220700</v>
      </c>
      <c r="K98" s="31"/>
      <c r="L98" s="43">
        <f t="shared" si="33"/>
        <v>246438.82698961941</v>
      </c>
      <c r="M98" s="47">
        <f t="shared" si="36"/>
        <v>-25738.826989619411</v>
      </c>
      <c r="N98" s="41">
        <f t="shared" si="37"/>
        <v>0.89555693271213477</v>
      </c>
      <c r="O98" s="46"/>
      <c r="P98" s="45">
        <f>IF(D98=0,0,SUM($L$80:L98))</f>
        <v>3943021.231833912</v>
      </c>
      <c r="Q98" s="43">
        <f>IF(D98=0,0,SUM($J$80:J98))</f>
        <v>3863264</v>
      </c>
      <c r="R98" s="42">
        <f t="shared" si="38"/>
        <v>-79757.231833911967</v>
      </c>
      <c r="S98" s="41">
        <f t="shared" si="39"/>
        <v>0.97977255836463839</v>
      </c>
      <c r="T98" s="56"/>
      <c r="U98" s="43">
        <f>IF(D98=0,0,SUM($L$20:L98))</f>
        <v>13640389.073875425</v>
      </c>
      <c r="V98" s="43">
        <f>IF(D98=0,0,SUM($J$20:J98))</f>
        <v>13847468</v>
      </c>
      <c r="W98" s="42">
        <f t="shared" si="40"/>
        <v>207078.92612457462</v>
      </c>
      <c r="X98" s="41">
        <f t="shared" si="41"/>
        <v>1.0151813064131125</v>
      </c>
      <c r="Y98" s="17"/>
      <c r="Z98" s="23">
        <f t="shared" si="45"/>
        <v>45370</v>
      </c>
      <c r="AA98" s="22">
        <f t="shared" si="46"/>
        <v>45370</v>
      </c>
      <c r="AB98" s="137">
        <v>45370</v>
      </c>
      <c r="AC98" s="141">
        <v>12</v>
      </c>
      <c r="AD98" s="136" t="s">
        <v>123</v>
      </c>
      <c r="AE98" s="138">
        <f>AVERAGEIFS(J355:J385,D355:D385,1,G355:G385,"tue")</f>
        <v>312370</v>
      </c>
      <c r="AF98" s="141">
        <f>COUNTIFS(D355:D385,1,G355:G385,"tue")</f>
        <v>4</v>
      </c>
      <c r="AG98" s="138"/>
      <c r="AH98" s="138">
        <f t="shared" si="47"/>
        <v>1249480</v>
      </c>
      <c r="AI98" s="264">
        <f t="shared" ref="AI98:AI103" si="50">AH98/$M$17</f>
        <v>0.15817303736336075</v>
      </c>
      <c r="AJ98" s="393"/>
      <c r="AK98" s="134"/>
      <c r="AL98" s="134"/>
      <c r="AM98" s="134"/>
      <c r="AN98" s="18"/>
      <c r="AO98" s="18"/>
      <c r="AP98" s="18"/>
      <c r="AQ98" s="18"/>
      <c r="AR98" s="17"/>
      <c r="AS98" s="21">
        <f t="shared" si="48"/>
        <v>45370</v>
      </c>
      <c r="AT98" s="17"/>
      <c r="AU98" s="17"/>
      <c r="AV98" s="17"/>
      <c r="AW98" s="17"/>
      <c r="AX98" s="17"/>
      <c r="AY98" s="17"/>
      <c r="AZ98" s="17"/>
    </row>
    <row r="99" spans="1:52" ht="20">
      <c r="A99" s="17"/>
      <c r="B99" s="40"/>
      <c r="C99" s="55">
        <f t="shared" si="43"/>
        <v>80</v>
      </c>
      <c r="D99" s="54">
        <v>0</v>
      </c>
      <c r="E99" s="53" t="str">
        <f t="shared" si="34"/>
        <v>3</v>
      </c>
      <c r="F99" s="52">
        <f t="shared" si="44"/>
        <v>45371</v>
      </c>
      <c r="G99" s="51" t="str">
        <f t="shared" si="35"/>
        <v>Wed</v>
      </c>
      <c r="H99" s="50" t="s">
        <v>47</v>
      </c>
      <c r="I99" s="49"/>
      <c r="J99" s="48">
        <v>0</v>
      </c>
      <c r="K99" s="31"/>
      <c r="L99" s="43">
        <f t="shared" si="33"/>
        <v>0</v>
      </c>
      <c r="M99" s="47">
        <f t="shared" si="36"/>
        <v>0</v>
      </c>
      <c r="N99" s="41" t="str">
        <f t="shared" si="37"/>
        <v>0%</v>
      </c>
      <c r="O99" s="46"/>
      <c r="P99" s="45">
        <f>IF(D99=0,0,SUM($L$80:L99))</f>
        <v>0</v>
      </c>
      <c r="Q99" s="43">
        <f>IF(D99=0,0,SUM($J$80:J99))</f>
        <v>0</v>
      </c>
      <c r="R99" s="42">
        <f t="shared" si="38"/>
        <v>0</v>
      </c>
      <c r="S99" s="41" t="str">
        <f t="shared" si="39"/>
        <v>0%</v>
      </c>
      <c r="T99" s="44"/>
      <c r="U99" s="43">
        <f>IF(D99=0,0,SUM($L$20:L99))</f>
        <v>0</v>
      </c>
      <c r="V99" s="43">
        <f>IF(D99=0,0,SUM($J$20:J99))</f>
        <v>0</v>
      </c>
      <c r="W99" s="42">
        <f t="shared" si="40"/>
        <v>0</v>
      </c>
      <c r="X99" s="41" t="str">
        <f t="shared" si="41"/>
        <v>0%</v>
      </c>
      <c r="Y99" s="17"/>
      <c r="Z99" s="23">
        <f t="shared" si="45"/>
        <v>45371</v>
      </c>
      <c r="AA99" s="22">
        <f t="shared" si="46"/>
        <v>45371</v>
      </c>
      <c r="AB99" s="137">
        <v>45371</v>
      </c>
      <c r="AC99" s="141">
        <v>12</v>
      </c>
      <c r="AD99" s="136" t="s">
        <v>124</v>
      </c>
      <c r="AE99" s="138">
        <f>AVERAGEIFS(J355:J385,D355:D385,1,G355:G385,"wed")</f>
        <v>388307.5</v>
      </c>
      <c r="AF99" s="141">
        <f>COUNTIFS(D355:D385,1,G355:G385,"wed")</f>
        <v>4</v>
      </c>
      <c r="AG99" s="138"/>
      <c r="AH99" s="138">
        <f t="shared" si="47"/>
        <v>1553230</v>
      </c>
      <c r="AI99" s="264">
        <f t="shared" si="50"/>
        <v>0.19662508149301533</v>
      </c>
      <c r="AJ99" s="393"/>
      <c r="AK99" s="134"/>
      <c r="AL99" s="134"/>
      <c r="AM99" s="134"/>
      <c r="AN99" s="18"/>
      <c r="AO99" s="18"/>
      <c r="AP99" s="18"/>
      <c r="AQ99" s="18"/>
      <c r="AR99" s="17"/>
      <c r="AS99" s="21">
        <f t="shared" si="48"/>
        <v>45371</v>
      </c>
      <c r="AT99" s="17"/>
      <c r="AU99" s="17"/>
      <c r="AV99" s="17"/>
      <c r="AW99" s="17"/>
      <c r="AX99" s="17"/>
      <c r="AY99" s="17"/>
      <c r="AZ99" s="17"/>
    </row>
    <row r="100" spans="1:52" ht="20">
      <c r="A100" s="17"/>
      <c r="B100" s="40"/>
      <c r="C100" s="55">
        <f t="shared" si="43"/>
        <v>81</v>
      </c>
      <c r="D100" s="54">
        <v>1</v>
      </c>
      <c r="E100" s="53" t="str">
        <f t="shared" si="34"/>
        <v>3</v>
      </c>
      <c r="F100" s="52">
        <f t="shared" si="44"/>
        <v>45372</v>
      </c>
      <c r="G100" s="51" t="str">
        <f t="shared" si="35"/>
        <v>Thu</v>
      </c>
      <c r="H100" s="50"/>
      <c r="I100" s="49"/>
      <c r="J100" s="48">
        <v>369500</v>
      </c>
      <c r="K100" s="31"/>
      <c r="L100" s="43">
        <f t="shared" si="33"/>
        <v>246438.82698961941</v>
      </c>
      <c r="M100" s="47">
        <f t="shared" si="36"/>
        <v>123061.17301038059</v>
      </c>
      <c r="N100" s="41">
        <f t="shared" si="37"/>
        <v>1.4993578914233521</v>
      </c>
      <c r="O100" s="46"/>
      <c r="P100" s="45">
        <f>IF(D100=0,0,SUM($L$80:L100))</f>
        <v>4189460.0588235315</v>
      </c>
      <c r="Q100" s="43">
        <f>IF(D100=0,0,SUM($J$80:J100))</f>
        <v>4232764</v>
      </c>
      <c r="R100" s="42">
        <f t="shared" si="38"/>
        <v>43303.941176468506</v>
      </c>
      <c r="S100" s="41">
        <f t="shared" si="39"/>
        <v>1.0103364014857392</v>
      </c>
      <c r="T100" s="56"/>
      <c r="U100" s="43">
        <f>IF(D100=0,0,SUM($L$20:L100))</f>
        <v>13886827.900865044</v>
      </c>
      <c r="V100" s="43">
        <f>IF(D100=0,0,SUM($J$20:J100))</f>
        <v>14216968</v>
      </c>
      <c r="W100" s="42">
        <f t="shared" si="40"/>
        <v>330140.09913495556</v>
      </c>
      <c r="X100" s="41">
        <f t="shared" si="41"/>
        <v>1.0237736149314842</v>
      </c>
      <c r="Y100" s="17"/>
      <c r="Z100" s="23">
        <f t="shared" si="45"/>
        <v>45372</v>
      </c>
      <c r="AA100" s="22">
        <f t="shared" si="46"/>
        <v>45372</v>
      </c>
      <c r="AB100" s="137">
        <v>45372</v>
      </c>
      <c r="AC100" s="141">
        <v>12</v>
      </c>
      <c r="AD100" s="136" t="s">
        <v>125</v>
      </c>
      <c r="AE100" s="138">
        <f>AVERAGEIFS(J355:J385,D355:D385,1,G355:G385,"thu")</f>
        <v>336157.5</v>
      </c>
      <c r="AF100" s="141">
        <f>COUNTIFS(D355:D385,1,G355:G385,"thu")</f>
        <v>4</v>
      </c>
      <c r="AG100" s="138"/>
      <c r="AH100" s="138">
        <f t="shared" si="47"/>
        <v>1344630</v>
      </c>
      <c r="AI100" s="264">
        <f t="shared" si="50"/>
        <v>0.17021817974669123</v>
      </c>
      <c r="AJ100" s="393"/>
      <c r="AK100" s="134"/>
      <c r="AL100" s="134"/>
      <c r="AM100" s="134"/>
      <c r="AN100" s="18"/>
      <c r="AO100" s="18"/>
      <c r="AP100" s="18"/>
      <c r="AQ100" s="18"/>
      <c r="AR100" s="17"/>
      <c r="AS100" s="21">
        <f t="shared" si="48"/>
        <v>45372</v>
      </c>
      <c r="AT100" s="17"/>
      <c r="AU100" s="17"/>
      <c r="AV100" s="17"/>
      <c r="AW100" s="17"/>
      <c r="AX100" s="17"/>
      <c r="AY100" s="17"/>
      <c r="AZ100" s="17"/>
    </row>
    <row r="101" spans="1:52" ht="20">
      <c r="A101" s="17"/>
      <c r="B101" s="40"/>
      <c r="C101" s="55">
        <f t="shared" si="43"/>
        <v>82</v>
      </c>
      <c r="D101" s="54">
        <v>1</v>
      </c>
      <c r="E101" s="53" t="str">
        <f t="shared" si="34"/>
        <v>3</v>
      </c>
      <c r="F101" s="52">
        <f t="shared" si="44"/>
        <v>45373</v>
      </c>
      <c r="G101" s="51" t="str">
        <f t="shared" si="35"/>
        <v>Fri</v>
      </c>
      <c r="H101" s="50"/>
      <c r="I101" s="49"/>
      <c r="J101" s="48">
        <v>333000</v>
      </c>
      <c r="K101" s="31"/>
      <c r="L101" s="43">
        <f t="shared" si="33"/>
        <v>246438.82698961941</v>
      </c>
      <c r="M101" s="47">
        <f t="shared" si="36"/>
        <v>86561.173010380589</v>
      </c>
      <c r="N101" s="41">
        <f t="shared" si="37"/>
        <v>1.3512481132448613</v>
      </c>
      <c r="O101" s="46"/>
      <c r="P101" s="45">
        <f>IF(D101=0,0,SUM($L$80:L101))</f>
        <v>4435898.8858131506</v>
      </c>
      <c r="Q101" s="43">
        <f>IF(D101=0,0,SUM($J$80:J101))</f>
        <v>4565764</v>
      </c>
      <c r="R101" s="42">
        <f t="shared" si="38"/>
        <v>129865.11418684945</v>
      </c>
      <c r="S101" s="41">
        <f t="shared" si="39"/>
        <v>1.0292759410279126</v>
      </c>
      <c r="T101" s="56"/>
      <c r="U101" s="43">
        <f>IF(D101=0,0,SUM($L$20:L101))</f>
        <v>14133266.727854664</v>
      </c>
      <c r="V101" s="43">
        <f>IF(D101=0,0,SUM($J$20:J101))</f>
        <v>14549968</v>
      </c>
      <c r="W101" s="42">
        <f t="shared" si="40"/>
        <v>416701.27214533649</v>
      </c>
      <c r="X101" s="41">
        <f t="shared" si="41"/>
        <v>1.0294837195228246</v>
      </c>
      <c r="Y101" s="17"/>
      <c r="Z101" s="23">
        <f t="shared" si="45"/>
        <v>45373</v>
      </c>
      <c r="AA101" s="22">
        <f t="shared" si="46"/>
        <v>45373</v>
      </c>
      <c r="AB101" s="137">
        <v>45373</v>
      </c>
      <c r="AC101" s="141">
        <v>12</v>
      </c>
      <c r="AD101" s="136" t="s">
        <v>126</v>
      </c>
      <c r="AE101" s="138">
        <f>AVERAGEIFS(J355:J385,D355:D385,1,G355:G385,"fri")</f>
        <v>418530</v>
      </c>
      <c r="AF101" s="141">
        <f>COUNTIFS(D355:D385,1,G355:G385,"fri")</f>
        <v>4</v>
      </c>
      <c r="AG101" s="138"/>
      <c r="AH101" s="138">
        <f t="shared" si="47"/>
        <v>1674120</v>
      </c>
      <c r="AI101" s="264">
        <f t="shared" si="50"/>
        <v>0.21192867857888839</v>
      </c>
      <c r="AJ101" s="393"/>
      <c r="AK101" s="134"/>
      <c r="AL101" s="134"/>
      <c r="AM101" s="134"/>
      <c r="AN101" s="18"/>
      <c r="AO101" s="18"/>
      <c r="AP101" s="18"/>
      <c r="AQ101" s="18"/>
      <c r="AR101" s="17"/>
      <c r="AS101" s="21">
        <f t="shared" si="48"/>
        <v>45373</v>
      </c>
      <c r="AT101" s="17"/>
      <c r="AU101" s="17"/>
      <c r="AV101" s="17"/>
      <c r="AW101" s="17"/>
      <c r="AX101" s="17"/>
      <c r="AY101" s="17"/>
      <c r="AZ101" s="17"/>
    </row>
    <row r="102" spans="1:52" ht="20">
      <c r="A102" s="17"/>
      <c r="B102" s="40"/>
      <c r="C102" s="55">
        <f t="shared" si="43"/>
        <v>83</v>
      </c>
      <c r="D102" s="54">
        <v>1</v>
      </c>
      <c r="E102" s="53" t="str">
        <f t="shared" si="34"/>
        <v>3</v>
      </c>
      <c r="F102" s="52">
        <f t="shared" si="44"/>
        <v>45374</v>
      </c>
      <c r="G102" s="51" t="str">
        <f t="shared" si="35"/>
        <v>Sat</v>
      </c>
      <c r="H102" s="50"/>
      <c r="I102" s="49"/>
      <c r="J102" s="48">
        <v>118964</v>
      </c>
      <c r="K102" s="31"/>
      <c r="L102" s="43">
        <f t="shared" si="33"/>
        <v>246438.82698961941</v>
      </c>
      <c r="M102" s="47">
        <f t="shared" si="36"/>
        <v>-127474.82698961941</v>
      </c>
      <c r="N102" s="41">
        <f t="shared" si="37"/>
        <v>0.48273237400619118</v>
      </c>
      <c r="O102" s="46"/>
      <c r="P102" s="45">
        <f>IF(D102=0,0,SUM($L$80:L102))</f>
        <v>4682337.7128027696</v>
      </c>
      <c r="Q102" s="43">
        <f>IF(D102=0,0,SUM($J$80:J102))</f>
        <v>4684728</v>
      </c>
      <c r="R102" s="42">
        <f t="shared" si="38"/>
        <v>2390.2871972303838</v>
      </c>
      <c r="S102" s="41">
        <f t="shared" si="39"/>
        <v>1.0005104901320327</v>
      </c>
      <c r="T102" s="44"/>
      <c r="U102" s="43">
        <f>IF(D102=0,0,SUM($L$20:L102))</f>
        <v>14379705.554844283</v>
      </c>
      <c r="V102" s="43">
        <f>IF(D102=0,0,SUM($J$20:J102))</f>
        <v>14668932</v>
      </c>
      <c r="W102" s="42">
        <f t="shared" si="40"/>
        <v>289226.44515571743</v>
      </c>
      <c r="X102" s="41">
        <f t="shared" si="41"/>
        <v>1.0201135165148276</v>
      </c>
      <c r="Y102" s="17"/>
      <c r="Z102" s="23">
        <f t="shared" si="45"/>
        <v>45374</v>
      </c>
      <c r="AA102" s="22">
        <f t="shared" si="46"/>
        <v>45374</v>
      </c>
      <c r="AB102" s="137">
        <v>45374</v>
      </c>
      <c r="AC102" s="141">
        <v>12</v>
      </c>
      <c r="AD102" s="136" t="s">
        <v>127</v>
      </c>
      <c r="AE102" s="138">
        <f>AVERAGEIFS(J355:J385,D355:D385,1,G355:G385,"sat")</f>
        <v>235662.5</v>
      </c>
      <c r="AF102" s="141">
        <f>COUNTIFS(D355:D385,1,G355:G385,"sat")</f>
        <v>4</v>
      </c>
      <c r="AG102" s="138"/>
      <c r="AH102" s="138">
        <f t="shared" si="47"/>
        <v>942650</v>
      </c>
      <c r="AI102" s="264">
        <f t="shared" si="50"/>
        <v>0.11933109267100873</v>
      </c>
      <c r="AJ102" s="393"/>
      <c r="AK102" s="134"/>
      <c r="AL102" s="134"/>
      <c r="AM102" s="134"/>
      <c r="AN102" s="18"/>
      <c r="AO102" s="18"/>
      <c r="AP102" s="18"/>
      <c r="AQ102" s="18"/>
      <c r="AR102" s="17"/>
      <c r="AS102" s="21">
        <f t="shared" si="48"/>
        <v>45374</v>
      </c>
      <c r="AT102" s="17"/>
      <c r="AU102" s="17"/>
      <c r="AV102" s="17"/>
      <c r="AW102" s="17"/>
      <c r="AX102" s="17"/>
      <c r="AY102" s="17"/>
      <c r="AZ102" s="17"/>
    </row>
    <row r="103" spans="1:52" ht="20">
      <c r="A103" s="17"/>
      <c r="B103" s="40"/>
      <c r="C103" s="55">
        <f t="shared" si="43"/>
        <v>84</v>
      </c>
      <c r="D103" s="54">
        <v>0</v>
      </c>
      <c r="E103" s="53" t="str">
        <f t="shared" si="34"/>
        <v>3</v>
      </c>
      <c r="F103" s="52">
        <f t="shared" si="44"/>
        <v>45375</v>
      </c>
      <c r="G103" s="51" t="str">
        <f t="shared" si="35"/>
        <v>Sun</v>
      </c>
      <c r="H103" s="50" t="s">
        <v>46</v>
      </c>
      <c r="I103" s="49"/>
      <c r="J103" s="48">
        <v>0</v>
      </c>
      <c r="K103" s="31"/>
      <c r="L103" s="43">
        <f t="shared" si="33"/>
        <v>0</v>
      </c>
      <c r="M103" s="47">
        <f t="shared" si="36"/>
        <v>0</v>
      </c>
      <c r="N103" s="41" t="str">
        <f t="shared" si="37"/>
        <v>0%</v>
      </c>
      <c r="O103" s="46"/>
      <c r="P103" s="45">
        <f>IF(D103=0,0,SUM($L$80:L103))</f>
        <v>0</v>
      </c>
      <c r="Q103" s="43">
        <f>IF(D103=0,0,SUM($J$80:J103))</f>
        <v>0</v>
      </c>
      <c r="R103" s="42">
        <f t="shared" si="38"/>
        <v>0</v>
      </c>
      <c r="S103" s="41" t="str">
        <f t="shared" si="39"/>
        <v>0%</v>
      </c>
      <c r="T103" s="56"/>
      <c r="U103" s="43">
        <f>IF(D103=0,0,SUM($L$20:L103))</f>
        <v>0</v>
      </c>
      <c r="V103" s="43">
        <f>IF(D103=0,0,SUM($J$20:J103))</f>
        <v>0</v>
      </c>
      <c r="W103" s="42">
        <f t="shared" si="40"/>
        <v>0</v>
      </c>
      <c r="X103" s="41" t="str">
        <f t="shared" si="41"/>
        <v>0%</v>
      </c>
      <c r="Y103" s="17"/>
      <c r="Z103" s="23">
        <f t="shared" si="45"/>
        <v>45375</v>
      </c>
      <c r="AA103" s="22">
        <f t="shared" si="46"/>
        <v>45375</v>
      </c>
      <c r="AB103" s="137">
        <v>45375</v>
      </c>
      <c r="AC103" s="141">
        <v>12</v>
      </c>
      <c r="AD103" s="136" t="s">
        <v>128</v>
      </c>
      <c r="AE103" s="138">
        <f>IFERROR(AVERAGEIFS(J355:J385,D355:D385,1,G355:G385,"sun"),0)</f>
        <v>0</v>
      </c>
      <c r="AF103" s="141">
        <f>IFERROR(COUNTIFS(D355:D385,1,G355:G385,"sun"),0)</f>
        <v>0</v>
      </c>
      <c r="AG103" s="138"/>
      <c r="AH103" s="138">
        <f t="shared" si="47"/>
        <v>0</v>
      </c>
      <c r="AI103" s="264">
        <f t="shared" si="50"/>
        <v>0</v>
      </c>
      <c r="AJ103" s="393"/>
      <c r="AK103" s="134"/>
      <c r="AL103" s="134"/>
      <c r="AM103" s="134"/>
      <c r="AN103" s="18"/>
      <c r="AO103" s="18"/>
      <c r="AP103" s="18"/>
      <c r="AQ103" s="18"/>
      <c r="AR103" s="17"/>
      <c r="AS103" s="21">
        <f t="shared" si="48"/>
        <v>45375</v>
      </c>
      <c r="AT103" s="17"/>
      <c r="AU103" s="17"/>
      <c r="AV103" s="17"/>
      <c r="AW103" s="17"/>
      <c r="AX103" s="17"/>
      <c r="AY103" s="17"/>
      <c r="AZ103" s="17"/>
    </row>
    <row r="104" spans="1:52" ht="20">
      <c r="A104" s="17"/>
      <c r="B104" s="40"/>
      <c r="C104" s="55">
        <f t="shared" si="43"/>
        <v>85</v>
      </c>
      <c r="D104" s="54">
        <v>1</v>
      </c>
      <c r="E104" s="53" t="str">
        <f t="shared" si="34"/>
        <v>3</v>
      </c>
      <c r="F104" s="52">
        <f t="shared" si="44"/>
        <v>45376</v>
      </c>
      <c r="G104" s="51" t="str">
        <f t="shared" si="35"/>
        <v>Mon</v>
      </c>
      <c r="H104" s="50"/>
      <c r="I104" s="49"/>
      <c r="J104" s="48">
        <v>232640</v>
      </c>
      <c r="K104" s="31"/>
      <c r="L104" s="43">
        <f t="shared" si="33"/>
        <v>246438.82698961941</v>
      </c>
      <c r="M104" s="47">
        <f t="shared" si="36"/>
        <v>-13798.826989619411</v>
      </c>
      <c r="N104" s="41">
        <f t="shared" si="37"/>
        <v>0.94400709028613961</v>
      </c>
      <c r="O104" s="46"/>
      <c r="P104" s="45">
        <f>IF(D104=0,0,SUM($L$80:L104))</f>
        <v>4928776.5397923887</v>
      </c>
      <c r="Q104" s="43">
        <f>IF(D104=0,0,SUM($J$80:J104))</f>
        <v>4917368</v>
      </c>
      <c r="R104" s="42">
        <f t="shared" si="38"/>
        <v>-11408.539792388678</v>
      </c>
      <c r="S104" s="41">
        <f t="shared" si="39"/>
        <v>0.9976853201397381</v>
      </c>
      <c r="T104" s="56"/>
      <c r="U104" s="43">
        <f>IF(D104=0,0,SUM($L$20:L104))</f>
        <v>14626144.381833902</v>
      </c>
      <c r="V104" s="43">
        <f>IF(D104=0,0,SUM($J$20:J104))</f>
        <v>14901572</v>
      </c>
      <c r="W104" s="42">
        <f t="shared" si="40"/>
        <v>275427.61816609837</v>
      </c>
      <c r="X104" s="41">
        <f t="shared" si="41"/>
        <v>1.0188311841436617</v>
      </c>
      <c r="Y104" s="17"/>
      <c r="Z104" s="23">
        <f t="shared" si="45"/>
        <v>45376</v>
      </c>
      <c r="AA104" s="22">
        <f t="shared" si="46"/>
        <v>45376</v>
      </c>
      <c r="AB104" s="137">
        <v>45376</v>
      </c>
      <c r="AC104" s="15"/>
      <c r="AD104" s="15"/>
      <c r="AE104" s="15"/>
      <c r="AF104" s="258"/>
      <c r="AG104" s="259"/>
      <c r="AH104" s="259"/>
      <c r="AI104" s="259"/>
      <c r="AJ104" s="259"/>
      <c r="AK104" s="15"/>
      <c r="AL104" s="134"/>
      <c r="AM104" s="134"/>
      <c r="AN104" s="18"/>
      <c r="AO104" s="18"/>
      <c r="AP104" s="18"/>
      <c r="AQ104" s="18"/>
      <c r="AR104" s="17"/>
      <c r="AS104" s="21">
        <f t="shared" si="48"/>
        <v>45376</v>
      </c>
      <c r="AT104" s="17"/>
      <c r="AU104" s="17"/>
      <c r="AV104" s="17"/>
      <c r="AW104" s="17"/>
      <c r="AX104" s="17"/>
      <c r="AY104" s="17"/>
      <c r="AZ104" s="17"/>
    </row>
    <row r="105" spans="1:52" ht="20">
      <c r="A105" s="17"/>
      <c r="B105" s="40"/>
      <c r="C105" s="55">
        <f t="shared" si="43"/>
        <v>86</v>
      </c>
      <c r="D105" s="54">
        <v>1</v>
      </c>
      <c r="E105" s="53" t="str">
        <f t="shared" si="34"/>
        <v>3</v>
      </c>
      <c r="F105" s="52">
        <f t="shared" si="44"/>
        <v>45377</v>
      </c>
      <c r="G105" s="51" t="str">
        <f t="shared" si="35"/>
        <v>Tue</v>
      </c>
      <c r="H105" s="50"/>
      <c r="I105" s="49"/>
      <c r="J105" s="48">
        <v>222520</v>
      </c>
      <c r="K105" s="31"/>
      <c r="L105" s="43">
        <f t="shared" si="33"/>
        <v>246438.82698961941</v>
      </c>
      <c r="M105" s="47">
        <f t="shared" si="36"/>
        <v>-23918.826989619411</v>
      </c>
      <c r="N105" s="41">
        <f t="shared" si="37"/>
        <v>0.90294213261034983</v>
      </c>
      <c r="O105" s="46"/>
      <c r="P105" s="45">
        <f>IF(D105=0,0,SUM($L$80:L105))</f>
        <v>5175215.3667820077</v>
      </c>
      <c r="Q105" s="43">
        <f>IF(D105=0,0,SUM($J$80:J105))</f>
        <v>5139888</v>
      </c>
      <c r="R105" s="42">
        <f t="shared" si="38"/>
        <v>-35327.366782007739</v>
      </c>
      <c r="S105" s="41">
        <f t="shared" si="39"/>
        <v>0.99317373978119594</v>
      </c>
      <c r="T105" s="56"/>
      <c r="U105" s="43">
        <f>IF(D105=0,0,SUM($L$20:L105))</f>
        <v>14872583.208823521</v>
      </c>
      <c r="V105" s="43">
        <f>IF(D105=0,0,SUM($J$20:J105))</f>
        <v>15124092</v>
      </c>
      <c r="W105" s="42">
        <f t="shared" si="40"/>
        <v>251508.79117647931</v>
      </c>
      <c r="X105" s="41">
        <f t="shared" si="41"/>
        <v>1.0169109015996136</v>
      </c>
      <c r="Y105" s="17"/>
      <c r="Z105" s="23">
        <f t="shared" si="45"/>
        <v>45377</v>
      </c>
      <c r="AA105" s="22">
        <f t="shared" si="46"/>
        <v>45377</v>
      </c>
      <c r="AB105" s="137">
        <v>45377</v>
      </c>
      <c r="AC105" s="15"/>
      <c r="AD105" s="15"/>
      <c r="AE105" s="15"/>
      <c r="AF105" s="258"/>
      <c r="AG105" s="259"/>
      <c r="AH105" s="259"/>
      <c r="AI105" s="259"/>
      <c r="AJ105" s="259"/>
      <c r="AK105" s="15"/>
      <c r="AL105" s="134"/>
      <c r="AM105" s="134"/>
      <c r="AN105" s="18"/>
      <c r="AO105" s="18"/>
      <c r="AP105" s="18"/>
      <c r="AQ105" s="18"/>
      <c r="AR105" s="17"/>
      <c r="AS105" s="21">
        <f t="shared" si="48"/>
        <v>45377</v>
      </c>
      <c r="AT105" s="17"/>
      <c r="AU105" s="17"/>
      <c r="AV105" s="17"/>
      <c r="AW105" s="17"/>
      <c r="AX105" s="17"/>
      <c r="AY105" s="17"/>
      <c r="AZ105" s="17"/>
    </row>
    <row r="106" spans="1:52" ht="20">
      <c r="A106" s="17"/>
      <c r="B106" s="40"/>
      <c r="C106" s="55">
        <f t="shared" si="43"/>
        <v>87</v>
      </c>
      <c r="D106" s="54">
        <v>1</v>
      </c>
      <c r="E106" s="53" t="str">
        <f t="shared" si="34"/>
        <v>3</v>
      </c>
      <c r="F106" s="52">
        <f t="shared" si="44"/>
        <v>45378</v>
      </c>
      <c r="G106" s="51" t="str">
        <f t="shared" si="35"/>
        <v>Wed</v>
      </c>
      <c r="H106" s="50"/>
      <c r="I106" s="49"/>
      <c r="J106" s="48">
        <v>417850</v>
      </c>
      <c r="K106" s="31"/>
      <c r="L106" s="43">
        <f t="shared" si="33"/>
        <v>246438.82698961941</v>
      </c>
      <c r="M106" s="47">
        <f t="shared" si="36"/>
        <v>171411.17301038059</v>
      </c>
      <c r="N106" s="41">
        <f t="shared" si="37"/>
        <v>1.6955526249830788</v>
      </c>
      <c r="O106" s="46"/>
      <c r="P106" s="45">
        <f>IF(D106=0,0,SUM($L$80:L106))</f>
        <v>5421654.1937716268</v>
      </c>
      <c r="Q106" s="43">
        <f>IF(D106=0,0,SUM($J$80:J106))</f>
        <v>5557738</v>
      </c>
      <c r="R106" s="42">
        <f t="shared" si="38"/>
        <v>136083.8062283732</v>
      </c>
      <c r="S106" s="41">
        <f t="shared" si="39"/>
        <v>1.0251000527449179</v>
      </c>
      <c r="T106" s="56"/>
      <c r="U106" s="43">
        <f>IF(D106=0,0,SUM($L$20:L106))</f>
        <v>15119022.03581314</v>
      </c>
      <c r="V106" s="43">
        <f>IF(D106=0,0,SUM($J$20:J106))</f>
        <v>15541942</v>
      </c>
      <c r="W106" s="42">
        <f t="shared" si="40"/>
        <v>422919.96418686025</v>
      </c>
      <c r="X106" s="41">
        <f t="shared" si="41"/>
        <v>1.0279727063817401</v>
      </c>
      <c r="Y106" s="17"/>
      <c r="Z106" s="23">
        <f t="shared" si="45"/>
        <v>45378</v>
      </c>
      <c r="AA106" s="22">
        <f t="shared" si="46"/>
        <v>45378</v>
      </c>
      <c r="AB106" s="137">
        <v>45378</v>
      </c>
      <c r="AC106" s="15"/>
      <c r="AD106" s="15"/>
      <c r="AE106" s="15"/>
      <c r="AF106" s="258"/>
      <c r="AG106" s="259"/>
      <c r="AH106" s="259"/>
      <c r="AI106" s="259"/>
      <c r="AJ106" s="259"/>
      <c r="AK106" s="15"/>
      <c r="AL106" s="134"/>
      <c r="AM106" s="134"/>
      <c r="AN106" s="18"/>
      <c r="AO106" s="18"/>
      <c r="AP106" s="18"/>
      <c r="AQ106" s="18"/>
      <c r="AR106" s="17"/>
      <c r="AS106" s="21">
        <f t="shared" si="48"/>
        <v>45378</v>
      </c>
      <c r="AT106" s="17"/>
      <c r="AU106" s="17"/>
      <c r="AV106" s="17"/>
      <c r="AW106" s="17"/>
      <c r="AX106" s="17"/>
      <c r="AY106" s="17"/>
      <c r="AZ106" s="17"/>
    </row>
    <row r="107" spans="1:52" ht="20">
      <c r="A107" s="17"/>
      <c r="B107" s="40"/>
      <c r="C107" s="55">
        <f t="shared" si="43"/>
        <v>88</v>
      </c>
      <c r="D107" s="54">
        <v>1</v>
      </c>
      <c r="E107" s="53" t="str">
        <f t="shared" si="34"/>
        <v>3</v>
      </c>
      <c r="F107" s="52">
        <f t="shared" si="44"/>
        <v>45379</v>
      </c>
      <c r="G107" s="51" t="str">
        <f t="shared" si="35"/>
        <v>Thu</v>
      </c>
      <c r="H107" s="50"/>
      <c r="I107" s="49"/>
      <c r="J107" s="48">
        <v>327160</v>
      </c>
      <c r="K107" s="31"/>
      <c r="L107" s="43">
        <f t="shared" si="33"/>
        <v>246438.82698961941</v>
      </c>
      <c r="M107" s="47">
        <f t="shared" si="36"/>
        <v>80721.173010380589</v>
      </c>
      <c r="N107" s="41">
        <f t="shared" si="37"/>
        <v>1.3275505487363026</v>
      </c>
      <c r="O107" s="46"/>
      <c r="P107" s="45">
        <f>IF(D107=0,0,SUM($L$80:L107))</f>
        <v>5668093.0207612459</v>
      </c>
      <c r="Q107" s="43">
        <f>IF(D107=0,0,SUM($J$80:J107))</f>
        <v>5884898</v>
      </c>
      <c r="R107" s="42">
        <f t="shared" si="38"/>
        <v>216804.97923875414</v>
      </c>
      <c r="S107" s="41">
        <f t="shared" si="39"/>
        <v>1.0382500743097607</v>
      </c>
      <c r="T107" s="56"/>
      <c r="U107" s="43">
        <f>IF(D107=0,0,SUM($L$20:L107))</f>
        <v>15365460.862802759</v>
      </c>
      <c r="V107" s="43">
        <f>IF(D107=0,0,SUM($J$20:J107))</f>
        <v>15869102</v>
      </c>
      <c r="W107" s="42">
        <f t="shared" si="40"/>
        <v>503641.13719724119</v>
      </c>
      <c r="X107" s="41">
        <f t="shared" si="41"/>
        <v>1.0327774833240748</v>
      </c>
      <c r="Y107" s="17"/>
      <c r="Z107" s="23">
        <f t="shared" si="45"/>
        <v>45379</v>
      </c>
      <c r="AA107" s="22">
        <f t="shared" si="46"/>
        <v>45379</v>
      </c>
      <c r="AB107" s="137">
        <v>45379</v>
      </c>
      <c r="AC107" s="15"/>
      <c r="AD107" s="15"/>
      <c r="AE107" s="15"/>
      <c r="AF107" s="258"/>
      <c r="AG107" s="259"/>
      <c r="AH107" s="259"/>
      <c r="AI107" s="259"/>
      <c r="AJ107" s="259"/>
      <c r="AK107" s="15"/>
      <c r="AL107" s="134"/>
      <c r="AM107" s="134"/>
      <c r="AN107" s="18"/>
      <c r="AO107" s="18"/>
      <c r="AP107" s="18"/>
      <c r="AQ107" s="18"/>
      <c r="AR107" s="17"/>
      <c r="AS107" s="21">
        <f t="shared" si="48"/>
        <v>45379</v>
      </c>
      <c r="AT107" s="17"/>
      <c r="AU107" s="17"/>
      <c r="AV107" s="17"/>
      <c r="AW107" s="17"/>
      <c r="AX107" s="17"/>
      <c r="AY107" s="17"/>
      <c r="AZ107" s="17"/>
    </row>
    <row r="108" spans="1:52" ht="20">
      <c r="A108" s="17"/>
      <c r="B108" s="40"/>
      <c r="C108" s="55">
        <f t="shared" si="43"/>
        <v>89</v>
      </c>
      <c r="D108" s="54">
        <v>1</v>
      </c>
      <c r="E108" s="53" t="str">
        <f t="shared" si="34"/>
        <v>3</v>
      </c>
      <c r="F108" s="52">
        <f t="shared" si="44"/>
        <v>45380</v>
      </c>
      <c r="G108" s="51" t="str">
        <f t="shared" si="35"/>
        <v>Fri</v>
      </c>
      <c r="H108" s="50"/>
      <c r="I108" s="49"/>
      <c r="J108" s="48">
        <v>358550</v>
      </c>
      <c r="K108" s="31"/>
      <c r="L108" s="43">
        <f t="shared" si="33"/>
        <v>246438.82698961941</v>
      </c>
      <c r="M108" s="47">
        <f t="shared" si="36"/>
        <v>112111.17301038059</v>
      </c>
      <c r="N108" s="41">
        <f t="shared" si="37"/>
        <v>1.4549249579698047</v>
      </c>
      <c r="O108" s="46"/>
      <c r="P108" s="45">
        <f>IF(D108=0,0,SUM($L$80:L108))</f>
        <v>5914531.8477508649</v>
      </c>
      <c r="Q108" s="43">
        <f>IF(D108=0,0,SUM($J$80:J108))</f>
        <v>6243448</v>
      </c>
      <c r="R108" s="42">
        <f t="shared" si="38"/>
        <v>328916.15224913508</v>
      </c>
      <c r="S108" s="41">
        <f t="shared" si="39"/>
        <v>1.055611527795596</v>
      </c>
      <c r="T108" s="56"/>
      <c r="U108" s="43">
        <f>IF(D108=0,0,SUM($L$20:L108))</f>
        <v>15611899.689792378</v>
      </c>
      <c r="V108" s="43">
        <f>IF(D108=0,0,SUM($J$20:J108))</f>
        <v>16227652</v>
      </c>
      <c r="W108" s="42">
        <f t="shared" si="40"/>
        <v>615752.31020762213</v>
      </c>
      <c r="X108" s="41">
        <f t="shared" si="41"/>
        <v>1.0394412161519475</v>
      </c>
      <c r="Y108" s="17"/>
      <c r="Z108" s="23">
        <f t="shared" si="45"/>
        <v>45380</v>
      </c>
      <c r="AA108" s="22">
        <f t="shared" si="46"/>
        <v>45380</v>
      </c>
      <c r="AB108" s="137">
        <v>45380</v>
      </c>
      <c r="AC108" s="15"/>
      <c r="AD108" s="15"/>
      <c r="AE108" s="15"/>
      <c r="AF108" s="258"/>
      <c r="AG108" s="259"/>
      <c r="AH108" s="259"/>
      <c r="AI108" s="259"/>
      <c r="AJ108" s="259"/>
      <c r="AK108" s="15"/>
      <c r="AL108" s="134"/>
      <c r="AM108" s="134"/>
      <c r="AN108" s="18"/>
      <c r="AO108" s="18"/>
      <c r="AP108" s="18"/>
      <c r="AQ108" s="18"/>
      <c r="AR108" s="17"/>
      <c r="AS108" s="21">
        <f t="shared" si="48"/>
        <v>45380</v>
      </c>
      <c r="AT108" s="17"/>
      <c r="AU108" s="17"/>
      <c r="AV108" s="17"/>
      <c r="AW108" s="17"/>
      <c r="AX108" s="17"/>
      <c r="AY108" s="17"/>
      <c r="AZ108" s="17"/>
    </row>
    <row r="109" spans="1:52" ht="20">
      <c r="A109" s="17"/>
      <c r="B109" s="40"/>
      <c r="C109" s="55">
        <f t="shared" si="43"/>
        <v>90</v>
      </c>
      <c r="D109" s="54">
        <v>1</v>
      </c>
      <c r="E109" s="53" t="str">
        <f t="shared" si="34"/>
        <v>3</v>
      </c>
      <c r="F109" s="52">
        <f t="shared" si="44"/>
        <v>45381</v>
      </c>
      <c r="G109" s="51" t="str">
        <f t="shared" si="35"/>
        <v>Sat</v>
      </c>
      <c r="H109" s="50"/>
      <c r="I109" s="49"/>
      <c r="J109" s="48">
        <v>217160</v>
      </c>
      <c r="K109" s="31"/>
      <c r="L109" s="43">
        <f t="shared" si="33"/>
        <v>246438.82698961941</v>
      </c>
      <c r="M109" s="47">
        <f t="shared" si="36"/>
        <v>-29278.826989619411</v>
      </c>
      <c r="N109" s="41">
        <f t="shared" si="37"/>
        <v>0.8811923131298921</v>
      </c>
      <c r="O109" s="46"/>
      <c r="P109" s="45">
        <f>IF(D109=0,0,SUM($L$80:L109))</f>
        <v>6160970.674740484</v>
      </c>
      <c r="Q109" s="43">
        <f>IF(D109=0,0,SUM($J$80:J109))</f>
        <v>6460608</v>
      </c>
      <c r="R109" s="42">
        <f t="shared" si="38"/>
        <v>299637.32525951602</v>
      </c>
      <c r="S109" s="41">
        <f t="shared" si="39"/>
        <v>1.048634759208968</v>
      </c>
      <c r="T109" s="44"/>
      <c r="U109" s="43">
        <f>IF(D109=0,0,SUM($L$20:L109))</f>
        <v>15858338.516781997</v>
      </c>
      <c r="V109" s="43">
        <f>IF(D109=0,0,SUM($J$20:J109))</f>
        <v>16444812</v>
      </c>
      <c r="W109" s="42">
        <f t="shared" si="40"/>
        <v>586473.48321800306</v>
      </c>
      <c r="X109" s="41">
        <f t="shared" si="41"/>
        <v>1.0369820257397944</v>
      </c>
      <c r="Y109" s="17"/>
      <c r="Z109" s="23">
        <f t="shared" si="45"/>
        <v>45381</v>
      </c>
      <c r="AA109" s="22">
        <f t="shared" si="46"/>
        <v>45381</v>
      </c>
      <c r="AB109" s="137">
        <v>45381</v>
      </c>
      <c r="AC109" s="260"/>
      <c r="AD109" s="15"/>
      <c r="AE109" s="261"/>
      <c r="AF109" s="262"/>
      <c r="AG109" s="263"/>
      <c r="AH109" s="263"/>
      <c r="AI109" s="263"/>
      <c r="AJ109" s="263"/>
      <c r="AK109" s="261"/>
      <c r="AL109" s="134"/>
      <c r="AM109" s="134"/>
      <c r="AN109" s="18"/>
      <c r="AO109" s="18"/>
      <c r="AP109" s="18"/>
      <c r="AQ109" s="18"/>
      <c r="AR109" s="17"/>
      <c r="AS109" s="21">
        <f t="shared" si="48"/>
        <v>45381</v>
      </c>
      <c r="AT109" s="17"/>
      <c r="AU109" s="17"/>
      <c r="AV109" s="17"/>
      <c r="AW109" s="17"/>
      <c r="AX109" s="17"/>
      <c r="AY109" s="17"/>
      <c r="AZ109" s="17"/>
    </row>
    <row r="110" spans="1:52" ht="21" thickBot="1">
      <c r="A110" s="17"/>
      <c r="B110" s="40"/>
      <c r="C110" s="39">
        <f t="shared" si="43"/>
        <v>91</v>
      </c>
      <c r="D110" s="38">
        <v>0</v>
      </c>
      <c r="E110" s="37" t="str">
        <f t="shared" si="34"/>
        <v>3</v>
      </c>
      <c r="F110" s="36">
        <f t="shared" si="44"/>
        <v>45382</v>
      </c>
      <c r="G110" s="35" t="str">
        <f t="shared" si="35"/>
        <v>Sun</v>
      </c>
      <c r="H110" s="34" t="s">
        <v>46</v>
      </c>
      <c r="I110" s="33"/>
      <c r="J110" s="32">
        <v>0</v>
      </c>
      <c r="K110" s="31"/>
      <c r="L110" s="26">
        <f t="shared" si="33"/>
        <v>0</v>
      </c>
      <c r="M110" s="30">
        <f t="shared" si="36"/>
        <v>0</v>
      </c>
      <c r="N110" s="24" t="str">
        <f t="shared" si="37"/>
        <v>0%</v>
      </c>
      <c r="O110" s="29"/>
      <c r="P110" s="63">
        <f>IF(D110=0,0,SUM($L$80:L110))</f>
        <v>0</v>
      </c>
      <c r="Q110" s="26">
        <f>IF(D110=0,0,SUM($J$80:J110))</f>
        <v>0</v>
      </c>
      <c r="R110" s="25">
        <f t="shared" si="38"/>
        <v>0</v>
      </c>
      <c r="S110" s="24" t="str">
        <f t="shared" si="39"/>
        <v>0%</v>
      </c>
      <c r="T110" s="64"/>
      <c r="U110" s="26">
        <f>IF(D110=0,0,SUM($L$20:L110))</f>
        <v>0</v>
      </c>
      <c r="V110" s="26">
        <f>IF(D110=0,0,SUM($J$20:J110))</f>
        <v>0</v>
      </c>
      <c r="W110" s="25">
        <f t="shared" si="40"/>
        <v>0</v>
      </c>
      <c r="X110" s="24" t="str">
        <f t="shared" si="41"/>
        <v>0%</v>
      </c>
      <c r="Y110" s="17"/>
      <c r="Z110" s="23">
        <f t="shared" si="45"/>
        <v>45382</v>
      </c>
      <c r="AA110" s="22">
        <f t="shared" si="46"/>
        <v>45382</v>
      </c>
      <c r="AB110" s="137">
        <v>45382</v>
      </c>
      <c r="AC110" s="260"/>
      <c r="AD110" s="15"/>
      <c r="AE110" s="261"/>
      <c r="AF110" s="262"/>
      <c r="AG110" s="263"/>
      <c r="AH110" s="263"/>
      <c r="AI110" s="263"/>
      <c r="AJ110" s="263"/>
      <c r="AK110" s="261"/>
      <c r="AL110" s="134"/>
      <c r="AM110" s="134"/>
      <c r="AN110" s="18"/>
      <c r="AO110" s="18"/>
      <c r="AP110" s="18"/>
      <c r="AQ110" s="18"/>
      <c r="AR110" s="17"/>
      <c r="AS110" s="21">
        <f t="shared" si="48"/>
        <v>45382</v>
      </c>
      <c r="AT110" s="17"/>
      <c r="AU110" s="17"/>
      <c r="AV110" s="17"/>
      <c r="AW110" s="17"/>
      <c r="AX110" s="17"/>
      <c r="AY110" s="17"/>
      <c r="AZ110" s="17"/>
    </row>
    <row r="111" spans="1:52" ht="21" thickTop="1">
      <c r="A111" s="17"/>
      <c r="B111" s="40"/>
      <c r="C111" s="55">
        <f t="shared" si="43"/>
        <v>92</v>
      </c>
      <c r="D111" s="62">
        <v>1</v>
      </c>
      <c r="E111" s="53" t="str">
        <f t="shared" si="34"/>
        <v>4</v>
      </c>
      <c r="F111" s="52">
        <f t="shared" si="44"/>
        <v>45383</v>
      </c>
      <c r="G111" s="51" t="str">
        <f t="shared" si="35"/>
        <v>Mon</v>
      </c>
      <c r="H111" s="50"/>
      <c r="I111" s="49"/>
      <c r="J111" s="48">
        <v>184600</v>
      </c>
      <c r="K111" s="31"/>
      <c r="L111" s="43">
        <f t="shared" ref="L111:L140" si="51">IF(D111=0,0,$K$9)</f>
        <v>258760.76833910038</v>
      </c>
      <c r="M111" s="42">
        <f t="shared" si="36"/>
        <v>-74160.768339100381</v>
      </c>
      <c r="N111" s="60">
        <f t="shared" si="37"/>
        <v>0.71340026227656617</v>
      </c>
      <c r="O111" s="46"/>
      <c r="P111" s="61">
        <f>IF(D111=0,0,$L$111)</f>
        <v>258760.76833910038</v>
      </c>
      <c r="Q111" s="43">
        <f>IF(D111=0,0,$J$111)</f>
        <v>184600</v>
      </c>
      <c r="R111" s="42">
        <f t="shared" si="38"/>
        <v>-74160.768339100381</v>
      </c>
      <c r="S111" s="60">
        <f t="shared" si="39"/>
        <v>0.71340026227656617</v>
      </c>
      <c r="T111" s="56"/>
      <c r="U111" s="43">
        <f>IF(D111=0,0,SUM($L$20:L111))</f>
        <v>16117099.285121098</v>
      </c>
      <c r="V111" s="43">
        <f>IF(D111=0,0,SUM($J$20:J111))</f>
        <v>16629412</v>
      </c>
      <c r="W111" s="42">
        <f t="shared" si="40"/>
        <v>512312.71487890184</v>
      </c>
      <c r="X111" s="60">
        <f t="shared" si="41"/>
        <v>1.031786905684192</v>
      </c>
      <c r="Y111" s="17"/>
      <c r="Z111" s="23">
        <f t="shared" si="45"/>
        <v>45383</v>
      </c>
      <c r="AA111" s="22">
        <f t="shared" si="46"/>
        <v>45383</v>
      </c>
      <c r="AB111" s="137">
        <v>45383</v>
      </c>
      <c r="AC111" s="15"/>
      <c r="AD111" s="15"/>
      <c r="AE111" s="15"/>
      <c r="AF111" s="258"/>
      <c r="AG111" s="259"/>
      <c r="AH111" s="259"/>
      <c r="AI111" s="259"/>
      <c r="AJ111" s="259"/>
      <c r="AK111" s="15"/>
      <c r="AL111" s="134"/>
      <c r="AM111" s="134"/>
      <c r="AN111" s="18"/>
      <c r="AO111" s="18"/>
      <c r="AP111" s="18"/>
      <c r="AQ111" s="18"/>
      <c r="AR111" s="17"/>
      <c r="AS111" s="21">
        <f t="shared" si="48"/>
        <v>45383</v>
      </c>
      <c r="AT111" s="17"/>
      <c r="AU111" s="17"/>
      <c r="AV111" s="17"/>
      <c r="AW111" s="17"/>
      <c r="AX111" s="17"/>
      <c r="AY111" s="17"/>
      <c r="AZ111" s="17"/>
    </row>
    <row r="112" spans="1:52" ht="20">
      <c r="A112" s="17"/>
      <c r="B112" s="40"/>
      <c r="C112" s="55">
        <f t="shared" si="43"/>
        <v>93</v>
      </c>
      <c r="D112" s="54">
        <v>1</v>
      </c>
      <c r="E112" s="53" t="str">
        <f t="shared" si="34"/>
        <v>4</v>
      </c>
      <c r="F112" s="52">
        <f t="shared" si="44"/>
        <v>45384</v>
      </c>
      <c r="G112" s="51" t="str">
        <f t="shared" si="35"/>
        <v>Tue</v>
      </c>
      <c r="H112" s="50"/>
      <c r="I112" s="49"/>
      <c r="J112" s="48">
        <v>271210</v>
      </c>
      <c r="K112" s="31"/>
      <c r="L112" s="43">
        <f t="shared" si="51"/>
        <v>258760.76833910038</v>
      </c>
      <c r="M112" s="47">
        <f t="shared" si="36"/>
        <v>12449.231660899619</v>
      </c>
      <c r="N112" s="41">
        <f t="shared" si="37"/>
        <v>1.0481109703793474</v>
      </c>
      <c r="O112" s="46"/>
      <c r="P112" s="45">
        <f>IF(D112=0,0,SUM($L$111:L112))</f>
        <v>517521.53667820076</v>
      </c>
      <c r="Q112" s="43">
        <f>IF(D112=0,0,SUM($J$111:J112))</f>
        <v>455810</v>
      </c>
      <c r="R112" s="42">
        <f t="shared" si="38"/>
        <v>-61711.536678200762</v>
      </c>
      <c r="S112" s="41">
        <f t="shared" si="39"/>
        <v>0.88075561632795674</v>
      </c>
      <c r="T112" s="56"/>
      <c r="U112" s="43">
        <f>IF(D112=0,0,SUM($L$20:L112))</f>
        <v>16375860.053460199</v>
      </c>
      <c r="V112" s="43">
        <f>IF(D112=0,0,SUM($J$20:J112))</f>
        <v>16900622</v>
      </c>
      <c r="W112" s="42">
        <f t="shared" si="40"/>
        <v>524761.94653980061</v>
      </c>
      <c r="X112" s="41">
        <f t="shared" si="41"/>
        <v>1.0320448480157181</v>
      </c>
      <c r="Y112" s="17"/>
      <c r="Z112" s="23">
        <f t="shared" si="45"/>
        <v>45384</v>
      </c>
      <c r="AA112" s="22">
        <f t="shared" si="46"/>
        <v>45384</v>
      </c>
      <c r="AB112" s="137">
        <v>45384</v>
      </c>
      <c r="AC112" s="15"/>
      <c r="AD112" s="15"/>
      <c r="AE112" s="15"/>
      <c r="AF112" s="258"/>
      <c r="AG112" s="259"/>
      <c r="AH112" s="259"/>
      <c r="AI112" s="259"/>
      <c r="AJ112" s="259"/>
      <c r="AK112" s="15"/>
      <c r="AL112" s="134"/>
      <c r="AM112" s="134"/>
      <c r="AN112" s="18"/>
      <c r="AO112" s="18"/>
      <c r="AP112" s="18"/>
      <c r="AQ112" s="18"/>
      <c r="AR112" s="17"/>
      <c r="AS112" s="21">
        <f t="shared" si="48"/>
        <v>45384</v>
      </c>
      <c r="AT112" s="17"/>
      <c r="AU112" s="17"/>
      <c r="AV112" s="17"/>
      <c r="AW112" s="17"/>
      <c r="AX112" s="17"/>
      <c r="AY112" s="17"/>
      <c r="AZ112" s="17"/>
    </row>
    <row r="113" spans="1:52" ht="20">
      <c r="A113" s="17"/>
      <c r="B113" s="40"/>
      <c r="C113" s="55">
        <f t="shared" si="43"/>
        <v>94</v>
      </c>
      <c r="D113" s="54">
        <v>1</v>
      </c>
      <c r="E113" s="53" t="str">
        <f t="shared" si="34"/>
        <v>4</v>
      </c>
      <c r="F113" s="52">
        <f t="shared" si="44"/>
        <v>45385</v>
      </c>
      <c r="G113" s="51" t="str">
        <f t="shared" si="35"/>
        <v>Wed</v>
      </c>
      <c r="H113" s="50"/>
      <c r="I113" s="49"/>
      <c r="J113" s="48">
        <v>330210</v>
      </c>
      <c r="K113" s="31"/>
      <c r="L113" s="43">
        <f t="shared" si="51"/>
        <v>258760.76833910038</v>
      </c>
      <c r="M113" s="47">
        <f t="shared" si="36"/>
        <v>71449.231660899619</v>
      </c>
      <c r="N113" s="41">
        <f t="shared" si="37"/>
        <v>1.2761208050181199</v>
      </c>
      <c r="O113" s="46"/>
      <c r="P113" s="45">
        <f>IF(D113=0,0,SUM($L$111:L113))</f>
        <v>776282.30501730111</v>
      </c>
      <c r="Q113" s="43">
        <f>IF(D113=0,0,SUM($J$111:J113))</f>
        <v>786020</v>
      </c>
      <c r="R113" s="42">
        <f t="shared" si="38"/>
        <v>9737.6949826988857</v>
      </c>
      <c r="S113" s="41">
        <f t="shared" si="39"/>
        <v>1.0125440125580112</v>
      </c>
      <c r="T113" s="56"/>
      <c r="U113" s="43">
        <f>IF(D113=0,0,SUM($L$20:L113))</f>
        <v>16634620.821799301</v>
      </c>
      <c r="V113" s="43">
        <f>IF(D113=0,0,SUM($J$20:J113))</f>
        <v>17230832</v>
      </c>
      <c r="W113" s="42">
        <f t="shared" si="40"/>
        <v>596211.17820069939</v>
      </c>
      <c r="X113" s="41">
        <f t="shared" si="41"/>
        <v>1.0358415851246443</v>
      </c>
      <c r="Y113" s="17"/>
      <c r="Z113" s="23">
        <f t="shared" si="45"/>
        <v>45385</v>
      </c>
      <c r="AA113" s="22">
        <f t="shared" si="46"/>
        <v>45385</v>
      </c>
      <c r="AB113" s="137">
        <v>45385</v>
      </c>
      <c r="AC113" s="15"/>
      <c r="AD113" s="15"/>
      <c r="AE113" s="15"/>
      <c r="AF113" s="258"/>
      <c r="AG113" s="259"/>
      <c r="AH113" s="259"/>
      <c r="AI113" s="259"/>
      <c r="AJ113" s="259"/>
      <c r="AK113" s="15"/>
      <c r="AL113" s="134"/>
      <c r="AM113" s="134"/>
      <c r="AN113" s="18"/>
      <c r="AO113" s="18"/>
      <c r="AP113" s="18"/>
      <c r="AQ113" s="18"/>
      <c r="AR113" s="17"/>
      <c r="AS113" s="21">
        <f t="shared" si="48"/>
        <v>45385</v>
      </c>
      <c r="AT113" s="17"/>
      <c r="AU113" s="17"/>
      <c r="AV113" s="17"/>
      <c r="AW113" s="17"/>
      <c r="AX113" s="17"/>
      <c r="AY113" s="17"/>
      <c r="AZ113" s="17"/>
    </row>
    <row r="114" spans="1:52" ht="20">
      <c r="A114" s="17"/>
      <c r="B114" s="40"/>
      <c r="C114" s="55">
        <f t="shared" si="43"/>
        <v>95</v>
      </c>
      <c r="D114" s="54">
        <v>1</v>
      </c>
      <c r="E114" s="53" t="str">
        <f t="shared" si="34"/>
        <v>4</v>
      </c>
      <c r="F114" s="52">
        <f t="shared" si="44"/>
        <v>45386</v>
      </c>
      <c r="G114" s="51" t="str">
        <f t="shared" si="35"/>
        <v>Thu</v>
      </c>
      <c r="H114" s="50"/>
      <c r="I114" s="49"/>
      <c r="J114" s="48">
        <v>147190</v>
      </c>
      <c r="K114" s="31"/>
      <c r="L114" s="43">
        <f t="shared" si="51"/>
        <v>258760.76833910038</v>
      </c>
      <c r="M114" s="47">
        <f t="shared" si="36"/>
        <v>-111570.76833910038</v>
      </c>
      <c r="N114" s="41">
        <f t="shared" si="37"/>
        <v>0.56882656882171057</v>
      </c>
      <c r="O114" s="46"/>
      <c r="P114" s="45">
        <f>IF(D114=0,0,SUM($L$111:L114))</f>
        <v>1035043.0733564015</v>
      </c>
      <c r="Q114" s="43">
        <f>IF(D114=0,0,SUM($J$111:J114))</f>
        <v>933210</v>
      </c>
      <c r="R114" s="42">
        <f t="shared" si="38"/>
        <v>-101833.07335640152</v>
      </c>
      <c r="S114" s="41">
        <f t="shared" si="39"/>
        <v>0.90161465162393606</v>
      </c>
      <c r="T114" s="56"/>
      <c r="U114" s="43">
        <f>IF(D114=0,0,SUM($L$20:L114))</f>
        <v>16893381.590138402</v>
      </c>
      <c r="V114" s="43">
        <f>IF(D114=0,0,SUM($J$20:J114))</f>
        <v>17378022</v>
      </c>
      <c r="W114" s="42">
        <f t="shared" si="40"/>
        <v>484640.40986159816</v>
      </c>
      <c r="X114" s="41">
        <f t="shared" si="41"/>
        <v>1.028688182249107</v>
      </c>
      <c r="Y114" s="17"/>
      <c r="Z114" s="23">
        <f t="shared" si="45"/>
        <v>45386</v>
      </c>
      <c r="AA114" s="22">
        <f t="shared" si="46"/>
        <v>45386</v>
      </c>
      <c r="AB114" s="137">
        <v>45386</v>
      </c>
      <c r="AC114" s="15"/>
      <c r="AD114" s="15"/>
      <c r="AE114" s="15"/>
      <c r="AF114" s="258"/>
      <c r="AG114" s="259"/>
      <c r="AH114" s="259"/>
      <c r="AI114" s="259"/>
      <c r="AJ114" s="259"/>
      <c r="AK114" s="15"/>
      <c r="AL114" s="134"/>
      <c r="AM114" s="134"/>
      <c r="AN114" s="18"/>
      <c r="AO114" s="18"/>
      <c r="AP114" s="18"/>
      <c r="AQ114" s="18"/>
      <c r="AR114" s="17"/>
      <c r="AS114" s="21">
        <f t="shared" si="48"/>
        <v>45386</v>
      </c>
      <c r="AT114" s="17"/>
      <c r="AU114" s="17"/>
      <c r="AV114" s="17"/>
      <c r="AW114" s="17"/>
      <c r="AX114" s="17"/>
      <c r="AY114" s="17"/>
      <c r="AZ114" s="17"/>
    </row>
    <row r="115" spans="1:52" ht="20">
      <c r="A115" s="17"/>
      <c r="B115" s="40"/>
      <c r="C115" s="55">
        <f t="shared" si="43"/>
        <v>96</v>
      </c>
      <c r="D115" s="54">
        <v>1</v>
      </c>
      <c r="E115" s="53" t="str">
        <f t="shared" si="34"/>
        <v>4</v>
      </c>
      <c r="F115" s="52">
        <f t="shared" si="44"/>
        <v>45387</v>
      </c>
      <c r="G115" s="51" t="str">
        <f t="shared" si="35"/>
        <v>Fri</v>
      </c>
      <c r="H115" s="50"/>
      <c r="I115" s="49"/>
      <c r="J115" s="48">
        <v>353460</v>
      </c>
      <c r="K115" s="31"/>
      <c r="L115" s="43">
        <f t="shared" si="51"/>
        <v>258760.76833910038</v>
      </c>
      <c r="M115" s="47">
        <f t="shared" si="36"/>
        <v>94699.231660899619</v>
      </c>
      <c r="N115" s="41">
        <f t="shared" si="37"/>
        <v>1.3659721381596701</v>
      </c>
      <c r="O115" s="46"/>
      <c r="P115" s="45">
        <f>IF(D115=0,0,SUM($L$111:L115))</f>
        <v>1293803.8416955019</v>
      </c>
      <c r="Q115" s="43">
        <f>IF(D115=0,0,SUM($J$111:J115))</f>
        <v>1286670</v>
      </c>
      <c r="R115" s="42">
        <f t="shared" si="38"/>
        <v>-7133.8416955019347</v>
      </c>
      <c r="S115" s="41">
        <f t="shared" si="39"/>
        <v>0.99448614893108278</v>
      </c>
      <c r="T115" s="56"/>
      <c r="U115" s="43">
        <f>IF(D115=0,0,SUM($L$20:L115))</f>
        <v>17152142.358477503</v>
      </c>
      <c r="V115" s="43">
        <f>IF(D115=0,0,SUM($J$20:J115))</f>
        <v>17731482</v>
      </c>
      <c r="W115" s="42">
        <f t="shared" si="40"/>
        <v>579339.64152249694</v>
      </c>
      <c r="X115" s="41">
        <f t="shared" si="41"/>
        <v>1.0337765177908611</v>
      </c>
      <c r="Y115" s="17"/>
      <c r="Z115" s="23">
        <f t="shared" si="45"/>
        <v>45387</v>
      </c>
      <c r="AA115" s="22">
        <f t="shared" si="46"/>
        <v>45387</v>
      </c>
      <c r="AB115" s="137">
        <v>45387</v>
      </c>
      <c r="AC115" s="15"/>
      <c r="AD115" s="15"/>
      <c r="AE115" s="15"/>
      <c r="AF115" s="258"/>
      <c r="AG115" s="259"/>
      <c r="AH115" s="259"/>
      <c r="AI115" s="259"/>
      <c r="AJ115" s="259"/>
      <c r="AK115" s="15"/>
      <c r="AL115" s="134"/>
      <c r="AM115" s="134"/>
      <c r="AN115" s="18"/>
      <c r="AO115" s="18"/>
      <c r="AP115" s="18"/>
      <c r="AQ115" s="18"/>
      <c r="AR115" s="17"/>
      <c r="AS115" s="21">
        <f t="shared" si="48"/>
        <v>45387</v>
      </c>
      <c r="AT115" s="17"/>
      <c r="AU115" s="17"/>
      <c r="AV115" s="17"/>
      <c r="AW115" s="17"/>
      <c r="AX115" s="17"/>
      <c r="AY115" s="17"/>
      <c r="AZ115" s="17"/>
    </row>
    <row r="116" spans="1:52" ht="20">
      <c r="A116" s="17"/>
      <c r="B116" s="40"/>
      <c r="C116" s="55">
        <f t="shared" si="43"/>
        <v>97</v>
      </c>
      <c r="D116" s="54">
        <v>1</v>
      </c>
      <c r="E116" s="53" t="str">
        <f t="shared" si="34"/>
        <v>4</v>
      </c>
      <c r="F116" s="52">
        <f t="shared" si="44"/>
        <v>45388</v>
      </c>
      <c r="G116" s="51" t="str">
        <f t="shared" si="35"/>
        <v>Sat</v>
      </c>
      <c r="H116" s="50"/>
      <c r="I116" s="49"/>
      <c r="J116" s="48">
        <v>123460</v>
      </c>
      <c r="K116" s="31"/>
      <c r="L116" s="43">
        <f t="shared" si="51"/>
        <v>258760.76833910038</v>
      </c>
      <c r="M116" s="47">
        <f t="shared" si="36"/>
        <v>-135300.76833910038</v>
      </c>
      <c r="N116" s="41">
        <f t="shared" si="37"/>
        <v>0.4771202404153026</v>
      </c>
      <c r="O116" s="46"/>
      <c r="P116" s="45">
        <f>IF(D116=0,0,SUM($L$111:L116))</f>
        <v>1552564.6100346022</v>
      </c>
      <c r="Q116" s="43">
        <f>IF(D116=0,0,SUM($J$111:J116))</f>
        <v>1410130</v>
      </c>
      <c r="R116" s="42">
        <f t="shared" si="38"/>
        <v>-142434.61003460223</v>
      </c>
      <c r="S116" s="41">
        <f t="shared" si="39"/>
        <v>0.90825849751178611</v>
      </c>
      <c r="T116" s="44"/>
      <c r="U116" s="43">
        <f>IF(D116=0,0,SUM($L$20:L116))</f>
        <v>17410903.126816604</v>
      </c>
      <c r="V116" s="43">
        <f>IF(D116=0,0,SUM($J$20:J116))</f>
        <v>17854942</v>
      </c>
      <c r="W116" s="42">
        <f t="shared" si="40"/>
        <v>444038.87318339571</v>
      </c>
      <c r="X116" s="41">
        <f t="shared" si="41"/>
        <v>1.0255034945602264</v>
      </c>
      <c r="Y116" s="17"/>
      <c r="Z116" s="23">
        <f t="shared" si="45"/>
        <v>45388</v>
      </c>
      <c r="AA116" s="22">
        <f t="shared" si="46"/>
        <v>45388</v>
      </c>
      <c r="AB116" s="137">
        <v>45388</v>
      </c>
      <c r="AC116" s="15"/>
      <c r="AD116" s="15"/>
      <c r="AE116" s="15"/>
      <c r="AF116" s="258"/>
      <c r="AG116" s="259"/>
      <c r="AH116" s="259"/>
      <c r="AI116" s="259"/>
      <c r="AJ116" s="259"/>
      <c r="AK116" s="15"/>
      <c r="AL116" s="134"/>
      <c r="AM116" s="134"/>
      <c r="AN116" s="18"/>
      <c r="AO116" s="18"/>
      <c r="AP116" s="18"/>
      <c r="AQ116" s="18"/>
      <c r="AR116" s="17"/>
      <c r="AS116" s="21">
        <f t="shared" si="48"/>
        <v>45388</v>
      </c>
      <c r="AT116" s="17"/>
      <c r="AU116" s="17"/>
      <c r="AV116" s="17"/>
      <c r="AW116" s="17"/>
      <c r="AX116" s="17"/>
      <c r="AY116" s="17"/>
      <c r="AZ116" s="17"/>
    </row>
    <row r="117" spans="1:52" ht="20">
      <c r="A117" s="17"/>
      <c r="B117" s="40"/>
      <c r="C117" s="55">
        <f t="shared" si="43"/>
        <v>98</v>
      </c>
      <c r="D117" s="54">
        <v>0</v>
      </c>
      <c r="E117" s="53" t="str">
        <f t="shared" si="34"/>
        <v>4</v>
      </c>
      <c r="F117" s="52">
        <f t="shared" si="44"/>
        <v>45389</v>
      </c>
      <c r="G117" s="51" t="str">
        <f t="shared" si="35"/>
        <v>Sun</v>
      </c>
      <c r="H117" s="50" t="s">
        <v>46</v>
      </c>
      <c r="I117" s="49"/>
      <c r="J117" s="48">
        <v>0</v>
      </c>
      <c r="K117" s="31"/>
      <c r="L117" s="43">
        <f t="shared" si="51"/>
        <v>0</v>
      </c>
      <c r="M117" s="47">
        <f t="shared" si="36"/>
        <v>0</v>
      </c>
      <c r="N117" s="41" t="str">
        <f t="shared" si="37"/>
        <v>0%</v>
      </c>
      <c r="O117" s="46"/>
      <c r="P117" s="45">
        <f>IF(D117=0,0,SUM($L$111:L117))</f>
        <v>0</v>
      </c>
      <c r="Q117" s="43">
        <f>IF(D117=0,0,SUM($J$111:J117))</f>
        <v>0</v>
      </c>
      <c r="R117" s="42">
        <f t="shared" si="38"/>
        <v>0</v>
      </c>
      <c r="S117" s="41" t="str">
        <f t="shared" si="39"/>
        <v>0%</v>
      </c>
      <c r="T117" s="56"/>
      <c r="U117" s="43">
        <f>IF(D117=0,0,SUM($L$20:L117))</f>
        <v>0</v>
      </c>
      <c r="V117" s="43">
        <f>IF(D117=0,0,SUM($J$20:J117))</f>
        <v>0</v>
      </c>
      <c r="W117" s="42">
        <f t="shared" si="40"/>
        <v>0</v>
      </c>
      <c r="X117" s="41" t="str">
        <f t="shared" si="41"/>
        <v>0%</v>
      </c>
      <c r="Y117" s="17"/>
      <c r="Z117" s="23">
        <f t="shared" si="45"/>
        <v>45389</v>
      </c>
      <c r="AA117" s="22">
        <f t="shared" si="46"/>
        <v>45389</v>
      </c>
      <c r="AB117" s="137">
        <v>45389</v>
      </c>
      <c r="AC117" s="15"/>
      <c r="AD117" s="15"/>
      <c r="AE117" s="15"/>
      <c r="AF117" s="258"/>
      <c r="AG117" s="259"/>
      <c r="AH117" s="259"/>
      <c r="AI117" s="259"/>
      <c r="AJ117" s="259"/>
      <c r="AK117" s="15"/>
      <c r="AL117" s="134"/>
      <c r="AM117" s="134"/>
      <c r="AN117" s="18"/>
      <c r="AO117" s="18"/>
      <c r="AP117" s="18"/>
      <c r="AQ117" s="18"/>
      <c r="AR117" s="17"/>
      <c r="AS117" s="21">
        <f t="shared" si="48"/>
        <v>45389</v>
      </c>
      <c r="AT117" s="17"/>
      <c r="AU117" s="17"/>
      <c r="AV117" s="17"/>
      <c r="AW117" s="17"/>
      <c r="AX117" s="17"/>
      <c r="AY117" s="17"/>
      <c r="AZ117" s="17"/>
    </row>
    <row r="118" spans="1:52" ht="20">
      <c r="A118" s="17"/>
      <c r="B118" s="40"/>
      <c r="C118" s="55">
        <f t="shared" si="43"/>
        <v>99</v>
      </c>
      <c r="D118" s="54">
        <v>1</v>
      </c>
      <c r="E118" s="53" t="str">
        <f t="shared" si="34"/>
        <v>4</v>
      </c>
      <c r="F118" s="52">
        <f t="shared" si="44"/>
        <v>45390</v>
      </c>
      <c r="G118" s="51" t="str">
        <f t="shared" si="35"/>
        <v>Mon</v>
      </c>
      <c r="H118" s="50"/>
      <c r="I118" s="49"/>
      <c r="J118" s="48">
        <v>153400</v>
      </c>
      <c r="K118" s="31"/>
      <c r="L118" s="43">
        <f t="shared" si="51"/>
        <v>258760.76833910038</v>
      </c>
      <c r="M118" s="47">
        <f t="shared" si="36"/>
        <v>-105360.76833910038</v>
      </c>
      <c r="N118" s="41">
        <f t="shared" si="37"/>
        <v>0.59282557006080849</v>
      </c>
      <c r="O118" s="46"/>
      <c r="P118" s="45">
        <f>IF(D118=0,0,SUM($L$111:L118))</f>
        <v>1811325.3783737025</v>
      </c>
      <c r="Q118" s="43">
        <f>IF(D118=0,0,SUM($J$111:J118))</f>
        <v>1563530</v>
      </c>
      <c r="R118" s="42">
        <f t="shared" si="38"/>
        <v>-247795.37837370252</v>
      </c>
      <c r="S118" s="41">
        <f t="shared" si="39"/>
        <v>0.86319665073307505</v>
      </c>
      <c r="T118" s="56"/>
      <c r="U118" s="43">
        <f>IF(D118=0,0,SUM($L$20:L118))</f>
        <v>17669663.895155706</v>
      </c>
      <c r="V118" s="43">
        <f>IF(D118=0,0,SUM($J$20:J118))</f>
        <v>18008342</v>
      </c>
      <c r="W118" s="42">
        <f t="shared" si="40"/>
        <v>338678.10484429449</v>
      </c>
      <c r="X118" s="41">
        <f t="shared" si="41"/>
        <v>1.0191672069629545</v>
      </c>
      <c r="Y118" s="17"/>
      <c r="Z118" s="23">
        <f t="shared" si="45"/>
        <v>45390</v>
      </c>
      <c r="AA118" s="22">
        <f t="shared" si="46"/>
        <v>45390</v>
      </c>
      <c r="AB118" s="137">
        <v>45390</v>
      </c>
      <c r="AC118" s="260"/>
      <c r="AD118" s="15"/>
      <c r="AE118" s="261"/>
      <c r="AF118" s="262"/>
      <c r="AG118" s="263"/>
      <c r="AH118" s="263"/>
      <c r="AI118" s="263"/>
      <c r="AJ118" s="263"/>
      <c r="AK118" s="261"/>
      <c r="AL118" s="134"/>
      <c r="AM118" s="134"/>
      <c r="AN118" s="18"/>
      <c r="AO118" s="18"/>
      <c r="AP118" s="18"/>
      <c r="AQ118" s="18"/>
      <c r="AR118" s="17"/>
      <c r="AS118" s="21">
        <f t="shared" si="48"/>
        <v>45390</v>
      </c>
      <c r="AT118" s="17"/>
      <c r="AU118" s="17"/>
      <c r="AV118" s="17"/>
      <c r="AW118" s="17"/>
      <c r="AX118" s="17"/>
      <c r="AY118" s="17"/>
      <c r="AZ118" s="17"/>
    </row>
    <row r="119" spans="1:52" ht="20">
      <c r="A119" s="17"/>
      <c r="B119" s="40"/>
      <c r="C119" s="55">
        <f t="shared" si="43"/>
        <v>100</v>
      </c>
      <c r="D119" s="54">
        <v>1</v>
      </c>
      <c r="E119" s="53" t="str">
        <f t="shared" si="34"/>
        <v>4</v>
      </c>
      <c r="F119" s="52">
        <f t="shared" si="44"/>
        <v>45391</v>
      </c>
      <c r="G119" s="51" t="str">
        <f t="shared" si="35"/>
        <v>Tue</v>
      </c>
      <c r="H119" s="50"/>
      <c r="I119" s="49"/>
      <c r="J119" s="48">
        <v>259200</v>
      </c>
      <c r="K119" s="31"/>
      <c r="L119" s="43">
        <f t="shared" si="51"/>
        <v>258760.76833910038</v>
      </c>
      <c r="M119" s="47">
        <f t="shared" si="36"/>
        <v>439.23166089961887</v>
      </c>
      <c r="N119" s="41">
        <f t="shared" si="37"/>
        <v>1.0016974430232175</v>
      </c>
      <c r="O119" s="46"/>
      <c r="P119" s="45">
        <f>IF(D119=0,0,SUM($L$111:L119))</f>
        <v>2070086.1467128028</v>
      </c>
      <c r="Q119" s="43">
        <f>IF(D119=0,0,SUM($J$111:J119))</f>
        <v>1822730</v>
      </c>
      <c r="R119" s="42">
        <f t="shared" si="38"/>
        <v>-247356.14671280282</v>
      </c>
      <c r="S119" s="41">
        <f t="shared" si="39"/>
        <v>0.88050924976934297</v>
      </c>
      <c r="T119" s="56"/>
      <c r="U119" s="43">
        <f>IF(D119=0,0,SUM($L$20:L119))</f>
        <v>17928424.663494807</v>
      </c>
      <c r="V119" s="43">
        <f>IF(D119=0,0,SUM($J$20:J119))</f>
        <v>18267542</v>
      </c>
      <c r="W119" s="42">
        <f t="shared" si="40"/>
        <v>339117.33650519326</v>
      </c>
      <c r="X119" s="41">
        <f t="shared" si="41"/>
        <v>1.0189150660401129</v>
      </c>
      <c r="Y119" s="17"/>
      <c r="Z119" s="23">
        <f t="shared" si="45"/>
        <v>45391</v>
      </c>
      <c r="AA119" s="22">
        <f t="shared" si="46"/>
        <v>45391</v>
      </c>
      <c r="AB119" s="137">
        <v>45391</v>
      </c>
      <c r="AC119" s="260"/>
      <c r="AD119" s="15"/>
      <c r="AE119" s="261"/>
      <c r="AF119" s="262"/>
      <c r="AG119" s="263"/>
      <c r="AH119" s="263"/>
      <c r="AI119" s="263"/>
      <c r="AJ119" s="263"/>
      <c r="AK119" s="261"/>
      <c r="AL119" s="134"/>
      <c r="AM119" s="134"/>
      <c r="AN119" s="18"/>
      <c r="AO119" s="18"/>
      <c r="AP119" s="18"/>
      <c r="AQ119" s="18"/>
      <c r="AR119" s="17"/>
      <c r="AS119" s="21">
        <f t="shared" si="48"/>
        <v>45391</v>
      </c>
      <c r="AT119" s="17"/>
      <c r="AU119" s="17"/>
      <c r="AV119" s="17"/>
      <c r="AW119" s="17"/>
      <c r="AX119" s="17"/>
      <c r="AY119" s="17"/>
      <c r="AZ119" s="17"/>
    </row>
    <row r="120" spans="1:52" ht="20">
      <c r="A120" s="17"/>
      <c r="B120" s="40"/>
      <c r="C120" s="55">
        <f t="shared" si="43"/>
        <v>101</v>
      </c>
      <c r="D120" s="54">
        <v>1</v>
      </c>
      <c r="E120" s="53" t="str">
        <f t="shared" si="34"/>
        <v>4</v>
      </c>
      <c r="F120" s="52">
        <f t="shared" si="44"/>
        <v>45392</v>
      </c>
      <c r="G120" s="51" t="str">
        <f t="shared" si="35"/>
        <v>Wed</v>
      </c>
      <c r="H120" s="50"/>
      <c r="I120" s="49"/>
      <c r="J120" s="48">
        <v>174250</v>
      </c>
      <c r="K120" s="31"/>
      <c r="L120" s="43">
        <f t="shared" si="51"/>
        <v>258760.76833910038</v>
      </c>
      <c r="M120" s="47">
        <f t="shared" si="36"/>
        <v>-84510.768339100381</v>
      </c>
      <c r="N120" s="41">
        <f t="shared" si="37"/>
        <v>0.67340192687806966</v>
      </c>
      <c r="O120" s="46"/>
      <c r="P120" s="45">
        <f>IF(D120=0,0,SUM($L$111:L120))</f>
        <v>2328846.9150519031</v>
      </c>
      <c r="Q120" s="43">
        <f>IF(D120=0,0,SUM($J$111:J120))</f>
        <v>1996980</v>
      </c>
      <c r="R120" s="42">
        <f t="shared" si="38"/>
        <v>-331866.91505190311</v>
      </c>
      <c r="S120" s="41">
        <f t="shared" si="39"/>
        <v>0.85749732500364595</v>
      </c>
      <c r="T120" s="56"/>
      <c r="U120" s="43">
        <f>IF(D120=0,0,SUM($L$20:L120))</f>
        <v>18187185.431833908</v>
      </c>
      <c r="V120" s="43">
        <f>IF(D120=0,0,SUM($J$20:J120))</f>
        <v>18441792</v>
      </c>
      <c r="W120" s="42">
        <f t="shared" si="40"/>
        <v>254606.56816609204</v>
      </c>
      <c r="X120" s="41">
        <f t="shared" si="41"/>
        <v>1.0139992286943114</v>
      </c>
      <c r="Y120" s="17"/>
      <c r="Z120" s="23">
        <f t="shared" si="45"/>
        <v>45392</v>
      </c>
      <c r="AA120" s="22">
        <f t="shared" si="46"/>
        <v>45392</v>
      </c>
      <c r="AB120" s="137">
        <v>45392</v>
      </c>
      <c r="AC120" s="15"/>
      <c r="AD120" s="15"/>
      <c r="AE120" s="15"/>
      <c r="AF120" s="258"/>
      <c r="AG120" s="259"/>
      <c r="AH120" s="259"/>
      <c r="AI120" s="259"/>
      <c r="AJ120" s="259"/>
      <c r="AK120" s="15"/>
      <c r="AL120" s="134"/>
      <c r="AM120" s="134"/>
      <c r="AN120" s="18"/>
      <c r="AO120" s="18"/>
      <c r="AP120" s="18"/>
      <c r="AQ120" s="18"/>
      <c r="AR120" s="17"/>
      <c r="AS120" s="21">
        <f t="shared" si="48"/>
        <v>45392</v>
      </c>
      <c r="AT120" s="17"/>
      <c r="AU120" s="17"/>
      <c r="AV120" s="17"/>
      <c r="AW120" s="17"/>
      <c r="AX120" s="17"/>
      <c r="AY120" s="17"/>
      <c r="AZ120" s="17"/>
    </row>
    <row r="121" spans="1:52" ht="20">
      <c r="A121" s="17"/>
      <c r="B121" s="40"/>
      <c r="C121" s="55">
        <f t="shared" si="43"/>
        <v>102</v>
      </c>
      <c r="D121" s="54">
        <v>1</v>
      </c>
      <c r="E121" s="53" t="str">
        <f t="shared" si="34"/>
        <v>4</v>
      </c>
      <c r="F121" s="52">
        <f t="shared" si="44"/>
        <v>45393</v>
      </c>
      <c r="G121" s="51" t="str">
        <f t="shared" si="35"/>
        <v>Thu</v>
      </c>
      <c r="H121" s="50"/>
      <c r="I121" s="49"/>
      <c r="J121" s="48">
        <v>315370</v>
      </c>
      <c r="K121" s="31"/>
      <c r="L121" s="43">
        <f t="shared" si="51"/>
        <v>258760.76833910038</v>
      </c>
      <c r="M121" s="47">
        <f t="shared" si="36"/>
        <v>56609.231660899619</v>
      </c>
      <c r="N121" s="41">
        <f t="shared" si="37"/>
        <v>1.2187705347462658</v>
      </c>
      <c r="O121" s="46"/>
      <c r="P121" s="45">
        <f>IF(D121=0,0,SUM($L$111:L121))</f>
        <v>2587607.6833910034</v>
      </c>
      <c r="Q121" s="43">
        <f>IF(D121=0,0,SUM($J$111:J121))</f>
        <v>2312350</v>
      </c>
      <c r="R121" s="42">
        <f t="shared" si="38"/>
        <v>-275257.6833910034</v>
      </c>
      <c r="S121" s="41">
        <f t="shared" si="39"/>
        <v>0.89362464597790803</v>
      </c>
      <c r="T121" s="56"/>
      <c r="U121" s="43">
        <f>IF(D121=0,0,SUM($L$20:L121))</f>
        <v>18445946.200173009</v>
      </c>
      <c r="V121" s="43">
        <f>IF(D121=0,0,SUM($J$20:J121))</f>
        <v>18757162</v>
      </c>
      <c r="W121" s="42">
        <f t="shared" si="40"/>
        <v>311215.79982699081</v>
      </c>
      <c r="X121" s="41">
        <f t="shared" si="41"/>
        <v>1.0168717720657816</v>
      </c>
      <c r="Y121" s="17"/>
      <c r="Z121" s="23">
        <f t="shared" si="45"/>
        <v>45393</v>
      </c>
      <c r="AA121" s="22">
        <f t="shared" si="46"/>
        <v>45393</v>
      </c>
      <c r="AB121" s="137">
        <v>45393</v>
      </c>
      <c r="AC121" s="15"/>
      <c r="AD121" s="15"/>
      <c r="AE121" s="15"/>
      <c r="AF121" s="258"/>
      <c r="AG121" s="259"/>
      <c r="AH121" s="259"/>
      <c r="AI121" s="259"/>
      <c r="AJ121" s="259"/>
      <c r="AK121" s="15"/>
      <c r="AL121" s="134"/>
      <c r="AM121" s="134"/>
      <c r="AN121" s="18"/>
      <c r="AO121" s="18"/>
      <c r="AP121" s="18"/>
      <c r="AQ121" s="18"/>
      <c r="AR121" s="17"/>
      <c r="AS121" s="21">
        <f t="shared" si="48"/>
        <v>45393</v>
      </c>
      <c r="AT121" s="17"/>
      <c r="AU121" s="17"/>
      <c r="AV121" s="17"/>
      <c r="AW121" s="17"/>
      <c r="AX121" s="17"/>
      <c r="AY121" s="17"/>
      <c r="AZ121" s="17"/>
    </row>
    <row r="122" spans="1:52" ht="20">
      <c r="A122" s="17"/>
      <c r="B122" s="40"/>
      <c r="C122" s="55">
        <f t="shared" si="43"/>
        <v>103</v>
      </c>
      <c r="D122" s="54">
        <v>1</v>
      </c>
      <c r="E122" s="53" t="str">
        <f t="shared" si="34"/>
        <v>4</v>
      </c>
      <c r="F122" s="52">
        <f t="shared" si="44"/>
        <v>45394</v>
      </c>
      <c r="G122" s="51" t="str">
        <f t="shared" si="35"/>
        <v>Fri</v>
      </c>
      <c r="H122" s="50"/>
      <c r="I122" s="49"/>
      <c r="J122" s="48">
        <v>355090</v>
      </c>
      <c r="K122" s="31"/>
      <c r="L122" s="43">
        <f t="shared" si="51"/>
        <v>258760.76833910038</v>
      </c>
      <c r="M122" s="47">
        <f t="shared" si="36"/>
        <v>96329.231660899619</v>
      </c>
      <c r="N122" s="41">
        <f t="shared" si="37"/>
        <v>1.3722713929132497</v>
      </c>
      <c r="O122" s="46"/>
      <c r="P122" s="45">
        <f>IF(D122=0,0,SUM($L$111:L122))</f>
        <v>2846368.4517301037</v>
      </c>
      <c r="Q122" s="43">
        <f>IF(D122=0,0,SUM($J$111:J122))</f>
        <v>2667440</v>
      </c>
      <c r="R122" s="42">
        <f t="shared" si="38"/>
        <v>-178928.4517301037</v>
      </c>
      <c r="S122" s="41">
        <f t="shared" si="39"/>
        <v>0.93713798660839365</v>
      </c>
      <c r="T122" s="56"/>
      <c r="U122" s="43">
        <f>IF(D122=0,0,SUM($L$20:L122))</f>
        <v>18704706.96851211</v>
      </c>
      <c r="V122" s="43">
        <f>IF(D122=0,0,SUM($J$20:J122))</f>
        <v>19112252</v>
      </c>
      <c r="W122" s="42">
        <f t="shared" si="40"/>
        <v>407545.03148788959</v>
      </c>
      <c r="X122" s="41">
        <f t="shared" si="41"/>
        <v>1.0217883676111024</v>
      </c>
      <c r="Y122" s="17"/>
      <c r="Z122" s="23">
        <f t="shared" si="45"/>
        <v>45394</v>
      </c>
      <c r="AA122" s="22">
        <f t="shared" si="46"/>
        <v>45394</v>
      </c>
      <c r="AB122" s="137">
        <v>45394</v>
      </c>
      <c r="AC122" s="15"/>
      <c r="AD122" s="15"/>
      <c r="AE122" s="15"/>
      <c r="AF122" s="258"/>
      <c r="AG122" s="259"/>
      <c r="AH122" s="259"/>
      <c r="AI122" s="259"/>
      <c r="AJ122" s="259"/>
      <c r="AK122" s="15"/>
      <c r="AL122" s="134"/>
      <c r="AM122" s="134"/>
      <c r="AN122" s="18"/>
      <c r="AO122" s="18"/>
      <c r="AP122" s="18"/>
      <c r="AQ122" s="18"/>
      <c r="AR122" s="17"/>
      <c r="AS122" s="21">
        <f t="shared" si="48"/>
        <v>45394</v>
      </c>
      <c r="AT122" s="17"/>
      <c r="AU122" s="17"/>
      <c r="AV122" s="17"/>
      <c r="AW122" s="17"/>
      <c r="AX122" s="17"/>
      <c r="AY122" s="17"/>
      <c r="AZ122" s="17"/>
    </row>
    <row r="123" spans="1:52" ht="20">
      <c r="A123" s="17"/>
      <c r="B123" s="40"/>
      <c r="C123" s="55">
        <f t="shared" si="43"/>
        <v>104</v>
      </c>
      <c r="D123" s="54">
        <v>1</v>
      </c>
      <c r="E123" s="53" t="str">
        <f t="shared" si="34"/>
        <v>4</v>
      </c>
      <c r="F123" s="52">
        <f t="shared" si="44"/>
        <v>45395</v>
      </c>
      <c r="G123" s="51" t="str">
        <f t="shared" si="35"/>
        <v>Sat</v>
      </c>
      <c r="H123" s="50"/>
      <c r="I123" s="49"/>
      <c r="J123" s="48">
        <v>161750</v>
      </c>
      <c r="K123" s="31"/>
      <c r="L123" s="43">
        <f t="shared" si="51"/>
        <v>258760.76833910038</v>
      </c>
      <c r="M123" s="47">
        <f t="shared" si="36"/>
        <v>-97010.768339100381</v>
      </c>
      <c r="N123" s="41">
        <f t="shared" si="37"/>
        <v>0.62509475852239749</v>
      </c>
      <c r="O123" s="46"/>
      <c r="P123" s="45">
        <f>IF(D123=0,0,SUM($L$111:L123))</f>
        <v>3105129.220069204</v>
      </c>
      <c r="Q123" s="43">
        <f>IF(D123=0,0,SUM($J$111:J123))</f>
        <v>2829190</v>
      </c>
      <c r="R123" s="42">
        <f t="shared" si="38"/>
        <v>-275939.22006920399</v>
      </c>
      <c r="S123" s="41">
        <f t="shared" si="39"/>
        <v>0.91113438426789395</v>
      </c>
      <c r="T123" s="44"/>
      <c r="U123" s="43">
        <f>IF(D123=0,0,SUM($L$20:L123))</f>
        <v>18963467.736851212</v>
      </c>
      <c r="V123" s="43">
        <f>IF(D123=0,0,SUM($J$20:J123))</f>
        <v>19274002</v>
      </c>
      <c r="W123" s="42">
        <f t="shared" si="40"/>
        <v>310534.26314878836</v>
      </c>
      <c r="X123" s="41">
        <f t="shared" si="41"/>
        <v>1.0163753943876697</v>
      </c>
      <c r="Y123" s="17"/>
      <c r="Z123" s="23">
        <f t="shared" si="45"/>
        <v>45395</v>
      </c>
      <c r="AA123" s="22">
        <f t="shared" si="46"/>
        <v>45395</v>
      </c>
      <c r="AB123" s="137">
        <v>45395</v>
      </c>
      <c r="AC123" s="15"/>
      <c r="AD123" s="15"/>
      <c r="AE123" s="15"/>
      <c r="AF123" s="258"/>
      <c r="AG123" s="259"/>
      <c r="AH123" s="259"/>
      <c r="AI123" s="259"/>
      <c r="AJ123" s="259"/>
      <c r="AK123" s="15"/>
      <c r="AL123" s="134"/>
      <c r="AM123" s="134"/>
      <c r="AN123" s="18"/>
      <c r="AO123" s="18"/>
      <c r="AP123" s="18"/>
      <c r="AQ123" s="18"/>
      <c r="AR123" s="17"/>
      <c r="AS123" s="21">
        <f t="shared" si="48"/>
        <v>45395</v>
      </c>
      <c r="AT123" s="17"/>
      <c r="AU123" s="17"/>
      <c r="AV123" s="17"/>
      <c r="AW123" s="17"/>
      <c r="AX123" s="17"/>
      <c r="AY123" s="17"/>
      <c r="AZ123" s="17"/>
    </row>
    <row r="124" spans="1:52" ht="20">
      <c r="A124" s="17"/>
      <c r="B124" s="40"/>
      <c r="C124" s="55">
        <f t="shared" si="43"/>
        <v>105</v>
      </c>
      <c r="D124" s="54">
        <v>0</v>
      </c>
      <c r="E124" s="53" t="str">
        <f t="shared" si="34"/>
        <v>4</v>
      </c>
      <c r="F124" s="52">
        <f t="shared" si="44"/>
        <v>45396</v>
      </c>
      <c r="G124" s="51" t="str">
        <f t="shared" si="35"/>
        <v>Sun</v>
      </c>
      <c r="H124" s="50" t="s">
        <v>46</v>
      </c>
      <c r="I124" s="49"/>
      <c r="J124" s="48">
        <v>0</v>
      </c>
      <c r="K124" s="31"/>
      <c r="L124" s="43">
        <f t="shared" si="51"/>
        <v>0</v>
      </c>
      <c r="M124" s="47">
        <f t="shared" si="36"/>
        <v>0</v>
      </c>
      <c r="N124" s="41" t="str">
        <f t="shared" si="37"/>
        <v>0%</v>
      </c>
      <c r="O124" s="46"/>
      <c r="P124" s="45">
        <f>IF(D124=0,0,SUM($L$111:L124))</f>
        <v>0</v>
      </c>
      <c r="Q124" s="43">
        <f>IF(D124=0,0,SUM($J$111:J124))</f>
        <v>0</v>
      </c>
      <c r="R124" s="42">
        <f t="shared" si="38"/>
        <v>0</v>
      </c>
      <c r="S124" s="41" t="str">
        <f t="shared" si="39"/>
        <v>0%</v>
      </c>
      <c r="T124" s="56"/>
      <c r="U124" s="43">
        <f>IF(D124=0,0,SUM($L$20:L124))</f>
        <v>0</v>
      </c>
      <c r="V124" s="43">
        <f>IF(D124=0,0,SUM($J$20:J124))</f>
        <v>0</v>
      </c>
      <c r="W124" s="42">
        <f t="shared" si="40"/>
        <v>0</v>
      </c>
      <c r="X124" s="41" t="str">
        <f t="shared" si="41"/>
        <v>0%</v>
      </c>
      <c r="Y124" s="17"/>
      <c r="Z124" s="23">
        <f t="shared" si="45"/>
        <v>45396</v>
      </c>
      <c r="AA124" s="22">
        <f t="shared" si="46"/>
        <v>45396</v>
      </c>
      <c r="AB124" s="137">
        <v>45396</v>
      </c>
      <c r="AC124" s="15"/>
      <c r="AD124" s="15"/>
      <c r="AE124" s="15"/>
      <c r="AF124" s="258"/>
      <c r="AG124" s="259"/>
      <c r="AH124" s="259"/>
      <c r="AI124" s="259"/>
      <c r="AJ124" s="259"/>
      <c r="AK124" s="15"/>
      <c r="AL124" s="134"/>
      <c r="AM124" s="134"/>
      <c r="AN124" s="18"/>
      <c r="AO124" s="18"/>
      <c r="AP124" s="18"/>
      <c r="AQ124" s="18"/>
      <c r="AR124" s="17"/>
      <c r="AS124" s="21">
        <f t="shared" si="48"/>
        <v>45396</v>
      </c>
      <c r="AT124" s="17"/>
      <c r="AU124" s="17"/>
      <c r="AV124" s="17"/>
      <c r="AW124" s="17"/>
      <c r="AX124" s="17"/>
      <c r="AY124" s="17"/>
      <c r="AZ124" s="17"/>
    </row>
    <row r="125" spans="1:52" ht="20">
      <c r="A125" s="17"/>
      <c r="B125" s="40"/>
      <c r="C125" s="55">
        <f t="shared" si="43"/>
        <v>106</v>
      </c>
      <c r="D125" s="54">
        <v>1</v>
      </c>
      <c r="E125" s="53" t="str">
        <f t="shared" si="34"/>
        <v>4</v>
      </c>
      <c r="F125" s="52">
        <f t="shared" si="44"/>
        <v>45397</v>
      </c>
      <c r="G125" s="51" t="str">
        <f t="shared" si="35"/>
        <v>Mon</v>
      </c>
      <c r="H125" s="50"/>
      <c r="I125" s="49"/>
      <c r="J125" s="48">
        <v>319850</v>
      </c>
      <c r="K125" s="31"/>
      <c r="L125" s="43">
        <f t="shared" si="51"/>
        <v>258760.76833910038</v>
      </c>
      <c r="M125" s="47">
        <f t="shared" si="36"/>
        <v>61089.231660899619</v>
      </c>
      <c r="N125" s="41">
        <f t="shared" si="37"/>
        <v>1.2360838238849388</v>
      </c>
      <c r="O125" s="46"/>
      <c r="P125" s="45">
        <f>IF(D125=0,0,SUM($L$111:L125))</f>
        <v>3363889.9884083043</v>
      </c>
      <c r="Q125" s="43">
        <f>IF(D125=0,0,SUM($J$111:J125))</f>
        <v>3149040</v>
      </c>
      <c r="R125" s="42">
        <f t="shared" si="38"/>
        <v>-214849.98840830429</v>
      </c>
      <c r="S125" s="41">
        <f t="shared" si="39"/>
        <v>0.93613049500766665</v>
      </c>
      <c r="T125" s="56"/>
      <c r="U125" s="43">
        <f>IF(D125=0,0,SUM($L$20:L125))</f>
        <v>19222228.505190313</v>
      </c>
      <c r="V125" s="43">
        <f>IF(D125=0,0,SUM($J$20:J125))</f>
        <v>19593852</v>
      </c>
      <c r="W125" s="42">
        <f t="shared" si="40"/>
        <v>371623.49480968714</v>
      </c>
      <c r="X125" s="41">
        <f t="shared" si="41"/>
        <v>1.0193330078616714</v>
      </c>
      <c r="Y125" s="17"/>
      <c r="Z125" s="23">
        <f t="shared" si="45"/>
        <v>45397</v>
      </c>
      <c r="AA125" s="22">
        <f t="shared" si="46"/>
        <v>45397</v>
      </c>
      <c r="AB125" s="137">
        <v>45397</v>
      </c>
      <c r="AC125" s="15"/>
      <c r="AD125" s="15"/>
      <c r="AE125" s="15"/>
      <c r="AF125" s="258"/>
      <c r="AG125" s="259"/>
      <c r="AH125" s="259"/>
      <c r="AI125" s="259"/>
      <c r="AJ125" s="259"/>
      <c r="AK125" s="15"/>
      <c r="AL125" s="134"/>
      <c r="AM125" s="134"/>
      <c r="AN125" s="18"/>
      <c r="AO125" s="18"/>
      <c r="AP125" s="18"/>
      <c r="AQ125" s="18"/>
      <c r="AR125" s="17"/>
      <c r="AS125" s="21">
        <f t="shared" si="48"/>
        <v>45397</v>
      </c>
      <c r="AT125" s="17"/>
      <c r="AU125" s="17"/>
      <c r="AV125" s="17"/>
      <c r="AW125" s="17"/>
      <c r="AX125" s="17"/>
      <c r="AY125" s="17"/>
      <c r="AZ125" s="17"/>
    </row>
    <row r="126" spans="1:52" ht="20">
      <c r="A126" s="17"/>
      <c r="B126" s="40"/>
      <c r="C126" s="55">
        <f t="shared" si="43"/>
        <v>107</v>
      </c>
      <c r="D126" s="54">
        <v>1</v>
      </c>
      <c r="E126" s="53" t="str">
        <f t="shared" si="34"/>
        <v>4</v>
      </c>
      <c r="F126" s="52">
        <f t="shared" si="44"/>
        <v>45398</v>
      </c>
      <c r="G126" s="51" t="str">
        <f t="shared" si="35"/>
        <v>Tue</v>
      </c>
      <c r="H126" s="50"/>
      <c r="I126" s="49"/>
      <c r="J126" s="48">
        <v>340650</v>
      </c>
      <c r="K126" s="31"/>
      <c r="L126" s="43">
        <f t="shared" si="51"/>
        <v>258760.76833910038</v>
      </c>
      <c r="M126" s="47">
        <f t="shared" si="36"/>
        <v>81889.231660899619</v>
      </c>
      <c r="N126" s="41">
        <f t="shared" si="37"/>
        <v>1.3164669520287773</v>
      </c>
      <c r="O126" s="46"/>
      <c r="P126" s="45">
        <f>IF(D126=0,0,SUM($L$111:L126))</f>
        <v>3622650.7567474046</v>
      </c>
      <c r="Q126" s="43">
        <f>IF(D126=0,0,SUM($J$111:J126))</f>
        <v>3489690</v>
      </c>
      <c r="R126" s="42">
        <f t="shared" si="38"/>
        <v>-132960.75674740458</v>
      </c>
      <c r="S126" s="41">
        <f t="shared" si="39"/>
        <v>0.96329738479488891</v>
      </c>
      <c r="T126" s="56"/>
      <c r="U126" s="43">
        <f>IF(D126=0,0,SUM($L$20:L126))</f>
        <v>19480989.273529414</v>
      </c>
      <c r="V126" s="43">
        <f>IF(D126=0,0,SUM($J$20:J126))</f>
        <v>19934502</v>
      </c>
      <c r="W126" s="42">
        <f t="shared" si="40"/>
        <v>453512.72647058591</v>
      </c>
      <c r="X126" s="41">
        <f t="shared" si="41"/>
        <v>1.0232797585432079</v>
      </c>
      <c r="Y126" s="17"/>
      <c r="Z126" s="23">
        <f t="shared" si="45"/>
        <v>45398</v>
      </c>
      <c r="AA126" s="22">
        <f t="shared" si="46"/>
        <v>45398</v>
      </c>
      <c r="AB126" s="137">
        <v>45398</v>
      </c>
      <c r="AC126" s="15"/>
      <c r="AD126" s="15"/>
      <c r="AE126" s="15"/>
      <c r="AF126" s="258"/>
      <c r="AG126" s="259"/>
      <c r="AH126" s="259"/>
      <c r="AI126" s="259"/>
      <c r="AJ126" s="259"/>
      <c r="AK126" s="15"/>
      <c r="AL126" s="134"/>
      <c r="AM126" s="134"/>
      <c r="AN126" s="18"/>
      <c r="AO126" s="18"/>
      <c r="AP126" s="18"/>
      <c r="AQ126" s="18"/>
      <c r="AR126" s="17"/>
      <c r="AS126" s="21">
        <f t="shared" si="48"/>
        <v>45398</v>
      </c>
      <c r="AT126" s="17"/>
      <c r="AU126" s="17"/>
      <c r="AV126" s="17"/>
      <c r="AW126" s="17"/>
      <c r="AX126" s="17"/>
      <c r="AY126" s="17"/>
      <c r="AZ126" s="17"/>
    </row>
    <row r="127" spans="1:52" ht="20">
      <c r="A127" s="17"/>
      <c r="B127" s="40"/>
      <c r="C127" s="55">
        <f t="shared" si="43"/>
        <v>108</v>
      </c>
      <c r="D127" s="54">
        <v>1</v>
      </c>
      <c r="E127" s="53" t="str">
        <f t="shared" si="34"/>
        <v>4</v>
      </c>
      <c r="F127" s="52">
        <f t="shared" si="44"/>
        <v>45399</v>
      </c>
      <c r="G127" s="51" t="str">
        <f t="shared" si="35"/>
        <v>Wed</v>
      </c>
      <c r="H127" s="50"/>
      <c r="I127" s="49"/>
      <c r="J127" s="48">
        <v>363500</v>
      </c>
      <c r="K127" s="31"/>
      <c r="L127" s="43">
        <f t="shared" si="51"/>
        <v>258760.76833910038</v>
      </c>
      <c r="M127" s="47">
        <f t="shared" si="36"/>
        <v>104739.23166089962</v>
      </c>
      <c r="N127" s="41">
        <f t="shared" si="37"/>
        <v>1.404772455782946</v>
      </c>
      <c r="O127" s="46"/>
      <c r="P127" s="45">
        <f>IF(D127=0,0,SUM($L$111:L127))</f>
        <v>3881411.5250865049</v>
      </c>
      <c r="Q127" s="43">
        <f>IF(D127=0,0,SUM($J$111:J127))</f>
        <v>3853190</v>
      </c>
      <c r="R127" s="42">
        <f t="shared" si="38"/>
        <v>-28221.525086504873</v>
      </c>
      <c r="S127" s="41">
        <f t="shared" si="39"/>
        <v>0.99272905619409268</v>
      </c>
      <c r="T127" s="56"/>
      <c r="U127" s="43">
        <f>IF(D127=0,0,SUM($L$20:L127))</f>
        <v>19739750.041868515</v>
      </c>
      <c r="V127" s="43">
        <f>IF(D127=0,0,SUM($J$20:J127))</f>
        <v>20298002</v>
      </c>
      <c r="W127" s="42">
        <f t="shared" si="40"/>
        <v>558251.95813148469</v>
      </c>
      <c r="X127" s="41">
        <f t="shared" si="41"/>
        <v>1.0282805991437287</v>
      </c>
      <c r="Y127" s="17"/>
      <c r="Z127" s="23">
        <f t="shared" si="45"/>
        <v>45399</v>
      </c>
      <c r="AA127" s="22">
        <f t="shared" si="46"/>
        <v>45399</v>
      </c>
      <c r="AB127" s="137">
        <v>45399</v>
      </c>
      <c r="AC127" s="260"/>
      <c r="AD127" s="15"/>
      <c r="AE127" s="261"/>
      <c r="AF127" s="262"/>
      <c r="AG127" s="263"/>
      <c r="AH127" s="263"/>
      <c r="AI127" s="263"/>
      <c r="AJ127" s="263"/>
      <c r="AK127" s="261"/>
      <c r="AL127" s="134"/>
      <c r="AM127" s="134"/>
      <c r="AN127" s="18"/>
      <c r="AO127" s="18"/>
      <c r="AP127" s="18"/>
      <c r="AQ127" s="18"/>
      <c r="AR127" s="17"/>
      <c r="AS127" s="21">
        <f t="shared" si="48"/>
        <v>45399</v>
      </c>
      <c r="AT127" s="17"/>
      <c r="AU127" s="17"/>
      <c r="AV127" s="17"/>
      <c r="AW127" s="17"/>
      <c r="AX127" s="17"/>
      <c r="AY127" s="17"/>
      <c r="AZ127" s="17"/>
    </row>
    <row r="128" spans="1:52" ht="20">
      <c r="A128" s="17"/>
      <c r="B128" s="40"/>
      <c r="C128" s="55">
        <f t="shared" si="43"/>
        <v>109</v>
      </c>
      <c r="D128" s="54">
        <v>1</v>
      </c>
      <c r="E128" s="53" t="str">
        <f t="shared" si="34"/>
        <v>4</v>
      </c>
      <c r="F128" s="52">
        <f t="shared" si="44"/>
        <v>45400</v>
      </c>
      <c r="G128" s="51" t="str">
        <f t="shared" si="35"/>
        <v>Thu</v>
      </c>
      <c r="H128" s="50"/>
      <c r="I128" s="49"/>
      <c r="J128" s="48">
        <v>258110</v>
      </c>
      <c r="K128" s="31"/>
      <c r="L128" s="43">
        <f t="shared" si="51"/>
        <v>258760.76833910038</v>
      </c>
      <c r="M128" s="47">
        <f t="shared" si="36"/>
        <v>-650.76833910038113</v>
      </c>
      <c r="N128" s="41">
        <f t="shared" si="37"/>
        <v>0.99748505794260289</v>
      </c>
      <c r="O128" s="46"/>
      <c r="P128" s="45">
        <f>IF(D128=0,0,SUM($L$111:L128))</f>
        <v>4140172.2934256052</v>
      </c>
      <c r="Q128" s="43">
        <f>IF(D128=0,0,SUM($J$111:J128))</f>
        <v>4111300</v>
      </c>
      <c r="R128" s="42">
        <f t="shared" si="38"/>
        <v>-28872.293425605167</v>
      </c>
      <c r="S128" s="41">
        <f t="shared" si="39"/>
        <v>0.99302630630337463</v>
      </c>
      <c r="T128" s="56"/>
      <c r="U128" s="43">
        <f>IF(D128=0,0,SUM($L$20:L128))</f>
        <v>19998510.810207617</v>
      </c>
      <c r="V128" s="43">
        <f>IF(D128=0,0,SUM($J$20:J128))</f>
        <v>20556112</v>
      </c>
      <c r="W128" s="42">
        <f t="shared" si="40"/>
        <v>557601.18979238346</v>
      </c>
      <c r="X128" s="41">
        <f t="shared" si="41"/>
        <v>1.0278821355792038</v>
      </c>
      <c r="Y128" s="17"/>
      <c r="Z128" s="23">
        <f t="shared" si="45"/>
        <v>45400</v>
      </c>
      <c r="AA128" s="22">
        <f t="shared" si="46"/>
        <v>45400</v>
      </c>
      <c r="AB128" s="137">
        <v>45400</v>
      </c>
      <c r="AC128" s="260"/>
      <c r="AD128" s="261"/>
      <c r="AE128" s="261"/>
      <c r="AF128" s="262"/>
      <c r="AG128" s="263"/>
      <c r="AH128" s="263"/>
      <c r="AI128" s="263"/>
      <c r="AJ128" s="263"/>
      <c r="AK128" s="261"/>
      <c r="AL128" s="134"/>
      <c r="AM128" s="134"/>
      <c r="AN128" s="18"/>
      <c r="AO128" s="18"/>
      <c r="AP128" s="18"/>
      <c r="AQ128" s="18"/>
      <c r="AR128" s="17"/>
      <c r="AS128" s="21">
        <f t="shared" si="48"/>
        <v>45400</v>
      </c>
      <c r="AT128" s="17"/>
      <c r="AU128" s="17"/>
      <c r="AV128" s="17"/>
      <c r="AW128" s="17"/>
      <c r="AX128" s="17"/>
      <c r="AY128" s="17"/>
      <c r="AZ128" s="17"/>
    </row>
    <row r="129" spans="1:52" ht="20">
      <c r="A129" s="17"/>
      <c r="B129" s="40"/>
      <c r="C129" s="55">
        <f t="shared" si="43"/>
        <v>110</v>
      </c>
      <c r="D129" s="54">
        <v>1</v>
      </c>
      <c r="E129" s="53" t="str">
        <f t="shared" si="34"/>
        <v>4</v>
      </c>
      <c r="F129" s="52">
        <f t="shared" si="44"/>
        <v>45401</v>
      </c>
      <c r="G129" s="51" t="str">
        <f t="shared" si="35"/>
        <v>Fri</v>
      </c>
      <c r="H129" s="50"/>
      <c r="I129" s="49"/>
      <c r="J129" s="48">
        <v>254550</v>
      </c>
      <c r="K129" s="31"/>
      <c r="L129" s="43">
        <f t="shared" si="51"/>
        <v>258760.76833910038</v>
      </c>
      <c r="M129" s="47">
        <f t="shared" si="36"/>
        <v>-4210.7683391003811</v>
      </c>
      <c r="N129" s="41">
        <f t="shared" si="37"/>
        <v>0.98372717639490748</v>
      </c>
      <c r="O129" s="46"/>
      <c r="P129" s="45">
        <f>IF(D129=0,0,SUM($L$111:L129))</f>
        <v>4398933.0617647059</v>
      </c>
      <c r="Q129" s="43">
        <f>IF(D129=0,0,SUM($J$111:J129))</f>
        <v>4365850</v>
      </c>
      <c r="R129" s="42">
        <f t="shared" si="38"/>
        <v>-33083.061764705926</v>
      </c>
      <c r="S129" s="41">
        <f t="shared" si="39"/>
        <v>0.99247929866170004</v>
      </c>
      <c r="T129" s="56"/>
      <c r="U129" s="43">
        <f>IF(D129=0,0,SUM($L$20:L129))</f>
        <v>20257271.578546718</v>
      </c>
      <c r="V129" s="43">
        <f>IF(D129=0,0,SUM($J$20:J129))</f>
        <v>20810662</v>
      </c>
      <c r="W129" s="42">
        <f t="shared" si="40"/>
        <v>553390.42145328224</v>
      </c>
      <c r="X129" s="41">
        <f t="shared" si="41"/>
        <v>1.0273181123779447</v>
      </c>
      <c r="Y129" s="17"/>
      <c r="Z129" s="23">
        <f t="shared" si="45"/>
        <v>45401</v>
      </c>
      <c r="AA129" s="22">
        <f t="shared" si="46"/>
        <v>45401</v>
      </c>
      <c r="AB129" s="137">
        <v>45401</v>
      </c>
      <c r="AC129" s="137"/>
      <c r="AD129" s="134"/>
      <c r="AE129" s="134"/>
      <c r="AF129" s="139"/>
      <c r="AG129" s="256"/>
      <c r="AH129" s="256"/>
      <c r="AI129" s="256"/>
      <c r="AJ129" s="256"/>
      <c r="AK129" s="134"/>
      <c r="AL129" s="134"/>
      <c r="AM129" s="134"/>
      <c r="AN129" s="18"/>
      <c r="AO129" s="18"/>
      <c r="AP129" s="18"/>
      <c r="AQ129" s="18"/>
      <c r="AR129" s="17"/>
      <c r="AS129" s="21">
        <f t="shared" si="48"/>
        <v>45401</v>
      </c>
      <c r="AT129" s="17"/>
      <c r="AU129" s="17"/>
      <c r="AV129" s="17"/>
      <c r="AW129" s="17"/>
      <c r="AX129" s="17"/>
      <c r="AY129" s="17"/>
      <c r="AZ129" s="17"/>
    </row>
    <row r="130" spans="1:52" ht="20">
      <c r="A130" s="17"/>
      <c r="B130" s="40"/>
      <c r="C130" s="55">
        <f t="shared" si="43"/>
        <v>111</v>
      </c>
      <c r="D130" s="54">
        <v>1</v>
      </c>
      <c r="E130" s="53" t="str">
        <f t="shared" si="34"/>
        <v>4</v>
      </c>
      <c r="F130" s="52">
        <f t="shared" si="44"/>
        <v>45402</v>
      </c>
      <c r="G130" s="51" t="str">
        <f t="shared" si="35"/>
        <v>Sat</v>
      </c>
      <c r="H130" s="50"/>
      <c r="I130" s="49"/>
      <c r="J130" s="48">
        <v>425590</v>
      </c>
      <c r="K130" s="31"/>
      <c r="L130" s="43">
        <f t="shared" si="51"/>
        <v>258760.76833910038</v>
      </c>
      <c r="M130" s="47">
        <f t="shared" si="36"/>
        <v>166829.23166089962</v>
      </c>
      <c r="N130" s="41">
        <f t="shared" si="37"/>
        <v>1.6447238224392406</v>
      </c>
      <c r="O130" s="46"/>
      <c r="P130" s="45">
        <f>IF(D130=0,0,SUM($L$111:L130))</f>
        <v>4657693.8301038062</v>
      </c>
      <c r="Q130" s="43">
        <f>IF(D130=0,0,SUM($J$111:J130))</f>
        <v>4791440</v>
      </c>
      <c r="R130" s="42">
        <f t="shared" si="38"/>
        <v>133746.16989619378</v>
      </c>
      <c r="S130" s="41">
        <f t="shared" si="39"/>
        <v>1.02871510553823</v>
      </c>
      <c r="T130" s="44"/>
      <c r="U130" s="43">
        <f>IF(D130=0,0,SUM($L$20:L130))</f>
        <v>20516032.346885819</v>
      </c>
      <c r="V130" s="43">
        <f>IF(D130=0,0,SUM($J$20:J130))</f>
        <v>21236252</v>
      </c>
      <c r="W130" s="42">
        <f t="shared" si="40"/>
        <v>720219.65311418101</v>
      </c>
      <c r="X130" s="41">
        <f t="shared" si="41"/>
        <v>1.0351052114237627</v>
      </c>
      <c r="Y130" s="17"/>
      <c r="Z130" s="23">
        <f t="shared" si="45"/>
        <v>45402</v>
      </c>
      <c r="AA130" s="22">
        <f t="shared" si="46"/>
        <v>45402</v>
      </c>
      <c r="AB130" s="137">
        <v>45402</v>
      </c>
      <c r="AC130" s="137"/>
      <c r="AD130" s="134"/>
      <c r="AE130" s="134"/>
      <c r="AF130" s="139"/>
      <c r="AG130" s="256"/>
      <c r="AH130" s="256"/>
      <c r="AI130" s="256"/>
      <c r="AJ130" s="256"/>
      <c r="AK130" s="134"/>
      <c r="AL130" s="134"/>
      <c r="AM130" s="134"/>
      <c r="AN130" s="18"/>
      <c r="AO130" s="18"/>
      <c r="AP130" s="18"/>
      <c r="AQ130" s="18"/>
      <c r="AR130" s="17"/>
      <c r="AS130" s="21">
        <f t="shared" si="48"/>
        <v>45402</v>
      </c>
      <c r="AT130" s="17"/>
      <c r="AU130" s="17"/>
      <c r="AV130" s="17"/>
      <c r="AW130" s="17"/>
      <c r="AX130" s="17"/>
      <c r="AY130" s="17"/>
      <c r="AZ130" s="17"/>
    </row>
    <row r="131" spans="1:52" ht="20">
      <c r="A131" s="17"/>
      <c r="B131" s="40"/>
      <c r="C131" s="55">
        <f t="shared" si="43"/>
        <v>112</v>
      </c>
      <c r="D131" s="54">
        <v>0</v>
      </c>
      <c r="E131" s="53" t="str">
        <f t="shared" si="34"/>
        <v>4</v>
      </c>
      <c r="F131" s="52">
        <f t="shared" si="44"/>
        <v>45403</v>
      </c>
      <c r="G131" s="51" t="str">
        <f t="shared" si="35"/>
        <v>Sun</v>
      </c>
      <c r="H131" s="50" t="s">
        <v>46</v>
      </c>
      <c r="I131" s="49"/>
      <c r="J131" s="48">
        <v>0</v>
      </c>
      <c r="K131" s="31"/>
      <c r="L131" s="43">
        <f t="shared" si="51"/>
        <v>0</v>
      </c>
      <c r="M131" s="47">
        <f t="shared" si="36"/>
        <v>0</v>
      </c>
      <c r="N131" s="41" t="str">
        <f t="shared" si="37"/>
        <v>0%</v>
      </c>
      <c r="O131" s="46"/>
      <c r="P131" s="45">
        <f>IF(D131=0,0,SUM($L$111:L131))</f>
        <v>0</v>
      </c>
      <c r="Q131" s="43">
        <f>IF(D131=0,0,SUM($J$111:J131))</f>
        <v>0</v>
      </c>
      <c r="R131" s="42">
        <f t="shared" si="38"/>
        <v>0</v>
      </c>
      <c r="S131" s="41" t="str">
        <f t="shared" si="39"/>
        <v>0%</v>
      </c>
      <c r="T131" s="56"/>
      <c r="U131" s="43">
        <f>IF(D131=0,0,SUM($L$20:L131))</f>
        <v>0</v>
      </c>
      <c r="V131" s="43">
        <f>IF(D131=0,0,SUM($J$20:J131))</f>
        <v>0</v>
      </c>
      <c r="W131" s="42">
        <f t="shared" si="40"/>
        <v>0</v>
      </c>
      <c r="X131" s="41" t="str">
        <f t="shared" si="41"/>
        <v>0%</v>
      </c>
      <c r="Y131" s="17"/>
      <c r="Z131" s="23">
        <f t="shared" si="45"/>
        <v>45403</v>
      </c>
      <c r="AA131" s="22">
        <f t="shared" si="46"/>
        <v>45403</v>
      </c>
      <c r="AB131" s="137">
        <v>45403</v>
      </c>
      <c r="AC131" s="137"/>
      <c r="AD131" s="134"/>
      <c r="AE131" s="134"/>
      <c r="AF131" s="139"/>
      <c r="AG131" s="256"/>
      <c r="AH131" s="256"/>
      <c r="AI131" s="256"/>
      <c r="AJ131" s="256"/>
      <c r="AK131" s="134"/>
      <c r="AL131" s="134"/>
      <c r="AM131" s="134"/>
      <c r="AN131" s="18"/>
      <c r="AO131" s="18"/>
      <c r="AP131" s="18"/>
      <c r="AQ131" s="18"/>
      <c r="AR131" s="17"/>
      <c r="AS131" s="21">
        <f t="shared" si="48"/>
        <v>45403</v>
      </c>
      <c r="AT131" s="17"/>
      <c r="AU131" s="17"/>
      <c r="AV131" s="17"/>
      <c r="AW131" s="17"/>
      <c r="AX131" s="17"/>
      <c r="AY131" s="17"/>
      <c r="AZ131" s="17"/>
    </row>
    <row r="132" spans="1:52" ht="20">
      <c r="A132" s="17"/>
      <c r="B132" s="40"/>
      <c r="C132" s="55">
        <f t="shared" si="43"/>
        <v>113</v>
      </c>
      <c r="D132" s="54">
        <v>1</v>
      </c>
      <c r="E132" s="53" t="str">
        <f t="shared" si="34"/>
        <v>4</v>
      </c>
      <c r="F132" s="52">
        <f t="shared" si="44"/>
        <v>45404</v>
      </c>
      <c r="G132" s="51" t="str">
        <f t="shared" si="35"/>
        <v>Mon</v>
      </c>
      <c r="H132" s="50"/>
      <c r="I132" s="49"/>
      <c r="J132" s="48">
        <v>255610</v>
      </c>
      <c r="K132" s="31"/>
      <c r="L132" s="43">
        <f t="shared" si="51"/>
        <v>258760.76833910038</v>
      </c>
      <c r="M132" s="47">
        <f t="shared" si="36"/>
        <v>-3150.7683391003811</v>
      </c>
      <c r="N132" s="41">
        <f t="shared" si="37"/>
        <v>0.98782362427146853</v>
      </c>
      <c r="O132" s="46"/>
      <c r="P132" s="45">
        <f>IF(D132=0,0,SUM($L$111:L132))</f>
        <v>4916454.5984429065</v>
      </c>
      <c r="Q132" s="43">
        <f>IF(D132=0,0,SUM($J$111:J132))</f>
        <v>5047050</v>
      </c>
      <c r="R132" s="42">
        <f t="shared" si="38"/>
        <v>130595.40155709349</v>
      </c>
      <c r="S132" s="41">
        <f t="shared" si="39"/>
        <v>1.0265629223136636</v>
      </c>
      <c r="T132" s="56"/>
      <c r="U132" s="43">
        <f>IF(D132=0,0,SUM($L$20:L132))</f>
        <v>20774793.11522492</v>
      </c>
      <c r="V132" s="43">
        <f>IF(D132=0,0,SUM($J$20:J132))</f>
        <v>21491862</v>
      </c>
      <c r="W132" s="42">
        <f t="shared" si="40"/>
        <v>717068.88477507979</v>
      </c>
      <c r="X132" s="41">
        <f t="shared" si="41"/>
        <v>1.0345162948578088</v>
      </c>
      <c r="Y132" s="17"/>
      <c r="Z132" s="23">
        <f t="shared" si="45"/>
        <v>45404</v>
      </c>
      <c r="AA132" s="22">
        <f t="shared" si="46"/>
        <v>45404</v>
      </c>
      <c r="AB132" s="137">
        <v>45404</v>
      </c>
      <c r="AC132" s="137"/>
      <c r="AD132" s="134"/>
      <c r="AE132" s="134"/>
      <c r="AF132" s="139"/>
      <c r="AG132" s="256"/>
      <c r="AH132" s="256"/>
      <c r="AI132" s="256"/>
      <c r="AJ132" s="256"/>
      <c r="AK132" s="134"/>
      <c r="AL132" s="134"/>
      <c r="AM132" s="134"/>
      <c r="AN132" s="18"/>
      <c r="AO132" s="18"/>
      <c r="AP132" s="18"/>
      <c r="AQ132" s="18"/>
      <c r="AR132" s="17"/>
      <c r="AS132" s="21">
        <f t="shared" si="48"/>
        <v>45404</v>
      </c>
      <c r="AT132" s="17"/>
      <c r="AU132" s="17"/>
      <c r="AV132" s="17"/>
      <c r="AW132" s="17"/>
      <c r="AX132" s="17"/>
      <c r="AY132" s="17"/>
      <c r="AZ132" s="17"/>
    </row>
    <row r="133" spans="1:52" ht="20">
      <c r="A133" s="17"/>
      <c r="B133" s="40"/>
      <c r="C133" s="55">
        <f t="shared" si="43"/>
        <v>114</v>
      </c>
      <c r="D133" s="54">
        <v>1</v>
      </c>
      <c r="E133" s="53" t="str">
        <f t="shared" si="34"/>
        <v>4</v>
      </c>
      <c r="F133" s="52">
        <f t="shared" si="44"/>
        <v>45405</v>
      </c>
      <c r="G133" s="51" t="str">
        <f t="shared" si="35"/>
        <v>Tue</v>
      </c>
      <c r="H133" s="50"/>
      <c r="I133" s="49"/>
      <c r="J133" s="48">
        <v>215740</v>
      </c>
      <c r="K133" s="31"/>
      <c r="L133" s="43">
        <f t="shared" si="51"/>
        <v>258760.76833910038</v>
      </c>
      <c r="M133" s="47">
        <f t="shared" si="36"/>
        <v>-43020.768339100381</v>
      </c>
      <c r="N133" s="41">
        <f t="shared" si="37"/>
        <v>0.8337430800842166</v>
      </c>
      <c r="O133" s="46"/>
      <c r="P133" s="45">
        <f>IF(D133=0,0,SUM($L$111:L133))</f>
        <v>5175215.3667820068</v>
      </c>
      <c r="Q133" s="43">
        <f>IF(D133=0,0,SUM($J$111:J133))</f>
        <v>5262790</v>
      </c>
      <c r="R133" s="42">
        <f t="shared" si="38"/>
        <v>87574.633217993192</v>
      </c>
      <c r="S133" s="41">
        <f t="shared" si="39"/>
        <v>1.0169219302021912</v>
      </c>
      <c r="T133" s="56"/>
      <c r="U133" s="43">
        <f>IF(D133=0,0,SUM($L$20:L133))</f>
        <v>21033553.883564021</v>
      </c>
      <c r="V133" s="43">
        <f>IF(D133=0,0,SUM($J$20:J133))</f>
        <v>21707602</v>
      </c>
      <c r="W133" s="42">
        <f t="shared" si="40"/>
        <v>674048.11643597856</v>
      </c>
      <c r="X133" s="41">
        <f t="shared" si="41"/>
        <v>1.0320463256075185</v>
      </c>
      <c r="Y133" s="17"/>
      <c r="Z133" s="23">
        <f t="shared" si="45"/>
        <v>45405</v>
      </c>
      <c r="AA133" s="22">
        <f t="shared" si="46"/>
        <v>45405</v>
      </c>
      <c r="AB133" s="137">
        <v>45405</v>
      </c>
      <c r="AC133" s="137"/>
      <c r="AD133" s="134"/>
      <c r="AE133" s="134"/>
      <c r="AF133" s="139"/>
      <c r="AG133" s="256"/>
      <c r="AH133" s="256"/>
      <c r="AI133" s="256"/>
      <c r="AJ133" s="256"/>
      <c r="AK133" s="134"/>
      <c r="AL133" s="134"/>
      <c r="AM133" s="134"/>
      <c r="AN133" s="18"/>
      <c r="AO133" s="18"/>
      <c r="AP133" s="18"/>
      <c r="AQ133" s="18"/>
      <c r="AR133" s="17"/>
      <c r="AS133" s="21">
        <f t="shared" si="48"/>
        <v>45405</v>
      </c>
      <c r="AT133" s="17"/>
      <c r="AU133" s="17"/>
      <c r="AV133" s="17"/>
      <c r="AW133" s="17"/>
      <c r="AX133" s="17"/>
      <c r="AY133" s="17"/>
      <c r="AZ133" s="17"/>
    </row>
    <row r="134" spans="1:52" ht="20">
      <c r="A134" s="17"/>
      <c r="B134" s="40"/>
      <c r="C134" s="55">
        <f t="shared" si="43"/>
        <v>115</v>
      </c>
      <c r="D134" s="54">
        <v>1</v>
      </c>
      <c r="E134" s="53" t="str">
        <f t="shared" si="34"/>
        <v>4</v>
      </c>
      <c r="F134" s="52">
        <f t="shared" si="44"/>
        <v>45406</v>
      </c>
      <c r="G134" s="51" t="str">
        <f t="shared" si="35"/>
        <v>Wed</v>
      </c>
      <c r="H134" s="50"/>
      <c r="I134" s="49"/>
      <c r="J134" s="48">
        <v>302880</v>
      </c>
      <c r="K134" s="31"/>
      <c r="L134" s="43">
        <f t="shared" si="51"/>
        <v>258760.76833910038</v>
      </c>
      <c r="M134" s="47">
        <f t="shared" si="36"/>
        <v>44119.231660899619</v>
      </c>
      <c r="N134" s="41">
        <f t="shared" si="37"/>
        <v>1.1705020121252783</v>
      </c>
      <c r="O134" s="46"/>
      <c r="P134" s="45">
        <f>IF(D134=0,0,SUM($L$111:L134))</f>
        <v>5433976.1351211071</v>
      </c>
      <c r="Q134" s="43">
        <f>IF(D134=0,0,SUM($J$111:J134))</f>
        <v>5565670</v>
      </c>
      <c r="R134" s="42">
        <f t="shared" si="38"/>
        <v>131693.8648788929</v>
      </c>
      <c r="S134" s="41">
        <f t="shared" si="39"/>
        <v>1.024235267436624</v>
      </c>
      <c r="T134" s="56"/>
      <c r="U134" s="43">
        <f>IF(D134=0,0,SUM($L$20:L134))</f>
        <v>21292314.651903123</v>
      </c>
      <c r="V134" s="43">
        <f>IF(D134=0,0,SUM($J$20:J134))</f>
        <v>22010482</v>
      </c>
      <c r="W134" s="42">
        <f t="shared" si="40"/>
        <v>718167.34809687734</v>
      </c>
      <c r="X134" s="41">
        <f t="shared" si="41"/>
        <v>1.0337289467978386</v>
      </c>
      <c r="Y134" s="17"/>
      <c r="Z134" s="23">
        <f t="shared" si="45"/>
        <v>45406</v>
      </c>
      <c r="AA134" s="22">
        <f t="shared" si="46"/>
        <v>45406</v>
      </c>
      <c r="AB134" s="137">
        <v>45406</v>
      </c>
      <c r="AC134" s="137"/>
      <c r="AD134" s="134"/>
      <c r="AE134" s="134"/>
      <c r="AF134" s="139"/>
      <c r="AG134" s="256"/>
      <c r="AH134" s="256"/>
      <c r="AI134" s="256"/>
      <c r="AJ134" s="256"/>
      <c r="AK134" s="134"/>
      <c r="AL134" s="134"/>
      <c r="AM134" s="134"/>
      <c r="AN134" s="18"/>
      <c r="AO134" s="18"/>
      <c r="AP134" s="18"/>
      <c r="AQ134" s="18"/>
      <c r="AR134" s="17"/>
      <c r="AS134" s="21">
        <f t="shared" si="48"/>
        <v>45406</v>
      </c>
      <c r="AT134" s="17"/>
      <c r="AU134" s="17"/>
      <c r="AV134" s="17"/>
      <c r="AW134" s="17"/>
      <c r="AX134" s="17"/>
      <c r="AY134" s="17"/>
      <c r="AZ134" s="17"/>
    </row>
    <row r="135" spans="1:52" ht="20">
      <c r="A135" s="17"/>
      <c r="B135" s="40"/>
      <c r="C135" s="55">
        <f t="shared" si="43"/>
        <v>116</v>
      </c>
      <c r="D135" s="54">
        <v>1</v>
      </c>
      <c r="E135" s="53" t="str">
        <f t="shared" si="34"/>
        <v>4</v>
      </c>
      <c r="F135" s="52">
        <f t="shared" si="44"/>
        <v>45407</v>
      </c>
      <c r="G135" s="51" t="str">
        <f t="shared" si="35"/>
        <v>Thu</v>
      </c>
      <c r="H135" s="50"/>
      <c r="I135" s="49"/>
      <c r="J135" s="48">
        <v>391500</v>
      </c>
      <c r="K135" s="31"/>
      <c r="L135" s="43">
        <f t="shared" si="51"/>
        <v>258760.76833910038</v>
      </c>
      <c r="M135" s="47">
        <f t="shared" si="36"/>
        <v>132739.23166089962</v>
      </c>
      <c r="N135" s="41">
        <f t="shared" si="37"/>
        <v>1.5129805128996514</v>
      </c>
      <c r="O135" s="46"/>
      <c r="P135" s="45">
        <f>IF(D135=0,0,SUM($L$111:L135))</f>
        <v>5692736.9034602074</v>
      </c>
      <c r="Q135" s="43">
        <f>IF(D135=0,0,SUM($J$111:J135))</f>
        <v>5957170</v>
      </c>
      <c r="R135" s="42">
        <f t="shared" si="38"/>
        <v>264433.0965397926</v>
      </c>
      <c r="S135" s="41">
        <f t="shared" si="39"/>
        <v>1.0464509604122163</v>
      </c>
      <c r="T135" s="56"/>
      <c r="U135" s="43">
        <f>IF(D135=0,0,SUM($L$20:L135))</f>
        <v>21551075.420242224</v>
      </c>
      <c r="V135" s="43">
        <f>IF(D135=0,0,SUM($J$20:J135))</f>
        <v>22401982</v>
      </c>
      <c r="W135" s="42">
        <f t="shared" si="40"/>
        <v>850906.57975777611</v>
      </c>
      <c r="X135" s="41">
        <f t="shared" si="41"/>
        <v>1.0394832537664709</v>
      </c>
      <c r="Y135" s="17"/>
      <c r="Z135" s="23">
        <f t="shared" si="45"/>
        <v>45407</v>
      </c>
      <c r="AA135" s="22">
        <f t="shared" si="46"/>
        <v>45407</v>
      </c>
      <c r="AB135" s="137">
        <v>45407</v>
      </c>
      <c r="AC135" s="137"/>
      <c r="AD135" s="134"/>
      <c r="AE135" s="134"/>
      <c r="AF135" s="139"/>
      <c r="AG135" s="256"/>
      <c r="AH135" s="256"/>
      <c r="AI135" s="256"/>
      <c r="AJ135" s="256"/>
      <c r="AK135" s="134"/>
      <c r="AL135" s="134"/>
      <c r="AM135" s="134"/>
      <c r="AN135" s="18"/>
      <c r="AO135" s="18"/>
      <c r="AP135" s="18"/>
      <c r="AQ135" s="18"/>
      <c r="AR135" s="17"/>
      <c r="AS135" s="21">
        <f t="shared" si="48"/>
        <v>45407</v>
      </c>
      <c r="AT135" s="17"/>
      <c r="AU135" s="17"/>
      <c r="AV135" s="17"/>
      <c r="AW135" s="17"/>
      <c r="AX135" s="17"/>
      <c r="AY135" s="17"/>
      <c r="AZ135" s="17"/>
    </row>
    <row r="136" spans="1:52" ht="20">
      <c r="A136" s="17"/>
      <c r="B136" s="40"/>
      <c r="C136" s="55">
        <f t="shared" si="43"/>
        <v>117</v>
      </c>
      <c r="D136" s="54">
        <v>1</v>
      </c>
      <c r="E136" s="53" t="str">
        <f t="shared" si="34"/>
        <v>4</v>
      </c>
      <c r="F136" s="52">
        <f t="shared" si="44"/>
        <v>45408</v>
      </c>
      <c r="G136" s="51" t="str">
        <f t="shared" si="35"/>
        <v>Fri</v>
      </c>
      <c r="H136" s="50"/>
      <c r="I136" s="49"/>
      <c r="J136" s="48">
        <v>361420</v>
      </c>
      <c r="K136" s="31"/>
      <c r="L136" s="43">
        <f t="shared" si="51"/>
        <v>258760.76833910038</v>
      </c>
      <c r="M136" s="47">
        <f t="shared" si="36"/>
        <v>102659.23166089962</v>
      </c>
      <c r="N136" s="41">
        <f t="shared" si="37"/>
        <v>1.396734142968562</v>
      </c>
      <c r="O136" s="46"/>
      <c r="P136" s="45">
        <f>IF(D136=0,0,SUM($L$111:L136))</f>
        <v>5951497.6717993077</v>
      </c>
      <c r="Q136" s="43">
        <f>IF(D136=0,0,SUM($J$111:J136))</f>
        <v>6318590</v>
      </c>
      <c r="R136" s="42">
        <f t="shared" si="38"/>
        <v>367092.32820069231</v>
      </c>
      <c r="S136" s="41">
        <f t="shared" si="39"/>
        <v>1.0616806640016225</v>
      </c>
      <c r="T136" s="56"/>
      <c r="U136" s="43">
        <f>IF(D136=0,0,SUM($L$20:L136))</f>
        <v>21809836.188581325</v>
      </c>
      <c r="V136" s="43">
        <f>IF(D136=0,0,SUM($J$20:J136))</f>
        <v>22763402</v>
      </c>
      <c r="W136" s="42">
        <f t="shared" si="40"/>
        <v>953565.81141867489</v>
      </c>
      <c r="X136" s="41">
        <f t="shared" si="41"/>
        <v>1.0437218236383601</v>
      </c>
      <c r="Y136" s="17"/>
      <c r="Z136" s="23">
        <f t="shared" si="45"/>
        <v>45408</v>
      </c>
      <c r="AA136" s="22">
        <f t="shared" si="46"/>
        <v>45408</v>
      </c>
      <c r="AB136" s="137">
        <v>45408</v>
      </c>
      <c r="AC136" s="137"/>
      <c r="AD136" s="134"/>
      <c r="AE136" s="134"/>
      <c r="AF136" s="139"/>
      <c r="AG136" s="256"/>
      <c r="AH136" s="256"/>
      <c r="AI136" s="256"/>
      <c r="AJ136" s="256"/>
      <c r="AK136" s="134"/>
      <c r="AL136" s="134"/>
      <c r="AM136" s="134"/>
      <c r="AN136" s="18"/>
      <c r="AO136" s="18"/>
      <c r="AP136" s="18"/>
      <c r="AQ136" s="18"/>
      <c r="AR136" s="17"/>
      <c r="AS136" s="21">
        <f t="shared" si="48"/>
        <v>45408</v>
      </c>
      <c r="AT136" s="17"/>
      <c r="AU136" s="17"/>
      <c r="AV136" s="17"/>
      <c r="AW136" s="17"/>
      <c r="AX136" s="17"/>
      <c r="AY136" s="17"/>
      <c r="AZ136" s="17"/>
    </row>
    <row r="137" spans="1:52" ht="20">
      <c r="A137" s="17"/>
      <c r="B137" s="40"/>
      <c r="C137" s="55">
        <f t="shared" si="43"/>
        <v>118</v>
      </c>
      <c r="D137" s="54">
        <v>1</v>
      </c>
      <c r="E137" s="53" t="str">
        <f t="shared" si="34"/>
        <v>4</v>
      </c>
      <c r="F137" s="52">
        <f t="shared" si="44"/>
        <v>45409</v>
      </c>
      <c r="G137" s="51" t="str">
        <f t="shared" si="35"/>
        <v>Sat</v>
      </c>
      <c r="H137" s="50"/>
      <c r="I137" s="49"/>
      <c r="J137" s="48">
        <v>95830</v>
      </c>
      <c r="K137" s="31"/>
      <c r="L137" s="43">
        <f t="shared" si="51"/>
        <v>258760.76833910038</v>
      </c>
      <c r="M137" s="47">
        <f t="shared" si="36"/>
        <v>-162930.76833910038</v>
      </c>
      <c r="N137" s="41">
        <f t="shared" si="37"/>
        <v>0.37034207548192494</v>
      </c>
      <c r="O137" s="46"/>
      <c r="P137" s="45">
        <f>IF(D137=0,0,SUM($L$111:L137))</f>
        <v>6210258.440138408</v>
      </c>
      <c r="Q137" s="43">
        <f>IF(D137=0,0,SUM($J$111:J137))</f>
        <v>6414420</v>
      </c>
      <c r="R137" s="42">
        <f t="shared" si="38"/>
        <v>204161.55986159202</v>
      </c>
      <c r="S137" s="41">
        <f t="shared" si="39"/>
        <v>1.0328748894799686</v>
      </c>
      <c r="T137" s="44"/>
      <c r="U137" s="43">
        <f>IF(D137=0,0,SUM($L$20:L137))</f>
        <v>22068596.956920426</v>
      </c>
      <c r="V137" s="43">
        <f>IF(D137=0,0,SUM($J$20:J137))</f>
        <v>22859232</v>
      </c>
      <c r="W137" s="42">
        <f t="shared" si="40"/>
        <v>790635.04307957366</v>
      </c>
      <c r="X137" s="41">
        <f t="shared" si="41"/>
        <v>1.0358262487018524</v>
      </c>
      <c r="Y137" s="17"/>
      <c r="Z137" s="23">
        <f t="shared" si="45"/>
        <v>45409</v>
      </c>
      <c r="AA137" s="22">
        <f t="shared" si="46"/>
        <v>45409</v>
      </c>
      <c r="AB137" s="137">
        <v>45409</v>
      </c>
      <c r="AC137" s="137"/>
      <c r="AD137" s="134"/>
      <c r="AE137" s="134"/>
      <c r="AF137" s="139"/>
      <c r="AG137" s="256"/>
      <c r="AH137" s="256"/>
      <c r="AI137" s="256"/>
      <c r="AJ137" s="256"/>
      <c r="AK137" s="134"/>
      <c r="AL137" s="134"/>
      <c r="AM137" s="134"/>
      <c r="AN137" s="18"/>
      <c r="AO137" s="18"/>
      <c r="AP137" s="18"/>
      <c r="AQ137" s="18"/>
      <c r="AR137" s="17"/>
      <c r="AS137" s="21">
        <f t="shared" si="48"/>
        <v>45409</v>
      </c>
      <c r="AT137" s="17"/>
      <c r="AU137" s="17"/>
      <c r="AV137" s="17"/>
      <c r="AW137" s="17"/>
      <c r="AX137" s="17"/>
      <c r="AY137" s="17"/>
      <c r="AZ137" s="17"/>
    </row>
    <row r="138" spans="1:52" ht="20">
      <c r="A138" s="17"/>
      <c r="B138" s="40"/>
      <c r="C138" s="55">
        <f t="shared" si="43"/>
        <v>119</v>
      </c>
      <c r="D138" s="54">
        <v>0</v>
      </c>
      <c r="E138" s="53" t="str">
        <f t="shared" si="34"/>
        <v>4</v>
      </c>
      <c r="F138" s="52">
        <f t="shared" si="44"/>
        <v>45410</v>
      </c>
      <c r="G138" s="51" t="str">
        <f t="shared" si="35"/>
        <v>Sun</v>
      </c>
      <c r="H138" s="50" t="s">
        <v>46</v>
      </c>
      <c r="I138" s="49"/>
      <c r="J138" s="48">
        <v>0</v>
      </c>
      <c r="K138" s="31"/>
      <c r="L138" s="43">
        <f t="shared" si="51"/>
        <v>0</v>
      </c>
      <c r="M138" s="47">
        <f t="shared" si="36"/>
        <v>0</v>
      </c>
      <c r="N138" s="41" t="str">
        <f t="shared" si="37"/>
        <v>0%</v>
      </c>
      <c r="O138" s="46"/>
      <c r="P138" s="45">
        <f>IF(D138=0,0,SUM($L$111:L138))</f>
        <v>0</v>
      </c>
      <c r="Q138" s="43">
        <f>IF(D138=0,0,SUM($J$111:J138))</f>
        <v>0</v>
      </c>
      <c r="R138" s="42">
        <f t="shared" si="38"/>
        <v>0</v>
      </c>
      <c r="S138" s="41" t="str">
        <f t="shared" si="39"/>
        <v>0%</v>
      </c>
      <c r="T138" s="56"/>
      <c r="U138" s="43">
        <f>IF(D138=0,0,SUM($L$20:L138))</f>
        <v>0</v>
      </c>
      <c r="V138" s="43">
        <f>IF(D138=0,0,SUM($J$20:J138))</f>
        <v>0</v>
      </c>
      <c r="W138" s="42">
        <f t="shared" si="40"/>
        <v>0</v>
      </c>
      <c r="X138" s="41" t="str">
        <f t="shared" si="41"/>
        <v>0%</v>
      </c>
      <c r="Y138" s="17"/>
      <c r="Z138" s="23">
        <f t="shared" si="45"/>
        <v>45410</v>
      </c>
      <c r="AA138" s="22">
        <f t="shared" si="46"/>
        <v>45410</v>
      </c>
      <c r="AB138" s="137">
        <v>45410</v>
      </c>
      <c r="AC138" s="137"/>
      <c r="AD138" s="134"/>
      <c r="AE138" s="134"/>
      <c r="AF138" s="139"/>
      <c r="AG138" s="256"/>
      <c r="AH138" s="256"/>
      <c r="AI138" s="256"/>
      <c r="AJ138" s="256"/>
      <c r="AK138" s="134"/>
      <c r="AL138" s="134"/>
      <c r="AM138" s="134"/>
      <c r="AN138" s="18"/>
      <c r="AO138" s="18"/>
      <c r="AP138" s="18"/>
      <c r="AQ138" s="18"/>
      <c r="AR138" s="17"/>
      <c r="AS138" s="21">
        <f t="shared" si="48"/>
        <v>45410</v>
      </c>
      <c r="AT138" s="17"/>
      <c r="AU138" s="17"/>
      <c r="AV138" s="17"/>
      <c r="AW138" s="17"/>
      <c r="AX138" s="17"/>
      <c r="AY138" s="17"/>
      <c r="AZ138" s="17"/>
    </row>
    <row r="139" spans="1:52" ht="20">
      <c r="A139" s="17"/>
      <c r="B139" s="40"/>
      <c r="C139" s="55">
        <f t="shared" si="43"/>
        <v>120</v>
      </c>
      <c r="D139" s="54">
        <v>0</v>
      </c>
      <c r="E139" s="53" t="str">
        <f t="shared" si="34"/>
        <v>4</v>
      </c>
      <c r="F139" s="52">
        <f t="shared" si="44"/>
        <v>45411</v>
      </c>
      <c r="G139" s="51" t="str">
        <f t="shared" si="35"/>
        <v>Mon</v>
      </c>
      <c r="H139" s="50" t="s">
        <v>47</v>
      </c>
      <c r="I139" s="49"/>
      <c r="J139" s="48">
        <v>0</v>
      </c>
      <c r="K139" s="31"/>
      <c r="L139" s="43">
        <f t="shared" si="51"/>
        <v>0</v>
      </c>
      <c r="M139" s="47">
        <f t="shared" si="36"/>
        <v>0</v>
      </c>
      <c r="N139" s="41" t="str">
        <f t="shared" si="37"/>
        <v>0%</v>
      </c>
      <c r="O139" s="46"/>
      <c r="P139" s="45">
        <f>IF(D139=0,0,SUM($L$111:L139))</f>
        <v>0</v>
      </c>
      <c r="Q139" s="43">
        <f>IF(D139=0,0,SUM($J$111:J139))</f>
        <v>0</v>
      </c>
      <c r="R139" s="42">
        <f t="shared" si="38"/>
        <v>0</v>
      </c>
      <c r="S139" s="41" t="str">
        <f t="shared" si="39"/>
        <v>0%</v>
      </c>
      <c r="T139" s="44"/>
      <c r="U139" s="43">
        <f>IF(D139=0,0,SUM($L$20:L139))</f>
        <v>0</v>
      </c>
      <c r="V139" s="43">
        <f>IF(D139=0,0,SUM($J$20:J139))</f>
        <v>0</v>
      </c>
      <c r="W139" s="42">
        <f t="shared" si="40"/>
        <v>0</v>
      </c>
      <c r="X139" s="41" t="str">
        <f t="shared" si="41"/>
        <v>0%</v>
      </c>
      <c r="Y139" s="17"/>
      <c r="Z139" s="23">
        <f t="shared" si="45"/>
        <v>45411</v>
      </c>
      <c r="AA139" s="22">
        <f t="shared" si="46"/>
        <v>45411</v>
      </c>
      <c r="AB139" s="137">
        <v>45411</v>
      </c>
      <c r="AC139" s="137"/>
      <c r="AD139" s="134"/>
      <c r="AE139" s="134"/>
      <c r="AF139" s="139"/>
      <c r="AG139" s="256"/>
      <c r="AH139" s="256"/>
      <c r="AI139" s="256"/>
      <c r="AJ139" s="256"/>
      <c r="AK139" s="134"/>
      <c r="AL139" s="134"/>
      <c r="AM139" s="134"/>
      <c r="AN139" s="18"/>
      <c r="AO139" s="18"/>
      <c r="AP139" s="18"/>
      <c r="AQ139" s="18"/>
      <c r="AR139" s="17"/>
      <c r="AS139" s="21">
        <f t="shared" si="48"/>
        <v>45411</v>
      </c>
      <c r="AT139" s="17"/>
      <c r="AU139" s="17"/>
      <c r="AV139" s="17"/>
      <c r="AW139" s="17"/>
      <c r="AX139" s="17"/>
      <c r="AY139" s="17"/>
      <c r="AZ139" s="17"/>
    </row>
    <row r="140" spans="1:52" ht="21" thickBot="1">
      <c r="A140" s="17"/>
      <c r="B140" s="40"/>
      <c r="C140" s="39">
        <f t="shared" si="43"/>
        <v>121</v>
      </c>
      <c r="D140" s="38">
        <v>1</v>
      </c>
      <c r="E140" s="37" t="str">
        <f t="shared" si="34"/>
        <v>4</v>
      </c>
      <c r="F140" s="36">
        <f t="shared" si="44"/>
        <v>45412</v>
      </c>
      <c r="G140" s="35" t="str">
        <f t="shared" si="35"/>
        <v>Tue</v>
      </c>
      <c r="H140" s="34"/>
      <c r="I140" s="33"/>
      <c r="J140" s="32">
        <v>262237</v>
      </c>
      <c r="K140" s="31"/>
      <c r="L140" s="26">
        <f t="shared" si="51"/>
        <v>258760.76833910038</v>
      </c>
      <c r="M140" s="30">
        <f t="shared" si="36"/>
        <v>3476.2316608996189</v>
      </c>
      <c r="N140" s="24">
        <f t="shared" si="37"/>
        <v>1.0134341526469117</v>
      </c>
      <c r="O140" s="29"/>
      <c r="P140" s="63">
        <f>IF(D140=0,0,SUM($L$111:L140))</f>
        <v>6469019.2084775083</v>
      </c>
      <c r="Q140" s="26">
        <f>IF(D140=0,0,SUM($J$111:J140))</f>
        <v>6676657</v>
      </c>
      <c r="R140" s="25">
        <f t="shared" si="38"/>
        <v>207637.79152249172</v>
      </c>
      <c r="S140" s="24">
        <f t="shared" si="39"/>
        <v>1.0320972600066463</v>
      </c>
      <c r="T140" s="64"/>
      <c r="U140" s="26">
        <f>IF(D140=0,0,SUM($L$20:L140))</f>
        <v>22327357.725259528</v>
      </c>
      <c r="V140" s="26">
        <f>IF(D140=0,0,SUM($J$20:J140))</f>
        <v>23121469</v>
      </c>
      <c r="W140" s="25">
        <f t="shared" si="40"/>
        <v>794111.27474047244</v>
      </c>
      <c r="X140" s="24">
        <f t="shared" si="41"/>
        <v>1.0355667376548581</v>
      </c>
      <c r="Y140" s="17"/>
      <c r="Z140" s="23">
        <f t="shared" si="45"/>
        <v>45412</v>
      </c>
      <c r="AA140" s="22">
        <f t="shared" si="46"/>
        <v>45412</v>
      </c>
      <c r="AB140" s="137">
        <v>45412</v>
      </c>
      <c r="AC140" s="137"/>
      <c r="AD140" s="134"/>
      <c r="AE140" s="134"/>
      <c r="AF140" s="139"/>
      <c r="AG140" s="256"/>
      <c r="AH140" s="256"/>
      <c r="AI140" s="256"/>
      <c r="AJ140" s="256"/>
      <c r="AK140" s="134"/>
      <c r="AL140" s="134"/>
      <c r="AM140" s="134"/>
      <c r="AN140" s="18"/>
      <c r="AO140" s="18"/>
      <c r="AP140" s="18"/>
      <c r="AQ140" s="18"/>
      <c r="AR140" s="17"/>
      <c r="AS140" s="21">
        <f t="shared" si="48"/>
        <v>45412</v>
      </c>
      <c r="AT140" s="17"/>
      <c r="AU140" s="17"/>
      <c r="AV140" s="17"/>
      <c r="AW140" s="17"/>
      <c r="AX140" s="17"/>
      <c r="AY140" s="17"/>
      <c r="AZ140" s="17"/>
    </row>
    <row r="141" spans="1:52" ht="21" thickTop="1">
      <c r="A141" s="17"/>
      <c r="B141" s="40"/>
      <c r="C141" s="55">
        <f t="shared" si="43"/>
        <v>122</v>
      </c>
      <c r="D141" s="62">
        <v>1</v>
      </c>
      <c r="E141" s="53" t="str">
        <f t="shared" si="34"/>
        <v>5</v>
      </c>
      <c r="F141" s="52">
        <f t="shared" si="44"/>
        <v>45413</v>
      </c>
      <c r="G141" s="51" t="str">
        <f t="shared" si="35"/>
        <v>Wed</v>
      </c>
      <c r="H141" s="50"/>
      <c r="I141" s="49"/>
      <c r="J141" s="48">
        <v>178855</v>
      </c>
      <c r="K141" s="31"/>
      <c r="L141" s="43">
        <f t="shared" ref="L141:L171" si="52">IF(D141=0,0,$K$10)</f>
        <v>246438.82698961938</v>
      </c>
      <c r="M141" s="42">
        <f t="shared" si="36"/>
        <v>-67583.826989619381</v>
      </c>
      <c r="N141" s="60">
        <f t="shared" si="37"/>
        <v>0.72575820208531439</v>
      </c>
      <c r="O141" s="46"/>
      <c r="P141" s="61">
        <f>IF(D141=0,0,$L$141)</f>
        <v>246438.82698961938</v>
      </c>
      <c r="Q141" s="43">
        <f>IF(D141=0,0,$J$141)</f>
        <v>178855</v>
      </c>
      <c r="R141" s="42">
        <f t="shared" si="38"/>
        <v>-67583.826989619381</v>
      </c>
      <c r="S141" s="60">
        <f t="shared" si="39"/>
        <v>0.72575820208531439</v>
      </c>
      <c r="T141" s="56"/>
      <c r="U141" s="43">
        <f>IF(D141=0,0,SUM($L$20:L141))</f>
        <v>22573796.552249148</v>
      </c>
      <c r="V141" s="43">
        <f>IF(D141=0,0,SUM($J$20:J141))</f>
        <v>23300324</v>
      </c>
      <c r="W141" s="42">
        <f t="shared" si="40"/>
        <v>726527.44775085151</v>
      </c>
      <c r="X141" s="60">
        <f t="shared" si="41"/>
        <v>1.0321845484019152</v>
      </c>
      <c r="Y141" s="17"/>
      <c r="Z141" s="23">
        <f t="shared" si="45"/>
        <v>45413</v>
      </c>
      <c r="AA141" s="22">
        <f t="shared" si="46"/>
        <v>45413</v>
      </c>
      <c r="AB141" s="137">
        <v>45413</v>
      </c>
      <c r="AC141" s="137"/>
      <c r="AD141" s="134"/>
      <c r="AE141" s="134"/>
      <c r="AF141" s="139"/>
      <c r="AG141" s="256"/>
      <c r="AH141" s="256"/>
      <c r="AI141" s="256"/>
      <c r="AJ141" s="256"/>
      <c r="AK141" s="134"/>
      <c r="AL141" s="134"/>
      <c r="AM141" s="134"/>
      <c r="AN141" s="18"/>
      <c r="AO141" s="18"/>
      <c r="AP141" s="18"/>
      <c r="AQ141" s="18"/>
      <c r="AR141" s="17"/>
      <c r="AS141" s="21">
        <f t="shared" si="48"/>
        <v>45413</v>
      </c>
      <c r="AT141" s="17"/>
      <c r="AU141" s="17"/>
      <c r="AV141" s="17"/>
      <c r="AW141" s="17"/>
      <c r="AX141" s="17"/>
      <c r="AY141" s="17"/>
      <c r="AZ141" s="17"/>
    </row>
    <row r="142" spans="1:52" ht="20">
      <c r="A142" s="17"/>
      <c r="B142" s="40"/>
      <c r="C142" s="55">
        <f t="shared" si="43"/>
        <v>123</v>
      </c>
      <c r="D142" s="54">
        <v>1</v>
      </c>
      <c r="E142" s="53" t="str">
        <f t="shared" si="34"/>
        <v>5</v>
      </c>
      <c r="F142" s="52">
        <f t="shared" si="44"/>
        <v>45414</v>
      </c>
      <c r="G142" s="51" t="str">
        <f t="shared" si="35"/>
        <v>Thu</v>
      </c>
      <c r="H142" s="50"/>
      <c r="I142" s="49"/>
      <c r="J142" s="48">
        <v>164700</v>
      </c>
      <c r="K142" s="31"/>
      <c r="L142" s="43">
        <f t="shared" si="52"/>
        <v>246438.82698961938</v>
      </c>
      <c r="M142" s="47">
        <f t="shared" si="36"/>
        <v>-81738.826989619381</v>
      </c>
      <c r="N142" s="41">
        <f t="shared" si="37"/>
        <v>0.668320012767053</v>
      </c>
      <c r="O142" s="46"/>
      <c r="P142" s="45">
        <f>IF(D142=0,0,SUM($L$141:L142))</f>
        <v>492877.65397923876</v>
      </c>
      <c r="Q142" s="43">
        <f>IF(D142=0,0,SUM($J$141:J142))</f>
        <v>343555</v>
      </c>
      <c r="R142" s="42">
        <f t="shared" si="38"/>
        <v>-149322.65397923876</v>
      </c>
      <c r="S142" s="41">
        <f t="shared" si="39"/>
        <v>0.69703910742618369</v>
      </c>
      <c r="T142" s="56"/>
      <c r="U142" s="43">
        <f>IF(D142=0,0,SUM($L$20:L142))</f>
        <v>22820235.379238769</v>
      </c>
      <c r="V142" s="43">
        <f>IF(D142=0,0,SUM($J$20:J142))</f>
        <v>23465024</v>
      </c>
      <c r="W142" s="42">
        <f t="shared" si="40"/>
        <v>644788.62076123059</v>
      </c>
      <c r="X142" s="41">
        <f t="shared" si="41"/>
        <v>1.0282551257708692</v>
      </c>
      <c r="Y142" s="17"/>
      <c r="Z142" s="23">
        <f t="shared" si="45"/>
        <v>45414</v>
      </c>
      <c r="AA142" s="22">
        <f t="shared" si="46"/>
        <v>45414</v>
      </c>
      <c r="AB142" s="137">
        <v>45414</v>
      </c>
      <c r="AC142" s="137"/>
      <c r="AD142" s="134"/>
      <c r="AE142" s="134"/>
      <c r="AF142" s="139"/>
      <c r="AG142" s="256"/>
      <c r="AH142" s="256"/>
      <c r="AI142" s="256"/>
      <c r="AJ142" s="256"/>
      <c r="AK142" s="134"/>
      <c r="AL142" s="134"/>
      <c r="AM142" s="134"/>
      <c r="AN142" s="18"/>
      <c r="AO142" s="18"/>
      <c r="AP142" s="18"/>
      <c r="AQ142" s="18"/>
      <c r="AR142" s="17"/>
      <c r="AS142" s="21">
        <f t="shared" si="48"/>
        <v>45414</v>
      </c>
      <c r="AT142" s="17"/>
      <c r="AU142" s="17"/>
      <c r="AV142" s="17"/>
      <c r="AW142" s="17"/>
      <c r="AX142" s="17"/>
      <c r="AY142" s="17"/>
      <c r="AZ142" s="17"/>
    </row>
    <row r="143" spans="1:52" ht="20">
      <c r="A143" s="17"/>
      <c r="B143" s="40"/>
      <c r="C143" s="55">
        <f t="shared" si="43"/>
        <v>124</v>
      </c>
      <c r="D143" s="54">
        <v>0</v>
      </c>
      <c r="E143" s="53" t="str">
        <f t="shared" si="34"/>
        <v>5</v>
      </c>
      <c r="F143" s="52">
        <f t="shared" si="44"/>
        <v>45415</v>
      </c>
      <c r="G143" s="51" t="str">
        <f t="shared" si="35"/>
        <v>Fri</v>
      </c>
      <c r="H143" s="50" t="s">
        <v>47</v>
      </c>
      <c r="I143" s="49"/>
      <c r="J143" s="48">
        <v>0</v>
      </c>
      <c r="K143" s="31"/>
      <c r="L143" s="43">
        <f t="shared" si="52"/>
        <v>0</v>
      </c>
      <c r="M143" s="47">
        <f t="shared" si="36"/>
        <v>0</v>
      </c>
      <c r="N143" s="41" t="str">
        <f t="shared" si="37"/>
        <v>0%</v>
      </c>
      <c r="O143" s="46"/>
      <c r="P143" s="45">
        <f>IF(D143=0,0,SUM($L$141:L143))</f>
        <v>0</v>
      </c>
      <c r="Q143" s="43">
        <f>IF(D143=0,0,SUM($J$141:J143))</f>
        <v>0</v>
      </c>
      <c r="R143" s="42">
        <f t="shared" si="38"/>
        <v>0</v>
      </c>
      <c r="S143" s="41" t="str">
        <f t="shared" si="39"/>
        <v>0%</v>
      </c>
      <c r="T143" s="44"/>
      <c r="U143" s="43">
        <f>IF(D143=0,0,SUM($L$20:L143))</f>
        <v>0</v>
      </c>
      <c r="V143" s="43">
        <f>IF(D143=0,0,SUM($J$20:J143))</f>
        <v>0</v>
      </c>
      <c r="W143" s="42">
        <f t="shared" si="40"/>
        <v>0</v>
      </c>
      <c r="X143" s="41" t="str">
        <f t="shared" si="41"/>
        <v>0%</v>
      </c>
      <c r="Y143" s="17"/>
      <c r="Z143" s="23">
        <f t="shared" si="45"/>
        <v>45415</v>
      </c>
      <c r="AA143" s="22">
        <f t="shared" si="46"/>
        <v>45415</v>
      </c>
      <c r="AB143" s="137">
        <v>45415</v>
      </c>
      <c r="AC143" s="137"/>
      <c r="AD143" s="134"/>
      <c r="AE143" s="134"/>
      <c r="AF143" s="139"/>
      <c r="AG143" s="256"/>
      <c r="AH143" s="256"/>
      <c r="AI143" s="256"/>
      <c r="AJ143" s="256"/>
      <c r="AK143" s="134"/>
      <c r="AL143" s="134"/>
      <c r="AM143" s="134"/>
      <c r="AN143" s="18"/>
      <c r="AO143" s="18"/>
      <c r="AP143" s="18"/>
      <c r="AQ143" s="18"/>
      <c r="AR143" s="17"/>
      <c r="AS143" s="21">
        <f t="shared" si="48"/>
        <v>45415</v>
      </c>
      <c r="AT143" s="17"/>
      <c r="AU143" s="17"/>
      <c r="AV143" s="17"/>
      <c r="AW143" s="17"/>
      <c r="AX143" s="17"/>
      <c r="AY143" s="17"/>
      <c r="AZ143" s="17"/>
    </row>
    <row r="144" spans="1:52" ht="20">
      <c r="A144" s="17"/>
      <c r="B144" s="40"/>
      <c r="C144" s="55">
        <f t="shared" si="43"/>
        <v>125</v>
      </c>
      <c r="D144" s="54">
        <v>0</v>
      </c>
      <c r="E144" s="53" t="str">
        <f t="shared" si="34"/>
        <v>5</v>
      </c>
      <c r="F144" s="52">
        <f t="shared" si="44"/>
        <v>45416</v>
      </c>
      <c r="G144" s="51" t="str">
        <f t="shared" si="35"/>
        <v>Sat</v>
      </c>
      <c r="H144" s="50" t="s">
        <v>47</v>
      </c>
      <c r="I144" s="49"/>
      <c r="J144" s="48">
        <v>0</v>
      </c>
      <c r="K144" s="31"/>
      <c r="L144" s="43">
        <f t="shared" si="52"/>
        <v>0</v>
      </c>
      <c r="M144" s="47">
        <f t="shared" si="36"/>
        <v>0</v>
      </c>
      <c r="N144" s="41" t="str">
        <f t="shared" si="37"/>
        <v>0%</v>
      </c>
      <c r="O144" s="46"/>
      <c r="P144" s="45">
        <f>IF(D144=0,0,SUM($L$141:L144))</f>
        <v>0</v>
      </c>
      <c r="Q144" s="43">
        <f>IF(D144=0,0,SUM($J$141:J144))</f>
        <v>0</v>
      </c>
      <c r="R144" s="42">
        <f t="shared" si="38"/>
        <v>0</v>
      </c>
      <c r="S144" s="41" t="str">
        <f t="shared" si="39"/>
        <v>0%</v>
      </c>
      <c r="T144" s="44"/>
      <c r="U144" s="43">
        <f>IF(D144=0,0,SUM($L$20:L144))</f>
        <v>0</v>
      </c>
      <c r="V144" s="43">
        <f>IF(D144=0,0,SUM($J$20:J144))</f>
        <v>0</v>
      </c>
      <c r="W144" s="42">
        <f t="shared" si="40"/>
        <v>0</v>
      </c>
      <c r="X144" s="41" t="str">
        <f t="shared" si="41"/>
        <v>0%</v>
      </c>
      <c r="Y144" s="17"/>
      <c r="Z144" s="23">
        <f t="shared" si="45"/>
        <v>45416</v>
      </c>
      <c r="AA144" s="22">
        <f t="shared" si="46"/>
        <v>45416</v>
      </c>
      <c r="AB144" s="137">
        <v>45416</v>
      </c>
      <c r="AC144" s="137"/>
      <c r="AD144" s="134"/>
      <c r="AE144" s="134"/>
      <c r="AF144" s="139"/>
      <c r="AG144" s="256"/>
      <c r="AH144" s="256"/>
      <c r="AI144" s="256"/>
      <c r="AJ144" s="256"/>
      <c r="AK144" s="134"/>
      <c r="AL144" s="134"/>
      <c r="AM144" s="134"/>
      <c r="AN144" s="18"/>
      <c r="AO144" s="18"/>
      <c r="AP144" s="18"/>
      <c r="AQ144" s="18"/>
      <c r="AR144" s="17"/>
      <c r="AS144" s="21">
        <f t="shared" si="48"/>
        <v>45416</v>
      </c>
      <c r="AT144" s="17"/>
      <c r="AU144" s="17"/>
      <c r="AV144" s="17"/>
      <c r="AW144" s="17"/>
      <c r="AX144" s="17"/>
      <c r="AY144" s="17"/>
      <c r="AZ144" s="17"/>
    </row>
    <row r="145" spans="1:52" ht="20">
      <c r="A145" s="17"/>
      <c r="B145" s="40"/>
      <c r="C145" s="55">
        <f t="shared" si="43"/>
        <v>126</v>
      </c>
      <c r="D145" s="54">
        <v>0</v>
      </c>
      <c r="E145" s="53" t="str">
        <f t="shared" si="34"/>
        <v>5</v>
      </c>
      <c r="F145" s="52">
        <f t="shared" si="44"/>
        <v>45417</v>
      </c>
      <c r="G145" s="51" t="str">
        <f t="shared" si="35"/>
        <v>Sun</v>
      </c>
      <c r="H145" s="50" t="s">
        <v>46</v>
      </c>
      <c r="I145" s="49"/>
      <c r="J145" s="48">
        <v>0</v>
      </c>
      <c r="K145" s="31"/>
      <c r="L145" s="43">
        <f t="shared" si="52"/>
        <v>0</v>
      </c>
      <c r="M145" s="47">
        <f t="shared" si="36"/>
        <v>0</v>
      </c>
      <c r="N145" s="41" t="str">
        <f t="shared" si="37"/>
        <v>0%</v>
      </c>
      <c r="O145" s="46"/>
      <c r="P145" s="45">
        <f>IF(D145=0,0,SUM($L$141:L145))</f>
        <v>0</v>
      </c>
      <c r="Q145" s="43">
        <f>IF(D145=0,0,SUM($J$141:J145))</f>
        <v>0</v>
      </c>
      <c r="R145" s="42">
        <f t="shared" si="38"/>
        <v>0</v>
      </c>
      <c r="S145" s="41" t="str">
        <f t="shared" si="39"/>
        <v>0%</v>
      </c>
      <c r="T145" s="44"/>
      <c r="U145" s="43">
        <f>IF(D145=0,0,SUM($L$20:L145))</f>
        <v>0</v>
      </c>
      <c r="V145" s="43">
        <f>IF(D145=0,0,SUM($J$20:J145))</f>
        <v>0</v>
      </c>
      <c r="W145" s="42">
        <f t="shared" si="40"/>
        <v>0</v>
      </c>
      <c r="X145" s="41" t="str">
        <f t="shared" si="41"/>
        <v>0%</v>
      </c>
      <c r="Y145" s="17"/>
      <c r="Z145" s="23">
        <f t="shared" si="45"/>
        <v>45417</v>
      </c>
      <c r="AA145" s="22">
        <f t="shared" si="46"/>
        <v>45417</v>
      </c>
      <c r="AB145" s="137">
        <v>45417</v>
      </c>
      <c r="AC145" s="137"/>
      <c r="AD145" s="134"/>
      <c r="AE145" s="134"/>
      <c r="AF145" s="139"/>
      <c r="AG145" s="256"/>
      <c r="AH145" s="256"/>
      <c r="AI145" s="256"/>
      <c r="AJ145" s="256"/>
      <c r="AK145" s="134"/>
      <c r="AL145" s="134"/>
      <c r="AM145" s="134"/>
      <c r="AN145" s="18"/>
      <c r="AO145" s="18"/>
      <c r="AP145" s="18"/>
      <c r="AQ145" s="18"/>
      <c r="AR145" s="17"/>
      <c r="AS145" s="21">
        <f t="shared" si="48"/>
        <v>45417</v>
      </c>
      <c r="AT145" s="17"/>
      <c r="AU145" s="17"/>
      <c r="AV145" s="17"/>
      <c r="AW145" s="17"/>
      <c r="AX145" s="17"/>
      <c r="AY145" s="17"/>
      <c r="AZ145" s="17"/>
    </row>
    <row r="146" spans="1:52" ht="20">
      <c r="A146" s="17"/>
      <c r="B146" s="40"/>
      <c r="C146" s="55">
        <f t="shared" si="43"/>
        <v>127</v>
      </c>
      <c r="D146" s="54">
        <v>0</v>
      </c>
      <c r="E146" s="53" t="str">
        <f t="shared" si="34"/>
        <v>5</v>
      </c>
      <c r="F146" s="52">
        <f t="shared" si="44"/>
        <v>45418</v>
      </c>
      <c r="G146" s="51" t="str">
        <f t="shared" si="35"/>
        <v>Mon</v>
      </c>
      <c r="H146" s="50" t="s">
        <v>47</v>
      </c>
      <c r="I146" s="49"/>
      <c r="J146" s="48">
        <v>0</v>
      </c>
      <c r="K146" s="31"/>
      <c r="L146" s="43">
        <f t="shared" si="52"/>
        <v>0</v>
      </c>
      <c r="M146" s="47">
        <f t="shared" si="36"/>
        <v>0</v>
      </c>
      <c r="N146" s="41" t="str">
        <f t="shared" si="37"/>
        <v>0%</v>
      </c>
      <c r="O146" s="46"/>
      <c r="P146" s="45">
        <f>IF(D146=0,0,SUM($L$141:L146))</f>
        <v>0</v>
      </c>
      <c r="Q146" s="43">
        <f>IF(D146=0,0,SUM($J$141:J146))</f>
        <v>0</v>
      </c>
      <c r="R146" s="42">
        <f t="shared" si="38"/>
        <v>0</v>
      </c>
      <c r="S146" s="41" t="str">
        <f t="shared" si="39"/>
        <v>0%</v>
      </c>
      <c r="T146" s="44"/>
      <c r="U146" s="43">
        <f>IF(D146=0,0,SUM($L$20:L146))</f>
        <v>0</v>
      </c>
      <c r="V146" s="43">
        <f>IF(D146=0,0,SUM($J$20:J146))</f>
        <v>0</v>
      </c>
      <c r="W146" s="42">
        <f t="shared" si="40"/>
        <v>0</v>
      </c>
      <c r="X146" s="41" t="str">
        <f t="shared" si="41"/>
        <v>0%</v>
      </c>
      <c r="Y146" s="17"/>
      <c r="Z146" s="23">
        <f t="shared" si="45"/>
        <v>45418</v>
      </c>
      <c r="AA146" s="22">
        <f t="shared" si="46"/>
        <v>45418</v>
      </c>
      <c r="AB146" s="137">
        <v>45418</v>
      </c>
      <c r="AC146" s="137"/>
      <c r="AD146" s="134"/>
      <c r="AE146" s="134"/>
      <c r="AF146" s="139"/>
      <c r="AG146" s="256"/>
      <c r="AH146" s="256"/>
      <c r="AI146" s="256"/>
      <c r="AJ146" s="256"/>
      <c r="AK146" s="134"/>
      <c r="AL146" s="134"/>
      <c r="AM146" s="134"/>
      <c r="AN146" s="18"/>
      <c r="AO146" s="18"/>
      <c r="AP146" s="18"/>
      <c r="AQ146" s="18"/>
      <c r="AR146" s="17"/>
      <c r="AS146" s="21">
        <f t="shared" si="48"/>
        <v>45418</v>
      </c>
      <c r="AT146" s="17"/>
      <c r="AU146" s="17"/>
      <c r="AV146" s="17"/>
      <c r="AW146" s="17"/>
      <c r="AX146" s="17"/>
      <c r="AY146" s="17"/>
      <c r="AZ146" s="17"/>
    </row>
    <row r="147" spans="1:52" ht="20">
      <c r="A147" s="17"/>
      <c r="B147" s="40"/>
      <c r="C147" s="55">
        <f t="shared" si="43"/>
        <v>128</v>
      </c>
      <c r="D147" s="54">
        <v>1</v>
      </c>
      <c r="E147" s="53" t="str">
        <f t="shared" si="34"/>
        <v>5</v>
      </c>
      <c r="F147" s="52">
        <f t="shared" si="44"/>
        <v>45419</v>
      </c>
      <c r="G147" s="51" t="str">
        <f t="shared" si="35"/>
        <v>Tue</v>
      </c>
      <c r="H147" s="50"/>
      <c r="I147" s="49"/>
      <c r="J147" s="48">
        <v>228780</v>
      </c>
      <c r="K147" s="31"/>
      <c r="L147" s="43">
        <f t="shared" si="52"/>
        <v>246438.82698961938</v>
      </c>
      <c r="M147" s="47">
        <f t="shared" si="36"/>
        <v>-17658.826989619381</v>
      </c>
      <c r="N147" s="41">
        <f t="shared" si="37"/>
        <v>0.92834397401849666</v>
      </c>
      <c r="O147" s="46"/>
      <c r="P147" s="45">
        <f>IF(D147=0,0,SUM($L$141:L147))</f>
        <v>739316.48096885812</v>
      </c>
      <c r="Q147" s="43">
        <f>IF(D147=0,0,SUM($J$141:J147))</f>
        <v>572335</v>
      </c>
      <c r="R147" s="42">
        <f t="shared" si="38"/>
        <v>-166981.48096885812</v>
      </c>
      <c r="S147" s="41">
        <f t="shared" si="39"/>
        <v>0.77414072962362135</v>
      </c>
      <c r="T147" s="56"/>
      <c r="U147" s="43">
        <f>IF(D147=0,0,SUM($L$20:L147))</f>
        <v>23066674.20622839</v>
      </c>
      <c r="V147" s="43">
        <f>IF(D147=0,0,SUM($J$20:J147))</f>
        <v>23693804</v>
      </c>
      <c r="W147" s="42">
        <f t="shared" si="40"/>
        <v>627129.79377160966</v>
      </c>
      <c r="X147" s="41">
        <f t="shared" si="41"/>
        <v>1.0271876989359079</v>
      </c>
      <c r="Y147" s="17"/>
      <c r="Z147" s="23">
        <f t="shared" si="45"/>
        <v>45419</v>
      </c>
      <c r="AA147" s="22">
        <f t="shared" si="46"/>
        <v>45419</v>
      </c>
      <c r="AB147" s="137">
        <v>45419</v>
      </c>
      <c r="AC147" s="137"/>
      <c r="AD147" s="134"/>
      <c r="AE147" s="134"/>
      <c r="AF147" s="139"/>
      <c r="AG147" s="256"/>
      <c r="AH147" s="256"/>
      <c r="AI147" s="256"/>
      <c r="AJ147" s="256"/>
      <c r="AK147" s="134"/>
      <c r="AL147" s="134"/>
      <c r="AM147" s="134"/>
      <c r="AN147" s="18"/>
      <c r="AO147" s="18"/>
      <c r="AP147" s="18"/>
      <c r="AQ147" s="18"/>
      <c r="AR147" s="17"/>
      <c r="AS147" s="21">
        <f t="shared" si="48"/>
        <v>45419</v>
      </c>
      <c r="AT147" s="17"/>
      <c r="AU147" s="17"/>
      <c r="AV147" s="17"/>
      <c r="AW147" s="17"/>
      <c r="AX147" s="17"/>
      <c r="AY147" s="17"/>
      <c r="AZ147" s="17"/>
    </row>
    <row r="148" spans="1:52" ht="20">
      <c r="A148" s="17"/>
      <c r="B148" s="40"/>
      <c r="C148" s="55">
        <f t="shared" si="43"/>
        <v>129</v>
      </c>
      <c r="D148" s="54">
        <v>1</v>
      </c>
      <c r="E148" s="53" t="str">
        <f t="shared" ref="E148:E211" si="53">TEXT(AA148,"m")</f>
        <v>5</v>
      </c>
      <c r="F148" s="52">
        <f t="shared" si="44"/>
        <v>45420</v>
      </c>
      <c r="G148" s="51" t="str">
        <f t="shared" ref="G148:G211" si="54">TEXT(AS148,"ddd")</f>
        <v>Wed</v>
      </c>
      <c r="H148" s="50"/>
      <c r="I148" s="49"/>
      <c r="J148" s="48">
        <v>362200</v>
      </c>
      <c r="K148" s="31"/>
      <c r="L148" s="43">
        <f t="shared" si="52"/>
        <v>246438.82698961938</v>
      </c>
      <c r="M148" s="47">
        <f t="shared" ref="M148:M211" si="55">IF(D148=0,0,J148-L148)</f>
        <v>115761.17301038062</v>
      </c>
      <c r="N148" s="41">
        <f t="shared" ref="N148:N211" si="56">IFERROR(J148/L148,"0%")</f>
        <v>1.469735935787654</v>
      </c>
      <c r="O148" s="46"/>
      <c r="P148" s="45">
        <f>IF(D148=0,0,SUM($L$141:L148))</f>
        <v>985755.30795847753</v>
      </c>
      <c r="Q148" s="43">
        <f>IF(D148=0,0,SUM($J$141:J148))</f>
        <v>934535</v>
      </c>
      <c r="R148" s="42">
        <f t="shared" ref="R148:R211" si="57">IF(D148=0,0,Q148-P148)</f>
        <v>-51220.307958477526</v>
      </c>
      <c r="S148" s="41">
        <f t="shared" ref="S148:S211" si="58">IFERROR(Q148/P148,"0%")</f>
        <v>0.94803953116462947</v>
      </c>
      <c r="T148" s="56"/>
      <c r="U148" s="43">
        <f>IF(D148=0,0,SUM($L$20:L148))</f>
        <v>23313113.033218011</v>
      </c>
      <c r="V148" s="43">
        <f>IF(D148=0,0,SUM($J$20:J148))</f>
        <v>24056004</v>
      </c>
      <c r="W148" s="42">
        <f t="shared" ref="W148:W211" si="59">IF(D148=0,0,V148-U148)</f>
        <v>742890.96678198874</v>
      </c>
      <c r="X148" s="41">
        <f t="shared" ref="X148:X211" si="60">IFERROR(V148/U148,"0%")</f>
        <v>1.0318657986912116</v>
      </c>
      <c r="Y148" s="17"/>
      <c r="Z148" s="23">
        <f t="shared" si="45"/>
        <v>45420</v>
      </c>
      <c r="AA148" s="22">
        <f t="shared" si="46"/>
        <v>45420</v>
      </c>
      <c r="AB148" s="137">
        <v>45420</v>
      </c>
      <c r="AC148" s="137"/>
      <c r="AD148" s="134"/>
      <c r="AE148" s="134"/>
      <c r="AF148" s="139"/>
      <c r="AG148" s="256"/>
      <c r="AH148" s="256"/>
      <c r="AI148" s="256"/>
      <c r="AJ148" s="256"/>
      <c r="AK148" s="134"/>
      <c r="AL148" s="134"/>
      <c r="AM148" s="134"/>
      <c r="AN148" s="18"/>
      <c r="AO148" s="18"/>
      <c r="AP148" s="18"/>
      <c r="AQ148" s="18"/>
      <c r="AR148" s="17"/>
      <c r="AS148" s="21">
        <f t="shared" si="48"/>
        <v>45420</v>
      </c>
      <c r="AT148" s="17"/>
      <c r="AU148" s="17"/>
      <c r="AV148" s="17"/>
      <c r="AW148" s="17"/>
      <c r="AX148" s="17"/>
      <c r="AY148" s="17"/>
      <c r="AZ148" s="17"/>
    </row>
    <row r="149" spans="1:52" ht="20">
      <c r="A149" s="17"/>
      <c r="B149" s="40"/>
      <c r="C149" s="55">
        <f t="shared" ref="C149:C212" si="61">C148+1</f>
        <v>130</v>
      </c>
      <c r="D149" s="54">
        <v>1</v>
      </c>
      <c r="E149" s="53" t="str">
        <f t="shared" si="53"/>
        <v>5</v>
      </c>
      <c r="F149" s="52">
        <f t="shared" ref="F149:F212" si="62">F148+1</f>
        <v>45421</v>
      </c>
      <c r="G149" s="51" t="str">
        <f t="shared" si="54"/>
        <v>Thu</v>
      </c>
      <c r="H149" s="50"/>
      <c r="I149" s="49"/>
      <c r="J149" s="48">
        <v>231000</v>
      </c>
      <c r="K149" s="31"/>
      <c r="L149" s="43">
        <f t="shared" si="52"/>
        <v>246438.82698961938</v>
      </c>
      <c r="M149" s="47">
        <f t="shared" si="55"/>
        <v>-15438.826989619381</v>
      </c>
      <c r="N149" s="41">
        <f t="shared" si="56"/>
        <v>0.93735229477346238</v>
      </c>
      <c r="O149" s="46"/>
      <c r="P149" s="45">
        <f>IF(D149=0,0,SUM($L$141:L149))</f>
        <v>1232194.1349480969</v>
      </c>
      <c r="Q149" s="43">
        <f>IF(D149=0,0,SUM($J$141:J149))</f>
        <v>1165535</v>
      </c>
      <c r="R149" s="42">
        <f t="shared" si="57"/>
        <v>-66659.134948096937</v>
      </c>
      <c r="S149" s="41">
        <f t="shared" si="58"/>
        <v>0.94590208388639607</v>
      </c>
      <c r="T149" s="56"/>
      <c r="U149" s="43">
        <f>IF(D149=0,0,SUM($L$20:L149))</f>
        <v>23559551.860207632</v>
      </c>
      <c r="V149" s="43">
        <f>IF(D149=0,0,SUM($J$20:J149))</f>
        <v>24287004</v>
      </c>
      <c r="W149" s="42">
        <f t="shared" si="59"/>
        <v>727452.13979236782</v>
      </c>
      <c r="X149" s="41">
        <f t="shared" si="60"/>
        <v>1.0308771637129925</v>
      </c>
      <c r="Y149" s="17"/>
      <c r="Z149" s="23">
        <f t="shared" ref="Z149:Z212" si="63">Z148+1</f>
        <v>45421</v>
      </c>
      <c r="AA149" s="22">
        <f t="shared" ref="AA149:AA212" si="64">AA148+1</f>
        <v>45421</v>
      </c>
      <c r="AB149" s="137">
        <v>45421</v>
      </c>
      <c r="AC149" s="137"/>
      <c r="AD149" s="134"/>
      <c r="AE149" s="134"/>
      <c r="AF149" s="139"/>
      <c r="AG149" s="256"/>
      <c r="AH149" s="256"/>
      <c r="AI149" s="256"/>
      <c r="AJ149" s="256"/>
      <c r="AK149" s="134"/>
      <c r="AL149" s="134"/>
      <c r="AM149" s="134"/>
      <c r="AN149" s="18"/>
      <c r="AO149" s="18"/>
      <c r="AP149" s="18"/>
      <c r="AQ149" s="18"/>
      <c r="AR149" s="17"/>
      <c r="AS149" s="21">
        <f t="shared" ref="AS149:AS212" si="65">AS148+1</f>
        <v>45421</v>
      </c>
      <c r="AT149" s="17"/>
      <c r="AU149" s="17"/>
      <c r="AV149" s="17"/>
      <c r="AW149" s="17"/>
      <c r="AX149" s="17"/>
      <c r="AY149" s="17"/>
      <c r="AZ149" s="17"/>
    </row>
    <row r="150" spans="1:52" ht="20">
      <c r="A150" s="17"/>
      <c r="B150" s="40"/>
      <c r="C150" s="55">
        <f t="shared" si="61"/>
        <v>131</v>
      </c>
      <c r="D150" s="54">
        <v>1</v>
      </c>
      <c r="E150" s="53" t="str">
        <f t="shared" si="53"/>
        <v>5</v>
      </c>
      <c r="F150" s="52">
        <f t="shared" si="62"/>
        <v>45422</v>
      </c>
      <c r="G150" s="51" t="str">
        <f t="shared" si="54"/>
        <v>Fri</v>
      </c>
      <c r="H150" s="50"/>
      <c r="I150" s="49"/>
      <c r="J150" s="48">
        <v>428650</v>
      </c>
      <c r="K150" s="31"/>
      <c r="L150" s="43">
        <f t="shared" si="52"/>
        <v>246438.82698961938</v>
      </c>
      <c r="M150" s="47">
        <f t="shared" si="55"/>
        <v>182211.17301038062</v>
      </c>
      <c r="N150" s="41">
        <f t="shared" si="56"/>
        <v>1.7393768881153449</v>
      </c>
      <c r="O150" s="46"/>
      <c r="P150" s="45">
        <f>IF(D150=0,0,SUM($L$141:L150))</f>
        <v>1478632.9619377162</v>
      </c>
      <c r="Q150" s="43">
        <f>IF(D150=0,0,SUM($J$141:J150))</f>
        <v>1594185</v>
      </c>
      <c r="R150" s="42">
        <f t="shared" si="57"/>
        <v>115552.03806228377</v>
      </c>
      <c r="S150" s="41">
        <f t="shared" si="58"/>
        <v>1.0781478845912209</v>
      </c>
      <c r="T150" s="56"/>
      <c r="U150" s="43">
        <f>IF(D150=0,0,SUM($L$20:L150))</f>
        <v>23805990.687197253</v>
      </c>
      <c r="V150" s="43">
        <f>IF(D150=0,0,SUM($J$20:J150))</f>
        <v>24715654</v>
      </c>
      <c r="W150" s="42">
        <f t="shared" si="59"/>
        <v>909663.31280274689</v>
      </c>
      <c r="X150" s="41">
        <f t="shared" si="60"/>
        <v>1.0382115293900354</v>
      </c>
      <c r="Y150" s="17"/>
      <c r="Z150" s="23">
        <f t="shared" si="63"/>
        <v>45422</v>
      </c>
      <c r="AA150" s="22">
        <f t="shared" si="64"/>
        <v>45422</v>
      </c>
      <c r="AB150" s="137">
        <v>45422</v>
      </c>
      <c r="AC150" s="137"/>
      <c r="AD150" s="134"/>
      <c r="AE150" s="134"/>
      <c r="AF150" s="139"/>
      <c r="AG150" s="256"/>
      <c r="AH150" s="256"/>
      <c r="AI150" s="256"/>
      <c r="AJ150" s="256"/>
      <c r="AK150" s="134"/>
      <c r="AL150" s="134"/>
      <c r="AM150" s="134"/>
      <c r="AN150" s="18"/>
      <c r="AO150" s="18"/>
      <c r="AP150" s="18"/>
      <c r="AQ150" s="18"/>
      <c r="AR150" s="17"/>
      <c r="AS150" s="21">
        <f t="shared" si="65"/>
        <v>45422</v>
      </c>
      <c r="AT150" s="17"/>
      <c r="AU150" s="17"/>
      <c r="AV150" s="17"/>
      <c r="AW150" s="17"/>
      <c r="AX150" s="17"/>
      <c r="AY150" s="17"/>
      <c r="AZ150" s="17"/>
    </row>
    <row r="151" spans="1:52" ht="20">
      <c r="A151" s="17"/>
      <c r="B151" s="40"/>
      <c r="C151" s="55">
        <f t="shared" si="61"/>
        <v>132</v>
      </c>
      <c r="D151" s="54">
        <v>1</v>
      </c>
      <c r="E151" s="53" t="str">
        <f t="shared" si="53"/>
        <v>5</v>
      </c>
      <c r="F151" s="52">
        <f t="shared" si="62"/>
        <v>45423</v>
      </c>
      <c r="G151" s="51" t="str">
        <f t="shared" si="54"/>
        <v>Sat</v>
      </c>
      <c r="H151" s="50"/>
      <c r="I151" s="49"/>
      <c r="J151" s="48">
        <v>123410</v>
      </c>
      <c r="K151" s="31"/>
      <c r="L151" s="43">
        <f t="shared" si="52"/>
        <v>246438.82698961938</v>
      </c>
      <c r="M151" s="47">
        <f t="shared" si="55"/>
        <v>-123028.82698961938</v>
      </c>
      <c r="N151" s="41">
        <f t="shared" si="56"/>
        <v>0.50077336232897396</v>
      </c>
      <c r="O151" s="46"/>
      <c r="P151" s="45">
        <f>IF(D151=0,0,SUM($L$141:L151))</f>
        <v>1725071.7889273355</v>
      </c>
      <c r="Q151" s="43">
        <f>IF(D151=0,0,SUM($J$141:J151))</f>
        <v>1717595</v>
      </c>
      <c r="R151" s="42">
        <f t="shared" si="57"/>
        <v>-7476.7889273355249</v>
      </c>
      <c r="S151" s="41">
        <f t="shared" si="58"/>
        <v>0.99566580998232856</v>
      </c>
      <c r="T151" s="44"/>
      <c r="U151" s="43">
        <f>IF(D151=0,0,SUM($L$20:L151))</f>
        <v>24052429.514186874</v>
      </c>
      <c r="V151" s="43">
        <f>IF(D151=0,0,SUM($J$20:J151))</f>
        <v>24839064</v>
      </c>
      <c r="W151" s="42">
        <f t="shared" si="59"/>
        <v>786634.48581312597</v>
      </c>
      <c r="X151" s="41">
        <f t="shared" si="60"/>
        <v>1.0327049907930983</v>
      </c>
      <c r="Y151" s="17"/>
      <c r="Z151" s="23">
        <f t="shared" si="63"/>
        <v>45423</v>
      </c>
      <c r="AA151" s="22">
        <f t="shared" si="64"/>
        <v>45423</v>
      </c>
      <c r="AB151" s="137">
        <v>45423</v>
      </c>
      <c r="AC151" s="137"/>
      <c r="AD151" s="134"/>
      <c r="AE151" s="134"/>
      <c r="AF151" s="139"/>
      <c r="AG151" s="256"/>
      <c r="AH151" s="256"/>
      <c r="AI151" s="256"/>
      <c r="AJ151" s="256"/>
      <c r="AK151" s="134"/>
      <c r="AL151" s="134"/>
      <c r="AM151" s="134"/>
      <c r="AN151" s="18"/>
      <c r="AO151" s="18"/>
      <c r="AP151" s="18"/>
      <c r="AQ151" s="18"/>
      <c r="AR151" s="17"/>
      <c r="AS151" s="21">
        <f t="shared" si="65"/>
        <v>45423</v>
      </c>
      <c r="AT151" s="17"/>
      <c r="AU151" s="17"/>
      <c r="AV151" s="17"/>
      <c r="AW151" s="17"/>
      <c r="AX151" s="17"/>
      <c r="AY151" s="17"/>
      <c r="AZ151" s="17"/>
    </row>
    <row r="152" spans="1:52" ht="20">
      <c r="A152" s="17"/>
      <c r="B152" s="40"/>
      <c r="C152" s="55">
        <f t="shared" si="61"/>
        <v>133</v>
      </c>
      <c r="D152" s="54">
        <v>0</v>
      </c>
      <c r="E152" s="53" t="str">
        <f t="shared" si="53"/>
        <v>5</v>
      </c>
      <c r="F152" s="52">
        <f t="shared" si="62"/>
        <v>45424</v>
      </c>
      <c r="G152" s="51" t="str">
        <f t="shared" si="54"/>
        <v>Sun</v>
      </c>
      <c r="H152" s="50" t="s">
        <v>46</v>
      </c>
      <c r="I152" s="49"/>
      <c r="J152" s="48">
        <v>0</v>
      </c>
      <c r="K152" s="31"/>
      <c r="L152" s="43">
        <f t="shared" si="52"/>
        <v>0</v>
      </c>
      <c r="M152" s="47">
        <f t="shared" si="55"/>
        <v>0</v>
      </c>
      <c r="N152" s="41" t="str">
        <f t="shared" si="56"/>
        <v>0%</v>
      </c>
      <c r="O152" s="46"/>
      <c r="P152" s="45">
        <f>IF(D152=0,0,SUM($L$141:L152))</f>
        <v>0</v>
      </c>
      <c r="Q152" s="43">
        <f>IF(D152=0,0,SUM($J$141:J152))</f>
        <v>0</v>
      </c>
      <c r="R152" s="42">
        <f t="shared" si="57"/>
        <v>0</v>
      </c>
      <c r="S152" s="41" t="str">
        <f t="shared" si="58"/>
        <v>0%</v>
      </c>
      <c r="T152" s="56"/>
      <c r="U152" s="43">
        <f>IF(D152=0,0,SUM($L$20:L152))</f>
        <v>0</v>
      </c>
      <c r="V152" s="43">
        <f>IF(D152=0,0,SUM($J$20:J152))</f>
        <v>0</v>
      </c>
      <c r="W152" s="42">
        <f t="shared" si="59"/>
        <v>0</v>
      </c>
      <c r="X152" s="41" t="str">
        <f t="shared" si="60"/>
        <v>0%</v>
      </c>
      <c r="Y152" s="17"/>
      <c r="Z152" s="23">
        <f t="shared" si="63"/>
        <v>45424</v>
      </c>
      <c r="AA152" s="22">
        <f t="shared" si="64"/>
        <v>45424</v>
      </c>
      <c r="AB152" s="137">
        <v>45424</v>
      </c>
      <c r="AC152" s="137"/>
      <c r="AD152" s="134"/>
      <c r="AE152" s="134"/>
      <c r="AF152" s="139"/>
      <c r="AG152" s="256"/>
      <c r="AH152" s="256"/>
      <c r="AI152" s="256"/>
      <c r="AJ152" s="256"/>
      <c r="AK152" s="134"/>
      <c r="AL152" s="134"/>
      <c r="AM152" s="134"/>
      <c r="AN152" s="18"/>
      <c r="AO152" s="18"/>
      <c r="AP152" s="18"/>
      <c r="AQ152" s="18"/>
      <c r="AR152" s="17"/>
      <c r="AS152" s="21">
        <f t="shared" si="65"/>
        <v>45424</v>
      </c>
      <c r="AT152" s="17"/>
      <c r="AU152" s="17"/>
      <c r="AV152" s="17"/>
      <c r="AW152" s="17"/>
      <c r="AX152" s="17"/>
      <c r="AY152" s="17"/>
      <c r="AZ152" s="17"/>
    </row>
    <row r="153" spans="1:52" ht="20">
      <c r="A153" s="17"/>
      <c r="B153" s="40"/>
      <c r="C153" s="55">
        <f t="shared" si="61"/>
        <v>134</v>
      </c>
      <c r="D153" s="54">
        <v>1</v>
      </c>
      <c r="E153" s="53" t="str">
        <f t="shared" si="53"/>
        <v>5</v>
      </c>
      <c r="F153" s="52">
        <f t="shared" si="62"/>
        <v>45425</v>
      </c>
      <c r="G153" s="51" t="str">
        <f t="shared" si="54"/>
        <v>Mon</v>
      </c>
      <c r="H153" s="50"/>
      <c r="I153" s="49"/>
      <c r="J153" s="48">
        <v>245550</v>
      </c>
      <c r="K153" s="31"/>
      <c r="L153" s="43">
        <f t="shared" si="52"/>
        <v>246438.82698961938</v>
      </c>
      <c r="M153" s="47">
        <f t="shared" si="55"/>
        <v>-888.82698961938149</v>
      </c>
      <c r="N153" s="41">
        <f t="shared" si="56"/>
        <v>0.99639331593776481</v>
      </c>
      <c r="O153" s="46"/>
      <c r="P153" s="45">
        <f>IF(D153=0,0,SUM($L$141:L153))</f>
        <v>1971510.6159169548</v>
      </c>
      <c r="Q153" s="43">
        <f>IF(D153=0,0,SUM($J$141:J153))</f>
        <v>1963145</v>
      </c>
      <c r="R153" s="42">
        <f t="shared" si="57"/>
        <v>-8365.6159169548191</v>
      </c>
      <c r="S153" s="41">
        <f t="shared" si="58"/>
        <v>0.99575674822675808</v>
      </c>
      <c r="T153" s="56"/>
      <c r="U153" s="43">
        <f>IF(D153=0,0,SUM($L$20:L153))</f>
        <v>24298868.341176495</v>
      </c>
      <c r="V153" s="43">
        <f>IF(D153=0,0,SUM($J$20:J153))</f>
        <v>25084614</v>
      </c>
      <c r="W153" s="42">
        <f t="shared" si="59"/>
        <v>785745.65882350504</v>
      </c>
      <c r="X153" s="41">
        <f t="shared" si="60"/>
        <v>1.0323367182286425</v>
      </c>
      <c r="Y153" s="17"/>
      <c r="Z153" s="23">
        <f t="shared" si="63"/>
        <v>45425</v>
      </c>
      <c r="AA153" s="22">
        <f t="shared" si="64"/>
        <v>45425</v>
      </c>
      <c r="AB153" s="137">
        <v>45425</v>
      </c>
      <c r="AC153" s="137"/>
      <c r="AD153" s="134"/>
      <c r="AE153" s="134"/>
      <c r="AF153" s="139"/>
      <c r="AG153" s="256"/>
      <c r="AH153" s="256"/>
      <c r="AI153" s="256"/>
      <c r="AJ153" s="256"/>
      <c r="AK153" s="134"/>
      <c r="AL153" s="134"/>
      <c r="AM153" s="134"/>
      <c r="AN153" s="18"/>
      <c r="AO153" s="18"/>
      <c r="AP153" s="18"/>
      <c r="AQ153" s="18"/>
      <c r="AR153" s="17"/>
      <c r="AS153" s="21">
        <f t="shared" si="65"/>
        <v>45425</v>
      </c>
      <c r="AT153" s="17"/>
      <c r="AU153" s="17"/>
      <c r="AV153" s="17"/>
      <c r="AW153" s="17"/>
      <c r="AX153" s="17"/>
      <c r="AY153" s="17"/>
      <c r="AZ153" s="17"/>
    </row>
    <row r="154" spans="1:52" ht="20">
      <c r="A154" s="17"/>
      <c r="B154" s="40"/>
      <c r="C154" s="55">
        <f t="shared" si="61"/>
        <v>135</v>
      </c>
      <c r="D154" s="54">
        <v>1</v>
      </c>
      <c r="E154" s="53" t="str">
        <f t="shared" si="53"/>
        <v>5</v>
      </c>
      <c r="F154" s="52">
        <f t="shared" si="62"/>
        <v>45426</v>
      </c>
      <c r="G154" s="51" t="str">
        <f t="shared" si="54"/>
        <v>Tue</v>
      </c>
      <c r="H154" s="50"/>
      <c r="I154" s="49"/>
      <c r="J154" s="48">
        <v>224120</v>
      </c>
      <c r="K154" s="31"/>
      <c r="L154" s="43">
        <f t="shared" si="52"/>
        <v>246438.82698961938</v>
      </c>
      <c r="M154" s="47">
        <f t="shared" si="55"/>
        <v>-22318.826989619381</v>
      </c>
      <c r="N154" s="41">
        <f t="shared" si="56"/>
        <v>0.90943461603735232</v>
      </c>
      <c r="O154" s="46"/>
      <c r="P154" s="45">
        <f>IF(D154=0,0,SUM($L$141:L154))</f>
        <v>2217949.4429065743</v>
      </c>
      <c r="Q154" s="43">
        <f>IF(D154=0,0,SUM($J$141:J154))</f>
        <v>2187265</v>
      </c>
      <c r="R154" s="42">
        <f t="shared" si="57"/>
        <v>-30684.442906574346</v>
      </c>
      <c r="S154" s="41">
        <f t="shared" si="58"/>
        <v>0.98616540020571297</v>
      </c>
      <c r="T154" s="56"/>
      <c r="U154" s="43">
        <f>IF(D154=0,0,SUM($L$20:L154))</f>
        <v>24545307.168166116</v>
      </c>
      <c r="V154" s="43">
        <f>IF(D154=0,0,SUM($J$20:J154))</f>
        <v>25308734</v>
      </c>
      <c r="W154" s="42">
        <f t="shared" si="59"/>
        <v>763426.83183388412</v>
      </c>
      <c r="X154" s="41">
        <f t="shared" si="60"/>
        <v>1.0311027613793322</v>
      </c>
      <c r="Y154" s="17"/>
      <c r="Z154" s="23">
        <f t="shared" si="63"/>
        <v>45426</v>
      </c>
      <c r="AA154" s="22">
        <f t="shared" si="64"/>
        <v>45426</v>
      </c>
      <c r="AB154" s="137">
        <v>45426</v>
      </c>
      <c r="AC154" s="137"/>
      <c r="AD154" s="134"/>
      <c r="AE154" s="134"/>
      <c r="AF154" s="139"/>
      <c r="AG154" s="256"/>
      <c r="AH154" s="256"/>
      <c r="AI154" s="256"/>
      <c r="AJ154" s="256"/>
      <c r="AK154" s="134"/>
      <c r="AL154" s="134"/>
      <c r="AM154" s="134"/>
      <c r="AN154" s="18"/>
      <c r="AO154" s="18"/>
      <c r="AP154" s="18"/>
      <c r="AQ154" s="18"/>
      <c r="AR154" s="17"/>
      <c r="AS154" s="21">
        <f t="shared" si="65"/>
        <v>45426</v>
      </c>
      <c r="AT154" s="17"/>
      <c r="AU154" s="17"/>
      <c r="AV154" s="17"/>
      <c r="AW154" s="17"/>
      <c r="AX154" s="17"/>
      <c r="AY154" s="17"/>
      <c r="AZ154" s="17"/>
    </row>
    <row r="155" spans="1:52" ht="20">
      <c r="A155" s="17"/>
      <c r="B155" s="40"/>
      <c r="C155" s="55">
        <f t="shared" si="61"/>
        <v>136</v>
      </c>
      <c r="D155" s="54">
        <v>1</v>
      </c>
      <c r="E155" s="53" t="str">
        <f t="shared" si="53"/>
        <v>5</v>
      </c>
      <c r="F155" s="52">
        <f t="shared" si="62"/>
        <v>45427</v>
      </c>
      <c r="G155" s="51" t="str">
        <f t="shared" si="54"/>
        <v>Wed</v>
      </c>
      <c r="H155" s="50"/>
      <c r="I155" s="49"/>
      <c r="J155" s="48">
        <v>251740</v>
      </c>
      <c r="K155" s="31"/>
      <c r="L155" s="43">
        <f t="shared" si="52"/>
        <v>246438.82698961938</v>
      </c>
      <c r="M155" s="47">
        <f t="shared" si="55"/>
        <v>5301.1730103806185</v>
      </c>
      <c r="N155" s="41">
        <f t="shared" si="56"/>
        <v>1.0215111111959803</v>
      </c>
      <c r="O155" s="46"/>
      <c r="P155" s="45">
        <f>IF(D155=0,0,SUM($L$141:L155))</f>
        <v>2464388.2698961939</v>
      </c>
      <c r="Q155" s="43">
        <f>IF(D155=0,0,SUM($J$141:J155))</f>
        <v>2439005</v>
      </c>
      <c r="R155" s="42">
        <f t="shared" si="57"/>
        <v>-25383.269896193873</v>
      </c>
      <c r="S155" s="41">
        <f t="shared" si="58"/>
        <v>0.98969997130473963</v>
      </c>
      <c r="T155" s="56"/>
      <c r="U155" s="43">
        <f>IF(D155=0,0,SUM($L$20:L155))</f>
        <v>24791745.995155737</v>
      </c>
      <c r="V155" s="43">
        <f>IF(D155=0,0,SUM($J$20:J155))</f>
        <v>25560474</v>
      </c>
      <c r="W155" s="42">
        <f t="shared" si="59"/>
        <v>768728.0048442632</v>
      </c>
      <c r="X155" s="41">
        <f t="shared" si="60"/>
        <v>1.0310074169441099</v>
      </c>
      <c r="Y155" s="17"/>
      <c r="Z155" s="23">
        <f t="shared" si="63"/>
        <v>45427</v>
      </c>
      <c r="AA155" s="22">
        <f t="shared" si="64"/>
        <v>45427</v>
      </c>
      <c r="AB155" s="137">
        <v>45427</v>
      </c>
      <c r="AC155" s="137"/>
      <c r="AD155" s="134"/>
      <c r="AE155" s="134"/>
      <c r="AF155" s="139"/>
      <c r="AG155" s="256"/>
      <c r="AH155" s="256"/>
      <c r="AI155" s="256"/>
      <c r="AJ155" s="256"/>
      <c r="AK155" s="134"/>
      <c r="AL155" s="134"/>
      <c r="AM155" s="134"/>
      <c r="AN155" s="18"/>
      <c r="AO155" s="18"/>
      <c r="AP155" s="18"/>
      <c r="AQ155" s="18"/>
      <c r="AR155" s="17"/>
      <c r="AS155" s="21">
        <f t="shared" si="65"/>
        <v>45427</v>
      </c>
      <c r="AT155" s="17"/>
      <c r="AU155" s="17"/>
      <c r="AV155" s="17"/>
      <c r="AW155" s="17"/>
      <c r="AX155" s="17"/>
      <c r="AY155" s="17"/>
      <c r="AZ155" s="17"/>
    </row>
    <row r="156" spans="1:52" ht="20">
      <c r="A156" s="17"/>
      <c r="B156" s="40"/>
      <c r="C156" s="55">
        <f t="shared" si="61"/>
        <v>137</v>
      </c>
      <c r="D156" s="54">
        <v>1</v>
      </c>
      <c r="E156" s="53" t="str">
        <f t="shared" si="53"/>
        <v>5</v>
      </c>
      <c r="F156" s="52">
        <f t="shared" si="62"/>
        <v>45428</v>
      </c>
      <c r="G156" s="51" t="str">
        <f t="shared" si="54"/>
        <v>Thu</v>
      </c>
      <c r="H156" s="50"/>
      <c r="I156" s="49"/>
      <c r="J156" s="48">
        <v>239950</v>
      </c>
      <c r="K156" s="31"/>
      <c r="L156" s="43">
        <f t="shared" si="52"/>
        <v>246438.82698961938</v>
      </c>
      <c r="M156" s="47">
        <f t="shared" si="55"/>
        <v>-6488.8269896193815</v>
      </c>
      <c r="N156" s="41">
        <f t="shared" si="56"/>
        <v>0.97366962394325673</v>
      </c>
      <c r="O156" s="46"/>
      <c r="P156" s="45">
        <f>IF(D156=0,0,SUM($L$141:L156))</f>
        <v>2710827.0968858134</v>
      </c>
      <c r="Q156" s="43">
        <f>IF(D156=0,0,SUM($J$141:J156))</f>
        <v>2678955</v>
      </c>
      <c r="R156" s="42">
        <f t="shared" si="57"/>
        <v>-31872.0968858134</v>
      </c>
      <c r="S156" s="41">
        <f t="shared" si="58"/>
        <v>0.9882426669991502</v>
      </c>
      <c r="T156" s="56"/>
      <c r="U156" s="43">
        <f>IF(D156=0,0,SUM($L$20:L156))</f>
        <v>25038184.822145358</v>
      </c>
      <c r="V156" s="43">
        <f>IF(D156=0,0,SUM($J$20:J156))</f>
        <v>25800424</v>
      </c>
      <c r="W156" s="42">
        <f t="shared" si="59"/>
        <v>762239.17785464227</v>
      </c>
      <c r="X156" s="41">
        <f t="shared" si="60"/>
        <v>1.0304430685878023</v>
      </c>
      <c r="Y156" s="17"/>
      <c r="Z156" s="23">
        <f t="shared" si="63"/>
        <v>45428</v>
      </c>
      <c r="AA156" s="22">
        <f t="shared" si="64"/>
        <v>45428</v>
      </c>
      <c r="AB156" s="137">
        <v>45428</v>
      </c>
      <c r="AC156" s="137"/>
      <c r="AD156" s="134"/>
      <c r="AE156" s="134"/>
      <c r="AF156" s="139"/>
      <c r="AG156" s="256"/>
      <c r="AH156" s="256"/>
      <c r="AI156" s="256"/>
      <c r="AJ156" s="256"/>
      <c r="AK156" s="134"/>
      <c r="AL156" s="134"/>
      <c r="AM156" s="134"/>
      <c r="AN156" s="18"/>
      <c r="AO156" s="18"/>
      <c r="AP156" s="18"/>
      <c r="AQ156" s="18"/>
      <c r="AR156" s="17"/>
      <c r="AS156" s="21">
        <f t="shared" si="65"/>
        <v>45428</v>
      </c>
      <c r="AT156" s="17"/>
      <c r="AU156" s="17"/>
      <c r="AV156" s="17"/>
      <c r="AW156" s="17"/>
      <c r="AX156" s="17"/>
      <c r="AY156" s="17"/>
      <c r="AZ156" s="17"/>
    </row>
    <row r="157" spans="1:52" ht="20">
      <c r="A157" s="17"/>
      <c r="B157" s="40"/>
      <c r="C157" s="55">
        <f t="shared" si="61"/>
        <v>138</v>
      </c>
      <c r="D157" s="54">
        <v>1</v>
      </c>
      <c r="E157" s="53" t="str">
        <f t="shared" si="53"/>
        <v>5</v>
      </c>
      <c r="F157" s="52">
        <f t="shared" si="62"/>
        <v>45429</v>
      </c>
      <c r="G157" s="51" t="str">
        <f t="shared" si="54"/>
        <v>Fri</v>
      </c>
      <c r="H157" s="50"/>
      <c r="I157" s="49"/>
      <c r="J157" s="48">
        <v>301500</v>
      </c>
      <c r="K157" s="31"/>
      <c r="L157" s="43">
        <f t="shared" si="52"/>
        <v>246438.82698961938</v>
      </c>
      <c r="M157" s="47">
        <f t="shared" si="55"/>
        <v>55061.173010380619</v>
      </c>
      <c r="N157" s="41">
        <f t="shared" si="56"/>
        <v>1.2234273457757527</v>
      </c>
      <c r="O157" s="46"/>
      <c r="P157" s="45">
        <f>IF(D157=0,0,SUM($L$141:L157))</f>
        <v>2957265.9238754329</v>
      </c>
      <c r="Q157" s="43">
        <f>IF(D157=0,0,SUM($J$141:J157))</f>
        <v>2980455</v>
      </c>
      <c r="R157" s="42">
        <f t="shared" si="57"/>
        <v>23189.076124567073</v>
      </c>
      <c r="S157" s="41">
        <f t="shared" si="58"/>
        <v>1.0078413902305337</v>
      </c>
      <c r="T157" s="56"/>
      <c r="U157" s="43">
        <f>IF(D157=0,0,SUM($L$20:L157))</f>
        <v>25284623.649134979</v>
      </c>
      <c r="V157" s="43">
        <f>IF(D157=0,0,SUM($J$20:J157))</f>
        <v>26101924</v>
      </c>
      <c r="W157" s="42">
        <f t="shared" si="59"/>
        <v>817300.35086502135</v>
      </c>
      <c r="X157" s="41">
        <f t="shared" si="60"/>
        <v>1.0323240069619539</v>
      </c>
      <c r="Y157" s="17"/>
      <c r="Z157" s="23">
        <f t="shared" si="63"/>
        <v>45429</v>
      </c>
      <c r="AA157" s="22">
        <f t="shared" si="64"/>
        <v>45429</v>
      </c>
      <c r="AB157" s="137">
        <v>45429</v>
      </c>
      <c r="AC157" s="137"/>
      <c r="AD157" s="134"/>
      <c r="AE157" s="134"/>
      <c r="AF157" s="139"/>
      <c r="AG157" s="256"/>
      <c r="AH157" s="256"/>
      <c r="AI157" s="256"/>
      <c r="AJ157" s="256"/>
      <c r="AK157" s="134"/>
      <c r="AL157" s="134"/>
      <c r="AM157" s="134"/>
      <c r="AN157" s="18"/>
      <c r="AO157" s="18"/>
      <c r="AP157" s="18"/>
      <c r="AQ157" s="18"/>
      <c r="AR157" s="17"/>
      <c r="AS157" s="21">
        <f t="shared" si="65"/>
        <v>45429</v>
      </c>
      <c r="AT157" s="17"/>
      <c r="AU157" s="17"/>
      <c r="AV157" s="17"/>
      <c r="AW157" s="17"/>
      <c r="AX157" s="17"/>
      <c r="AY157" s="17"/>
      <c r="AZ157" s="17"/>
    </row>
    <row r="158" spans="1:52" ht="20">
      <c r="A158" s="17"/>
      <c r="B158" s="40"/>
      <c r="C158" s="55">
        <f t="shared" si="61"/>
        <v>139</v>
      </c>
      <c r="D158" s="54">
        <v>1</v>
      </c>
      <c r="E158" s="53" t="str">
        <f t="shared" si="53"/>
        <v>5</v>
      </c>
      <c r="F158" s="52">
        <f t="shared" si="62"/>
        <v>45430</v>
      </c>
      <c r="G158" s="51" t="str">
        <f t="shared" si="54"/>
        <v>Sat</v>
      </c>
      <c r="H158" s="50"/>
      <c r="I158" s="49"/>
      <c r="J158" s="48">
        <v>100250</v>
      </c>
      <c r="K158" s="31"/>
      <c r="L158" s="43">
        <f t="shared" si="52"/>
        <v>246438.82698961938</v>
      </c>
      <c r="M158" s="47">
        <f t="shared" si="55"/>
        <v>-146188.82698961938</v>
      </c>
      <c r="N158" s="41">
        <f t="shared" si="56"/>
        <v>0.40679466472311515</v>
      </c>
      <c r="O158" s="46"/>
      <c r="P158" s="45">
        <f>IF(D158=0,0,SUM($L$141:L158))</f>
        <v>3203704.7508650525</v>
      </c>
      <c r="Q158" s="43">
        <f>IF(D158=0,0,SUM($J$141:J158))</f>
        <v>3080705</v>
      </c>
      <c r="R158" s="42">
        <f t="shared" si="57"/>
        <v>-122999.75086505245</v>
      </c>
      <c r="S158" s="41">
        <f t="shared" si="58"/>
        <v>0.96160702672996301</v>
      </c>
      <c r="T158" s="44"/>
      <c r="U158" s="43">
        <f>IF(D158=0,0,SUM($L$20:L158))</f>
        <v>25531062.4761246</v>
      </c>
      <c r="V158" s="43">
        <f>IF(D158=0,0,SUM($J$20:J158))</f>
        <v>26202174</v>
      </c>
      <c r="W158" s="42">
        <f t="shared" si="59"/>
        <v>671111.52387540042</v>
      </c>
      <c r="X158" s="41">
        <f t="shared" si="60"/>
        <v>1.0262860789480654</v>
      </c>
      <c r="Y158" s="17"/>
      <c r="Z158" s="23">
        <f t="shared" si="63"/>
        <v>45430</v>
      </c>
      <c r="AA158" s="22">
        <f t="shared" si="64"/>
        <v>45430</v>
      </c>
      <c r="AB158" s="137">
        <v>45430</v>
      </c>
      <c r="AC158" s="137"/>
      <c r="AD158" s="134"/>
      <c r="AE158" s="134"/>
      <c r="AF158" s="139"/>
      <c r="AG158" s="256"/>
      <c r="AH158" s="256"/>
      <c r="AI158" s="256"/>
      <c r="AJ158" s="256"/>
      <c r="AK158" s="134"/>
      <c r="AL158" s="134"/>
      <c r="AM158" s="134"/>
      <c r="AN158" s="18"/>
      <c r="AO158" s="18"/>
      <c r="AP158" s="18"/>
      <c r="AQ158" s="18"/>
      <c r="AR158" s="17"/>
      <c r="AS158" s="21">
        <f t="shared" si="65"/>
        <v>45430</v>
      </c>
      <c r="AT158" s="17"/>
      <c r="AU158" s="17"/>
      <c r="AV158" s="17"/>
      <c r="AW158" s="17"/>
      <c r="AX158" s="17"/>
      <c r="AY158" s="17"/>
      <c r="AZ158" s="17"/>
    </row>
    <row r="159" spans="1:52" ht="20">
      <c r="A159" s="17"/>
      <c r="B159" s="40"/>
      <c r="C159" s="55">
        <f t="shared" si="61"/>
        <v>140</v>
      </c>
      <c r="D159" s="54">
        <v>0</v>
      </c>
      <c r="E159" s="53" t="str">
        <f t="shared" si="53"/>
        <v>5</v>
      </c>
      <c r="F159" s="52">
        <f t="shared" si="62"/>
        <v>45431</v>
      </c>
      <c r="G159" s="51" t="str">
        <f t="shared" si="54"/>
        <v>Sun</v>
      </c>
      <c r="H159" s="50" t="s">
        <v>46</v>
      </c>
      <c r="I159" s="49"/>
      <c r="J159" s="48">
        <v>0</v>
      </c>
      <c r="K159" s="31"/>
      <c r="L159" s="43">
        <f t="shared" si="52"/>
        <v>0</v>
      </c>
      <c r="M159" s="47">
        <f t="shared" si="55"/>
        <v>0</v>
      </c>
      <c r="N159" s="41" t="str">
        <f t="shared" si="56"/>
        <v>0%</v>
      </c>
      <c r="O159" s="46"/>
      <c r="P159" s="45">
        <f>IF(D159=0,0,SUM($L$141:L159))</f>
        <v>0</v>
      </c>
      <c r="Q159" s="43">
        <f>IF(D159=0,0,SUM($J$141:J159))</f>
        <v>0</v>
      </c>
      <c r="R159" s="42">
        <f t="shared" si="57"/>
        <v>0</v>
      </c>
      <c r="S159" s="41" t="str">
        <f t="shared" si="58"/>
        <v>0%</v>
      </c>
      <c r="T159" s="56"/>
      <c r="U159" s="43">
        <f>IF(D159=0,0,SUM($L$20:L159))</f>
        <v>0</v>
      </c>
      <c r="V159" s="43">
        <f>IF(D159=0,0,SUM($J$20:J159))</f>
        <v>0</v>
      </c>
      <c r="W159" s="42">
        <f t="shared" si="59"/>
        <v>0</v>
      </c>
      <c r="X159" s="41" t="str">
        <f t="shared" si="60"/>
        <v>0%</v>
      </c>
      <c r="Y159" s="17"/>
      <c r="Z159" s="23">
        <f t="shared" si="63"/>
        <v>45431</v>
      </c>
      <c r="AA159" s="22">
        <f t="shared" si="64"/>
        <v>45431</v>
      </c>
      <c r="AB159" s="137">
        <v>45431</v>
      </c>
      <c r="AC159" s="137"/>
      <c r="AD159" s="134"/>
      <c r="AE159" s="134"/>
      <c r="AF159" s="139"/>
      <c r="AG159" s="256"/>
      <c r="AH159" s="256"/>
      <c r="AI159" s="256"/>
      <c r="AJ159" s="256"/>
      <c r="AK159" s="134"/>
      <c r="AL159" s="134"/>
      <c r="AM159" s="134"/>
      <c r="AN159" s="18"/>
      <c r="AO159" s="18"/>
      <c r="AP159" s="18"/>
      <c r="AQ159" s="18"/>
      <c r="AR159" s="17"/>
      <c r="AS159" s="21">
        <f t="shared" si="65"/>
        <v>45431</v>
      </c>
      <c r="AT159" s="17"/>
      <c r="AU159" s="17"/>
      <c r="AV159" s="17"/>
      <c r="AW159" s="17"/>
      <c r="AX159" s="17"/>
      <c r="AY159" s="17"/>
      <c r="AZ159" s="17"/>
    </row>
    <row r="160" spans="1:52" ht="20">
      <c r="A160" s="17"/>
      <c r="B160" s="40"/>
      <c r="C160" s="55">
        <f t="shared" si="61"/>
        <v>141</v>
      </c>
      <c r="D160" s="54">
        <v>1</v>
      </c>
      <c r="E160" s="53" t="str">
        <f t="shared" si="53"/>
        <v>5</v>
      </c>
      <c r="F160" s="52">
        <f t="shared" si="62"/>
        <v>45432</v>
      </c>
      <c r="G160" s="51" t="str">
        <f t="shared" si="54"/>
        <v>Mon</v>
      </c>
      <c r="H160" s="50"/>
      <c r="I160" s="49"/>
      <c r="J160" s="48">
        <v>199520</v>
      </c>
      <c r="K160" s="31"/>
      <c r="L160" s="43">
        <f t="shared" si="52"/>
        <v>246438.82698961938</v>
      </c>
      <c r="M160" s="47">
        <f t="shared" si="55"/>
        <v>-46918.826989619381</v>
      </c>
      <c r="N160" s="41">
        <f t="shared" si="56"/>
        <v>0.80961268334719139</v>
      </c>
      <c r="O160" s="46"/>
      <c r="P160" s="45">
        <f>IF(D160=0,0,SUM($L$141:L160))</f>
        <v>3450143.577854672</v>
      </c>
      <c r="Q160" s="43">
        <f>IF(D160=0,0,SUM($J$141:J160))</f>
        <v>3280225</v>
      </c>
      <c r="R160" s="42">
        <f t="shared" si="57"/>
        <v>-169918.57785467198</v>
      </c>
      <c r="S160" s="41">
        <f t="shared" si="58"/>
        <v>0.95075028791690785</v>
      </c>
      <c r="T160" s="56"/>
      <c r="U160" s="43">
        <f>IF(D160=0,0,SUM($L$20:L160))</f>
        <v>25777501.30311422</v>
      </c>
      <c r="V160" s="43">
        <f>IF(D160=0,0,SUM($J$20:J160))</f>
        <v>26401694</v>
      </c>
      <c r="W160" s="42">
        <f t="shared" si="59"/>
        <v>624192.6968857795</v>
      </c>
      <c r="X160" s="41">
        <f t="shared" si="60"/>
        <v>1.0242146315713838</v>
      </c>
      <c r="Y160" s="17"/>
      <c r="Z160" s="23">
        <f t="shared" si="63"/>
        <v>45432</v>
      </c>
      <c r="AA160" s="22">
        <f t="shared" si="64"/>
        <v>45432</v>
      </c>
      <c r="AB160" s="137">
        <v>45432</v>
      </c>
      <c r="AC160" s="137"/>
      <c r="AD160" s="134"/>
      <c r="AE160" s="134"/>
      <c r="AF160" s="139"/>
      <c r="AG160" s="256"/>
      <c r="AH160" s="256"/>
      <c r="AI160" s="256"/>
      <c r="AJ160" s="256"/>
      <c r="AK160" s="134"/>
      <c r="AL160" s="134"/>
      <c r="AM160" s="134"/>
      <c r="AN160" s="18"/>
      <c r="AO160" s="18"/>
      <c r="AP160" s="18"/>
      <c r="AQ160" s="18"/>
      <c r="AR160" s="17"/>
      <c r="AS160" s="21">
        <f t="shared" si="65"/>
        <v>45432</v>
      </c>
      <c r="AT160" s="17"/>
      <c r="AU160" s="17"/>
      <c r="AV160" s="17"/>
      <c r="AW160" s="17"/>
      <c r="AX160" s="17"/>
      <c r="AY160" s="17"/>
      <c r="AZ160" s="17"/>
    </row>
    <row r="161" spans="1:52" ht="20">
      <c r="A161" s="17"/>
      <c r="B161" s="40"/>
      <c r="C161" s="55">
        <f t="shared" si="61"/>
        <v>142</v>
      </c>
      <c r="D161" s="54">
        <v>1</v>
      </c>
      <c r="E161" s="53" t="str">
        <f t="shared" si="53"/>
        <v>5</v>
      </c>
      <c r="F161" s="52">
        <f t="shared" si="62"/>
        <v>45433</v>
      </c>
      <c r="G161" s="51" t="str">
        <f t="shared" si="54"/>
        <v>Tue</v>
      </c>
      <c r="H161" s="50"/>
      <c r="I161" s="49"/>
      <c r="J161" s="48">
        <v>246350</v>
      </c>
      <c r="K161" s="31"/>
      <c r="L161" s="43">
        <f t="shared" si="52"/>
        <v>246438.82698961938</v>
      </c>
      <c r="M161" s="47">
        <f t="shared" si="55"/>
        <v>-88.826989619381493</v>
      </c>
      <c r="N161" s="41">
        <f t="shared" si="56"/>
        <v>0.999639557651266</v>
      </c>
      <c r="O161" s="46"/>
      <c r="P161" s="45">
        <f>IF(D161=0,0,SUM($L$141:L161))</f>
        <v>3696582.4048442915</v>
      </c>
      <c r="Q161" s="43">
        <f>IF(D161=0,0,SUM($J$141:J161))</f>
        <v>3526575</v>
      </c>
      <c r="R161" s="42">
        <f t="shared" si="57"/>
        <v>-170007.40484429151</v>
      </c>
      <c r="S161" s="41">
        <f t="shared" si="58"/>
        <v>0.95400957256586505</v>
      </c>
      <c r="T161" s="56"/>
      <c r="U161" s="43">
        <f>IF(D161=0,0,SUM($L$20:L161))</f>
        <v>26023940.130103841</v>
      </c>
      <c r="V161" s="43">
        <f>IF(D161=0,0,SUM($J$20:J161))</f>
        <v>26648044</v>
      </c>
      <c r="W161" s="42">
        <f t="shared" si="59"/>
        <v>624103.86989615858</v>
      </c>
      <c r="X161" s="41">
        <f t="shared" si="60"/>
        <v>1.0239819130683525</v>
      </c>
      <c r="Y161" s="17"/>
      <c r="Z161" s="23">
        <f t="shared" si="63"/>
        <v>45433</v>
      </c>
      <c r="AA161" s="22">
        <f t="shared" si="64"/>
        <v>45433</v>
      </c>
      <c r="AB161" s="137">
        <v>45433</v>
      </c>
      <c r="AC161" s="137"/>
      <c r="AD161" s="134"/>
      <c r="AE161" s="134"/>
      <c r="AF161" s="139"/>
      <c r="AG161" s="256"/>
      <c r="AH161" s="256"/>
      <c r="AI161" s="256"/>
      <c r="AJ161" s="256"/>
      <c r="AK161" s="134"/>
      <c r="AL161" s="134"/>
      <c r="AM161" s="134"/>
      <c r="AN161" s="18"/>
      <c r="AO161" s="18"/>
      <c r="AP161" s="18"/>
      <c r="AQ161" s="18"/>
      <c r="AR161" s="17"/>
      <c r="AS161" s="21">
        <f t="shared" si="65"/>
        <v>45433</v>
      </c>
      <c r="AT161" s="17"/>
      <c r="AU161" s="17"/>
      <c r="AV161" s="17"/>
      <c r="AW161" s="17"/>
      <c r="AX161" s="17"/>
      <c r="AY161" s="17"/>
      <c r="AZ161" s="17"/>
    </row>
    <row r="162" spans="1:52" ht="20">
      <c r="A162" s="17"/>
      <c r="B162" s="40"/>
      <c r="C162" s="55">
        <f t="shared" si="61"/>
        <v>143</v>
      </c>
      <c r="D162" s="54">
        <v>1</v>
      </c>
      <c r="E162" s="53" t="str">
        <f t="shared" si="53"/>
        <v>5</v>
      </c>
      <c r="F162" s="52">
        <f t="shared" si="62"/>
        <v>45434</v>
      </c>
      <c r="G162" s="51" t="str">
        <f t="shared" si="54"/>
        <v>Wed</v>
      </c>
      <c r="H162" s="50"/>
      <c r="I162" s="49"/>
      <c r="J162" s="48">
        <v>500550</v>
      </c>
      <c r="K162" s="31"/>
      <c r="L162" s="43">
        <f t="shared" si="52"/>
        <v>246438.82698961938</v>
      </c>
      <c r="M162" s="47">
        <f t="shared" si="55"/>
        <v>254111.17301038062</v>
      </c>
      <c r="N162" s="41">
        <f t="shared" si="56"/>
        <v>2.0311328621162623</v>
      </c>
      <c r="O162" s="46"/>
      <c r="P162" s="45">
        <f>IF(D162=0,0,SUM($L$141:L162))</f>
        <v>3943021.231833911</v>
      </c>
      <c r="Q162" s="43">
        <f>IF(D162=0,0,SUM($J$141:J162))</f>
        <v>4027125</v>
      </c>
      <c r="R162" s="42">
        <f t="shared" si="57"/>
        <v>84103.768166088965</v>
      </c>
      <c r="S162" s="41">
        <f t="shared" si="58"/>
        <v>1.0213297781627648</v>
      </c>
      <c r="T162" s="56"/>
      <c r="U162" s="43">
        <f>IF(D162=0,0,SUM($L$20:L162))</f>
        <v>26270378.957093462</v>
      </c>
      <c r="V162" s="43">
        <f>IF(D162=0,0,SUM($J$20:J162))</f>
        <v>27148594</v>
      </c>
      <c r="W162" s="42">
        <f t="shared" si="59"/>
        <v>878215.04290653765</v>
      </c>
      <c r="X162" s="41">
        <f t="shared" si="60"/>
        <v>1.0334298581813721</v>
      </c>
      <c r="Y162" s="17"/>
      <c r="Z162" s="23">
        <f t="shared" si="63"/>
        <v>45434</v>
      </c>
      <c r="AA162" s="22">
        <f t="shared" si="64"/>
        <v>45434</v>
      </c>
      <c r="AB162" s="137">
        <v>45434</v>
      </c>
      <c r="AC162" s="137"/>
      <c r="AD162" s="134"/>
      <c r="AE162" s="134"/>
      <c r="AF162" s="139"/>
      <c r="AG162" s="256"/>
      <c r="AH162" s="256"/>
      <c r="AI162" s="256"/>
      <c r="AJ162" s="256"/>
      <c r="AK162" s="134"/>
      <c r="AL162" s="134"/>
      <c r="AM162" s="134"/>
      <c r="AN162" s="18"/>
      <c r="AO162" s="18"/>
      <c r="AP162" s="18"/>
      <c r="AQ162" s="18"/>
      <c r="AR162" s="17"/>
      <c r="AS162" s="21">
        <f t="shared" si="65"/>
        <v>45434</v>
      </c>
      <c r="AT162" s="17"/>
      <c r="AU162" s="17"/>
      <c r="AV162" s="17"/>
      <c r="AW162" s="17"/>
      <c r="AX162" s="17"/>
      <c r="AY162" s="17"/>
      <c r="AZ162" s="17"/>
    </row>
    <row r="163" spans="1:52" ht="20">
      <c r="A163" s="17"/>
      <c r="B163" s="40"/>
      <c r="C163" s="55">
        <f t="shared" si="61"/>
        <v>144</v>
      </c>
      <c r="D163" s="54">
        <v>1</v>
      </c>
      <c r="E163" s="53" t="str">
        <f t="shared" si="53"/>
        <v>5</v>
      </c>
      <c r="F163" s="52">
        <f t="shared" si="62"/>
        <v>45435</v>
      </c>
      <c r="G163" s="51" t="str">
        <f t="shared" si="54"/>
        <v>Thu</v>
      </c>
      <c r="H163" s="50"/>
      <c r="I163" s="49"/>
      <c r="J163" s="48">
        <v>137000</v>
      </c>
      <c r="K163" s="31"/>
      <c r="L163" s="43">
        <f t="shared" si="52"/>
        <v>246438.82698961938</v>
      </c>
      <c r="M163" s="47">
        <f t="shared" si="55"/>
        <v>-109438.82698961938</v>
      </c>
      <c r="N163" s="41">
        <f t="shared" si="56"/>
        <v>0.55591889343707512</v>
      </c>
      <c r="O163" s="46"/>
      <c r="P163" s="45">
        <f>IF(D163=0,0,SUM($L$141:L163))</f>
        <v>4189460.0588235306</v>
      </c>
      <c r="Q163" s="43">
        <f>IF(D163=0,0,SUM($J$141:J163))</f>
        <v>4164125</v>
      </c>
      <c r="R163" s="42">
        <f t="shared" si="57"/>
        <v>-25335.058823530562</v>
      </c>
      <c r="S163" s="41">
        <f t="shared" si="58"/>
        <v>0.99395266729654774</v>
      </c>
      <c r="T163" s="56"/>
      <c r="U163" s="43">
        <f>IF(D163=0,0,SUM($L$20:L163))</f>
        <v>26516817.784083083</v>
      </c>
      <c r="V163" s="43">
        <f>IF(D163=0,0,SUM($J$20:J163))</f>
        <v>27285594</v>
      </c>
      <c r="W163" s="42">
        <f t="shared" si="59"/>
        <v>768776.21591691673</v>
      </c>
      <c r="X163" s="41">
        <f t="shared" si="60"/>
        <v>1.0289920239365367</v>
      </c>
      <c r="Y163" s="17"/>
      <c r="Z163" s="23">
        <f t="shared" si="63"/>
        <v>45435</v>
      </c>
      <c r="AA163" s="22">
        <f t="shared" si="64"/>
        <v>45435</v>
      </c>
      <c r="AB163" s="137">
        <v>45435</v>
      </c>
      <c r="AC163" s="137"/>
      <c r="AD163" s="134"/>
      <c r="AE163" s="134"/>
      <c r="AF163" s="139"/>
      <c r="AG163" s="256"/>
      <c r="AH163" s="256"/>
      <c r="AI163" s="256"/>
      <c r="AJ163" s="256"/>
      <c r="AK163" s="134"/>
      <c r="AL163" s="134"/>
      <c r="AM163" s="134"/>
      <c r="AN163" s="18"/>
      <c r="AO163" s="18"/>
      <c r="AP163" s="18"/>
      <c r="AQ163" s="18"/>
      <c r="AR163" s="17"/>
      <c r="AS163" s="21">
        <f t="shared" si="65"/>
        <v>45435</v>
      </c>
      <c r="AT163" s="17"/>
      <c r="AU163" s="17"/>
      <c r="AV163" s="17"/>
      <c r="AW163" s="17"/>
      <c r="AX163" s="17"/>
      <c r="AY163" s="17"/>
      <c r="AZ163" s="17"/>
    </row>
    <row r="164" spans="1:52" ht="20">
      <c r="A164" s="17"/>
      <c r="B164" s="40"/>
      <c r="C164" s="55">
        <f t="shared" si="61"/>
        <v>145</v>
      </c>
      <c r="D164" s="54">
        <v>1</v>
      </c>
      <c r="E164" s="53" t="str">
        <f t="shared" si="53"/>
        <v>5</v>
      </c>
      <c r="F164" s="52">
        <f t="shared" si="62"/>
        <v>45436</v>
      </c>
      <c r="G164" s="51" t="str">
        <f t="shared" si="54"/>
        <v>Fri</v>
      </c>
      <c r="H164" s="50"/>
      <c r="I164" s="49"/>
      <c r="J164" s="48">
        <v>368700</v>
      </c>
      <c r="K164" s="31"/>
      <c r="L164" s="43">
        <f t="shared" si="52"/>
        <v>246438.82698961938</v>
      </c>
      <c r="M164" s="47">
        <f t="shared" si="55"/>
        <v>122261.17301038062</v>
      </c>
      <c r="N164" s="41">
        <f t="shared" si="56"/>
        <v>1.496111649709851</v>
      </c>
      <c r="O164" s="46"/>
      <c r="P164" s="45">
        <f>IF(D164=0,0,SUM($L$141:L164))</f>
        <v>4435898.8858131496</v>
      </c>
      <c r="Q164" s="43">
        <f>IF(D164=0,0,SUM($J$141:J164))</f>
        <v>4532825</v>
      </c>
      <c r="R164" s="42">
        <f t="shared" si="57"/>
        <v>96926.114186850376</v>
      </c>
      <c r="S164" s="41">
        <f t="shared" si="58"/>
        <v>1.0218503885417314</v>
      </c>
      <c r="T164" s="56"/>
      <c r="U164" s="43">
        <f>IF(D164=0,0,SUM($L$20:L164))</f>
        <v>26763256.611072704</v>
      </c>
      <c r="V164" s="43">
        <f>IF(D164=0,0,SUM($J$20:J164))</f>
        <v>27654294</v>
      </c>
      <c r="W164" s="42">
        <f t="shared" si="59"/>
        <v>891037.3889272958</v>
      </c>
      <c r="X164" s="41">
        <f t="shared" si="60"/>
        <v>1.0332933096250569</v>
      </c>
      <c r="Y164" s="17"/>
      <c r="Z164" s="23">
        <f t="shared" si="63"/>
        <v>45436</v>
      </c>
      <c r="AA164" s="22">
        <f t="shared" si="64"/>
        <v>45436</v>
      </c>
      <c r="AB164" s="137">
        <v>45436</v>
      </c>
      <c r="AC164" s="137"/>
      <c r="AD164" s="134"/>
      <c r="AE164" s="134"/>
      <c r="AF164" s="139"/>
      <c r="AG164" s="256"/>
      <c r="AH164" s="256"/>
      <c r="AI164" s="256"/>
      <c r="AJ164" s="256"/>
      <c r="AK164" s="134"/>
      <c r="AL164" s="134"/>
      <c r="AM164" s="134"/>
      <c r="AN164" s="18"/>
      <c r="AO164" s="18"/>
      <c r="AP164" s="18"/>
      <c r="AQ164" s="18"/>
      <c r="AR164" s="17"/>
      <c r="AS164" s="21">
        <f t="shared" si="65"/>
        <v>45436</v>
      </c>
      <c r="AT164" s="17"/>
      <c r="AU164" s="17"/>
      <c r="AV164" s="17"/>
      <c r="AW164" s="17"/>
      <c r="AX164" s="17"/>
      <c r="AY164" s="17"/>
      <c r="AZ164" s="17"/>
    </row>
    <row r="165" spans="1:52" ht="20">
      <c r="A165" s="17"/>
      <c r="B165" s="40"/>
      <c r="C165" s="55">
        <f t="shared" si="61"/>
        <v>146</v>
      </c>
      <c r="D165" s="54">
        <v>1</v>
      </c>
      <c r="E165" s="53" t="str">
        <f t="shared" si="53"/>
        <v>5</v>
      </c>
      <c r="F165" s="52">
        <f t="shared" si="62"/>
        <v>45437</v>
      </c>
      <c r="G165" s="51" t="str">
        <f t="shared" si="54"/>
        <v>Sat</v>
      </c>
      <c r="H165" s="50"/>
      <c r="I165" s="49"/>
      <c r="J165" s="48">
        <v>191500</v>
      </c>
      <c r="K165" s="31"/>
      <c r="L165" s="43">
        <f t="shared" si="52"/>
        <v>246438.82698961938</v>
      </c>
      <c r="M165" s="47">
        <f t="shared" si="55"/>
        <v>-54938.826989619381</v>
      </c>
      <c r="N165" s="41">
        <f t="shared" si="56"/>
        <v>0.77706911016934221</v>
      </c>
      <c r="O165" s="46"/>
      <c r="P165" s="45">
        <f>IF(D165=0,0,SUM($L$141:L165))</f>
        <v>4682337.7128027687</v>
      </c>
      <c r="Q165" s="43">
        <f>IF(D165=0,0,SUM($J$141:J165))</f>
        <v>4724325</v>
      </c>
      <c r="R165" s="42">
        <f t="shared" si="57"/>
        <v>41987.287197231315</v>
      </c>
      <c r="S165" s="41">
        <f t="shared" si="58"/>
        <v>1.0089671633642372</v>
      </c>
      <c r="T165" s="44"/>
      <c r="U165" s="43">
        <f>IF(D165=0,0,SUM($L$20:L165))</f>
        <v>27009695.438062325</v>
      </c>
      <c r="V165" s="43">
        <f>IF(D165=0,0,SUM($J$20:J165))</f>
        <v>27845794</v>
      </c>
      <c r="W165" s="42">
        <f t="shared" si="59"/>
        <v>836098.56193767488</v>
      </c>
      <c r="X165" s="41">
        <f t="shared" si="60"/>
        <v>1.0309554975862274</v>
      </c>
      <c r="Y165" s="17"/>
      <c r="Z165" s="23">
        <f t="shared" si="63"/>
        <v>45437</v>
      </c>
      <c r="AA165" s="22">
        <f t="shared" si="64"/>
        <v>45437</v>
      </c>
      <c r="AB165" s="137">
        <v>45437</v>
      </c>
      <c r="AC165" s="137"/>
      <c r="AD165" s="134"/>
      <c r="AE165" s="134"/>
      <c r="AF165" s="139"/>
      <c r="AG165" s="256"/>
      <c r="AH165" s="256"/>
      <c r="AI165" s="256"/>
      <c r="AJ165" s="256"/>
      <c r="AK165" s="134"/>
      <c r="AL165" s="134"/>
      <c r="AM165" s="134"/>
      <c r="AN165" s="18"/>
      <c r="AO165" s="18"/>
      <c r="AP165" s="18"/>
      <c r="AQ165" s="18"/>
      <c r="AR165" s="17"/>
      <c r="AS165" s="21">
        <f t="shared" si="65"/>
        <v>45437</v>
      </c>
      <c r="AT165" s="17"/>
      <c r="AU165" s="17"/>
      <c r="AV165" s="17"/>
      <c r="AW165" s="17"/>
      <c r="AX165" s="17"/>
      <c r="AY165" s="17"/>
      <c r="AZ165" s="17"/>
    </row>
    <row r="166" spans="1:52" ht="20">
      <c r="A166" s="17"/>
      <c r="B166" s="40"/>
      <c r="C166" s="55">
        <f t="shared" si="61"/>
        <v>147</v>
      </c>
      <c r="D166" s="54">
        <v>0</v>
      </c>
      <c r="E166" s="53" t="str">
        <f t="shared" si="53"/>
        <v>5</v>
      </c>
      <c r="F166" s="52">
        <f t="shared" si="62"/>
        <v>45438</v>
      </c>
      <c r="G166" s="51" t="str">
        <f t="shared" si="54"/>
        <v>Sun</v>
      </c>
      <c r="H166" s="50" t="s">
        <v>46</v>
      </c>
      <c r="I166" s="49"/>
      <c r="J166" s="48">
        <v>0</v>
      </c>
      <c r="K166" s="31"/>
      <c r="L166" s="43">
        <f t="shared" si="52"/>
        <v>0</v>
      </c>
      <c r="M166" s="47">
        <f t="shared" si="55"/>
        <v>0</v>
      </c>
      <c r="N166" s="41" t="str">
        <f t="shared" si="56"/>
        <v>0%</v>
      </c>
      <c r="O166" s="46"/>
      <c r="P166" s="45">
        <f>IF(D166=0,0,SUM($L$141:L166))</f>
        <v>0</v>
      </c>
      <c r="Q166" s="43">
        <f>IF(D166=0,0,SUM($J$141:J166))</f>
        <v>0</v>
      </c>
      <c r="R166" s="42">
        <f t="shared" si="57"/>
        <v>0</v>
      </c>
      <c r="S166" s="41" t="str">
        <f t="shared" si="58"/>
        <v>0%</v>
      </c>
      <c r="T166" s="56"/>
      <c r="U166" s="43">
        <f>IF(D166=0,0,SUM($L$20:L166))</f>
        <v>0</v>
      </c>
      <c r="V166" s="43">
        <f>IF(D166=0,0,SUM($J$20:J166))</f>
        <v>0</v>
      </c>
      <c r="W166" s="42">
        <f t="shared" si="59"/>
        <v>0</v>
      </c>
      <c r="X166" s="41" t="str">
        <f t="shared" si="60"/>
        <v>0%</v>
      </c>
      <c r="Y166" s="17"/>
      <c r="Z166" s="23">
        <f t="shared" si="63"/>
        <v>45438</v>
      </c>
      <c r="AA166" s="22">
        <f t="shared" si="64"/>
        <v>45438</v>
      </c>
      <c r="AB166" s="137">
        <v>45438</v>
      </c>
      <c r="AC166" s="137"/>
      <c r="AD166" s="134"/>
      <c r="AE166" s="134"/>
      <c r="AF166" s="139"/>
      <c r="AG166" s="256"/>
      <c r="AH166" s="256"/>
      <c r="AI166" s="256"/>
      <c r="AJ166" s="256"/>
      <c r="AK166" s="134"/>
      <c r="AL166" s="134"/>
      <c r="AM166" s="134"/>
      <c r="AN166" s="18"/>
      <c r="AO166" s="18"/>
      <c r="AP166" s="18"/>
      <c r="AQ166" s="18"/>
      <c r="AR166" s="17"/>
      <c r="AS166" s="21">
        <f t="shared" si="65"/>
        <v>45438</v>
      </c>
      <c r="AT166" s="17"/>
      <c r="AU166" s="17"/>
      <c r="AV166" s="17"/>
      <c r="AW166" s="17"/>
      <c r="AX166" s="17"/>
      <c r="AY166" s="17"/>
      <c r="AZ166" s="17"/>
    </row>
    <row r="167" spans="1:52" ht="20">
      <c r="A167" s="17"/>
      <c r="B167" s="40"/>
      <c r="C167" s="55">
        <f t="shared" si="61"/>
        <v>148</v>
      </c>
      <c r="D167" s="54">
        <v>1</v>
      </c>
      <c r="E167" s="53" t="str">
        <f t="shared" si="53"/>
        <v>5</v>
      </c>
      <c r="F167" s="52">
        <f t="shared" si="62"/>
        <v>45439</v>
      </c>
      <c r="G167" s="51" t="str">
        <f t="shared" si="54"/>
        <v>Mon</v>
      </c>
      <c r="H167" s="50"/>
      <c r="I167" s="49"/>
      <c r="J167" s="48">
        <v>270760</v>
      </c>
      <c r="K167" s="31"/>
      <c r="L167" s="43">
        <f t="shared" si="52"/>
        <v>246438.82698961938</v>
      </c>
      <c r="M167" s="47">
        <f t="shared" si="55"/>
        <v>24321.173010380619</v>
      </c>
      <c r="N167" s="41">
        <f t="shared" si="56"/>
        <v>1.0986905079344704</v>
      </c>
      <c r="O167" s="46"/>
      <c r="P167" s="45">
        <f>IF(D167=0,0,SUM($L$141:L167))</f>
        <v>4928776.5397923877</v>
      </c>
      <c r="Q167" s="43">
        <f>IF(D167=0,0,SUM($J$141:J167))</f>
        <v>4995085</v>
      </c>
      <c r="R167" s="42">
        <f t="shared" si="57"/>
        <v>66308.460207612254</v>
      </c>
      <c r="S167" s="41">
        <f t="shared" si="58"/>
        <v>1.0134533305927489</v>
      </c>
      <c r="T167" s="56"/>
      <c r="U167" s="43">
        <f>IF(D167=0,0,SUM($L$20:L167))</f>
        <v>27256134.265051946</v>
      </c>
      <c r="V167" s="43">
        <f>IF(D167=0,0,SUM($J$20:J167))</f>
        <v>28116554</v>
      </c>
      <c r="W167" s="42">
        <f t="shared" si="59"/>
        <v>860419.73494805396</v>
      </c>
      <c r="X167" s="41">
        <f t="shared" si="60"/>
        <v>1.0315679298678571</v>
      </c>
      <c r="Y167" s="17"/>
      <c r="Z167" s="23">
        <f t="shared" si="63"/>
        <v>45439</v>
      </c>
      <c r="AA167" s="22">
        <f t="shared" si="64"/>
        <v>45439</v>
      </c>
      <c r="AB167" s="137">
        <v>45439</v>
      </c>
      <c r="AC167" s="137"/>
      <c r="AD167" s="134"/>
      <c r="AE167" s="134"/>
      <c r="AF167" s="139"/>
      <c r="AG167" s="256"/>
      <c r="AH167" s="256"/>
      <c r="AI167" s="256"/>
      <c r="AJ167" s="256"/>
      <c r="AK167" s="134"/>
      <c r="AL167" s="134"/>
      <c r="AM167" s="134"/>
      <c r="AN167" s="18"/>
      <c r="AO167" s="18"/>
      <c r="AP167" s="18"/>
      <c r="AQ167" s="18"/>
      <c r="AR167" s="17"/>
      <c r="AS167" s="21">
        <f t="shared" si="65"/>
        <v>45439</v>
      </c>
      <c r="AT167" s="17"/>
      <c r="AU167" s="17"/>
      <c r="AV167" s="17"/>
      <c r="AW167" s="17"/>
      <c r="AX167" s="17"/>
      <c r="AY167" s="17"/>
      <c r="AZ167" s="17"/>
    </row>
    <row r="168" spans="1:52" ht="20">
      <c r="A168" s="17"/>
      <c r="B168" s="40"/>
      <c r="C168" s="55">
        <f t="shared" si="61"/>
        <v>149</v>
      </c>
      <c r="D168" s="54">
        <v>1</v>
      </c>
      <c r="E168" s="53" t="str">
        <f t="shared" si="53"/>
        <v>5</v>
      </c>
      <c r="F168" s="52">
        <f t="shared" si="62"/>
        <v>45440</v>
      </c>
      <c r="G168" s="51" t="str">
        <f t="shared" si="54"/>
        <v>Tue</v>
      </c>
      <c r="H168" s="50"/>
      <c r="I168" s="49"/>
      <c r="J168" s="48">
        <v>228795</v>
      </c>
      <c r="K168" s="31"/>
      <c r="L168" s="43">
        <f t="shared" si="52"/>
        <v>246438.82698961938</v>
      </c>
      <c r="M168" s="47">
        <f t="shared" si="55"/>
        <v>-17643.826989619381</v>
      </c>
      <c r="N168" s="41">
        <f t="shared" si="56"/>
        <v>0.92840484105062482</v>
      </c>
      <c r="O168" s="46"/>
      <c r="P168" s="45">
        <f>IF(D168=0,0,SUM($L$141:L168))</f>
        <v>5175215.3667820068</v>
      </c>
      <c r="Q168" s="43">
        <f>IF(D168=0,0,SUM($J$141:J168))</f>
        <v>5223880</v>
      </c>
      <c r="R168" s="42">
        <f t="shared" si="57"/>
        <v>48664.633217993192</v>
      </c>
      <c r="S168" s="41">
        <f t="shared" si="58"/>
        <v>1.0094034025193146</v>
      </c>
      <c r="T168" s="56"/>
      <c r="U168" s="43">
        <f>IF(D168=0,0,SUM($L$20:L168))</f>
        <v>27502573.092041567</v>
      </c>
      <c r="V168" s="43">
        <f>IF(D168=0,0,SUM($J$20:J168))</f>
        <v>28345349</v>
      </c>
      <c r="W168" s="42">
        <f t="shared" si="59"/>
        <v>842775.90795843303</v>
      </c>
      <c r="X168" s="41">
        <f t="shared" si="60"/>
        <v>1.0306435294304266</v>
      </c>
      <c r="Y168" s="17"/>
      <c r="Z168" s="23">
        <f t="shared" si="63"/>
        <v>45440</v>
      </c>
      <c r="AA168" s="22">
        <f t="shared" si="64"/>
        <v>45440</v>
      </c>
      <c r="AB168" s="137">
        <v>45440</v>
      </c>
      <c r="AC168" s="137"/>
      <c r="AD168" s="134"/>
      <c r="AE168" s="134"/>
      <c r="AF168" s="139"/>
      <c r="AG168" s="256"/>
      <c r="AH168" s="256"/>
      <c r="AI168" s="256"/>
      <c r="AJ168" s="256"/>
      <c r="AK168" s="134"/>
      <c r="AL168" s="134"/>
      <c r="AM168" s="134"/>
      <c r="AN168" s="18"/>
      <c r="AO168" s="18"/>
      <c r="AP168" s="18"/>
      <c r="AQ168" s="18"/>
      <c r="AR168" s="17"/>
      <c r="AS168" s="21">
        <f t="shared" si="65"/>
        <v>45440</v>
      </c>
      <c r="AT168" s="17"/>
      <c r="AU168" s="17"/>
      <c r="AV168" s="17"/>
      <c r="AW168" s="17"/>
      <c r="AX168" s="17"/>
      <c r="AY168" s="17"/>
      <c r="AZ168" s="17"/>
    </row>
    <row r="169" spans="1:52" ht="20">
      <c r="A169" s="17"/>
      <c r="B169" s="40"/>
      <c r="C169" s="55">
        <f t="shared" si="61"/>
        <v>150</v>
      </c>
      <c r="D169" s="54">
        <v>1</v>
      </c>
      <c r="E169" s="53" t="str">
        <f t="shared" si="53"/>
        <v>5</v>
      </c>
      <c r="F169" s="52">
        <f t="shared" si="62"/>
        <v>45441</v>
      </c>
      <c r="G169" s="51" t="str">
        <f t="shared" si="54"/>
        <v>Wed</v>
      </c>
      <c r="H169" s="50"/>
      <c r="I169" s="49"/>
      <c r="J169" s="48">
        <v>310490</v>
      </c>
      <c r="K169" s="31"/>
      <c r="L169" s="43">
        <f t="shared" si="52"/>
        <v>246438.82698961938</v>
      </c>
      <c r="M169" s="47">
        <f t="shared" si="55"/>
        <v>64051.173010380619</v>
      </c>
      <c r="N169" s="41">
        <f t="shared" si="56"/>
        <v>1.2599069870312223</v>
      </c>
      <c r="O169" s="46"/>
      <c r="P169" s="45">
        <f>IF(D169=0,0,SUM($L$141:L169))</f>
        <v>5421654.1937716259</v>
      </c>
      <c r="Q169" s="43">
        <f>IF(D169=0,0,SUM($J$141:J169))</f>
        <v>5534370</v>
      </c>
      <c r="R169" s="42">
        <f t="shared" si="57"/>
        <v>112715.80622837413</v>
      </c>
      <c r="S169" s="41">
        <f t="shared" si="58"/>
        <v>1.0207899290880376</v>
      </c>
      <c r="T169" s="56"/>
      <c r="U169" s="43">
        <f>IF(D169=0,0,SUM($L$20:L169))</f>
        <v>27749011.919031188</v>
      </c>
      <c r="V169" s="43">
        <f>IF(D169=0,0,SUM($J$20:J169))</f>
        <v>28655839</v>
      </c>
      <c r="W169" s="42">
        <f t="shared" si="59"/>
        <v>906827.08096881211</v>
      </c>
      <c r="X169" s="41">
        <f t="shared" si="60"/>
        <v>1.0326796169757266</v>
      </c>
      <c r="Y169" s="17"/>
      <c r="Z169" s="23">
        <f t="shared" si="63"/>
        <v>45441</v>
      </c>
      <c r="AA169" s="22">
        <f t="shared" si="64"/>
        <v>45441</v>
      </c>
      <c r="AB169" s="137">
        <v>45441</v>
      </c>
      <c r="AC169" s="137"/>
      <c r="AD169" s="134"/>
      <c r="AE169" s="134"/>
      <c r="AF169" s="139"/>
      <c r="AG169" s="256"/>
      <c r="AH169" s="256"/>
      <c r="AI169" s="256"/>
      <c r="AJ169" s="256"/>
      <c r="AK169" s="134"/>
      <c r="AL169" s="134"/>
      <c r="AM169" s="134"/>
      <c r="AN169" s="18"/>
      <c r="AO169" s="18"/>
      <c r="AP169" s="18"/>
      <c r="AQ169" s="18"/>
      <c r="AR169" s="17"/>
      <c r="AS169" s="21">
        <f t="shared" si="65"/>
        <v>45441</v>
      </c>
      <c r="AT169" s="17"/>
      <c r="AU169" s="17"/>
      <c r="AV169" s="17"/>
      <c r="AW169" s="17"/>
      <c r="AX169" s="17"/>
      <c r="AY169" s="17"/>
      <c r="AZ169" s="17"/>
    </row>
    <row r="170" spans="1:52" ht="20">
      <c r="A170" s="17"/>
      <c r="B170" s="40"/>
      <c r="C170" s="55">
        <f t="shared" si="61"/>
        <v>151</v>
      </c>
      <c r="D170" s="54">
        <v>1</v>
      </c>
      <c r="E170" s="53" t="str">
        <f t="shared" si="53"/>
        <v>5</v>
      </c>
      <c r="F170" s="52">
        <f t="shared" si="62"/>
        <v>45442</v>
      </c>
      <c r="G170" s="51" t="str">
        <f t="shared" si="54"/>
        <v>Thu</v>
      </c>
      <c r="H170" s="50"/>
      <c r="I170" s="49"/>
      <c r="J170" s="48">
        <v>329440</v>
      </c>
      <c r="K170" s="31"/>
      <c r="L170" s="43">
        <f t="shared" si="52"/>
        <v>246438.82698961938</v>
      </c>
      <c r="M170" s="47">
        <f t="shared" si="55"/>
        <v>83001.173010380619</v>
      </c>
      <c r="N170" s="41">
        <f t="shared" si="56"/>
        <v>1.3368023376197811</v>
      </c>
      <c r="O170" s="46"/>
      <c r="P170" s="45">
        <f>IF(D170=0,0,SUM($L$141:L170))</f>
        <v>5668093.0207612449</v>
      </c>
      <c r="Q170" s="43">
        <f>IF(D170=0,0,SUM($J$141:J170))</f>
        <v>5863810</v>
      </c>
      <c r="R170" s="42">
        <f t="shared" si="57"/>
        <v>195716.97923875507</v>
      </c>
      <c r="S170" s="41">
        <f t="shared" si="58"/>
        <v>1.0345295990242005</v>
      </c>
      <c r="T170" s="56"/>
      <c r="U170" s="43">
        <f>IF(D170=0,0,SUM($L$20:L170))</f>
        <v>27995450.746020809</v>
      </c>
      <c r="V170" s="43">
        <f>IF(D170=0,0,SUM($J$20:J170))</f>
        <v>28985279</v>
      </c>
      <c r="W170" s="42">
        <f t="shared" si="59"/>
        <v>989828.25397919118</v>
      </c>
      <c r="X170" s="41">
        <f t="shared" si="60"/>
        <v>1.0353567536011143</v>
      </c>
      <c r="Y170" s="17"/>
      <c r="Z170" s="23">
        <f t="shared" si="63"/>
        <v>45442</v>
      </c>
      <c r="AA170" s="22">
        <f t="shared" si="64"/>
        <v>45442</v>
      </c>
      <c r="AB170" s="137">
        <v>45442</v>
      </c>
      <c r="AC170" s="137"/>
      <c r="AD170" s="134"/>
      <c r="AE170" s="134"/>
      <c r="AF170" s="139"/>
      <c r="AG170" s="256"/>
      <c r="AH170" s="256"/>
      <c r="AI170" s="256"/>
      <c r="AJ170" s="256"/>
      <c r="AK170" s="134"/>
      <c r="AL170" s="134"/>
      <c r="AM170" s="134"/>
      <c r="AN170" s="18"/>
      <c r="AO170" s="18"/>
      <c r="AP170" s="18"/>
      <c r="AQ170" s="18"/>
      <c r="AR170" s="17"/>
      <c r="AS170" s="21">
        <f t="shared" si="65"/>
        <v>45442</v>
      </c>
      <c r="AT170" s="17"/>
      <c r="AU170" s="17"/>
      <c r="AV170" s="17"/>
      <c r="AW170" s="17"/>
      <c r="AX170" s="17"/>
      <c r="AY170" s="17"/>
      <c r="AZ170" s="17"/>
    </row>
    <row r="171" spans="1:52" ht="21" thickBot="1">
      <c r="A171" s="17"/>
      <c r="B171" s="40"/>
      <c r="C171" s="39">
        <f t="shared" si="61"/>
        <v>152</v>
      </c>
      <c r="D171" s="38">
        <v>1</v>
      </c>
      <c r="E171" s="37" t="str">
        <f t="shared" si="53"/>
        <v>5</v>
      </c>
      <c r="F171" s="36">
        <f t="shared" si="62"/>
        <v>45443</v>
      </c>
      <c r="G171" s="35" t="str">
        <f t="shared" si="54"/>
        <v>Fri</v>
      </c>
      <c r="H171" s="34"/>
      <c r="I171" s="33"/>
      <c r="J171" s="32">
        <v>301200</v>
      </c>
      <c r="K171" s="31"/>
      <c r="L171" s="26">
        <f t="shared" si="52"/>
        <v>246438.82698961938</v>
      </c>
      <c r="M171" s="30">
        <f t="shared" si="55"/>
        <v>54761.173010380619</v>
      </c>
      <c r="N171" s="24">
        <f t="shared" si="56"/>
        <v>1.2222100051331899</v>
      </c>
      <c r="O171" s="29"/>
      <c r="P171" s="63">
        <f>IF(D171=0,0,SUM($L$141:L171))</f>
        <v>5914531.847750864</v>
      </c>
      <c r="Q171" s="26">
        <f>IF(D171=0,0,SUM($J$141:J171))</f>
        <v>6165010</v>
      </c>
      <c r="R171" s="25">
        <f t="shared" si="57"/>
        <v>250478.15224913601</v>
      </c>
      <c r="S171" s="24">
        <f t="shared" si="58"/>
        <v>1.0423496159454084</v>
      </c>
      <c r="T171" s="64"/>
      <c r="U171" s="26">
        <f>IF(D171=0,0,SUM($L$20:L171))</f>
        <v>28241889.57301043</v>
      </c>
      <c r="V171" s="26">
        <f>IF(D171=0,0,SUM($J$20:J171))</f>
        <v>29286479</v>
      </c>
      <c r="W171" s="25">
        <f t="shared" si="59"/>
        <v>1044589.4269895703</v>
      </c>
      <c r="X171" s="24">
        <f t="shared" si="60"/>
        <v>1.036987235726176</v>
      </c>
      <c r="Y171" s="17"/>
      <c r="Z171" s="23">
        <f t="shared" si="63"/>
        <v>45443</v>
      </c>
      <c r="AA171" s="22">
        <f t="shared" si="64"/>
        <v>45443</v>
      </c>
      <c r="AB171" s="137">
        <v>45443</v>
      </c>
      <c r="AC171" s="137"/>
      <c r="AD171" s="134"/>
      <c r="AE171" s="134"/>
      <c r="AF171" s="139"/>
      <c r="AG171" s="256"/>
      <c r="AH171" s="256"/>
      <c r="AI171" s="256"/>
      <c r="AJ171" s="256"/>
      <c r="AK171" s="134"/>
      <c r="AL171" s="134"/>
      <c r="AM171" s="134"/>
      <c r="AN171" s="18"/>
      <c r="AO171" s="18"/>
      <c r="AP171" s="18"/>
      <c r="AQ171" s="18"/>
      <c r="AR171" s="17"/>
      <c r="AS171" s="21">
        <f t="shared" si="65"/>
        <v>45443</v>
      </c>
      <c r="AT171" s="17"/>
      <c r="AU171" s="17"/>
      <c r="AV171" s="17"/>
      <c r="AW171" s="17"/>
      <c r="AX171" s="17"/>
      <c r="AY171" s="17"/>
      <c r="AZ171" s="17"/>
    </row>
    <row r="172" spans="1:52" ht="21" thickTop="1">
      <c r="A172" s="17"/>
      <c r="B172" s="40"/>
      <c r="C172" s="55">
        <f t="shared" si="61"/>
        <v>153</v>
      </c>
      <c r="D172" s="62">
        <v>1</v>
      </c>
      <c r="E172" s="53" t="str">
        <f t="shared" si="53"/>
        <v>6</v>
      </c>
      <c r="F172" s="52">
        <f t="shared" si="62"/>
        <v>45444</v>
      </c>
      <c r="G172" s="51" t="str">
        <f t="shared" si="54"/>
        <v>Sat</v>
      </c>
      <c r="H172" s="50"/>
      <c r="I172" s="49"/>
      <c r="J172" s="48">
        <v>118060</v>
      </c>
      <c r="K172" s="31"/>
      <c r="L172" s="43">
        <f t="shared" ref="L172:L201" si="66">IF(D172=0,0,$K$11)</f>
        <v>221794.94429065744</v>
      </c>
      <c r="M172" s="42">
        <f t="shared" si="55"/>
        <v>-103734.94429065744</v>
      </c>
      <c r="N172" s="60">
        <f t="shared" si="56"/>
        <v>0.53229346763326102</v>
      </c>
      <c r="O172" s="46"/>
      <c r="P172" s="61">
        <f>IF(D172=0,0,$L$172)</f>
        <v>221794.94429065744</v>
      </c>
      <c r="Q172" s="43">
        <f>IF(D172=0,0,$J$172)</f>
        <v>118060</v>
      </c>
      <c r="R172" s="42">
        <f t="shared" si="57"/>
        <v>-103734.94429065744</v>
      </c>
      <c r="S172" s="60">
        <f t="shared" si="58"/>
        <v>0.53229346763326102</v>
      </c>
      <c r="T172" s="44"/>
      <c r="U172" s="43">
        <f>IF(D172=0,0,SUM($L$20:L172))</f>
        <v>28463684.517301086</v>
      </c>
      <c r="V172" s="43">
        <f>IF(D172=0,0,SUM($J$20:J172))</f>
        <v>29404539</v>
      </c>
      <c r="W172" s="42">
        <f t="shared" si="59"/>
        <v>940854.48269891366</v>
      </c>
      <c r="X172" s="60">
        <f t="shared" si="60"/>
        <v>1.0330545570137637</v>
      </c>
      <c r="Y172" s="17"/>
      <c r="Z172" s="23">
        <f t="shared" si="63"/>
        <v>45444</v>
      </c>
      <c r="AA172" s="22">
        <f t="shared" si="64"/>
        <v>45444</v>
      </c>
      <c r="AB172" s="137">
        <v>45444</v>
      </c>
      <c r="AC172" s="137"/>
      <c r="AD172" s="134"/>
      <c r="AE172" s="134"/>
      <c r="AF172" s="139"/>
      <c r="AG172" s="256"/>
      <c r="AH172" s="256"/>
      <c r="AI172" s="256"/>
      <c r="AJ172" s="256"/>
      <c r="AK172" s="134"/>
      <c r="AL172" s="134"/>
      <c r="AM172" s="134"/>
      <c r="AN172" s="18"/>
      <c r="AO172" s="18"/>
      <c r="AP172" s="18"/>
      <c r="AQ172" s="18"/>
      <c r="AR172" s="17"/>
      <c r="AS172" s="21">
        <f t="shared" si="65"/>
        <v>45444</v>
      </c>
      <c r="AT172" s="17"/>
      <c r="AU172" s="17"/>
      <c r="AV172" s="17"/>
      <c r="AW172" s="17"/>
      <c r="AX172" s="17"/>
      <c r="AY172" s="17"/>
      <c r="AZ172" s="17"/>
    </row>
    <row r="173" spans="1:52" ht="20">
      <c r="A173" s="17"/>
      <c r="B173" s="40"/>
      <c r="C173" s="55">
        <f t="shared" si="61"/>
        <v>154</v>
      </c>
      <c r="D173" s="54">
        <v>0</v>
      </c>
      <c r="E173" s="53" t="str">
        <f t="shared" si="53"/>
        <v>6</v>
      </c>
      <c r="F173" s="52">
        <f t="shared" si="62"/>
        <v>45445</v>
      </c>
      <c r="G173" s="51" t="str">
        <f t="shared" si="54"/>
        <v>Sun</v>
      </c>
      <c r="H173" s="50" t="s">
        <v>46</v>
      </c>
      <c r="I173" s="49"/>
      <c r="J173" s="48">
        <v>0</v>
      </c>
      <c r="K173" s="31"/>
      <c r="L173" s="43">
        <f t="shared" si="66"/>
        <v>0</v>
      </c>
      <c r="M173" s="47">
        <f t="shared" si="55"/>
        <v>0</v>
      </c>
      <c r="N173" s="41" t="str">
        <f t="shared" si="56"/>
        <v>0%</v>
      </c>
      <c r="O173" s="46"/>
      <c r="P173" s="45">
        <f>IF(D173=0,0,SUM($L$172:L173))</f>
        <v>0</v>
      </c>
      <c r="Q173" s="43">
        <f>IF(D173=0,0,SUM($J$172:J173))</f>
        <v>0</v>
      </c>
      <c r="R173" s="42">
        <f t="shared" si="57"/>
        <v>0</v>
      </c>
      <c r="S173" s="41" t="str">
        <f t="shared" si="58"/>
        <v>0%</v>
      </c>
      <c r="T173" s="56"/>
      <c r="U173" s="43">
        <f>IF(D173=0,0,SUM($L$20:L173))</f>
        <v>0</v>
      </c>
      <c r="V173" s="43">
        <f>IF(D173=0,0,SUM($J$20:J173))</f>
        <v>0</v>
      </c>
      <c r="W173" s="42">
        <f t="shared" si="59"/>
        <v>0</v>
      </c>
      <c r="X173" s="41" t="str">
        <f t="shared" si="60"/>
        <v>0%</v>
      </c>
      <c r="Y173" s="17"/>
      <c r="Z173" s="23">
        <f t="shared" si="63"/>
        <v>45445</v>
      </c>
      <c r="AA173" s="22">
        <f t="shared" si="64"/>
        <v>45445</v>
      </c>
      <c r="AB173" s="137">
        <v>45445</v>
      </c>
      <c r="AC173" s="137"/>
      <c r="AD173" s="134"/>
      <c r="AE173" s="134"/>
      <c r="AF173" s="139"/>
      <c r="AG173" s="256"/>
      <c r="AH173" s="256"/>
      <c r="AI173" s="256"/>
      <c r="AJ173" s="256"/>
      <c r="AK173" s="134"/>
      <c r="AL173" s="134"/>
      <c r="AM173" s="134"/>
      <c r="AN173" s="18"/>
      <c r="AO173" s="18"/>
      <c r="AP173" s="18"/>
      <c r="AQ173" s="18"/>
      <c r="AR173" s="17"/>
      <c r="AS173" s="21">
        <f t="shared" si="65"/>
        <v>45445</v>
      </c>
      <c r="AT173" s="17"/>
      <c r="AU173" s="17"/>
      <c r="AV173" s="17"/>
      <c r="AW173" s="17"/>
      <c r="AX173" s="17"/>
      <c r="AY173" s="17"/>
      <c r="AZ173" s="17"/>
    </row>
    <row r="174" spans="1:52" ht="20">
      <c r="A174" s="17"/>
      <c r="B174" s="40"/>
      <c r="C174" s="55">
        <f t="shared" si="61"/>
        <v>155</v>
      </c>
      <c r="D174" s="54">
        <v>1</v>
      </c>
      <c r="E174" s="53" t="str">
        <f t="shared" si="53"/>
        <v>6</v>
      </c>
      <c r="F174" s="52">
        <f t="shared" si="62"/>
        <v>45446</v>
      </c>
      <c r="G174" s="51" t="str">
        <f t="shared" si="54"/>
        <v>Mon</v>
      </c>
      <c r="H174" s="50"/>
      <c r="I174" s="49"/>
      <c r="J174" s="48">
        <v>211700</v>
      </c>
      <c r="K174" s="31"/>
      <c r="L174" s="43">
        <f t="shared" si="66"/>
        <v>221794.94429065744</v>
      </c>
      <c r="M174" s="47">
        <f t="shared" si="55"/>
        <v>-10094.94429065744</v>
      </c>
      <c r="N174" s="41">
        <f t="shared" si="56"/>
        <v>0.95448523715027411</v>
      </c>
      <c r="O174" s="46"/>
      <c r="P174" s="45">
        <f>IF(D174=0,0,SUM($L$172:L174))</f>
        <v>443589.88858131488</v>
      </c>
      <c r="Q174" s="43">
        <f>IF(D174=0,0,SUM($J$172:J174))</f>
        <v>329760</v>
      </c>
      <c r="R174" s="42">
        <f t="shared" si="57"/>
        <v>-113829.88858131488</v>
      </c>
      <c r="S174" s="41">
        <f t="shared" si="58"/>
        <v>0.74338935239176762</v>
      </c>
      <c r="T174" s="56"/>
      <c r="U174" s="43">
        <f>IF(D174=0,0,SUM($L$20:L174))</f>
        <v>28685479.461591743</v>
      </c>
      <c r="V174" s="43">
        <f>IF(D174=0,0,SUM($J$20:J174))</f>
        <v>29616239</v>
      </c>
      <c r="W174" s="42">
        <f t="shared" si="59"/>
        <v>930759.53840825707</v>
      </c>
      <c r="X174" s="41">
        <f t="shared" si="60"/>
        <v>1.0324470622725512</v>
      </c>
      <c r="Y174" s="17"/>
      <c r="Z174" s="23">
        <f t="shared" si="63"/>
        <v>45446</v>
      </c>
      <c r="AA174" s="22">
        <f t="shared" si="64"/>
        <v>45446</v>
      </c>
      <c r="AB174" s="137">
        <v>45446</v>
      </c>
      <c r="AC174" s="137"/>
      <c r="AD174" s="134"/>
      <c r="AE174" s="134"/>
      <c r="AF174" s="139"/>
      <c r="AG174" s="256"/>
      <c r="AH174" s="256"/>
      <c r="AI174" s="256"/>
      <c r="AJ174" s="256"/>
      <c r="AK174" s="134"/>
      <c r="AL174" s="134"/>
      <c r="AM174" s="134"/>
      <c r="AN174" s="18"/>
      <c r="AO174" s="18"/>
      <c r="AP174" s="18"/>
      <c r="AQ174" s="18"/>
      <c r="AR174" s="17"/>
      <c r="AS174" s="21">
        <f t="shared" si="65"/>
        <v>45446</v>
      </c>
      <c r="AT174" s="17"/>
      <c r="AU174" s="17"/>
      <c r="AV174" s="17"/>
      <c r="AW174" s="17"/>
      <c r="AX174" s="17"/>
      <c r="AY174" s="17"/>
      <c r="AZ174" s="17"/>
    </row>
    <row r="175" spans="1:52" ht="20">
      <c r="A175" s="17"/>
      <c r="B175" s="40"/>
      <c r="C175" s="55">
        <f t="shared" si="61"/>
        <v>156</v>
      </c>
      <c r="D175" s="54">
        <v>1</v>
      </c>
      <c r="E175" s="53" t="str">
        <f t="shared" si="53"/>
        <v>6</v>
      </c>
      <c r="F175" s="52">
        <f t="shared" si="62"/>
        <v>45447</v>
      </c>
      <c r="G175" s="51" t="str">
        <f t="shared" si="54"/>
        <v>Tue</v>
      </c>
      <c r="H175" s="50"/>
      <c r="I175" s="49"/>
      <c r="J175" s="48">
        <v>219100</v>
      </c>
      <c r="K175" s="31"/>
      <c r="L175" s="43">
        <f t="shared" si="66"/>
        <v>221794.94429065744</v>
      </c>
      <c r="M175" s="47">
        <f t="shared" si="55"/>
        <v>-2694.9442906574404</v>
      </c>
      <c r="N175" s="41">
        <f t="shared" si="56"/>
        <v>0.98784938809459166</v>
      </c>
      <c r="O175" s="46"/>
      <c r="P175" s="45">
        <f>IF(D175=0,0,SUM($L$172:L175))</f>
        <v>665384.83287197235</v>
      </c>
      <c r="Q175" s="43">
        <f>IF(D175=0,0,SUM($J$172:J175))</f>
        <v>548860</v>
      </c>
      <c r="R175" s="42">
        <f t="shared" si="57"/>
        <v>-116524.83287197235</v>
      </c>
      <c r="S175" s="41">
        <f t="shared" si="58"/>
        <v>0.82487603095937556</v>
      </c>
      <c r="T175" s="56"/>
      <c r="U175" s="43">
        <f>IF(D175=0,0,SUM($L$20:L175))</f>
        <v>28907274.4058824</v>
      </c>
      <c r="V175" s="43">
        <f>IF(D175=0,0,SUM($J$20:J175))</f>
        <v>29835339</v>
      </c>
      <c r="W175" s="42">
        <f t="shared" si="59"/>
        <v>928064.59411760047</v>
      </c>
      <c r="X175" s="41">
        <f t="shared" si="60"/>
        <v>1.0321048806292421</v>
      </c>
      <c r="Y175" s="17"/>
      <c r="Z175" s="23">
        <f t="shared" si="63"/>
        <v>45447</v>
      </c>
      <c r="AA175" s="22">
        <f t="shared" si="64"/>
        <v>45447</v>
      </c>
      <c r="AB175" s="137">
        <v>45447</v>
      </c>
      <c r="AC175" s="137"/>
      <c r="AD175" s="134"/>
      <c r="AE175" s="134"/>
      <c r="AF175" s="139"/>
      <c r="AG175" s="256"/>
      <c r="AH175" s="256"/>
      <c r="AI175" s="256"/>
      <c r="AJ175" s="256"/>
      <c r="AK175" s="134"/>
      <c r="AL175" s="134"/>
      <c r="AM175" s="134"/>
      <c r="AN175" s="18"/>
      <c r="AO175" s="18"/>
      <c r="AP175" s="18"/>
      <c r="AQ175" s="18"/>
      <c r="AR175" s="17"/>
      <c r="AS175" s="21">
        <f t="shared" si="65"/>
        <v>45447</v>
      </c>
      <c r="AT175" s="17"/>
      <c r="AU175" s="17"/>
      <c r="AV175" s="17"/>
      <c r="AW175" s="17"/>
      <c r="AX175" s="17"/>
      <c r="AY175" s="17"/>
      <c r="AZ175" s="17"/>
    </row>
    <row r="176" spans="1:52" ht="20">
      <c r="A176" s="17"/>
      <c r="B176" s="40"/>
      <c r="C176" s="55">
        <f t="shared" si="61"/>
        <v>157</v>
      </c>
      <c r="D176" s="54">
        <v>1</v>
      </c>
      <c r="E176" s="53" t="str">
        <f t="shared" si="53"/>
        <v>6</v>
      </c>
      <c r="F176" s="52">
        <f t="shared" si="62"/>
        <v>45448</v>
      </c>
      <c r="G176" s="51" t="str">
        <f t="shared" si="54"/>
        <v>Wed</v>
      </c>
      <c r="H176" s="50"/>
      <c r="I176" s="49"/>
      <c r="J176" s="48">
        <v>230880</v>
      </c>
      <c r="K176" s="31"/>
      <c r="L176" s="43">
        <f t="shared" si="66"/>
        <v>221794.94429065744</v>
      </c>
      <c r="M176" s="47">
        <f t="shared" si="55"/>
        <v>9085.0557093425596</v>
      </c>
      <c r="N176" s="41">
        <f t="shared" si="56"/>
        <v>1.040961509462708</v>
      </c>
      <c r="O176" s="46"/>
      <c r="P176" s="45">
        <f>IF(D176=0,0,SUM($L$172:L176))</f>
        <v>887179.77716262976</v>
      </c>
      <c r="Q176" s="43">
        <f>IF(D176=0,0,SUM($J$172:J176))</f>
        <v>779740</v>
      </c>
      <c r="R176" s="42">
        <f t="shared" si="57"/>
        <v>-107439.77716262976</v>
      </c>
      <c r="S176" s="41">
        <f t="shared" si="58"/>
        <v>0.87889740058520871</v>
      </c>
      <c r="T176" s="56"/>
      <c r="U176" s="43">
        <f>IF(D176=0,0,SUM($L$20:L176))</f>
        <v>29129069.350173056</v>
      </c>
      <c r="V176" s="43">
        <f>IF(D176=0,0,SUM($J$20:J176))</f>
        <v>30066219</v>
      </c>
      <c r="W176" s="42">
        <f t="shared" si="59"/>
        <v>937149.64982694387</v>
      </c>
      <c r="X176" s="41">
        <f t="shared" si="60"/>
        <v>1.0321723168893955</v>
      </c>
      <c r="Y176" s="17"/>
      <c r="Z176" s="23">
        <f t="shared" si="63"/>
        <v>45448</v>
      </c>
      <c r="AA176" s="22">
        <f t="shared" si="64"/>
        <v>45448</v>
      </c>
      <c r="AB176" s="137">
        <v>45448</v>
      </c>
      <c r="AC176" s="137"/>
      <c r="AD176" s="134"/>
      <c r="AE176" s="134"/>
      <c r="AF176" s="139"/>
      <c r="AG176" s="256"/>
      <c r="AH176" s="256"/>
      <c r="AI176" s="256"/>
      <c r="AJ176" s="256"/>
      <c r="AK176" s="134"/>
      <c r="AL176" s="134"/>
      <c r="AM176" s="134"/>
      <c r="AN176" s="18"/>
      <c r="AO176" s="18"/>
      <c r="AP176" s="18"/>
      <c r="AQ176" s="18"/>
      <c r="AR176" s="17"/>
      <c r="AS176" s="21">
        <f t="shared" si="65"/>
        <v>45448</v>
      </c>
      <c r="AT176" s="17"/>
      <c r="AU176" s="17"/>
      <c r="AV176" s="17"/>
      <c r="AW176" s="17"/>
      <c r="AX176" s="17"/>
      <c r="AY176" s="17"/>
      <c r="AZ176" s="17"/>
    </row>
    <row r="177" spans="1:52" ht="20">
      <c r="A177" s="17"/>
      <c r="B177" s="40"/>
      <c r="C177" s="55">
        <f t="shared" si="61"/>
        <v>158</v>
      </c>
      <c r="D177" s="54">
        <v>1</v>
      </c>
      <c r="E177" s="53" t="str">
        <f t="shared" si="53"/>
        <v>6</v>
      </c>
      <c r="F177" s="52">
        <f t="shared" si="62"/>
        <v>45449</v>
      </c>
      <c r="G177" s="51" t="str">
        <f t="shared" si="54"/>
        <v>Thu</v>
      </c>
      <c r="H177" s="50"/>
      <c r="I177" s="49"/>
      <c r="J177" s="48">
        <v>291780</v>
      </c>
      <c r="K177" s="31"/>
      <c r="L177" s="43">
        <f t="shared" si="66"/>
        <v>221794.94429065744</v>
      </c>
      <c r="M177" s="47">
        <f t="shared" si="55"/>
        <v>69985.05570934256</v>
      </c>
      <c r="N177" s="41">
        <f t="shared" si="56"/>
        <v>1.3155394543963486</v>
      </c>
      <c r="O177" s="46"/>
      <c r="P177" s="45">
        <f>IF(D177=0,0,SUM($L$172:L177))</f>
        <v>1108974.7214532872</v>
      </c>
      <c r="Q177" s="43">
        <f>IF(D177=0,0,SUM($J$172:J177))</f>
        <v>1071520</v>
      </c>
      <c r="R177" s="42">
        <f t="shared" si="57"/>
        <v>-37454.721453287173</v>
      </c>
      <c r="S177" s="41">
        <f t="shared" si="58"/>
        <v>0.96622581134743668</v>
      </c>
      <c r="T177" s="56"/>
      <c r="U177" s="43">
        <f>IF(D177=0,0,SUM($L$20:L177))</f>
        <v>29350864.294463713</v>
      </c>
      <c r="V177" s="43">
        <f>IF(D177=0,0,SUM($J$20:J177))</f>
        <v>30357999</v>
      </c>
      <c r="W177" s="42">
        <f t="shared" si="59"/>
        <v>1007134.7055362873</v>
      </c>
      <c r="X177" s="41">
        <f t="shared" si="60"/>
        <v>1.03431363027106</v>
      </c>
      <c r="Y177" s="17"/>
      <c r="Z177" s="23">
        <f t="shared" si="63"/>
        <v>45449</v>
      </c>
      <c r="AA177" s="22">
        <f t="shared" si="64"/>
        <v>45449</v>
      </c>
      <c r="AB177" s="137">
        <v>45449</v>
      </c>
      <c r="AC177" s="137"/>
      <c r="AD177" s="134"/>
      <c r="AE177" s="134"/>
      <c r="AF177" s="139"/>
      <c r="AG177" s="256"/>
      <c r="AH177" s="256"/>
      <c r="AI177" s="256"/>
      <c r="AJ177" s="256"/>
      <c r="AK177" s="134"/>
      <c r="AL177" s="134"/>
      <c r="AM177" s="134"/>
      <c r="AN177" s="18"/>
      <c r="AO177" s="18"/>
      <c r="AP177" s="18"/>
      <c r="AQ177" s="18"/>
      <c r="AR177" s="17"/>
      <c r="AS177" s="21">
        <f t="shared" si="65"/>
        <v>45449</v>
      </c>
      <c r="AT177" s="17"/>
      <c r="AU177" s="17"/>
      <c r="AV177" s="17"/>
      <c r="AW177" s="17"/>
      <c r="AX177" s="17"/>
      <c r="AY177" s="17"/>
      <c r="AZ177" s="17"/>
    </row>
    <row r="178" spans="1:52" ht="20">
      <c r="A178" s="17"/>
      <c r="B178" s="40"/>
      <c r="C178" s="55">
        <f t="shared" si="61"/>
        <v>159</v>
      </c>
      <c r="D178" s="54">
        <v>1</v>
      </c>
      <c r="E178" s="53" t="str">
        <f t="shared" si="53"/>
        <v>6</v>
      </c>
      <c r="F178" s="52">
        <f t="shared" si="62"/>
        <v>45450</v>
      </c>
      <c r="G178" s="51" t="str">
        <f t="shared" si="54"/>
        <v>Fri</v>
      </c>
      <c r="H178" s="50"/>
      <c r="I178" s="49"/>
      <c r="J178" s="48">
        <v>328700</v>
      </c>
      <c r="K178" s="31"/>
      <c r="L178" s="43">
        <f t="shared" si="66"/>
        <v>221794.94429065744</v>
      </c>
      <c r="M178" s="47">
        <f t="shared" si="55"/>
        <v>106905.05570934256</v>
      </c>
      <c r="N178" s="41">
        <f t="shared" si="56"/>
        <v>1.4819995155942141</v>
      </c>
      <c r="O178" s="46"/>
      <c r="P178" s="45">
        <f>IF(D178=0,0,SUM($L$172:L178))</f>
        <v>1330769.6657439447</v>
      </c>
      <c r="Q178" s="43">
        <f>IF(D178=0,0,SUM($J$172:J178))</f>
        <v>1400220</v>
      </c>
      <c r="R178" s="42">
        <f t="shared" si="57"/>
        <v>69450.334256055299</v>
      </c>
      <c r="S178" s="41">
        <f t="shared" si="58"/>
        <v>1.0521880953885661</v>
      </c>
      <c r="T178" s="56"/>
      <c r="U178" s="43">
        <f>IF(D178=0,0,SUM($L$20:L178))</f>
        <v>29572659.238754369</v>
      </c>
      <c r="V178" s="43">
        <f>IF(D178=0,0,SUM($J$20:J178))</f>
        <v>30686699</v>
      </c>
      <c r="W178" s="42">
        <f t="shared" si="59"/>
        <v>1114039.7612456307</v>
      </c>
      <c r="X178" s="41">
        <f t="shared" si="60"/>
        <v>1.0376712744109837</v>
      </c>
      <c r="Y178" s="17"/>
      <c r="Z178" s="23">
        <f t="shared" si="63"/>
        <v>45450</v>
      </c>
      <c r="AA178" s="22">
        <f t="shared" si="64"/>
        <v>45450</v>
      </c>
      <c r="AB178" s="137">
        <v>45450</v>
      </c>
      <c r="AC178" s="137"/>
      <c r="AD178" s="134"/>
      <c r="AE178" s="134"/>
      <c r="AF178" s="139"/>
      <c r="AG178" s="256"/>
      <c r="AH178" s="256"/>
      <c r="AI178" s="256"/>
      <c r="AJ178" s="256"/>
      <c r="AK178" s="134"/>
      <c r="AL178" s="134"/>
      <c r="AM178" s="134"/>
      <c r="AN178" s="18"/>
      <c r="AO178" s="18"/>
      <c r="AP178" s="18"/>
      <c r="AQ178" s="18"/>
      <c r="AR178" s="17"/>
      <c r="AS178" s="21">
        <f t="shared" si="65"/>
        <v>45450</v>
      </c>
      <c r="AT178" s="17"/>
      <c r="AU178" s="17"/>
      <c r="AV178" s="17"/>
      <c r="AW178" s="17"/>
      <c r="AX178" s="17"/>
      <c r="AY178" s="17"/>
      <c r="AZ178" s="17"/>
    </row>
    <row r="179" spans="1:52" ht="20">
      <c r="A179" s="17"/>
      <c r="B179" s="40"/>
      <c r="C179" s="55">
        <f t="shared" si="61"/>
        <v>160</v>
      </c>
      <c r="D179" s="54">
        <v>1</v>
      </c>
      <c r="E179" s="53" t="str">
        <f t="shared" si="53"/>
        <v>6</v>
      </c>
      <c r="F179" s="52">
        <f t="shared" si="62"/>
        <v>45451</v>
      </c>
      <c r="G179" s="51" t="str">
        <f t="shared" si="54"/>
        <v>Sat</v>
      </c>
      <c r="H179" s="50"/>
      <c r="I179" s="49"/>
      <c r="J179" s="48">
        <v>102350</v>
      </c>
      <c r="K179" s="31"/>
      <c r="L179" s="43">
        <f t="shared" si="66"/>
        <v>221794.94429065744</v>
      </c>
      <c r="M179" s="47">
        <f t="shared" si="55"/>
        <v>-119444.94429065744</v>
      </c>
      <c r="N179" s="41">
        <f t="shared" si="56"/>
        <v>0.46146227691228414</v>
      </c>
      <c r="O179" s="46"/>
      <c r="P179" s="45">
        <f>IF(D179=0,0,SUM($L$172:L179))</f>
        <v>1552564.6100346022</v>
      </c>
      <c r="Q179" s="43">
        <f>IF(D179=0,0,SUM($J$172:J179))</f>
        <v>1502570</v>
      </c>
      <c r="R179" s="42">
        <f t="shared" si="57"/>
        <v>-49994.610034602229</v>
      </c>
      <c r="S179" s="41">
        <f t="shared" si="58"/>
        <v>0.96779869274909724</v>
      </c>
      <c r="T179" s="44"/>
      <c r="U179" s="43">
        <f>IF(D179=0,0,SUM($L$20:L179))</f>
        <v>29794454.183045026</v>
      </c>
      <c r="V179" s="43">
        <f>IF(D179=0,0,SUM($J$20:J179))</f>
        <v>30789049</v>
      </c>
      <c r="W179" s="42">
        <f t="shared" si="59"/>
        <v>994594.81695497409</v>
      </c>
      <c r="X179" s="41">
        <f t="shared" si="60"/>
        <v>1.0333818774072714</v>
      </c>
      <c r="Y179" s="17"/>
      <c r="Z179" s="23">
        <f t="shared" si="63"/>
        <v>45451</v>
      </c>
      <c r="AA179" s="22">
        <f t="shared" si="64"/>
        <v>45451</v>
      </c>
      <c r="AB179" s="137">
        <v>45451</v>
      </c>
      <c r="AC179" s="137"/>
      <c r="AD179" s="134"/>
      <c r="AE179" s="134"/>
      <c r="AF179" s="139"/>
      <c r="AG179" s="256"/>
      <c r="AH179" s="256"/>
      <c r="AI179" s="256"/>
      <c r="AJ179" s="256"/>
      <c r="AK179" s="134"/>
      <c r="AL179" s="134"/>
      <c r="AM179" s="134"/>
      <c r="AN179" s="18"/>
      <c r="AO179" s="18"/>
      <c r="AP179" s="18"/>
      <c r="AQ179" s="18"/>
      <c r="AR179" s="17"/>
      <c r="AS179" s="21">
        <f t="shared" si="65"/>
        <v>45451</v>
      </c>
      <c r="AT179" s="17"/>
      <c r="AU179" s="17"/>
      <c r="AV179" s="17"/>
      <c r="AW179" s="17"/>
      <c r="AX179" s="17"/>
      <c r="AY179" s="17"/>
      <c r="AZ179" s="17"/>
    </row>
    <row r="180" spans="1:52" ht="20">
      <c r="A180" s="17"/>
      <c r="B180" s="40"/>
      <c r="C180" s="55">
        <f t="shared" si="61"/>
        <v>161</v>
      </c>
      <c r="D180" s="54">
        <v>0</v>
      </c>
      <c r="E180" s="53" t="str">
        <f t="shared" si="53"/>
        <v>6</v>
      </c>
      <c r="F180" s="52">
        <f t="shared" si="62"/>
        <v>45452</v>
      </c>
      <c r="G180" s="51" t="str">
        <f t="shared" si="54"/>
        <v>Sun</v>
      </c>
      <c r="H180" s="50" t="s">
        <v>46</v>
      </c>
      <c r="I180" s="49"/>
      <c r="J180" s="48">
        <v>0</v>
      </c>
      <c r="K180" s="31"/>
      <c r="L180" s="43">
        <f t="shared" si="66"/>
        <v>0</v>
      </c>
      <c r="M180" s="47">
        <f t="shared" si="55"/>
        <v>0</v>
      </c>
      <c r="N180" s="41" t="str">
        <f t="shared" si="56"/>
        <v>0%</v>
      </c>
      <c r="O180" s="46"/>
      <c r="P180" s="45">
        <f>IF(D180=0,0,SUM($L$172:L180))</f>
        <v>0</v>
      </c>
      <c r="Q180" s="43">
        <f>IF(D180=0,0,SUM($J$172:J180))</f>
        <v>0</v>
      </c>
      <c r="R180" s="42">
        <f t="shared" si="57"/>
        <v>0</v>
      </c>
      <c r="S180" s="41" t="str">
        <f t="shared" si="58"/>
        <v>0%</v>
      </c>
      <c r="T180" s="56"/>
      <c r="U180" s="43">
        <f>IF(D180=0,0,SUM($L$20:L180))</f>
        <v>0</v>
      </c>
      <c r="V180" s="43">
        <f>IF(D180=0,0,SUM($J$20:J180))</f>
        <v>0</v>
      </c>
      <c r="W180" s="42">
        <f t="shared" si="59"/>
        <v>0</v>
      </c>
      <c r="X180" s="41" t="str">
        <f t="shared" si="60"/>
        <v>0%</v>
      </c>
      <c r="Y180" s="17"/>
      <c r="Z180" s="23">
        <f t="shared" si="63"/>
        <v>45452</v>
      </c>
      <c r="AA180" s="22">
        <f t="shared" si="64"/>
        <v>45452</v>
      </c>
      <c r="AB180" s="137">
        <v>45452</v>
      </c>
      <c r="AC180" s="137"/>
      <c r="AD180" s="134"/>
      <c r="AE180" s="134"/>
      <c r="AF180" s="139"/>
      <c r="AG180" s="256"/>
      <c r="AH180" s="256"/>
      <c r="AI180" s="256"/>
      <c r="AJ180" s="256"/>
      <c r="AK180" s="134"/>
      <c r="AL180" s="134"/>
      <c r="AM180" s="134"/>
      <c r="AN180" s="18"/>
      <c r="AO180" s="18"/>
      <c r="AP180" s="18"/>
      <c r="AQ180" s="18"/>
      <c r="AR180" s="17"/>
      <c r="AS180" s="21">
        <f t="shared" si="65"/>
        <v>45452</v>
      </c>
      <c r="AT180" s="17"/>
      <c r="AU180" s="17"/>
      <c r="AV180" s="17"/>
      <c r="AW180" s="17"/>
      <c r="AX180" s="17"/>
      <c r="AY180" s="17"/>
      <c r="AZ180" s="17"/>
    </row>
    <row r="181" spans="1:52" ht="20">
      <c r="A181" s="17"/>
      <c r="B181" s="40"/>
      <c r="C181" s="55">
        <f t="shared" si="61"/>
        <v>162</v>
      </c>
      <c r="D181" s="54">
        <v>1</v>
      </c>
      <c r="E181" s="53" t="str">
        <f t="shared" si="53"/>
        <v>6</v>
      </c>
      <c r="F181" s="52">
        <f t="shared" si="62"/>
        <v>45453</v>
      </c>
      <c r="G181" s="51" t="str">
        <f t="shared" si="54"/>
        <v>Mon</v>
      </c>
      <c r="H181" s="50"/>
      <c r="I181" s="49"/>
      <c r="J181" s="48">
        <v>100700</v>
      </c>
      <c r="K181" s="31"/>
      <c r="L181" s="43">
        <f t="shared" si="66"/>
        <v>221794.94429065744</v>
      </c>
      <c r="M181" s="47">
        <f t="shared" si="55"/>
        <v>-121094.94429065744</v>
      </c>
      <c r="N181" s="41">
        <f t="shared" si="56"/>
        <v>0.45402297298551064</v>
      </c>
      <c r="O181" s="46"/>
      <c r="P181" s="45">
        <f>IF(D181=0,0,SUM($L$172:L181))</f>
        <v>1774359.5543252598</v>
      </c>
      <c r="Q181" s="43">
        <f>IF(D181=0,0,SUM($J$172:J181))</f>
        <v>1603270</v>
      </c>
      <c r="R181" s="42">
        <f t="shared" si="57"/>
        <v>-171089.55432525976</v>
      </c>
      <c r="S181" s="41">
        <f t="shared" si="58"/>
        <v>0.90357672777864884</v>
      </c>
      <c r="T181" s="56"/>
      <c r="U181" s="43">
        <f>IF(D181=0,0,SUM($L$20:L181))</f>
        <v>30016249.127335683</v>
      </c>
      <c r="V181" s="43">
        <f>IF(D181=0,0,SUM($J$20:J181))</f>
        <v>30889749</v>
      </c>
      <c r="W181" s="42">
        <f t="shared" si="59"/>
        <v>873499.87266431749</v>
      </c>
      <c r="X181" s="41">
        <f t="shared" si="60"/>
        <v>1.0291009002810023</v>
      </c>
      <c r="Y181" s="17"/>
      <c r="Z181" s="23">
        <f t="shared" si="63"/>
        <v>45453</v>
      </c>
      <c r="AA181" s="22">
        <f t="shared" si="64"/>
        <v>45453</v>
      </c>
      <c r="AB181" s="137">
        <v>45453</v>
      </c>
      <c r="AC181" s="137"/>
      <c r="AD181" s="134"/>
      <c r="AE181" s="134"/>
      <c r="AF181" s="139"/>
      <c r="AG181" s="256"/>
      <c r="AH181" s="256"/>
      <c r="AI181" s="256"/>
      <c r="AJ181" s="256"/>
      <c r="AK181" s="134"/>
      <c r="AL181" s="134"/>
      <c r="AM181" s="134"/>
      <c r="AN181" s="18"/>
      <c r="AO181" s="18"/>
      <c r="AP181" s="18"/>
      <c r="AQ181" s="18"/>
      <c r="AR181" s="17"/>
      <c r="AS181" s="21">
        <f t="shared" si="65"/>
        <v>45453</v>
      </c>
      <c r="AT181" s="17"/>
      <c r="AU181" s="17"/>
      <c r="AV181" s="17"/>
      <c r="AW181" s="17"/>
      <c r="AX181" s="17"/>
      <c r="AY181" s="17"/>
      <c r="AZ181" s="17"/>
    </row>
    <row r="182" spans="1:52" ht="20">
      <c r="A182" s="17"/>
      <c r="B182" s="40"/>
      <c r="C182" s="55">
        <f t="shared" si="61"/>
        <v>163</v>
      </c>
      <c r="D182" s="54">
        <v>1</v>
      </c>
      <c r="E182" s="53" t="str">
        <f t="shared" si="53"/>
        <v>6</v>
      </c>
      <c r="F182" s="52">
        <f t="shared" si="62"/>
        <v>45454</v>
      </c>
      <c r="G182" s="51" t="str">
        <f t="shared" si="54"/>
        <v>Tue</v>
      </c>
      <c r="H182" s="50"/>
      <c r="I182" s="49"/>
      <c r="J182" s="48">
        <v>164750</v>
      </c>
      <c r="K182" s="31"/>
      <c r="L182" s="43">
        <f t="shared" si="66"/>
        <v>221794.94429065744</v>
      </c>
      <c r="M182" s="47">
        <f t="shared" si="55"/>
        <v>-57044.94429065744</v>
      </c>
      <c r="N182" s="41">
        <f t="shared" si="56"/>
        <v>0.74280322541571875</v>
      </c>
      <c r="O182" s="46"/>
      <c r="P182" s="45">
        <f>IF(D182=0,0,SUM($L$172:L182))</f>
        <v>1996154.4986159173</v>
      </c>
      <c r="Q182" s="43">
        <f>IF(D182=0,0,SUM($J$172:J182))</f>
        <v>1768020</v>
      </c>
      <c r="R182" s="42">
        <f t="shared" si="57"/>
        <v>-228134.49861591728</v>
      </c>
      <c r="S182" s="41">
        <f t="shared" si="58"/>
        <v>0.88571300529387886</v>
      </c>
      <c r="T182" s="56"/>
      <c r="U182" s="43">
        <f>IF(D182=0,0,SUM($L$20:L182))</f>
        <v>30238044.071626339</v>
      </c>
      <c r="V182" s="43">
        <f>IF(D182=0,0,SUM($J$20:J182))</f>
        <v>31054499</v>
      </c>
      <c r="W182" s="42">
        <f t="shared" si="59"/>
        <v>816454.92837366089</v>
      </c>
      <c r="X182" s="41">
        <f t="shared" si="60"/>
        <v>1.0270009173357801</v>
      </c>
      <c r="Y182" s="17"/>
      <c r="Z182" s="23">
        <f t="shared" si="63"/>
        <v>45454</v>
      </c>
      <c r="AA182" s="22">
        <f t="shared" si="64"/>
        <v>45454</v>
      </c>
      <c r="AB182" s="137">
        <v>45454</v>
      </c>
      <c r="AC182" s="137"/>
      <c r="AD182" s="134"/>
      <c r="AE182" s="134"/>
      <c r="AF182" s="139"/>
      <c r="AG182" s="256"/>
      <c r="AH182" s="256"/>
      <c r="AI182" s="256"/>
      <c r="AJ182" s="256"/>
      <c r="AK182" s="134"/>
      <c r="AL182" s="134"/>
      <c r="AM182" s="134"/>
      <c r="AN182" s="18"/>
      <c r="AO182" s="18"/>
      <c r="AP182" s="18"/>
      <c r="AQ182" s="18"/>
      <c r="AR182" s="17"/>
      <c r="AS182" s="21">
        <f t="shared" si="65"/>
        <v>45454</v>
      </c>
      <c r="AT182" s="17"/>
      <c r="AU182" s="17"/>
      <c r="AV182" s="17"/>
      <c r="AW182" s="17"/>
      <c r="AX182" s="17"/>
      <c r="AY182" s="17"/>
      <c r="AZ182" s="17"/>
    </row>
    <row r="183" spans="1:52" ht="20">
      <c r="A183" s="17"/>
      <c r="B183" s="40"/>
      <c r="C183" s="55">
        <f t="shared" si="61"/>
        <v>164</v>
      </c>
      <c r="D183" s="54">
        <v>1</v>
      </c>
      <c r="E183" s="53" t="str">
        <f t="shared" si="53"/>
        <v>6</v>
      </c>
      <c r="F183" s="52">
        <f t="shared" si="62"/>
        <v>45455</v>
      </c>
      <c r="G183" s="51" t="str">
        <f t="shared" si="54"/>
        <v>Wed</v>
      </c>
      <c r="H183" s="50"/>
      <c r="I183" s="49"/>
      <c r="J183" s="48">
        <v>363500</v>
      </c>
      <c r="K183" s="31"/>
      <c r="L183" s="43">
        <f t="shared" si="66"/>
        <v>221794.94429065744</v>
      </c>
      <c r="M183" s="47">
        <f t="shared" si="55"/>
        <v>141705.05570934256</v>
      </c>
      <c r="N183" s="41">
        <f t="shared" si="56"/>
        <v>1.6389011984134372</v>
      </c>
      <c r="O183" s="46"/>
      <c r="P183" s="45">
        <f>IF(D183=0,0,SUM($L$172:L183))</f>
        <v>2217949.4429065748</v>
      </c>
      <c r="Q183" s="43">
        <f>IF(D183=0,0,SUM($J$172:J183))</f>
        <v>2131520</v>
      </c>
      <c r="R183" s="42">
        <f t="shared" si="57"/>
        <v>-86429.442906574812</v>
      </c>
      <c r="S183" s="41">
        <f t="shared" si="58"/>
        <v>0.96103182460583458</v>
      </c>
      <c r="T183" s="56"/>
      <c r="U183" s="43">
        <f>IF(D183=0,0,SUM($L$20:L183))</f>
        <v>30459839.015916996</v>
      </c>
      <c r="V183" s="43">
        <f>IF(D183=0,0,SUM($J$20:J183))</f>
        <v>31417999</v>
      </c>
      <c r="W183" s="42">
        <f t="shared" si="59"/>
        <v>958159.9840830043</v>
      </c>
      <c r="X183" s="41">
        <f t="shared" si="60"/>
        <v>1.0314565019067341</v>
      </c>
      <c r="Y183" s="17"/>
      <c r="Z183" s="23">
        <f t="shared" si="63"/>
        <v>45455</v>
      </c>
      <c r="AA183" s="22">
        <f t="shared" si="64"/>
        <v>45455</v>
      </c>
      <c r="AB183" s="137">
        <v>45455</v>
      </c>
      <c r="AC183" s="137"/>
      <c r="AD183" s="134"/>
      <c r="AE183" s="134"/>
      <c r="AF183" s="139"/>
      <c r="AG183" s="256"/>
      <c r="AH183" s="256"/>
      <c r="AI183" s="256"/>
      <c r="AJ183" s="256"/>
      <c r="AK183" s="134"/>
      <c r="AL183" s="134"/>
      <c r="AM183" s="134"/>
      <c r="AN183" s="18"/>
      <c r="AO183" s="18"/>
      <c r="AP183" s="18"/>
      <c r="AQ183" s="18"/>
      <c r="AR183" s="17"/>
      <c r="AS183" s="21">
        <f t="shared" si="65"/>
        <v>45455</v>
      </c>
      <c r="AT183" s="17"/>
      <c r="AU183" s="17"/>
      <c r="AV183" s="17"/>
      <c r="AW183" s="17"/>
      <c r="AX183" s="17"/>
      <c r="AY183" s="17"/>
      <c r="AZ183" s="17"/>
    </row>
    <row r="184" spans="1:52" ht="20">
      <c r="A184" s="17"/>
      <c r="B184" s="40"/>
      <c r="C184" s="55">
        <f t="shared" si="61"/>
        <v>165</v>
      </c>
      <c r="D184" s="54">
        <v>1</v>
      </c>
      <c r="E184" s="53" t="str">
        <f t="shared" si="53"/>
        <v>6</v>
      </c>
      <c r="F184" s="52">
        <f t="shared" si="62"/>
        <v>45456</v>
      </c>
      <c r="G184" s="51" t="str">
        <f t="shared" si="54"/>
        <v>Thu</v>
      </c>
      <c r="H184" s="50"/>
      <c r="I184" s="49"/>
      <c r="J184" s="48">
        <v>336300</v>
      </c>
      <c r="K184" s="31"/>
      <c r="L184" s="43">
        <f t="shared" si="66"/>
        <v>221794.94429065744</v>
      </c>
      <c r="M184" s="47">
        <f t="shared" si="55"/>
        <v>114505.05570934256</v>
      </c>
      <c r="N184" s="41">
        <f t="shared" si="56"/>
        <v>1.5162654003478375</v>
      </c>
      <c r="O184" s="46"/>
      <c r="P184" s="45">
        <f>IF(D184=0,0,SUM($L$172:L184))</f>
        <v>2439744.3871972323</v>
      </c>
      <c r="Q184" s="43">
        <f>IF(D184=0,0,SUM($J$172:J184))</f>
        <v>2467820</v>
      </c>
      <c r="R184" s="42">
        <f t="shared" si="57"/>
        <v>28075.61280276766</v>
      </c>
      <c r="S184" s="41">
        <f t="shared" si="58"/>
        <v>1.0115076042187439</v>
      </c>
      <c r="T184" s="56"/>
      <c r="U184" s="43">
        <f>IF(D184=0,0,SUM($L$20:L184))</f>
        <v>30681633.960207652</v>
      </c>
      <c r="V184" s="43">
        <f>IF(D184=0,0,SUM($J$20:J184))</f>
        <v>31754299</v>
      </c>
      <c r="W184" s="42">
        <f t="shared" si="59"/>
        <v>1072665.0397923477</v>
      </c>
      <c r="X184" s="41">
        <f t="shared" si="60"/>
        <v>1.0349611445460674</v>
      </c>
      <c r="Y184" s="17"/>
      <c r="Z184" s="23">
        <f t="shared" si="63"/>
        <v>45456</v>
      </c>
      <c r="AA184" s="22">
        <f t="shared" si="64"/>
        <v>45456</v>
      </c>
      <c r="AB184" s="137">
        <v>45456</v>
      </c>
      <c r="AC184" s="137"/>
      <c r="AD184" s="134"/>
      <c r="AE184" s="134"/>
      <c r="AF184" s="139"/>
      <c r="AG184" s="256"/>
      <c r="AH184" s="256"/>
      <c r="AI184" s="256"/>
      <c r="AJ184" s="256"/>
      <c r="AK184" s="134"/>
      <c r="AL184" s="134"/>
      <c r="AM184" s="134"/>
      <c r="AN184" s="18"/>
      <c r="AO184" s="18"/>
      <c r="AP184" s="18"/>
      <c r="AQ184" s="18"/>
      <c r="AR184" s="17"/>
      <c r="AS184" s="21">
        <f t="shared" si="65"/>
        <v>45456</v>
      </c>
      <c r="AT184" s="17"/>
      <c r="AU184" s="17"/>
      <c r="AV184" s="17"/>
      <c r="AW184" s="17"/>
      <c r="AX184" s="17"/>
      <c r="AY184" s="17"/>
      <c r="AZ184" s="17"/>
    </row>
    <row r="185" spans="1:52" ht="20">
      <c r="A185" s="17"/>
      <c r="B185" s="40"/>
      <c r="C185" s="55">
        <f t="shared" si="61"/>
        <v>166</v>
      </c>
      <c r="D185" s="54">
        <v>1</v>
      </c>
      <c r="E185" s="53" t="str">
        <f t="shared" si="53"/>
        <v>6</v>
      </c>
      <c r="F185" s="52">
        <f t="shared" si="62"/>
        <v>45457</v>
      </c>
      <c r="G185" s="51" t="str">
        <f t="shared" si="54"/>
        <v>Fri</v>
      </c>
      <c r="H185" s="50"/>
      <c r="I185" s="49"/>
      <c r="J185" s="48">
        <v>362500</v>
      </c>
      <c r="K185" s="31"/>
      <c r="L185" s="43">
        <f t="shared" si="66"/>
        <v>221794.94429065744</v>
      </c>
      <c r="M185" s="47">
        <f t="shared" si="55"/>
        <v>140705.05570934256</v>
      </c>
      <c r="N185" s="41">
        <f t="shared" si="56"/>
        <v>1.6343925293669077</v>
      </c>
      <c r="O185" s="46"/>
      <c r="P185" s="45">
        <f>IF(D185=0,0,SUM($L$172:L185))</f>
        <v>2661539.3314878899</v>
      </c>
      <c r="Q185" s="43">
        <f>IF(D185=0,0,SUM($J$172:J185))</f>
        <v>2830320</v>
      </c>
      <c r="R185" s="42">
        <f t="shared" si="57"/>
        <v>168780.66851211013</v>
      </c>
      <c r="S185" s="41">
        <f t="shared" si="58"/>
        <v>1.0634146813144243</v>
      </c>
      <c r="T185" s="56"/>
      <c r="U185" s="43">
        <f>IF(D185=0,0,SUM($L$20:L185))</f>
        <v>30903428.904498309</v>
      </c>
      <c r="V185" s="43">
        <f>IF(D185=0,0,SUM($J$20:J185))</f>
        <v>32116799</v>
      </c>
      <c r="W185" s="42">
        <f t="shared" si="59"/>
        <v>1213370.0955016911</v>
      </c>
      <c r="X185" s="41">
        <f t="shared" si="60"/>
        <v>1.0392632836715758</v>
      </c>
      <c r="Y185" s="17"/>
      <c r="Z185" s="23">
        <f t="shared" si="63"/>
        <v>45457</v>
      </c>
      <c r="AA185" s="22">
        <f t="shared" si="64"/>
        <v>45457</v>
      </c>
      <c r="AB185" s="137">
        <v>45457</v>
      </c>
      <c r="AC185" s="137"/>
      <c r="AD185" s="134"/>
      <c r="AE185" s="134"/>
      <c r="AF185" s="139"/>
      <c r="AG185" s="256"/>
      <c r="AH185" s="256"/>
      <c r="AI185" s="256"/>
      <c r="AJ185" s="256"/>
      <c r="AK185" s="134"/>
      <c r="AL185" s="134"/>
      <c r="AM185" s="134"/>
      <c r="AN185" s="18"/>
      <c r="AO185" s="18"/>
      <c r="AP185" s="18"/>
      <c r="AQ185" s="18"/>
      <c r="AR185" s="17"/>
      <c r="AS185" s="21">
        <f t="shared" si="65"/>
        <v>45457</v>
      </c>
      <c r="AT185" s="17"/>
      <c r="AU185" s="17"/>
      <c r="AV185" s="17"/>
      <c r="AW185" s="17"/>
      <c r="AX185" s="17"/>
      <c r="AY185" s="17"/>
      <c r="AZ185" s="17"/>
    </row>
    <row r="186" spans="1:52" ht="20">
      <c r="A186" s="17"/>
      <c r="B186" s="40"/>
      <c r="C186" s="55">
        <f t="shared" si="61"/>
        <v>167</v>
      </c>
      <c r="D186" s="54">
        <v>1</v>
      </c>
      <c r="E186" s="53" t="str">
        <f t="shared" si="53"/>
        <v>6</v>
      </c>
      <c r="F186" s="52">
        <f t="shared" si="62"/>
        <v>45458</v>
      </c>
      <c r="G186" s="51" t="str">
        <f t="shared" si="54"/>
        <v>Sat</v>
      </c>
      <c r="H186" s="50"/>
      <c r="I186" s="49"/>
      <c r="J186" s="48">
        <v>161770</v>
      </c>
      <c r="K186" s="31"/>
      <c r="L186" s="43">
        <f t="shared" si="66"/>
        <v>221794.94429065744</v>
      </c>
      <c r="M186" s="47">
        <f t="shared" si="55"/>
        <v>-60024.94429065744</v>
      </c>
      <c r="N186" s="41">
        <f t="shared" si="56"/>
        <v>0.7293673916570611</v>
      </c>
      <c r="O186" s="46"/>
      <c r="P186" s="45">
        <f>IF(D186=0,0,SUM($L$172:L186))</f>
        <v>2883334.2757785474</v>
      </c>
      <c r="Q186" s="43">
        <f>IF(D186=0,0,SUM($J$172:J186))</f>
        <v>2992090</v>
      </c>
      <c r="R186" s="42">
        <f t="shared" si="57"/>
        <v>108755.7242214526</v>
      </c>
      <c r="S186" s="41">
        <f t="shared" si="58"/>
        <v>1.0377187359561655</v>
      </c>
      <c r="T186" s="44"/>
      <c r="U186" s="43">
        <f>IF(D186=0,0,SUM($L$20:L186))</f>
        <v>31125223.848788965</v>
      </c>
      <c r="V186" s="43">
        <f>IF(D186=0,0,SUM($J$20:J186))</f>
        <v>32278569</v>
      </c>
      <c r="W186" s="42">
        <f t="shared" si="59"/>
        <v>1153345.1512110345</v>
      </c>
      <c r="X186" s="41">
        <f t="shared" si="60"/>
        <v>1.0370549994054392</v>
      </c>
      <c r="Y186" s="17"/>
      <c r="Z186" s="23">
        <f t="shared" si="63"/>
        <v>45458</v>
      </c>
      <c r="AA186" s="22">
        <f t="shared" si="64"/>
        <v>45458</v>
      </c>
      <c r="AB186" s="137">
        <v>45458</v>
      </c>
      <c r="AC186" s="137"/>
      <c r="AD186" s="134"/>
      <c r="AE186" s="134"/>
      <c r="AF186" s="139"/>
      <c r="AG186" s="256"/>
      <c r="AH186" s="256"/>
      <c r="AI186" s="256"/>
      <c r="AJ186" s="256"/>
      <c r="AK186" s="134"/>
      <c r="AL186" s="134"/>
      <c r="AM186" s="134"/>
      <c r="AN186" s="18"/>
      <c r="AO186" s="18"/>
      <c r="AP186" s="18"/>
      <c r="AQ186" s="18"/>
      <c r="AR186" s="17"/>
      <c r="AS186" s="21">
        <f t="shared" si="65"/>
        <v>45458</v>
      </c>
      <c r="AT186" s="17"/>
      <c r="AU186" s="17"/>
      <c r="AV186" s="17"/>
      <c r="AW186" s="17"/>
      <c r="AX186" s="17"/>
      <c r="AY186" s="17"/>
      <c r="AZ186" s="17"/>
    </row>
    <row r="187" spans="1:52" ht="20">
      <c r="A187" s="17"/>
      <c r="B187" s="40"/>
      <c r="C187" s="55">
        <f t="shared" si="61"/>
        <v>168</v>
      </c>
      <c r="D187" s="54">
        <v>0</v>
      </c>
      <c r="E187" s="53" t="str">
        <f t="shared" si="53"/>
        <v>6</v>
      </c>
      <c r="F187" s="52">
        <f t="shared" si="62"/>
        <v>45459</v>
      </c>
      <c r="G187" s="51" t="str">
        <f t="shared" si="54"/>
        <v>Sun</v>
      </c>
      <c r="H187" s="50" t="s">
        <v>46</v>
      </c>
      <c r="I187" s="49"/>
      <c r="J187" s="48">
        <v>0</v>
      </c>
      <c r="K187" s="31"/>
      <c r="L187" s="43">
        <f t="shared" si="66"/>
        <v>0</v>
      </c>
      <c r="M187" s="47">
        <f t="shared" si="55"/>
        <v>0</v>
      </c>
      <c r="N187" s="41" t="str">
        <f t="shared" si="56"/>
        <v>0%</v>
      </c>
      <c r="O187" s="46"/>
      <c r="P187" s="45">
        <f>IF(D187=0,0,SUM($L$172:L187))</f>
        <v>0</v>
      </c>
      <c r="Q187" s="43">
        <f>IF(D187=0,0,SUM($J$172:J187))</f>
        <v>0</v>
      </c>
      <c r="R187" s="42">
        <f t="shared" si="57"/>
        <v>0</v>
      </c>
      <c r="S187" s="41" t="str">
        <f t="shared" si="58"/>
        <v>0%</v>
      </c>
      <c r="T187" s="56"/>
      <c r="U187" s="43">
        <f>IF(D187=0,0,SUM($L$20:L187))</f>
        <v>0</v>
      </c>
      <c r="V187" s="43">
        <f>IF(D187=0,0,SUM($J$20:J187))</f>
        <v>0</v>
      </c>
      <c r="W187" s="42">
        <f t="shared" si="59"/>
        <v>0</v>
      </c>
      <c r="X187" s="41" t="str">
        <f t="shared" si="60"/>
        <v>0%</v>
      </c>
      <c r="Y187" s="17"/>
      <c r="Z187" s="23">
        <f t="shared" si="63"/>
        <v>45459</v>
      </c>
      <c r="AA187" s="22">
        <f t="shared" si="64"/>
        <v>45459</v>
      </c>
      <c r="AB187" s="137">
        <v>45459</v>
      </c>
      <c r="AC187" s="137"/>
      <c r="AD187" s="134"/>
      <c r="AE187" s="134"/>
      <c r="AF187" s="139"/>
      <c r="AG187" s="256"/>
      <c r="AH187" s="256"/>
      <c r="AI187" s="256"/>
      <c r="AJ187" s="256"/>
      <c r="AK187" s="134"/>
      <c r="AL187" s="134"/>
      <c r="AM187" s="134"/>
      <c r="AN187" s="18"/>
      <c r="AO187" s="18"/>
      <c r="AP187" s="18"/>
      <c r="AQ187" s="18"/>
      <c r="AR187" s="17"/>
      <c r="AS187" s="21">
        <f t="shared" si="65"/>
        <v>45459</v>
      </c>
      <c r="AT187" s="17"/>
      <c r="AU187" s="17"/>
      <c r="AV187" s="17"/>
      <c r="AW187" s="17"/>
      <c r="AX187" s="17"/>
      <c r="AY187" s="17"/>
      <c r="AZ187" s="17"/>
    </row>
    <row r="188" spans="1:52" ht="20">
      <c r="A188" s="17"/>
      <c r="B188" s="40"/>
      <c r="C188" s="55">
        <f t="shared" si="61"/>
        <v>169</v>
      </c>
      <c r="D188" s="54">
        <v>1</v>
      </c>
      <c r="E188" s="53" t="str">
        <f t="shared" si="53"/>
        <v>6</v>
      </c>
      <c r="F188" s="52">
        <f t="shared" si="62"/>
        <v>45460</v>
      </c>
      <c r="G188" s="51" t="str">
        <f t="shared" si="54"/>
        <v>Mon</v>
      </c>
      <c r="H188" s="50"/>
      <c r="I188" s="49"/>
      <c r="J188" s="48">
        <v>208260</v>
      </c>
      <c r="K188" s="31"/>
      <c r="L188" s="43">
        <f t="shared" si="66"/>
        <v>221794.94429065744</v>
      </c>
      <c r="M188" s="47">
        <f t="shared" si="55"/>
        <v>-13534.94429065744</v>
      </c>
      <c r="N188" s="41">
        <f t="shared" si="56"/>
        <v>0.93897541563021292</v>
      </c>
      <c r="O188" s="46"/>
      <c r="P188" s="45">
        <f>IF(D188=0,0,SUM($L$172:L188))</f>
        <v>3105129.2200692049</v>
      </c>
      <c r="Q188" s="43">
        <f>IF(D188=0,0,SUM($J$172:J188))</f>
        <v>3200350</v>
      </c>
      <c r="R188" s="42">
        <f t="shared" si="57"/>
        <v>95220.779930795077</v>
      </c>
      <c r="S188" s="41">
        <f t="shared" si="58"/>
        <v>1.0306656416471689</v>
      </c>
      <c r="T188" s="56"/>
      <c r="U188" s="43">
        <f>IF(D188=0,0,SUM($L$20:L188))</f>
        <v>31347018.793079622</v>
      </c>
      <c r="V188" s="43">
        <f>IF(D188=0,0,SUM($J$20:J188))</f>
        <v>32486829</v>
      </c>
      <c r="W188" s="42">
        <f t="shared" si="59"/>
        <v>1139810.2069203779</v>
      </c>
      <c r="X188" s="41">
        <f t="shared" si="60"/>
        <v>1.0363610400862748</v>
      </c>
      <c r="Y188" s="17"/>
      <c r="Z188" s="23">
        <f t="shared" si="63"/>
        <v>45460</v>
      </c>
      <c r="AA188" s="22">
        <f t="shared" si="64"/>
        <v>45460</v>
      </c>
      <c r="AB188" s="137">
        <v>45460</v>
      </c>
      <c r="AC188" s="137"/>
      <c r="AD188" s="134"/>
      <c r="AE188" s="134"/>
      <c r="AF188" s="139"/>
      <c r="AG188" s="256"/>
      <c r="AH188" s="256"/>
      <c r="AI188" s="256"/>
      <c r="AJ188" s="256"/>
      <c r="AK188" s="134"/>
      <c r="AL188" s="134"/>
      <c r="AM188" s="134"/>
      <c r="AN188" s="18"/>
      <c r="AO188" s="18"/>
      <c r="AP188" s="18"/>
      <c r="AQ188" s="18"/>
      <c r="AR188" s="17"/>
      <c r="AS188" s="21">
        <f t="shared" si="65"/>
        <v>45460</v>
      </c>
      <c r="AT188" s="17"/>
      <c r="AU188" s="17"/>
      <c r="AV188" s="17"/>
      <c r="AW188" s="17"/>
      <c r="AX188" s="17"/>
      <c r="AY188" s="17"/>
      <c r="AZ188" s="17"/>
    </row>
    <row r="189" spans="1:52" ht="20">
      <c r="A189" s="17"/>
      <c r="B189" s="40"/>
      <c r="C189" s="55">
        <f t="shared" si="61"/>
        <v>170</v>
      </c>
      <c r="D189" s="54">
        <v>1</v>
      </c>
      <c r="E189" s="53" t="str">
        <f t="shared" si="53"/>
        <v>6</v>
      </c>
      <c r="F189" s="52">
        <f t="shared" si="62"/>
        <v>45461</v>
      </c>
      <c r="G189" s="51" t="str">
        <f t="shared" si="54"/>
        <v>Tue</v>
      </c>
      <c r="H189" s="50"/>
      <c r="I189" s="49"/>
      <c r="J189" s="48">
        <v>332500</v>
      </c>
      <c r="K189" s="31"/>
      <c r="L189" s="43">
        <f t="shared" si="66"/>
        <v>221794.94429065744</v>
      </c>
      <c r="M189" s="47">
        <f t="shared" si="55"/>
        <v>110705.05570934256</v>
      </c>
      <c r="N189" s="41">
        <f t="shared" si="56"/>
        <v>1.4991324579710257</v>
      </c>
      <c r="O189" s="46"/>
      <c r="P189" s="45">
        <f>IF(D189=0,0,SUM($L$172:L189))</f>
        <v>3326924.1643598625</v>
      </c>
      <c r="Q189" s="43">
        <f>IF(D189=0,0,SUM($J$172:J189))</f>
        <v>3532850</v>
      </c>
      <c r="R189" s="42">
        <f t="shared" si="57"/>
        <v>205925.83564013755</v>
      </c>
      <c r="S189" s="41">
        <f t="shared" si="58"/>
        <v>1.0618967627354259</v>
      </c>
      <c r="T189" s="56"/>
      <c r="U189" s="43">
        <f>IF(D189=0,0,SUM($L$20:L189))</f>
        <v>31568813.737370279</v>
      </c>
      <c r="V189" s="43">
        <f>IF(D189=0,0,SUM($J$20:J189))</f>
        <v>32819329</v>
      </c>
      <c r="W189" s="42">
        <f t="shared" si="59"/>
        <v>1250515.2626297213</v>
      </c>
      <c r="X189" s="41">
        <f t="shared" si="60"/>
        <v>1.0396123615234043</v>
      </c>
      <c r="Y189" s="17"/>
      <c r="Z189" s="23">
        <f t="shared" si="63"/>
        <v>45461</v>
      </c>
      <c r="AA189" s="22">
        <f t="shared" si="64"/>
        <v>45461</v>
      </c>
      <c r="AB189" s="137">
        <v>45461</v>
      </c>
      <c r="AC189" s="137"/>
      <c r="AD189" s="134"/>
      <c r="AE189" s="134"/>
      <c r="AF189" s="139"/>
      <c r="AG189" s="256"/>
      <c r="AH189" s="256"/>
      <c r="AI189" s="256"/>
      <c r="AJ189" s="256"/>
      <c r="AK189" s="134"/>
      <c r="AL189" s="134"/>
      <c r="AM189" s="134"/>
      <c r="AN189" s="18"/>
      <c r="AO189" s="18"/>
      <c r="AP189" s="18"/>
      <c r="AQ189" s="18"/>
      <c r="AR189" s="17"/>
      <c r="AS189" s="21">
        <f t="shared" si="65"/>
        <v>45461</v>
      </c>
      <c r="AT189" s="17"/>
      <c r="AU189" s="17"/>
      <c r="AV189" s="17"/>
      <c r="AW189" s="17"/>
      <c r="AX189" s="17"/>
      <c r="AY189" s="17"/>
      <c r="AZ189" s="17"/>
    </row>
    <row r="190" spans="1:52" ht="20">
      <c r="A190" s="17"/>
      <c r="B190" s="40"/>
      <c r="C190" s="55">
        <f t="shared" si="61"/>
        <v>171</v>
      </c>
      <c r="D190" s="54">
        <v>1</v>
      </c>
      <c r="E190" s="53" t="str">
        <f t="shared" si="53"/>
        <v>6</v>
      </c>
      <c r="F190" s="52">
        <f t="shared" si="62"/>
        <v>45462</v>
      </c>
      <c r="G190" s="51" t="str">
        <f t="shared" si="54"/>
        <v>Wed</v>
      </c>
      <c r="H190" s="50"/>
      <c r="I190" s="49"/>
      <c r="J190" s="48">
        <v>255900</v>
      </c>
      <c r="K190" s="31"/>
      <c r="L190" s="43">
        <f t="shared" si="66"/>
        <v>221794.94429065744</v>
      </c>
      <c r="M190" s="47">
        <f t="shared" si="55"/>
        <v>34105.05570934256</v>
      </c>
      <c r="N190" s="41">
        <f t="shared" si="56"/>
        <v>1.1537684090068736</v>
      </c>
      <c r="O190" s="46"/>
      <c r="P190" s="45">
        <f>IF(D190=0,0,SUM($L$172:L190))</f>
        <v>3548719.10865052</v>
      </c>
      <c r="Q190" s="43">
        <f>IF(D190=0,0,SUM($J$172:J190))</f>
        <v>3788750</v>
      </c>
      <c r="R190" s="42">
        <f t="shared" si="57"/>
        <v>240030.89134948002</v>
      </c>
      <c r="S190" s="41">
        <f t="shared" si="58"/>
        <v>1.0676387406273913</v>
      </c>
      <c r="T190" s="56"/>
      <c r="U190" s="43">
        <f>IF(D190=0,0,SUM($L$20:L190))</f>
        <v>31790608.681660935</v>
      </c>
      <c r="V190" s="43">
        <f>IF(D190=0,0,SUM($J$20:J190))</f>
        <v>33075229</v>
      </c>
      <c r="W190" s="42">
        <f t="shared" si="59"/>
        <v>1284620.3183390647</v>
      </c>
      <c r="X190" s="41">
        <f t="shared" si="60"/>
        <v>1.0404087990639865</v>
      </c>
      <c r="Y190" s="17"/>
      <c r="Z190" s="23">
        <f t="shared" si="63"/>
        <v>45462</v>
      </c>
      <c r="AA190" s="22">
        <f t="shared" si="64"/>
        <v>45462</v>
      </c>
      <c r="AB190" s="137">
        <v>45462</v>
      </c>
      <c r="AC190" s="137"/>
      <c r="AD190" s="134"/>
      <c r="AE190" s="134"/>
      <c r="AF190" s="139"/>
      <c r="AG190" s="256"/>
      <c r="AH190" s="256"/>
      <c r="AI190" s="256"/>
      <c r="AJ190" s="256"/>
      <c r="AK190" s="134"/>
      <c r="AL190" s="134"/>
      <c r="AM190" s="134"/>
      <c r="AN190" s="18"/>
      <c r="AO190" s="18"/>
      <c r="AP190" s="18"/>
      <c r="AQ190" s="18"/>
      <c r="AR190" s="17"/>
      <c r="AS190" s="21">
        <f t="shared" si="65"/>
        <v>45462</v>
      </c>
      <c r="AT190" s="17"/>
      <c r="AU190" s="17"/>
      <c r="AV190" s="17"/>
      <c r="AW190" s="17"/>
      <c r="AX190" s="17"/>
      <c r="AY190" s="17"/>
      <c r="AZ190" s="17"/>
    </row>
    <row r="191" spans="1:52" ht="20">
      <c r="A191" s="17"/>
      <c r="B191" s="40"/>
      <c r="C191" s="55">
        <f t="shared" si="61"/>
        <v>172</v>
      </c>
      <c r="D191" s="54">
        <v>1</v>
      </c>
      <c r="E191" s="53" t="str">
        <f t="shared" si="53"/>
        <v>6</v>
      </c>
      <c r="F191" s="52">
        <f t="shared" si="62"/>
        <v>45463</v>
      </c>
      <c r="G191" s="51" t="str">
        <f t="shared" si="54"/>
        <v>Thu</v>
      </c>
      <c r="H191" s="50"/>
      <c r="I191" s="49"/>
      <c r="J191" s="48">
        <v>273000</v>
      </c>
      <c r="K191" s="31"/>
      <c r="L191" s="43">
        <f t="shared" si="66"/>
        <v>221794.94429065744</v>
      </c>
      <c r="M191" s="47">
        <f t="shared" si="55"/>
        <v>51205.05570934256</v>
      </c>
      <c r="N191" s="41">
        <f t="shared" si="56"/>
        <v>1.2308666497025265</v>
      </c>
      <c r="O191" s="46"/>
      <c r="P191" s="45">
        <f>IF(D191=0,0,SUM($L$172:L191))</f>
        <v>3770514.0529411775</v>
      </c>
      <c r="Q191" s="43">
        <f>IF(D191=0,0,SUM($J$172:J191))</f>
        <v>4061750</v>
      </c>
      <c r="R191" s="42">
        <f t="shared" si="57"/>
        <v>291235.94705882249</v>
      </c>
      <c r="S191" s="41">
        <f t="shared" si="58"/>
        <v>1.0772403823376935</v>
      </c>
      <c r="T191" s="56"/>
      <c r="U191" s="43">
        <f>IF(D191=0,0,SUM($L$20:L191))</f>
        <v>32012403.625951592</v>
      </c>
      <c r="V191" s="43">
        <f>IF(D191=0,0,SUM($J$20:J191))</f>
        <v>33348229</v>
      </c>
      <c r="W191" s="42">
        <f t="shared" si="59"/>
        <v>1335825.3740484081</v>
      </c>
      <c r="X191" s="41">
        <f t="shared" si="60"/>
        <v>1.0417283684679488</v>
      </c>
      <c r="Y191" s="17"/>
      <c r="Z191" s="23">
        <f t="shared" si="63"/>
        <v>45463</v>
      </c>
      <c r="AA191" s="22">
        <f t="shared" si="64"/>
        <v>45463</v>
      </c>
      <c r="AB191" s="137">
        <v>45463</v>
      </c>
      <c r="AC191" s="137"/>
      <c r="AD191" s="134"/>
      <c r="AE191" s="134"/>
      <c r="AF191" s="139"/>
      <c r="AG191" s="256"/>
      <c r="AH191" s="256"/>
      <c r="AI191" s="256"/>
      <c r="AJ191" s="256"/>
      <c r="AK191" s="134"/>
      <c r="AL191" s="134"/>
      <c r="AM191" s="134"/>
      <c r="AN191" s="18"/>
      <c r="AO191" s="18"/>
      <c r="AP191" s="18"/>
      <c r="AQ191" s="18"/>
      <c r="AR191" s="17"/>
      <c r="AS191" s="21">
        <f t="shared" si="65"/>
        <v>45463</v>
      </c>
      <c r="AT191" s="17"/>
      <c r="AU191" s="17"/>
      <c r="AV191" s="17"/>
      <c r="AW191" s="17"/>
      <c r="AX191" s="17"/>
      <c r="AY191" s="17"/>
      <c r="AZ191" s="17"/>
    </row>
    <row r="192" spans="1:52" ht="20">
      <c r="A192" s="17"/>
      <c r="B192" s="40"/>
      <c r="C192" s="55">
        <f t="shared" si="61"/>
        <v>173</v>
      </c>
      <c r="D192" s="54">
        <v>1</v>
      </c>
      <c r="E192" s="53" t="str">
        <f t="shared" si="53"/>
        <v>6</v>
      </c>
      <c r="F192" s="52">
        <f t="shared" si="62"/>
        <v>45464</v>
      </c>
      <c r="G192" s="51" t="str">
        <f t="shared" si="54"/>
        <v>Fri</v>
      </c>
      <c r="H192" s="50"/>
      <c r="I192" s="49"/>
      <c r="J192" s="48">
        <v>374650</v>
      </c>
      <c r="K192" s="31"/>
      <c r="L192" s="43">
        <f t="shared" si="66"/>
        <v>221794.94429065744</v>
      </c>
      <c r="M192" s="47">
        <f t="shared" si="55"/>
        <v>152855.05570934256</v>
      </c>
      <c r="N192" s="41">
        <f t="shared" si="56"/>
        <v>1.6891728582822398</v>
      </c>
      <c r="O192" s="46"/>
      <c r="P192" s="45">
        <f>IF(D192=0,0,SUM($L$172:L192))</f>
        <v>3992308.997231835</v>
      </c>
      <c r="Q192" s="43">
        <f>IF(D192=0,0,SUM($J$172:J192))</f>
        <v>4436400</v>
      </c>
      <c r="R192" s="42">
        <f t="shared" si="57"/>
        <v>444091.00276816497</v>
      </c>
      <c r="S192" s="41">
        <f t="shared" si="58"/>
        <v>1.1112366310012793</v>
      </c>
      <c r="T192" s="56"/>
      <c r="U192" s="43">
        <f>IF(D192=0,0,SUM($L$20:L192))</f>
        <v>32234198.570242248</v>
      </c>
      <c r="V192" s="43">
        <f>IF(D192=0,0,SUM($J$20:J192))</f>
        <v>33722879</v>
      </c>
      <c r="W192" s="42">
        <f t="shared" si="59"/>
        <v>1488680.4297577515</v>
      </c>
      <c r="X192" s="41">
        <f t="shared" si="60"/>
        <v>1.0461832617464875</v>
      </c>
      <c r="Y192" s="17"/>
      <c r="Z192" s="23">
        <f t="shared" si="63"/>
        <v>45464</v>
      </c>
      <c r="AA192" s="22">
        <f t="shared" si="64"/>
        <v>45464</v>
      </c>
      <c r="AB192" s="137">
        <v>45464</v>
      </c>
      <c r="AC192" s="137"/>
      <c r="AD192" s="134"/>
      <c r="AE192" s="134"/>
      <c r="AF192" s="139"/>
      <c r="AG192" s="256"/>
      <c r="AH192" s="256"/>
      <c r="AI192" s="256"/>
      <c r="AJ192" s="256"/>
      <c r="AK192" s="134"/>
      <c r="AL192" s="134"/>
      <c r="AM192" s="134"/>
      <c r="AN192" s="18"/>
      <c r="AO192" s="18"/>
      <c r="AP192" s="18"/>
      <c r="AQ192" s="18"/>
      <c r="AR192" s="17"/>
      <c r="AS192" s="21">
        <f t="shared" si="65"/>
        <v>45464</v>
      </c>
      <c r="AT192" s="17"/>
      <c r="AU192" s="17"/>
      <c r="AV192" s="17"/>
      <c r="AW192" s="17"/>
      <c r="AX192" s="17"/>
      <c r="AY192" s="17"/>
      <c r="AZ192" s="17"/>
    </row>
    <row r="193" spans="1:52" ht="20">
      <c r="A193" s="17"/>
      <c r="B193" s="40"/>
      <c r="C193" s="55">
        <f t="shared" si="61"/>
        <v>174</v>
      </c>
      <c r="D193" s="54">
        <v>1</v>
      </c>
      <c r="E193" s="53" t="str">
        <f t="shared" si="53"/>
        <v>6</v>
      </c>
      <c r="F193" s="52">
        <f t="shared" si="62"/>
        <v>45465</v>
      </c>
      <c r="G193" s="51" t="str">
        <f t="shared" si="54"/>
        <v>Sat</v>
      </c>
      <c r="H193" s="50"/>
      <c r="I193" s="49"/>
      <c r="J193" s="48">
        <v>153300</v>
      </c>
      <c r="K193" s="31"/>
      <c r="L193" s="43">
        <f t="shared" si="66"/>
        <v>221794.94429065744</v>
      </c>
      <c r="M193" s="47">
        <f t="shared" si="55"/>
        <v>-68494.94429065744</v>
      </c>
      <c r="N193" s="41">
        <f t="shared" si="56"/>
        <v>0.69117896483295715</v>
      </c>
      <c r="O193" s="46"/>
      <c r="P193" s="45">
        <f>IF(D193=0,0,SUM($L$172:L193))</f>
        <v>4214103.9415224921</v>
      </c>
      <c r="Q193" s="43">
        <f>IF(D193=0,0,SUM($J$172:J193))</f>
        <v>4589700</v>
      </c>
      <c r="R193" s="42">
        <f t="shared" si="57"/>
        <v>375596.0584775079</v>
      </c>
      <c r="S193" s="41">
        <f t="shared" si="58"/>
        <v>1.0891283327818939</v>
      </c>
      <c r="T193" s="44"/>
      <c r="U193" s="43">
        <f>IF(D193=0,0,SUM($L$20:L193))</f>
        <v>32455993.514532905</v>
      </c>
      <c r="V193" s="43">
        <f>IF(D193=0,0,SUM($J$20:J193))</f>
        <v>33876179</v>
      </c>
      <c r="W193" s="42">
        <f t="shared" si="59"/>
        <v>1420185.4854670949</v>
      </c>
      <c r="X193" s="41">
        <f t="shared" si="60"/>
        <v>1.0437572642732744</v>
      </c>
      <c r="Y193" s="17"/>
      <c r="Z193" s="23">
        <f t="shared" si="63"/>
        <v>45465</v>
      </c>
      <c r="AA193" s="22">
        <f t="shared" si="64"/>
        <v>45465</v>
      </c>
      <c r="AB193" s="137">
        <v>45465</v>
      </c>
      <c r="AC193" s="137"/>
      <c r="AD193" s="134"/>
      <c r="AE193" s="134"/>
      <c r="AF193" s="139"/>
      <c r="AG193" s="256"/>
      <c r="AH193" s="256"/>
      <c r="AI193" s="256"/>
      <c r="AJ193" s="256"/>
      <c r="AK193" s="134"/>
      <c r="AL193" s="134"/>
      <c r="AM193" s="134"/>
      <c r="AN193" s="18"/>
      <c r="AO193" s="18"/>
      <c r="AP193" s="18"/>
      <c r="AQ193" s="18"/>
      <c r="AR193" s="17"/>
      <c r="AS193" s="21">
        <f t="shared" si="65"/>
        <v>45465</v>
      </c>
      <c r="AT193" s="17"/>
      <c r="AU193" s="17"/>
      <c r="AV193" s="17"/>
      <c r="AW193" s="17"/>
      <c r="AX193" s="17"/>
      <c r="AY193" s="17"/>
      <c r="AZ193" s="17"/>
    </row>
    <row r="194" spans="1:52" ht="20">
      <c r="A194" s="17"/>
      <c r="B194" s="40"/>
      <c r="C194" s="55">
        <f t="shared" si="61"/>
        <v>175</v>
      </c>
      <c r="D194" s="54">
        <v>0</v>
      </c>
      <c r="E194" s="53" t="str">
        <f t="shared" si="53"/>
        <v>6</v>
      </c>
      <c r="F194" s="52">
        <f t="shared" si="62"/>
        <v>45466</v>
      </c>
      <c r="G194" s="51" t="str">
        <f t="shared" si="54"/>
        <v>Sun</v>
      </c>
      <c r="H194" s="50" t="s">
        <v>46</v>
      </c>
      <c r="I194" s="49"/>
      <c r="J194" s="48">
        <v>0</v>
      </c>
      <c r="K194" s="31"/>
      <c r="L194" s="43">
        <f t="shared" si="66"/>
        <v>0</v>
      </c>
      <c r="M194" s="47">
        <f t="shared" si="55"/>
        <v>0</v>
      </c>
      <c r="N194" s="41" t="str">
        <f t="shared" si="56"/>
        <v>0%</v>
      </c>
      <c r="O194" s="46"/>
      <c r="P194" s="45">
        <f>IF(D194=0,0,SUM($L$172:L194))</f>
        <v>0</v>
      </c>
      <c r="Q194" s="43">
        <f>IF(D194=0,0,SUM($J$172:J194))</f>
        <v>0</v>
      </c>
      <c r="R194" s="42">
        <f t="shared" si="57"/>
        <v>0</v>
      </c>
      <c r="S194" s="41" t="str">
        <f t="shared" si="58"/>
        <v>0%</v>
      </c>
      <c r="T194" s="56"/>
      <c r="U194" s="43">
        <f>IF(D194=0,0,SUM($L$20:L194))</f>
        <v>0</v>
      </c>
      <c r="V194" s="43">
        <f>IF(D194=0,0,SUM($J$20:J194))</f>
        <v>0</v>
      </c>
      <c r="W194" s="42">
        <f t="shared" si="59"/>
        <v>0</v>
      </c>
      <c r="X194" s="41" t="str">
        <f t="shared" si="60"/>
        <v>0%</v>
      </c>
      <c r="Y194" s="17"/>
      <c r="Z194" s="23">
        <f t="shared" si="63"/>
        <v>45466</v>
      </c>
      <c r="AA194" s="22">
        <f t="shared" si="64"/>
        <v>45466</v>
      </c>
      <c r="AB194" s="137">
        <v>45466</v>
      </c>
      <c r="AC194" s="137"/>
      <c r="AD194" s="134"/>
      <c r="AE194" s="134"/>
      <c r="AF194" s="139"/>
      <c r="AG194" s="256"/>
      <c r="AH194" s="256"/>
      <c r="AI194" s="256"/>
      <c r="AJ194" s="256"/>
      <c r="AK194" s="134"/>
      <c r="AL194" s="134"/>
      <c r="AM194" s="134"/>
      <c r="AN194" s="18"/>
      <c r="AO194" s="18"/>
      <c r="AP194" s="18"/>
      <c r="AQ194" s="18"/>
      <c r="AR194" s="17"/>
      <c r="AS194" s="21">
        <f t="shared" si="65"/>
        <v>45466</v>
      </c>
      <c r="AT194" s="17"/>
      <c r="AU194" s="17"/>
      <c r="AV194" s="17"/>
      <c r="AW194" s="17"/>
      <c r="AX194" s="17"/>
      <c r="AY194" s="17"/>
      <c r="AZ194" s="17"/>
    </row>
    <row r="195" spans="1:52" ht="20">
      <c r="A195" s="17"/>
      <c r="B195" s="40"/>
      <c r="C195" s="55">
        <f t="shared" si="61"/>
        <v>176</v>
      </c>
      <c r="D195" s="54">
        <v>1</v>
      </c>
      <c r="E195" s="53" t="str">
        <f t="shared" si="53"/>
        <v>6</v>
      </c>
      <c r="F195" s="52">
        <f t="shared" si="62"/>
        <v>45467</v>
      </c>
      <c r="G195" s="51" t="str">
        <f t="shared" si="54"/>
        <v>Mon</v>
      </c>
      <c r="H195" s="50"/>
      <c r="I195" s="49"/>
      <c r="J195" s="48">
        <v>248360</v>
      </c>
      <c r="K195" s="31"/>
      <c r="L195" s="43">
        <f t="shared" si="66"/>
        <v>221794.94429065744</v>
      </c>
      <c r="M195" s="47">
        <f t="shared" si="55"/>
        <v>26565.05570934256</v>
      </c>
      <c r="N195" s="41">
        <f t="shared" si="56"/>
        <v>1.1197730443960419</v>
      </c>
      <c r="O195" s="46"/>
      <c r="P195" s="45">
        <f>IF(D195=0,0,SUM($L$172:L195))</f>
        <v>4435898.8858131496</v>
      </c>
      <c r="Q195" s="43">
        <f>IF(D195=0,0,SUM($J$172:J195))</f>
        <v>4838060</v>
      </c>
      <c r="R195" s="42">
        <f t="shared" si="57"/>
        <v>402161.11418685038</v>
      </c>
      <c r="S195" s="41">
        <f t="shared" si="58"/>
        <v>1.0906605683626014</v>
      </c>
      <c r="T195" s="56"/>
      <c r="U195" s="43">
        <f>IF(D195=0,0,SUM($L$20:L195))</f>
        <v>32677788.458823562</v>
      </c>
      <c r="V195" s="43">
        <f>IF(D195=0,0,SUM($J$20:J195))</f>
        <v>34124539</v>
      </c>
      <c r="W195" s="42">
        <f t="shared" si="59"/>
        <v>1446750.5411764383</v>
      </c>
      <c r="X195" s="41">
        <f t="shared" si="60"/>
        <v>1.0442732084822524</v>
      </c>
      <c r="Y195" s="17"/>
      <c r="Z195" s="23">
        <f t="shared" si="63"/>
        <v>45467</v>
      </c>
      <c r="AA195" s="22">
        <f t="shared" si="64"/>
        <v>45467</v>
      </c>
      <c r="AB195" s="137">
        <v>45467</v>
      </c>
      <c r="AC195" s="137"/>
      <c r="AD195" s="134"/>
      <c r="AE195" s="134"/>
      <c r="AF195" s="139"/>
      <c r="AG195" s="256"/>
      <c r="AH195" s="256"/>
      <c r="AI195" s="256"/>
      <c r="AJ195" s="256"/>
      <c r="AK195" s="134"/>
      <c r="AL195" s="134"/>
      <c r="AM195" s="134"/>
      <c r="AN195" s="18"/>
      <c r="AO195" s="18"/>
      <c r="AP195" s="18"/>
      <c r="AQ195" s="18"/>
      <c r="AR195" s="17"/>
      <c r="AS195" s="21">
        <f t="shared" si="65"/>
        <v>45467</v>
      </c>
      <c r="AT195" s="17"/>
      <c r="AU195" s="17"/>
      <c r="AV195" s="17"/>
      <c r="AW195" s="17"/>
      <c r="AX195" s="17"/>
      <c r="AY195" s="17"/>
      <c r="AZ195" s="17"/>
    </row>
    <row r="196" spans="1:52" ht="20">
      <c r="A196" s="17"/>
      <c r="B196" s="40"/>
      <c r="C196" s="55">
        <f t="shared" si="61"/>
        <v>177</v>
      </c>
      <c r="D196" s="54">
        <v>1</v>
      </c>
      <c r="E196" s="53" t="str">
        <f t="shared" si="53"/>
        <v>6</v>
      </c>
      <c r="F196" s="52">
        <f t="shared" si="62"/>
        <v>45468</v>
      </c>
      <c r="G196" s="51" t="str">
        <f t="shared" si="54"/>
        <v>Tue</v>
      </c>
      <c r="H196" s="50"/>
      <c r="I196" s="49"/>
      <c r="J196" s="48">
        <v>102500</v>
      </c>
      <c r="K196" s="31"/>
      <c r="L196" s="43">
        <f t="shared" si="66"/>
        <v>221794.94429065744</v>
      </c>
      <c r="M196" s="47">
        <f t="shared" si="55"/>
        <v>-119294.94429065744</v>
      </c>
      <c r="N196" s="41">
        <f t="shared" si="56"/>
        <v>0.46213857726926355</v>
      </c>
      <c r="O196" s="46"/>
      <c r="P196" s="45">
        <f>IF(D196=0,0,SUM($L$172:L196))</f>
        <v>4657693.8301038072</v>
      </c>
      <c r="Q196" s="43">
        <f>IF(D196=0,0,SUM($J$172:J196))</f>
        <v>4940560</v>
      </c>
      <c r="R196" s="42">
        <f t="shared" si="57"/>
        <v>282866.16989619285</v>
      </c>
      <c r="S196" s="41">
        <f t="shared" si="58"/>
        <v>1.0607309497391091</v>
      </c>
      <c r="T196" s="56"/>
      <c r="U196" s="43">
        <f>IF(D196=0,0,SUM($L$20:L196))</f>
        <v>32899583.403114218</v>
      </c>
      <c r="V196" s="43">
        <f>IF(D196=0,0,SUM($J$20:J196))</f>
        <v>34227039</v>
      </c>
      <c r="W196" s="42">
        <f t="shared" si="59"/>
        <v>1327455.5968857817</v>
      </c>
      <c r="X196" s="41">
        <f t="shared" si="60"/>
        <v>1.0403487053504794</v>
      </c>
      <c r="Y196" s="17"/>
      <c r="Z196" s="23">
        <f t="shared" si="63"/>
        <v>45468</v>
      </c>
      <c r="AA196" s="22">
        <f t="shared" si="64"/>
        <v>45468</v>
      </c>
      <c r="AB196" s="137">
        <v>45468</v>
      </c>
      <c r="AC196" s="137"/>
      <c r="AD196" s="134"/>
      <c r="AE196" s="134"/>
      <c r="AF196" s="139"/>
      <c r="AG196" s="256"/>
      <c r="AH196" s="256"/>
      <c r="AI196" s="256"/>
      <c r="AJ196" s="256"/>
      <c r="AK196" s="134"/>
      <c r="AL196" s="134"/>
      <c r="AM196" s="134"/>
      <c r="AN196" s="18"/>
      <c r="AO196" s="18"/>
      <c r="AP196" s="18"/>
      <c r="AQ196" s="18"/>
      <c r="AR196" s="17"/>
      <c r="AS196" s="21">
        <f t="shared" si="65"/>
        <v>45468</v>
      </c>
      <c r="AT196" s="17"/>
      <c r="AU196" s="17"/>
      <c r="AV196" s="17"/>
      <c r="AW196" s="17"/>
      <c r="AX196" s="17"/>
      <c r="AY196" s="17"/>
      <c r="AZ196" s="17"/>
    </row>
    <row r="197" spans="1:52" ht="20">
      <c r="A197" s="17"/>
      <c r="B197" s="40"/>
      <c r="C197" s="55">
        <f t="shared" si="61"/>
        <v>178</v>
      </c>
      <c r="D197" s="54">
        <v>1</v>
      </c>
      <c r="E197" s="53" t="str">
        <f t="shared" si="53"/>
        <v>6</v>
      </c>
      <c r="F197" s="52">
        <f t="shared" si="62"/>
        <v>45469</v>
      </c>
      <c r="G197" s="51" t="str">
        <f t="shared" si="54"/>
        <v>Wed</v>
      </c>
      <c r="H197" s="50"/>
      <c r="I197" s="49"/>
      <c r="J197" s="48">
        <v>383350</v>
      </c>
      <c r="K197" s="31"/>
      <c r="L197" s="43">
        <f t="shared" si="66"/>
        <v>221794.94429065744</v>
      </c>
      <c r="M197" s="47">
        <f t="shared" si="55"/>
        <v>161555.05570934256</v>
      </c>
      <c r="N197" s="41">
        <f t="shared" si="56"/>
        <v>1.7283982789870458</v>
      </c>
      <c r="O197" s="46"/>
      <c r="P197" s="45">
        <f>IF(D197=0,0,SUM($L$172:L197))</f>
        <v>4879488.7743944647</v>
      </c>
      <c r="Q197" s="43">
        <f>IF(D197=0,0,SUM($J$172:J197))</f>
        <v>5323910</v>
      </c>
      <c r="R197" s="42">
        <f t="shared" si="57"/>
        <v>444421.22560553532</v>
      </c>
      <c r="S197" s="41">
        <f t="shared" si="58"/>
        <v>1.0910794647049245</v>
      </c>
      <c r="T197" s="56"/>
      <c r="U197" s="43">
        <f>IF(D197=0,0,SUM($L$20:L197))</f>
        <v>33121378.347404875</v>
      </c>
      <c r="V197" s="43">
        <f>IF(D197=0,0,SUM($J$20:J197))</f>
        <v>34610389</v>
      </c>
      <c r="W197" s="42">
        <f t="shared" si="59"/>
        <v>1489010.6525951251</v>
      </c>
      <c r="X197" s="41">
        <f t="shared" si="60"/>
        <v>1.0449561801739387</v>
      </c>
      <c r="Y197" s="17"/>
      <c r="Z197" s="23">
        <f t="shared" si="63"/>
        <v>45469</v>
      </c>
      <c r="AA197" s="22">
        <f t="shared" si="64"/>
        <v>45469</v>
      </c>
      <c r="AB197" s="137">
        <v>45469</v>
      </c>
      <c r="AC197" s="137"/>
      <c r="AD197" s="134"/>
      <c r="AE197" s="134"/>
      <c r="AF197" s="139"/>
      <c r="AG197" s="256"/>
      <c r="AH197" s="256"/>
      <c r="AI197" s="256"/>
      <c r="AJ197" s="256"/>
      <c r="AK197" s="134"/>
      <c r="AL197" s="134"/>
      <c r="AM197" s="134"/>
      <c r="AN197" s="18"/>
      <c r="AO197" s="18"/>
      <c r="AP197" s="18"/>
      <c r="AQ197" s="18"/>
      <c r="AR197" s="17"/>
      <c r="AS197" s="21">
        <f t="shared" si="65"/>
        <v>45469</v>
      </c>
      <c r="AT197" s="17"/>
      <c r="AU197" s="17"/>
      <c r="AV197" s="17"/>
      <c r="AW197" s="17"/>
      <c r="AX197" s="17"/>
      <c r="AY197" s="17"/>
      <c r="AZ197" s="17"/>
    </row>
    <row r="198" spans="1:52" ht="20">
      <c r="A198" s="17"/>
      <c r="B198" s="40"/>
      <c r="C198" s="55">
        <f t="shared" si="61"/>
        <v>179</v>
      </c>
      <c r="D198" s="54">
        <v>1</v>
      </c>
      <c r="E198" s="53" t="str">
        <f t="shared" si="53"/>
        <v>6</v>
      </c>
      <c r="F198" s="52">
        <f t="shared" si="62"/>
        <v>45470</v>
      </c>
      <c r="G198" s="51" t="str">
        <f t="shared" si="54"/>
        <v>Thu</v>
      </c>
      <c r="H198" s="50"/>
      <c r="I198" s="49"/>
      <c r="J198" s="48">
        <v>216800</v>
      </c>
      <c r="K198" s="31"/>
      <c r="L198" s="43">
        <f t="shared" si="66"/>
        <v>221794.94429065744</v>
      </c>
      <c r="M198" s="47">
        <f t="shared" si="55"/>
        <v>-4994.9442906574404</v>
      </c>
      <c r="N198" s="41">
        <f t="shared" si="56"/>
        <v>0.97747944928757402</v>
      </c>
      <c r="O198" s="46"/>
      <c r="P198" s="45">
        <f>IF(D198=0,0,SUM($L$172:L198))</f>
        <v>5101283.7186851222</v>
      </c>
      <c r="Q198" s="43">
        <f>IF(D198=0,0,SUM($J$172:J198))</f>
        <v>5540710</v>
      </c>
      <c r="R198" s="42">
        <f t="shared" si="57"/>
        <v>439426.28131487779</v>
      </c>
      <c r="S198" s="41">
        <f t="shared" si="58"/>
        <v>1.0861403335998221</v>
      </c>
      <c r="T198" s="56"/>
      <c r="U198" s="43">
        <f>IF(D198=0,0,SUM($L$20:L198))</f>
        <v>33343173.291695531</v>
      </c>
      <c r="V198" s="43">
        <f>IF(D198=0,0,SUM($J$20:J198))</f>
        <v>34827189</v>
      </c>
      <c r="W198" s="42">
        <f t="shared" si="59"/>
        <v>1484015.7083044685</v>
      </c>
      <c r="X198" s="41">
        <f t="shared" si="60"/>
        <v>1.0445073327401049</v>
      </c>
      <c r="Y198" s="17"/>
      <c r="Z198" s="23">
        <f t="shared" si="63"/>
        <v>45470</v>
      </c>
      <c r="AA198" s="22">
        <f t="shared" si="64"/>
        <v>45470</v>
      </c>
      <c r="AB198" s="137">
        <v>45470</v>
      </c>
      <c r="AC198" s="137"/>
      <c r="AD198" s="134"/>
      <c r="AE198" s="134"/>
      <c r="AF198" s="139"/>
      <c r="AG198" s="256"/>
      <c r="AH198" s="256"/>
      <c r="AI198" s="256"/>
      <c r="AJ198" s="256"/>
      <c r="AK198" s="134"/>
      <c r="AL198" s="134"/>
      <c r="AM198" s="134"/>
      <c r="AN198" s="18"/>
      <c r="AO198" s="18"/>
      <c r="AP198" s="18"/>
      <c r="AQ198" s="18"/>
      <c r="AR198" s="17"/>
      <c r="AS198" s="21">
        <f t="shared" si="65"/>
        <v>45470</v>
      </c>
      <c r="AT198" s="17"/>
      <c r="AU198" s="17"/>
      <c r="AV198" s="17"/>
      <c r="AW198" s="17"/>
      <c r="AX198" s="17"/>
      <c r="AY198" s="17"/>
      <c r="AZ198" s="17"/>
    </row>
    <row r="199" spans="1:52" ht="20">
      <c r="A199" s="17"/>
      <c r="B199" s="40"/>
      <c r="C199" s="55">
        <f t="shared" si="61"/>
        <v>180</v>
      </c>
      <c r="D199" s="54">
        <v>1</v>
      </c>
      <c r="E199" s="53" t="str">
        <f t="shared" si="53"/>
        <v>6</v>
      </c>
      <c r="F199" s="52">
        <f t="shared" si="62"/>
        <v>45471</v>
      </c>
      <c r="G199" s="51" t="str">
        <f t="shared" si="54"/>
        <v>Fri</v>
      </c>
      <c r="H199" s="50"/>
      <c r="I199" s="49"/>
      <c r="J199" s="48">
        <v>225140</v>
      </c>
      <c r="K199" s="31"/>
      <c r="L199" s="43">
        <f t="shared" si="66"/>
        <v>221794.94429065744</v>
      </c>
      <c r="M199" s="47">
        <f t="shared" si="55"/>
        <v>3345.0557093425596</v>
      </c>
      <c r="N199" s="41">
        <f t="shared" si="56"/>
        <v>1.0150817491356292</v>
      </c>
      <c r="O199" s="46"/>
      <c r="P199" s="45">
        <f>IF(D199=0,0,SUM($L$172:L199))</f>
        <v>5323078.6629757797</v>
      </c>
      <c r="Q199" s="43">
        <f>IF(D199=0,0,SUM($J$172:J199))</f>
        <v>5765850</v>
      </c>
      <c r="R199" s="42">
        <f t="shared" si="57"/>
        <v>442771.33702422027</v>
      </c>
      <c r="S199" s="41">
        <f t="shared" si="58"/>
        <v>1.0831795592471474</v>
      </c>
      <c r="T199" s="56"/>
      <c r="U199" s="43">
        <f>IF(D199=0,0,SUM($L$20:L199))</f>
        <v>33564968.235986188</v>
      </c>
      <c r="V199" s="43">
        <f>IF(D199=0,0,SUM($J$20:J199))</f>
        <v>35052329</v>
      </c>
      <c r="W199" s="42">
        <f t="shared" si="59"/>
        <v>1487360.7640138119</v>
      </c>
      <c r="X199" s="41">
        <f t="shared" si="60"/>
        <v>1.0443128905576964</v>
      </c>
      <c r="Y199" s="17"/>
      <c r="Z199" s="23">
        <f t="shared" si="63"/>
        <v>45471</v>
      </c>
      <c r="AA199" s="22">
        <f t="shared" si="64"/>
        <v>45471</v>
      </c>
      <c r="AB199" s="137">
        <v>45471</v>
      </c>
      <c r="AC199" s="137"/>
      <c r="AD199" s="134"/>
      <c r="AE199" s="134"/>
      <c r="AF199" s="139"/>
      <c r="AG199" s="256"/>
      <c r="AH199" s="256"/>
      <c r="AI199" s="256"/>
      <c r="AJ199" s="256"/>
      <c r="AK199" s="134"/>
      <c r="AL199" s="134"/>
      <c r="AM199" s="134"/>
      <c r="AN199" s="18"/>
      <c r="AO199" s="18"/>
      <c r="AP199" s="18"/>
      <c r="AQ199" s="18"/>
      <c r="AR199" s="17"/>
      <c r="AS199" s="21">
        <f t="shared" si="65"/>
        <v>45471</v>
      </c>
      <c r="AT199" s="17"/>
      <c r="AU199" s="17"/>
      <c r="AV199" s="17"/>
      <c r="AW199" s="17"/>
      <c r="AX199" s="17"/>
      <c r="AY199" s="17"/>
      <c r="AZ199" s="17"/>
    </row>
    <row r="200" spans="1:52" ht="20">
      <c r="A200" s="17"/>
      <c r="B200" s="40"/>
      <c r="C200" s="55">
        <f t="shared" si="61"/>
        <v>181</v>
      </c>
      <c r="D200" s="54">
        <v>1</v>
      </c>
      <c r="E200" s="53" t="str">
        <f t="shared" si="53"/>
        <v>6</v>
      </c>
      <c r="F200" s="52">
        <f t="shared" si="62"/>
        <v>45472</v>
      </c>
      <c r="G200" s="51" t="str">
        <f t="shared" si="54"/>
        <v>Sat</v>
      </c>
      <c r="H200" s="50"/>
      <c r="I200" s="49"/>
      <c r="J200" s="48">
        <v>142100</v>
      </c>
      <c r="K200" s="31"/>
      <c r="L200" s="43">
        <f t="shared" si="66"/>
        <v>221794.94429065744</v>
      </c>
      <c r="M200" s="47">
        <f t="shared" si="55"/>
        <v>-79694.94429065744</v>
      </c>
      <c r="N200" s="41">
        <f t="shared" si="56"/>
        <v>0.64068187151182787</v>
      </c>
      <c r="O200" s="46"/>
      <c r="P200" s="45">
        <f>IF(D200=0,0,SUM($L$172:L200))</f>
        <v>5544873.6072664373</v>
      </c>
      <c r="Q200" s="43">
        <f>IF(D200=0,0,SUM($J$172:J200))</f>
        <v>5907950</v>
      </c>
      <c r="R200" s="42">
        <f t="shared" si="57"/>
        <v>363076.39273356274</v>
      </c>
      <c r="S200" s="41">
        <f t="shared" si="58"/>
        <v>1.0654796517377347</v>
      </c>
      <c r="T200" s="44"/>
      <c r="U200" s="43">
        <f>IF(D200=0,0,SUM($L$20:L200))</f>
        <v>33786763.180276848</v>
      </c>
      <c r="V200" s="43">
        <f>IF(D200=0,0,SUM($J$20:J200))</f>
        <v>35194429</v>
      </c>
      <c r="W200" s="42">
        <f t="shared" si="59"/>
        <v>1407665.8197231516</v>
      </c>
      <c r="X200" s="41">
        <f t="shared" si="60"/>
        <v>1.0416632339775265</v>
      </c>
      <c r="Y200" s="17"/>
      <c r="Z200" s="23">
        <f t="shared" si="63"/>
        <v>45472</v>
      </c>
      <c r="AA200" s="22">
        <f t="shared" si="64"/>
        <v>45472</v>
      </c>
      <c r="AB200" s="137">
        <v>45472</v>
      </c>
      <c r="AC200" s="137"/>
      <c r="AD200" s="134"/>
      <c r="AE200" s="134"/>
      <c r="AF200" s="139"/>
      <c r="AG200" s="256"/>
      <c r="AH200" s="256"/>
      <c r="AI200" s="256"/>
      <c r="AJ200" s="256"/>
      <c r="AK200" s="134"/>
      <c r="AL200" s="134"/>
      <c r="AM200" s="134"/>
      <c r="AN200" s="18"/>
      <c r="AO200" s="18"/>
      <c r="AP200" s="18"/>
      <c r="AQ200" s="18"/>
      <c r="AR200" s="17"/>
      <c r="AS200" s="21">
        <f t="shared" si="65"/>
        <v>45472</v>
      </c>
      <c r="AT200" s="17"/>
      <c r="AU200" s="17"/>
      <c r="AV200" s="17"/>
      <c r="AW200" s="17"/>
      <c r="AX200" s="17"/>
      <c r="AY200" s="17"/>
      <c r="AZ200" s="17"/>
    </row>
    <row r="201" spans="1:52" ht="21" thickBot="1">
      <c r="A201" s="17"/>
      <c r="B201" s="40"/>
      <c r="C201" s="39">
        <f t="shared" si="61"/>
        <v>182</v>
      </c>
      <c r="D201" s="38">
        <v>0</v>
      </c>
      <c r="E201" s="37" t="str">
        <f t="shared" si="53"/>
        <v>6</v>
      </c>
      <c r="F201" s="36">
        <f t="shared" si="62"/>
        <v>45473</v>
      </c>
      <c r="G201" s="35" t="str">
        <f t="shared" si="54"/>
        <v>Sun</v>
      </c>
      <c r="H201" s="34" t="s">
        <v>46</v>
      </c>
      <c r="I201" s="33"/>
      <c r="J201" s="32">
        <v>0</v>
      </c>
      <c r="K201" s="31"/>
      <c r="L201" s="26">
        <f t="shared" si="66"/>
        <v>0</v>
      </c>
      <c r="M201" s="30">
        <f t="shared" si="55"/>
        <v>0</v>
      </c>
      <c r="N201" s="24" t="str">
        <f t="shared" si="56"/>
        <v>0%</v>
      </c>
      <c r="O201" s="29"/>
      <c r="P201" s="63">
        <f>IF(D201=0,0,SUM($L$172:L201))</f>
        <v>0</v>
      </c>
      <c r="Q201" s="26">
        <f>IF(D201=0,0,SUM($J$172:J201))</f>
        <v>0</v>
      </c>
      <c r="R201" s="25">
        <f t="shared" si="57"/>
        <v>0</v>
      </c>
      <c r="S201" s="24" t="str">
        <f t="shared" si="58"/>
        <v>0%</v>
      </c>
      <c r="T201" s="64"/>
      <c r="U201" s="26">
        <f>IF(D201=0,0,SUM($L$20:L201))</f>
        <v>0</v>
      </c>
      <c r="V201" s="26">
        <f>IF(D201=0,0,SUM($J$20:J201))</f>
        <v>0</v>
      </c>
      <c r="W201" s="25">
        <f t="shared" si="59"/>
        <v>0</v>
      </c>
      <c r="X201" s="24" t="str">
        <f t="shared" si="60"/>
        <v>0%</v>
      </c>
      <c r="Y201" s="17"/>
      <c r="Z201" s="23">
        <f t="shared" si="63"/>
        <v>45473</v>
      </c>
      <c r="AA201" s="22">
        <f t="shared" si="64"/>
        <v>45473</v>
      </c>
      <c r="AB201" s="137">
        <v>45473</v>
      </c>
      <c r="AC201" s="137"/>
      <c r="AD201" s="134"/>
      <c r="AE201" s="134"/>
      <c r="AF201" s="139"/>
      <c r="AG201" s="256"/>
      <c r="AH201" s="256"/>
      <c r="AI201" s="256"/>
      <c r="AJ201" s="256"/>
      <c r="AK201" s="134"/>
      <c r="AL201" s="134"/>
      <c r="AM201" s="134"/>
      <c r="AN201" s="18"/>
      <c r="AO201" s="18"/>
      <c r="AP201" s="18"/>
      <c r="AQ201" s="18"/>
      <c r="AR201" s="17"/>
      <c r="AS201" s="21">
        <f t="shared" si="65"/>
        <v>45473</v>
      </c>
      <c r="AT201" s="17"/>
      <c r="AU201" s="17"/>
      <c r="AV201" s="17"/>
      <c r="AW201" s="17"/>
      <c r="AX201" s="17"/>
      <c r="AY201" s="17"/>
      <c r="AZ201" s="17"/>
    </row>
    <row r="202" spans="1:52" ht="21" thickTop="1">
      <c r="A202" s="17"/>
      <c r="B202" s="40"/>
      <c r="C202" s="55">
        <f t="shared" si="61"/>
        <v>183</v>
      </c>
      <c r="D202" s="62">
        <v>1</v>
      </c>
      <c r="E202" s="53" t="str">
        <f t="shared" si="53"/>
        <v>7</v>
      </c>
      <c r="F202" s="52">
        <f t="shared" si="62"/>
        <v>45474</v>
      </c>
      <c r="G202" s="51" t="str">
        <f t="shared" si="54"/>
        <v>Mon</v>
      </c>
      <c r="H202" s="50"/>
      <c r="I202" s="49"/>
      <c r="J202" s="48">
        <v>225950</v>
      </c>
      <c r="K202" s="31"/>
      <c r="L202" s="43">
        <f t="shared" ref="L202:L232" si="67">IF(D202=0,0,$K$12)</f>
        <v>234116.88564013841</v>
      </c>
      <c r="M202" s="42">
        <f t="shared" si="55"/>
        <v>-8166.885640138411</v>
      </c>
      <c r="N202" s="60">
        <f t="shared" si="56"/>
        <v>0.96511620416524868</v>
      </c>
      <c r="O202" s="46"/>
      <c r="P202" s="61">
        <f>IF(D202=0,0,$L$202)</f>
        <v>234116.88564013841</v>
      </c>
      <c r="Q202" s="43">
        <f>IF(D202=0,0,$J$202)</f>
        <v>225950</v>
      </c>
      <c r="R202" s="42">
        <f t="shared" si="57"/>
        <v>-8166.885640138411</v>
      </c>
      <c r="S202" s="60">
        <f t="shared" si="58"/>
        <v>0.96511620416524868</v>
      </c>
      <c r="T202" s="56"/>
      <c r="U202" s="43">
        <f>IF(D202=0,0,SUM($L$20:L202))</f>
        <v>34020880.065916985</v>
      </c>
      <c r="V202" s="43">
        <f>IF(D202=0,0,SUM($J$20:J202))</f>
        <v>35420379</v>
      </c>
      <c r="W202" s="42">
        <f t="shared" si="59"/>
        <v>1399498.9340830147</v>
      </c>
      <c r="X202" s="60">
        <f t="shared" si="60"/>
        <v>1.0411364706430704</v>
      </c>
      <c r="Y202" s="17"/>
      <c r="Z202" s="23">
        <f t="shared" si="63"/>
        <v>45474</v>
      </c>
      <c r="AA202" s="22">
        <f t="shared" si="64"/>
        <v>45474</v>
      </c>
      <c r="AB202" s="137">
        <v>45474</v>
      </c>
      <c r="AC202" s="137"/>
      <c r="AD202" s="134"/>
      <c r="AE202" s="134"/>
      <c r="AF202" s="139"/>
      <c r="AG202" s="256"/>
      <c r="AH202" s="256"/>
      <c r="AI202" s="256"/>
      <c r="AJ202" s="256"/>
      <c r="AK202" s="134"/>
      <c r="AL202" s="134"/>
      <c r="AM202" s="134"/>
      <c r="AN202" s="18"/>
      <c r="AO202" s="18"/>
      <c r="AP202" s="18"/>
      <c r="AQ202" s="18"/>
      <c r="AR202" s="17"/>
      <c r="AS202" s="21">
        <f t="shared" si="65"/>
        <v>45474</v>
      </c>
      <c r="AT202" s="17"/>
      <c r="AU202" s="17"/>
      <c r="AV202" s="17"/>
      <c r="AW202" s="17"/>
      <c r="AX202" s="17"/>
      <c r="AY202" s="17"/>
      <c r="AZ202" s="17"/>
    </row>
    <row r="203" spans="1:52" ht="20">
      <c r="A203" s="17"/>
      <c r="B203" s="40"/>
      <c r="C203" s="55">
        <f t="shared" si="61"/>
        <v>184</v>
      </c>
      <c r="D203" s="54">
        <v>1</v>
      </c>
      <c r="E203" s="53" t="str">
        <f t="shared" si="53"/>
        <v>7</v>
      </c>
      <c r="F203" s="52">
        <f t="shared" si="62"/>
        <v>45475</v>
      </c>
      <c r="G203" s="51" t="str">
        <f t="shared" si="54"/>
        <v>Tue</v>
      </c>
      <c r="H203" s="50"/>
      <c r="I203" s="49"/>
      <c r="J203" s="48">
        <v>195520</v>
      </c>
      <c r="K203" s="31"/>
      <c r="L203" s="43">
        <f t="shared" si="67"/>
        <v>234116.88564013841</v>
      </c>
      <c r="M203" s="47">
        <f t="shared" si="55"/>
        <v>-38596.885640138411</v>
      </c>
      <c r="N203" s="41">
        <f t="shared" si="56"/>
        <v>0.83513839450493221</v>
      </c>
      <c r="O203" s="46"/>
      <c r="P203" s="45">
        <f>IF(D203=0,0,SUM($L$202:L203))</f>
        <v>468233.77128027682</v>
      </c>
      <c r="Q203" s="43">
        <f>IF(D203=0,0,SUM($J$202:J203))</f>
        <v>421470</v>
      </c>
      <c r="R203" s="42">
        <f t="shared" si="57"/>
        <v>-46763.771280276822</v>
      </c>
      <c r="S203" s="41">
        <f t="shared" si="58"/>
        <v>0.90012729933509039</v>
      </c>
      <c r="T203" s="56"/>
      <c r="U203" s="43">
        <f>IF(D203=0,0,SUM($L$20:L203))</f>
        <v>34254996.951557122</v>
      </c>
      <c r="V203" s="43">
        <f>IF(D203=0,0,SUM($J$20:J203))</f>
        <v>35615899</v>
      </c>
      <c r="W203" s="42">
        <f t="shared" si="59"/>
        <v>1360902.0484428778</v>
      </c>
      <c r="X203" s="41">
        <f t="shared" si="60"/>
        <v>1.0397285701227019</v>
      </c>
      <c r="Y203" s="17"/>
      <c r="Z203" s="23">
        <f t="shared" si="63"/>
        <v>45475</v>
      </c>
      <c r="AA203" s="22">
        <f t="shared" si="64"/>
        <v>45475</v>
      </c>
      <c r="AB203" s="137">
        <v>45475</v>
      </c>
      <c r="AC203" s="137"/>
      <c r="AD203" s="134"/>
      <c r="AE203" s="134"/>
      <c r="AF203" s="139"/>
      <c r="AG203" s="256"/>
      <c r="AH203" s="256"/>
      <c r="AI203" s="256"/>
      <c r="AJ203" s="256"/>
      <c r="AK203" s="134"/>
      <c r="AL203" s="134"/>
      <c r="AM203" s="134"/>
      <c r="AN203" s="18"/>
      <c r="AO203" s="18"/>
      <c r="AP203" s="18"/>
      <c r="AQ203" s="18"/>
      <c r="AR203" s="17"/>
      <c r="AS203" s="21">
        <f t="shared" si="65"/>
        <v>45475</v>
      </c>
      <c r="AT203" s="17"/>
      <c r="AU203" s="17"/>
      <c r="AV203" s="17"/>
      <c r="AW203" s="17"/>
      <c r="AX203" s="17"/>
      <c r="AY203" s="17"/>
      <c r="AZ203" s="17"/>
    </row>
    <row r="204" spans="1:52" ht="20">
      <c r="A204" s="17"/>
      <c r="B204" s="40"/>
      <c r="C204" s="55">
        <f t="shared" si="61"/>
        <v>185</v>
      </c>
      <c r="D204" s="54">
        <v>1</v>
      </c>
      <c r="E204" s="53" t="str">
        <f t="shared" si="53"/>
        <v>7</v>
      </c>
      <c r="F204" s="52">
        <f t="shared" si="62"/>
        <v>45476</v>
      </c>
      <c r="G204" s="51" t="str">
        <f t="shared" si="54"/>
        <v>Wed</v>
      </c>
      <c r="H204" s="50"/>
      <c r="I204" s="49"/>
      <c r="J204" s="48">
        <v>220150</v>
      </c>
      <c r="K204" s="31"/>
      <c r="L204" s="43">
        <f t="shared" si="67"/>
        <v>234116.88564013841</v>
      </c>
      <c r="M204" s="47">
        <f t="shared" si="55"/>
        <v>-13966.885640138411</v>
      </c>
      <c r="N204" s="41">
        <f t="shared" si="56"/>
        <v>0.94034225424642393</v>
      </c>
      <c r="O204" s="46"/>
      <c r="P204" s="45">
        <f>IF(D204=0,0,SUM($L$202:L204))</f>
        <v>702350.65692041523</v>
      </c>
      <c r="Q204" s="43">
        <f>IF(D204=0,0,SUM($J$202:J204))</f>
        <v>641620</v>
      </c>
      <c r="R204" s="42">
        <f t="shared" si="57"/>
        <v>-60730.656920415233</v>
      </c>
      <c r="S204" s="41">
        <f t="shared" si="58"/>
        <v>0.9135322843055349</v>
      </c>
      <c r="T204" s="56"/>
      <c r="U204" s="43">
        <f>IF(D204=0,0,SUM($L$20:L204))</f>
        <v>34489113.837197259</v>
      </c>
      <c r="V204" s="43">
        <f>IF(D204=0,0,SUM($J$20:J204))</f>
        <v>35836049</v>
      </c>
      <c r="W204" s="42">
        <f t="shared" si="59"/>
        <v>1346935.1628027409</v>
      </c>
      <c r="X204" s="41">
        <f t="shared" si="60"/>
        <v>1.0390539220335098</v>
      </c>
      <c r="Y204" s="17"/>
      <c r="Z204" s="23">
        <f t="shared" si="63"/>
        <v>45476</v>
      </c>
      <c r="AA204" s="22">
        <f t="shared" si="64"/>
        <v>45476</v>
      </c>
      <c r="AB204" s="137">
        <v>45476</v>
      </c>
      <c r="AC204" s="137"/>
      <c r="AD204" s="134"/>
      <c r="AE204" s="134"/>
      <c r="AF204" s="139"/>
      <c r="AG204" s="256"/>
      <c r="AH204" s="256"/>
      <c r="AI204" s="256"/>
      <c r="AJ204" s="256"/>
      <c r="AK204" s="134"/>
      <c r="AL204" s="134"/>
      <c r="AM204" s="134"/>
      <c r="AN204" s="18"/>
      <c r="AO204" s="18"/>
      <c r="AP204" s="18"/>
      <c r="AQ204" s="18"/>
      <c r="AR204" s="17"/>
      <c r="AS204" s="21">
        <f t="shared" si="65"/>
        <v>45476</v>
      </c>
      <c r="AT204" s="17"/>
      <c r="AU204" s="17"/>
      <c r="AV204" s="17"/>
      <c r="AW204" s="17"/>
      <c r="AX204" s="17"/>
      <c r="AY204" s="17"/>
      <c r="AZ204" s="17"/>
    </row>
    <row r="205" spans="1:52" ht="20">
      <c r="A205" s="17"/>
      <c r="B205" s="40"/>
      <c r="C205" s="55">
        <f t="shared" si="61"/>
        <v>186</v>
      </c>
      <c r="D205" s="54">
        <v>1</v>
      </c>
      <c r="E205" s="53" t="str">
        <f t="shared" si="53"/>
        <v>7</v>
      </c>
      <c r="F205" s="52">
        <f t="shared" si="62"/>
        <v>45477</v>
      </c>
      <c r="G205" s="51" t="str">
        <f t="shared" si="54"/>
        <v>Thu</v>
      </c>
      <c r="H205" s="50"/>
      <c r="I205" s="49"/>
      <c r="J205" s="48">
        <v>265500</v>
      </c>
      <c r="K205" s="31"/>
      <c r="L205" s="43">
        <f t="shared" si="67"/>
        <v>234116.88564013841</v>
      </c>
      <c r="M205" s="47">
        <f t="shared" si="55"/>
        <v>31383.114359861589</v>
      </c>
      <c r="N205" s="41">
        <f t="shared" si="56"/>
        <v>1.1340489143875792</v>
      </c>
      <c r="O205" s="46"/>
      <c r="P205" s="45">
        <f>IF(D205=0,0,SUM($L$202:L205))</f>
        <v>936467.54256055364</v>
      </c>
      <c r="Q205" s="43">
        <f>IF(D205=0,0,SUM($J$202:J205))</f>
        <v>907120</v>
      </c>
      <c r="R205" s="42">
        <f t="shared" si="57"/>
        <v>-29347.542560553644</v>
      </c>
      <c r="S205" s="41">
        <f t="shared" si="58"/>
        <v>0.96866144182604597</v>
      </c>
      <c r="T205" s="56"/>
      <c r="U205" s="43">
        <f>IF(D205=0,0,SUM($L$20:L205))</f>
        <v>34723230.722837396</v>
      </c>
      <c r="V205" s="43">
        <f>IF(D205=0,0,SUM($J$20:J205))</f>
        <v>36101549</v>
      </c>
      <c r="W205" s="42">
        <f t="shared" si="59"/>
        <v>1378318.277162604</v>
      </c>
      <c r="X205" s="41">
        <f t="shared" si="60"/>
        <v>1.0396944134652795</v>
      </c>
      <c r="Y205" s="17"/>
      <c r="Z205" s="23">
        <f t="shared" si="63"/>
        <v>45477</v>
      </c>
      <c r="AA205" s="22">
        <f t="shared" si="64"/>
        <v>45477</v>
      </c>
      <c r="AB205" s="137">
        <v>45477</v>
      </c>
      <c r="AC205" s="137"/>
      <c r="AD205" s="134"/>
      <c r="AE205" s="134"/>
      <c r="AF205" s="139"/>
      <c r="AG205" s="256"/>
      <c r="AH205" s="256"/>
      <c r="AI205" s="256"/>
      <c r="AJ205" s="256"/>
      <c r="AK205" s="134"/>
      <c r="AL205" s="134"/>
      <c r="AM205" s="134"/>
      <c r="AN205" s="18"/>
      <c r="AO205" s="18"/>
      <c r="AP205" s="18"/>
      <c r="AQ205" s="18"/>
      <c r="AR205" s="17"/>
      <c r="AS205" s="21">
        <f t="shared" si="65"/>
        <v>45477</v>
      </c>
      <c r="AT205" s="17"/>
      <c r="AU205" s="17"/>
      <c r="AV205" s="17"/>
      <c r="AW205" s="17"/>
      <c r="AX205" s="17"/>
      <c r="AY205" s="17"/>
      <c r="AZ205" s="17"/>
    </row>
    <row r="206" spans="1:52" ht="20">
      <c r="A206" s="17"/>
      <c r="B206" s="40"/>
      <c r="C206" s="55">
        <f t="shared" si="61"/>
        <v>187</v>
      </c>
      <c r="D206" s="54">
        <v>1</v>
      </c>
      <c r="E206" s="53" t="str">
        <f t="shared" si="53"/>
        <v>7</v>
      </c>
      <c r="F206" s="52">
        <f t="shared" si="62"/>
        <v>45478</v>
      </c>
      <c r="G206" s="51" t="str">
        <f t="shared" si="54"/>
        <v>Fri</v>
      </c>
      <c r="H206" s="50"/>
      <c r="I206" s="49"/>
      <c r="J206" s="48">
        <v>425150</v>
      </c>
      <c r="K206" s="31"/>
      <c r="L206" s="43">
        <f t="shared" si="67"/>
        <v>234116.88564013841</v>
      </c>
      <c r="M206" s="47">
        <f t="shared" si="55"/>
        <v>191033.11435986159</v>
      </c>
      <c r="N206" s="41">
        <f t="shared" si="56"/>
        <v>1.8159732427566075</v>
      </c>
      <c r="O206" s="46"/>
      <c r="P206" s="45">
        <f>IF(D206=0,0,SUM($L$202:L206))</f>
        <v>1170584.4282006919</v>
      </c>
      <c r="Q206" s="43">
        <f>IF(D206=0,0,SUM($J$202:J206))</f>
        <v>1332270</v>
      </c>
      <c r="R206" s="42">
        <f t="shared" si="57"/>
        <v>161685.57179930806</v>
      </c>
      <c r="S206" s="41">
        <f t="shared" si="58"/>
        <v>1.1381238020121585</v>
      </c>
      <c r="T206" s="56"/>
      <c r="U206" s="43">
        <f>IF(D206=0,0,SUM($L$20:L206))</f>
        <v>34957347.608477533</v>
      </c>
      <c r="V206" s="43">
        <f>IF(D206=0,0,SUM($J$20:J206))</f>
        <v>36526699</v>
      </c>
      <c r="W206" s="42">
        <f t="shared" si="59"/>
        <v>1569351.3915224671</v>
      </c>
      <c r="X206" s="41">
        <f t="shared" si="60"/>
        <v>1.0448933199709318</v>
      </c>
      <c r="Y206" s="17"/>
      <c r="Z206" s="23">
        <f t="shared" si="63"/>
        <v>45478</v>
      </c>
      <c r="AA206" s="22">
        <f t="shared" si="64"/>
        <v>45478</v>
      </c>
      <c r="AB206" s="137">
        <v>45478</v>
      </c>
      <c r="AC206" s="137"/>
      <c r="AD206" s="134"/>
      <c r="AE206" s="134"/>
      <c r="AF206" s="139"/>
      <c r="AG206" s="256"/>
      <c r="AH206" s="256"/>
      <c r="AI206" s="256"/>
      <c r="AJ206" s="256"/>
      <c r="AK206" s="134"/>
      <c r="AL206" s="134"/>
      <c r="AM206" s="134"/>
      <c r="AN206" s="18"/>
      <c r="AO206" s="18"/>
      <c r="AP206" s="18"/>
      <c r="AQ206" s="18"/>
      <c r="AR206" s="17"/>
      <c r="AS206" s="21">
        <f t="shared" si="65"/>
        <v>45478</v>
      </c>
      <c r="AT206" s="17"/>
      <c r="AU206" s="17"/>
      <c r="AV206" s="17"/>
      <c r="AW206" s="17"/>
      <c r="AX206" s="17"/>
      <c r="AY206" s="17"/>
      <c r="AZ206" s="17"/>
    </row>
    <row r="207" spans="1:52" ht="20">
      <c r="A207" s="17"/>
      <c r="B207" s="40"/>
      <c r="C207" s="55">
        <f t="shared" si="61"/>
        <v>188</v>
      </c>
      <c r="D207" s="54">
        <v>1</v>
      </c>
      <c r="E207" s="53" t="str">
        <f t="shared" si="53"/>
        <v>7</v>
      </c>
      <c r="F207" s="52">
        <f t="shared" si="62"/>
        <v>45479</v>
      </c>
      <c r="G207" s="51" t="str">
        <f t="shared" si="54"/>
        <v>Sat</v>
      </c>
      <c r="H207" s="50"/>
      <c r="I207" s="49"/>
      <c r="J207" s="48">
        <v>219710</v>
      </c>
      <c r="K207" s="31"/>
      <c r="L207" s="43">
        <f t="shared" si="67"/>
        <v>234116.88564013841</v>
      </c>
      <c r="M207" s="47">
        <f t="shared" si="55"/>
        <v>-14406.885640138411</v>
      </c>
      <c r="N207" s="41">
        <f t="shared" si="56"/>
        <v>0.93846285114913386</v>
      </c>
      <c r="O207" s="46"/>
      <c r="P207" s="45">
        <f>IF(D207=0,0,SUM($L$202:L207))</f>
        <v>1404701.3138408302</v>
      </c>
      <c r="Q207" s="43">
        <f>IF(D207=0,0,SUM($J$202:J207))</f>
        <v>1551980</v>
      </c>
      <c r="R207" s="42">
        <f t="shared" si="57"/>
        <v>147278.68615916977</v>
      </c>
      <c r="S207" s="41">
        <f t="shared" si="58"/>
        <v>1.1048469768683211</v>
      </c>
      <c r="T207" s="44"/>
      <c r="U207" s="43">
        <f>IF(D207=0,0,SUM($L$20:L207))</f>
        <v>35191464.49411767</v>
      </c>
      <c r="V207" s="43">
        <f>IF(D207=0,0,SUM($J$20:J207))</f>
        <v>36746409</v>
      </c>
      <c r="W207" s="42">
        <f t="shared" si="59"/>
        <v>1554944.5058823302</v>
      </c>
      <c r="X207" s="41">
        <f t="shared" si="60"/>
        <v>1.0441852741349325</v>
      </c>
      <c r="Y207" s="17"/>
      <c r="Z207" s="23">
        <f t="shared" si="63"/>
        <v>45479</v>
      </c>
      <c r="AA207" s="22">
        <f t="shared" si="64"/>
        <v>45479</v>
      </c>
      <c r="AB207" s="137">
        <v>45479</v>
      </c>
      <c r="AC207" s="137"/>
      <c r="AD207" s="134"/>
      <c r="AE207" s="134"/>
      <c r="AF207" s="139"/>
      <c r="AG207" s="256"/>
      <c r="AH207" s="256"/>
      <c r="AI207" s="256"/>
      <c r="AJ207" s="256"/>
      <c r="AK207" s="134"/>
      <c r="AL207" s="134"/>
      <c r="AM207" s="134"/>
      <c r="AN207" s="18"/>
      <c r="AO207" s="18"/>
      <c r="AP207" s="18"/>
      <c r="AQ207" s="18"/>
      <c r="AR207" s="17"/>
      <c r="AS207" s="21">
        <f t="shared" si="65"/>
        <v>45479</v>
      </c>
      <c r="AT207" s="17"/>
      <c r="AU207" s="17"/>
      <c r="AV207" s="17"/>
      <c r="AW207" s="17"/>
      <c r="AX207" s="17"/>
      <c r="AY207" s="17"/>
      <c r="AZ207" s="17"/>
    </row>
    <row r="208" spans="1:52" ht="20">
      <c r="A208" s="17"/>
      <c r="B208" s="40"/>
      <c r="C208" s="55">
        <f t="shared" si="61"/>
        <v>189</v>
      </c>
      <c r="D208" s="54">
        <v>0</v>
      </c>
      <c r="E208" s="53" t="str">
        <f t="shared" si="53"/>
        <v>7</v>
      </c>
      <c r="F208" s="52">
        <f t="shared" si="62"/>
        <v>45480</v>
      </c>
      <c r="G208" s="51" t="str">
        <f t="shared" si="54"/>
        <v>Sun</v>
      </c>
      <c r="H208" s="50" t="s">
        <v>46</v>
      </c>
      <c r="I208" s="49"/>
      <c r="J208" s="48">
        <v>0</v>
      </c>
      <c r="K208" s="31"/>
      <c r="L208" s="43">
        <f t="shared" si="67"/>
        <v>0</v>
      </c>
      <c r="M208" s="47">
        <f t="shared" si="55"/>
        <v>0</v>
      </c>
      <c r="N208" s="41" t="str">
        <f t="shared" si="56"/>
        <v>0%</v>
      </c>
      <c r="O208" s="46"/>
      <c r="P208" s="45">
        <f>IF(D208=0,0,SUM($L$202:L208))</f>
        <v>0</v>
      </c>
      <c r="Q208" s="43">
        <f>IF(D208=0,0,SUM($J$202:J208))</f>
        <v>0</v>
      </c>
      <c r="R208" s="42">
        <f t="shared" si="57"/>
        <v>0</v>
      </c>
      <c r="S208" s="41" t="str">
        <f t="shared" si="58"/>
        <v>0%</v>
      </c>
      <c r="T208" s="56"/>
      <c r="U208" s="43">
        <f>IF(D208=0,0,SUM($L$20:L208))</f>
        <v>0</v>
      </c>
      <c r="V208" s="43">
        <f>IF(D208=0,0,SUM($J$20:J208))</f>
        <v>0</v>
      </c>
      <c r="W208" s="42">
        <f t="shared" si="59"/>
        <v>0</v>
      </c>
      <c r="X208" s="41" t="str">
        <f t="shared" si="60"/>
        <v>0%</v>
      </c>
      <c r="Y208" s="17"/>
      <c r="Z208" s="23">
        <f t="shared" si="63"/>
        <v>45480</v>
      </c>
      <c r="AA208" s="22">
        <f t="shared" si="64"/>
        <v>45480</v>
      </c>
      <c r="AB208" s="137">
        <v>45480</v>
      </c>
      <c r="AC208" s="137"/>
      <c r="AD208" s="134"/>
      <c r="AE208" s="134"/>
      <c r="AF208" s="139"/>
      <c r="AG208" s="256"/>
      <c r="AH208" s="256"/>
      <c r="AI208" s="256"/>
      <c r="AJ208" s="256"/>
      <c r="AK208" s="134"/>
      <c r="AL208" s="134"/>
      <c r="AM208" s="134"/>
      <c r="AN208" s="18"/>
      <c r="AO208" s="18"/>
      <c r="AP208" s="18"/>
      <c r="AQ208" s="18"/>
      <c r="AR208" s="17"/>
      <c r="AS208" s="21">
        <f t="shared" si="65"/>
        <v>45480</v>
      </c>
      <c r="AT208" s="17"/>
      <c r="AU208" s="17"/>
      <c r="AV208" s="17"/>
      <c r="AW208" s="17"/>
      <c r="AX208" s="17"/>
      <c r="AY208" s="17"/>
      <c r="AZ208" s="17"/>
    </row>
    <row r="209" spans="1:52" ht="20">
      <c r="A209" s="17"/>
      <c r="B209" s="40"/>
      <c r="C209" s="55">
        <f t="shared" si="61"/>
        <v>190</v>
      </c>
      <c r="D209" s="54">
        <v>1</v>
      </c>
      <c r="E209" s="53" t="str">
        <f t="shared" si="53"/>
        <v>7</v>
      </c>
      <c r="F209" s="52">
        <f t="shared" si="62"/>
        <v>45481</v>
      </c>
      <c r="G209" s="51" t="str">
        <f t="shared" si="54"/>
        <v>Mon</v>
      </c>
      <c r="H209" s="50"/>
      <c r="I209" s="49"/>
      <c r="J209" s="48">
        <v>267650</v>
      </c>
      <c r="K209" s="31"/>
      <c r="L209" s="43">
        <f t="shared" si="67"/>
        <v>234116.88564013841</v>
      </c>
      <c r="M209" s="47">
        <f t="shared" si="55"/>
        <v>33533.114359861589</v>
      </c>
      <c r="N209" s="41">
        <f t="shared" si="56"/>
        <v>1.1432323613402471</v>
      </c>
      <c r="O209" s="46"/>
      <c r="P209" s="45">
        <f>IF(D209=0,0,SUM($L$202:L209))</f>
        <v>1638818.1994809685</v>
      </c>
      <c r="Q209" s="43">
        <f>IF(D209=0,0,SUM($J$202:J209))</f>
        <v>1819630</v>
      </c>
      <c r="R209" s="42">
        <f t="shared" si="57"/>
        <v>180811.80051903147</v>
      </c>
      <c r="S209" s="41">
        <f t="shared" si="58"/>
        <v>1.1103306032214535</v>
      </c>
      <c r="T209" s="56"/>
      <c r="U209" s="43">
        <f>IF(D209=0,0,SUM($L$20:L209))</f>
        <v>35425581.379757807</v>
      </c>
      <c r="V209" s="43">
        <f>IF(D209=0,0,SUM($J$20:J209))</f>
        <v>37014059</v>
      </c>
      <c r="W209" s="42">
        <f t="shared" si="59"/>
        <v>1588477.6202421933</v>
      </c>
      <c r="X209" s="41">
        <f t="shared" si="60"/>
        <v>1.0448398461895068</v>
      </c>
      <c r="Y209" s="17"/>
      <c r="Z209" s="23">
        <f t="shared" si="63"/>
        <v>45481</v>
      </c>
      <c r="AA209" s="22">
        <f t="shared" si="64"/>
        <v>45481</v>
      </c>
      <c r="AB209" s="137">
        <v>45481</v>
      </c>
      <c r="AC209" s="137"/>
      <c r="AD209" s="134"/>
      <c r="AE209" s="134"/>
      <c r="AF209" s="139"/>
      <c r="AG209" s="256"/>
      <c r="AH209" s="256"/>
      <c r="AI209" s="256"/>
      <c r="AJ209" s="256"/>
      <c r="AK209" s="134"/>
      <c r="AL209" s="134"/>
      <c r="AM209" s="134"/>
      <c r="AN209" s="18"/>
      <c r="AO209" s="18"/>
      <c r="AP209" s="18"/>
      <c r="AQ209" s="18"/>
      <c r="AR209" s="17"/>
      <c r="AS209" s="21">
        <f t="shared" si="65"/>
        <v>45481</v>
      </c>
      <c r="AT209" s="17"/>
      <c r="AU209" s="17"/>
      <c r="AV209" s="17"/>
      <c r="AW209" s="17"/>
      <c r="AX209" s="17"/>
      <c r="AY209" s="17"/>
      <c r="AZ209" s="17"/>
    </row>
    <row r="210" spans="1:52" ht="20">
      <c r="A210" s="17"/>
      <c r="B210" s="40"/>
      <c r="C210" s="55">
        <f t="shared" si="61"/>
        <v>191</v>
      </c>
      <c r="D210" s="54">
        <v>1</v>
      </c>
      <c r="E210" s="53" t="str">
        <f t="shared" si="53"/>
        <v>7</v>
      </c>
      <c r="F210" s="52">
        <f t="shared" si="62"/>
        <v>45482</v>
      </c>
      <c r="G210" s="51" t="str">
        <f t="shared" si="54"/>
        <v>Tue</v>
      </c>
      <c r="H210" s="50"/>
      <c r="I210" s="49"/>
      <c r="J210" s="48">
        <v>185750</v>
      </c>
      <c r="K210" s="31"/>
      <c r="L210" s="43">
        <f t="shared" si="67"/>
        <v>234116.88564013841</v>
      </c>
      <c r="M210" s="47">
        <f t="shared" si="55"/>
        <v>-48366.885640138411</v>
      </c>
      <c r="N210" s="41">
        <f t="shared" si="56"/>
        <v>0.79340710300373951</v>
      </c>
      <c r="O210" s="46"/>
      <c r="P210" s="45">
        <f>IF(D210=0,0,SUM($L$202:L210))</f>
        <v>1872935.0851211068</v>
      </c>
      <c r="Q210" s="43">
        <f>IF(D210=0,0,SUM($J$202:J210))</f>
        <v>2005380</v>
      </c>
      <c r="R210" s="42">
        <f t="shared" si="57"/>
        <v>132444.91487889318</v>
      </c>
      <c r="S210" s="41">
        <f t="shared" si="58"/>
        <v>1.0707151656942393</v>
      </c>
      <c r="T210" s="56"/>
      <c r="U210" s="43">
        <f>IF(D210=0,0,SUM($L$20:L210))</f>
        <v>35659698.265397944</v>
      </c>
      <c r="V210" s="43">
        <f>IF(D210=0,0,SUM($J$20:J210))</f>
        <v>37199809</v>
      </c>
      <c r="W210" s="42">
        <f t="shared" si="59"/>
        <v>1540110.7346020564</v>
      </c>
      <c r="X210" s="41">
        <f t="shared" si="60"/>
        <v>1.0431891129066699</v>
      </c>
      <c r="Y210" s="17"/>
      <c r="Z210" s="23">
        <f t="shared" si="63"/>
        <v>45482</v>
      </c>
      <c r="AA210" s="22">
        <f t="shared" si="64"/>
        <v>45482</v>
      </c>
      <c r="AB210" s="137">
        <v>45482</v>
      </c>
      <c r="AC210" s="137"/>
      <c r="AD210" s="134"/>
      <c r="AE210" s="134"/>
      <c r="AF210" s="139"/>
      <c r="AG210" s="256"/>
      <c r="AH210" s="256"/>
      <c r="AI210" s="256"/>
      <c r="AJ210" s="256"/>
      <c r="AK210" s="134"/>
      <c r="AL210" s="134"/>
      <c r="AM210" s="134"/>
      <c r="AN210" s="18"/>
      <c r="AO210" s="18"/>
      <c r="AP210" s="18"/>
      <c r="AQ210" s="18"/>
      <c r="AR210" s="17"/>
      <c r="AS210" s="21">
        <f t="shared" si="65"/>
        <v>45482</v>
      </c>
      <c r="AT210" s="17"/>
      <c r="AU210" s="17"/>
      <c r="AV210" s="17"/>
      <c r="AW210" s="17"/>
      <c r="AX210" s="17"/>
      <c r="AY210" s="17"/>
      <c r="AZ210" s="17"/>
    </row>
    <row r="211" spans="1:52" ht="20">
      <c r="A211" s="17"/>
      <c r="B211" s="40"/>
      <c r="C211" s="55">
        <f t="shared" si="61"/>
        <v>192</v>
      </c>
      <c r="D211" s="54">
        <v>1</v>
      </c>
      <c r="E211" s="53" t="str">
        <f t="shared" si="53"/>
        <v>7</v>
      </c>
      <c r="F211" s="52">
        <f t="shared" si="62"/>
        <v>45483</v>
      </c>
      <c r="G211" s="51" t="str">
        <f t="shared" si="54"/>
        <v>Wed</v>
      </c>
      <c r="H211" s="50"/>
      <c r="I211" s="49"/>
      <c r="J211" s="48">
        <v>198000</v>
      </c>
      <c r="K211" s="31"/>
      <c r="L211" s="43">
        <f t="shared" si="67"/>
        <v>234116.88564013841</v>
      </c>
      <c r="M211" s="47">
        <f t="shared" si="55"/>
        <v>-36116.885640138411</v>
      </c>
      <c r="N211" s="41">
        <f t="shared" si="56"/>
        <v>0.84573139378056761</v>
      </c>
      <c r="O211" s="46"/>
      <c r="P211" s="45">
        <f>IF(D211=0,0,SUM($L$202:L211))</f>
        <v>2107051.9707612451</v>
      </c>
      <c r="Q211" s="43">
        <f>IF(D211=0,0,SUM($J$202:J211))</f>
        <v>2203380</v>
      </c>
      <c r="R211" s="42">
        <f t="shared" si="57"/>
        <v>96328.029238754883</v>
      </c>
      <c r="S211" s="41">
        <f t="shared" si="58"/>
        <v>1.0457169688149424</v>
      </c>
      <c r="T211" s="56"/>
      <c r="U211" s="43">
        <f>IF(D211=0,0,SUM($L$20:L211))</f>
        <v>35893815.15103808</v>
      </c>
      <c r="V211" s="43">
        <f>IF(D211=0,0,SUM($J$20:J211))</f>
        <v>37397809</v>
      </c>
      <c r="W211" s="42">
        <f t="shared" si="59"/>
        <v>1503993.8489619195</v>
      </c>
      <c r="X211" s="41">
        <f t="shared" si="60"/>
        <v>1.0419011978145327</v>
      </c>
      <c r="Y211" s="17"/>
      <c r="Z211" s="23">
        <f t="shared" si="63"/>
        <v>45483</v>
      </c>
      <c r="AA211" s="22">
        <f t="shared" si="64"/>
        <v>45483</v>
      </c>
      <c r="AB211" s="137">
        <v>45483</v>
      </c>
      <c r="AC211" s="137"/>
      <c r="AD211" s="134"/>
      <c r="AE211" s="134"/>
      <c r="AF211" s="139"/>
      <c r="AG211" s="256"/>
      <c r="AH211" s="256"/>
      <c r="AI211" s="256"/>
      <c r="AJ211" s="256"/>
      <c r="AK211" s="134"/>
      <c r="AL211" s="134"/>
      <c r="AM211" s="134"/>
      <c r="AN211" s="18"/>
      <c r="AO211" s="18"/>
      <c r="AP211" s="18"/>
      <c r="AQ211" s="18"/>
      <c r="AR211" s="17"/>
      <c r="AS211" s="21">
        <f t="shared" si="65"/>
        <v>45483</v>
      </c>
      <c r="AT211" s="17"/>
      <c r="AU211" s="17"/>
      <c r="AV211" s="17"/>
      <c r="AW211" s="17"/>
      <c r="AX211" s="17"/>
      <c r="AY211" s="17"/>
      <c r="AZ211" s="17"/>
    </row>
    <row r="212" spans="1:52" ht="20">
      <c r="A212" s="17"/>
      <c r="B212" s="40"/>
      <c r="C212" s="55">
        <f t="shared" si="61"/>
        <v>193</v>
      </c>
      <c r="D212" s="54">
        <v>1</v>
      </c>
      <c r="E212" s="53" t="str">
        <f t="shared" ref="E212:E275" si="68">TEXT(AA212,"m")</f>
        <v>7</v>
      </c>
      <c r="F212" s="52">
        <f t="shared" si="62"/>
        <v>45484</v>
      </c>
      <c r="G212" s="51" t="str">
        <f t="shared" ref="G212:G275" si="69">TEXT(AS212,"ddd")</f>
        <v>Thu</v>
      </c>
      <c r="H212" s="50"/>
      <c r="I212" s="49"/>
      <c r="J212" s="48">
        <v>436600</v>
      </c>
      <c r="K212" s="31"/>
      <c r="L212" s="43">
        <f t="shared" si="67"/>
        <v>234116.88564013841</v>
      </c>
      <c r="M212" s="47">
        <f t="shared" ref="M212:M275" si="70">IF(D212=0,0,J212-L212)</f>
        <v>202483.11435986159</v>
      </c>
      <c r="N212" s="41">
        <f t="shared" ref="N212:N275" si="71">IFERROR(J212/L212,"0%")</f>
        <v>1.864880436992908</v>
      </c>
      <c r="O212" s="46"/>
      <c r="P212" s="45">
        <f>IF(D212=0,0,SUM($L$202:L212))</f>
        <v>2341168.8564013834</v>
      </c>
      <c r="Q212" s="43">
        <f>IF(D212=0,0,SUM($J$202:J212))</f>
        <v>2639980</v>
      </c>
      <c r="R212" s="42">
        <f t="shared" ref="R212:R275" si="72">IF(D212=0,0,Q212-P212)</f>
        <v>298811.14359861659</v>
      </c>
      <c r="S212" s="41">
        <f t="shared" ref="S212:S275" si="73">IFERROR(Q212/P212,"0%")</f>
        <v>1.1276333156327392</v>
      </c>
      <c r="T212" s="56"/>
      <c r="U212" s="43">
        <f>IF(D212=0,0,SUM($L$20:L212))</f>
        <v>36127932.036678217</v>
      </c>
      <c r="V212" s="43">
        <f>IF(D212=0,0,SUM($J$20:J212))</f>
        <v>37834409</v>
      </c>
      <c r="W212" s="42">
        <f t="shared" ref="W212:W275" si="74">IF(D212=0,0,V212-U212)</f>
        <v>1706476.9633217826</v>
      </c>
      <c r="X212" s="41">
        <f t="shared" ref="X212:X275" si="75">IFERROR(V212/U212,"0%")</f>
        <v>1.0472342829251704</v>
      </c>
      <c r="Y212" s="17"/>
      <c r="Z212" s="23">
        <f t="shared" si="63"/>
        <v>45484</v>
      </c>
      <c r="AA212" s="22">
        <f t="shared" si="64"/>
        <v>45484</v>
      </c>
      <c r="AB212" s="137">
        <v>45484</v>
      </c>
      <c r="AC212" s="137"/>
      <c r="AD212" s="134"/>
      <c r="AE212" s="134"/>
      <c r="AF212" s="139"/>
      <c r="AG212" s="256"/>
      <c r="AH212" s="256"/>
      <c r="AI212" s="256"/>
      <c r="AJ212" s="256"/>
      <c r="AK212" s="134"/>
      <c r="AL212" s="134"/>
      <c r="AM212" s="134"/>
      <c r="AN212" s="18"/>
      <c r="AO212" s="18"/>
      <c r="AP212" s="18"/>
      <c r="AQ212" s="18"/>
      <c r="AR212" s="17"/>
      <c r="AS212" s="21">
        <f t="shared" si="65"/>
        <v>45484</v>
      </c>
      <c r="AT212" s="17"/>
      <c r="AU212" s="17"/>
      <c r="AV212" s="17"/>
      <c r="AW212" s="17"/>
      <c r="AX212" s="17"/>
      <c r="AY212" s="17"/>
      <c r="AZ212" s="17"/>
    </row>
    <row r="213" spans="1:52" ht="20">
      <c r="A213" s="17"/>
      <c r="B213" s="40"/>
      <c r="C213" s="55">
        <f t="shared" ref="C213:C276" si="76">C212+1</f>
        <v>194</v>
      </c>
      <c r="D213" s="54">
        <v>1</v>
      </c>
      <c r="E213" s="53" t="str">
        <f t="shared" si="68"/>
        <v>7</v>
      </c>
      <c r="F213" s="52">
        <f t="shared" ref="F213:F276" si="77">F212+1</f>
        <v>45485</v>
      </c>
      <c r="G213" s="51" t="str">
        <f t="shared" si="69"/>
        <v>Fri</v>
      </c>
      <c r="H213" s="50"/>
      <c r="I213" s="49"/>
      <c r="J213" s="48">
        <v>436350</v>
      </c>
      <c r="K213" s="31"/>
      <c r="L213" s="43">
        <f t="shared" si="67"/>
        <v>234116.88564013841</v>
      </c>
      <c r="M213" s="47">
        <f t="shared" si="70"/>
        <v>202233.11435986159</v>
      </c>
      <c r="N213" s="41">
        <f t="shared" si="71"/>
        <v>1.8638125943239932</v>
      </c>
      <c r="O213" s="46"/>
      <c r="P213" s="45">
        <f>IF(D213=0,0,SUM($L$202:L213))</f>
        <v>2575285.7420415217</v>
      </c>
      <c r="Q213" s="43">
        <f>IF(D213=0,0,SUM($J$202:J213))</f>
        <v>3076330</v>
      </c>
      <c r="R213" s="42">
        <f t="shared" si="72"/>
        <v>501044.25795847829</v>
      </c>
      <c r="S213" s="41">
        <f t="shared" si="73"/>
        <v>1.1945587046046713</v>
      </c>
      <c r="T213" s="56"/>
      <c r="U213" s="43">
        <f>IF(D213=0,0,SUM($L$20:L213))</f>
        <v>36362048.922318354</v>
      </c>
      <c r="V213" s="43">
        <f>IF(D213=0,0,SUM($J$20:J213))</f>
        <v>38270759</v>
      </c>
      <c r="W213" s="42">
        <f t="shared" si="74"/>
        <v>1908710.0776816458</v>
      </c>
      <c r="X213" s="41">
        <f t="shared" si="75"/>
        <v>1.0524918186474941</v>
      </c>
      <c r="Y213" s="17"/>
      <c r="Z213" s="23">
        <f t="shared" ref="Z213:Z276" si="78">Z212+1</f>
        <v>45485</v>
      </c>
      <c r="AA213" s="22">
        <f t="shared" ref="AA213:AA276" si="79">AA212+1</f>
        <v>45485</v>
      </c>
      <c r="AB213" s="137">
        <v>45485</v>
      </c>
      <c r="AC213" s="137"/>
      <c r="AD213" s="134"/>
      <c r="AE213" s="134"/>
      <c r="AF213" s="139"/>
      <c r="AG213" s="256"/>
      <c r="AH213" s="256"/>
      <c r="AI213" s="256"/>
      <c r="AJ213" s="256"/>
      <c r="AK213" s="134"/>
      <c r="AL213" s="134"/>
      <c r="AM213" s="134"/>
      <c r="AN213" s="18"/>
      <c r="AO213" s="18"/>
      <c r="AP213" s="18"/>
      <c r="AQ213" s="18"/>
      <c r="AR213" s="17"/>
      <c r="AS213" s="21">
        <f t="shared" ref="AS213:AS276" si="80">AS212+1</f>
        <v>45485</v>
      </c>
      <c r="AT213" s="17"/>
      <c r="AU213" s="17"/>
      <c r="AV213" s="17"/>
      <c r="AW213" s="17"/>
      <c r="AX213" s="17"/>
      <c r="AY213" s="17"/>
      <c r="AZ213" s="17"/>
    </row>
    <row r="214" spans="1:52" ht="20">
      <c r="A214" s="17"/>
      <c r="B214" s="40"/>
      <c r="C214" s="55">
        <f t="shared" si="76"/>
        <v>195</v>
      </c>
      <c r="D214" s="54">
        <v>1</v>
      </c>
      <c r="E214" s="53" t="str">
        <f t="shared" si="68"/>
        <v>7</v>
      </c>
      <c r="F214" s="52">
        <f t="shared" si="77"/>
        <v>45486</v>
      </c>
      <c r="G214" s="51" t="str">
        <f t="shared" si="69"/>
        <v>Sat</v>
      </c>
      <c r="H214" s="50"/>
      <c r="I214" s="49"/>
      <c r="J214" s="48">
        <v>157580</v>
      </c>
      <c r="K214" s="31"/>
      <c r="L214" s="43">
        <f t="shared" si="67"/>
        <v>234116.88564013841</v>
      </c>
      <c r="M214" s="47">
        <f t="shared" si="70"/>
        <v>-76536.885640138411</v>
      </c>
      <c r="N214" s="41">
        <f t="shared" si="71"/>
        <v>0.67308259107041335</v>
      </c>
      <c r="O214" s="46"/>
      <c r="P214" s="45">
        <f>IF(D214=0,0,SUM($L$202:L214))</f>
        <v>2809402.62768166</v>
      </c>
      <c r="Q214" s="43">
        <f>IF(D214=0,0,SUM($J$202:J214))</f>
        <v>3233910</v>
      </c>
      <c r="R214" s="42">
        <f t="shared" si="72"/>
        <v>424507.37231834</v>
      </c>
      <c r="S214" s="41">
        <f t="shared" si="73"/>
        <v>1.1511023618101499</v>
      </c>
      <c r="T214" s="44"/>
      <c r="U214" s="43">
        <f>IF(D214=0,0,SUM($L$20:L214))</f>
        <v>36596165.807958491</v>
      </c>
      <c r="V214" s="43">
        <f>IF(D214=0,0,SUM($J$20:J214))</f>
        <v>38428339</v>
      </c>
      <c r="W214" s="42">
        <f t="shared" si="74"/>
        <v>1832173.1920415089</v>
      </c>
      <c r="X214" s="41">
        <f t="shared" si="75"/>
        <v>1.0500646215687184</v>
      </c>
      <c r="Y214" s="17"/>
      <c r="Z214" s="23">
        <f t="shared" si="78"/>
        <v>45486</v>
      </c>
      <c r="AA214" s="22">
        <f t="shared" si="79"/>
        <v>45486</v>
      </c>
      <c r="AB214" s="137">
        <v>45486</v>
      </c>
      <c r="AC214" s="137"/>
      <c r="AD214" s="134"/>
      <c r="AE214" s="134"/>
      <c r="AF214" s="139"/>
      <c r="AG214" s="256"/>
      <c r="AH214" s="256"/>
      <c r="AI214" s="256"/>
      <c r="AJ214" s="256"/>
      <c r="AK214" s="134"/>
      <c r="AL214" s="134"/>
      <c r="AM214" s="134"/>
      <c r="AN214" s="18"/>
      <c r="AO214" s="18"/>
      <c r="AP214" s="18"/>
      <c r="AQ214" s="18"/>
      <c r="AR214" s="17"/>
      <c r="AS214" s="21">
        <f t="shared" si="80"/>
        <v>45486</v>
      </c>
      <c r="AT214" s="17"/>
      <c r="AU214" s="17"/>
      <c r="AV214" s="17"/>
      <c r="AW214" s="17"/>
      <c r="AX214" s="17"/>
      <c r="AY214" s="17"/>
      <c r="AZ214" s="17"/>
    </row>
    <row r="215" spans="1:52" ht="20">
      <c r="A215" s="17"/>
      <c r="B215" s="40"/>
      <c r="C215" s="55">
        <f t="shared" si="76"/>
        <v>196</v>
      </c>
      <c r="D215" s="54">
        <v>0</v>
      </c>
      <c r="E215" s="53" t="str">
        <f t="shared" si="68"/>
        <v>7</v>
      </c>
      <c r="F215" s="52">
        <f t="shared" si="77"/>
        <v>45487</v>
      </c>
      <c r="G215" s="51" t="str">
        <f t="shared" si="69"/>
        <v>Sun</v>
      </c>
      <c r="H215" s="50" t="s">
        <v>46</v>
      </c>
      <c r="I215" s="49"/>
      <c r="J215" s="48">
        <v>0</v>
      </c>
      <c r="K215" s="31"/>
      <c r="L215" s="43">
        <f t="shared" si="67"/>
        <v>0</v>
      </c>
      <c r="M215" s="47">
        <f t="shared" si="70"/>
        <v>0</v>
      </c>
      <c r="N215" s="41" t="str">
        <f t="shared" si="71"/>
        <v>0%</v>
      </c>
      <c r="O215" s="46"/>
      <c r="P215" s="45">
        <f>IF(D215=0,0,SUM($L$202:L215))</f>
        <v>0</v>
      </c>
      <c r="Q215" s="43">
        <f>IF(D215=0,0,SUM($J$202:J215))</f>
        <v>0</v>
      </c>
      <c r="R215" s="42">
        <f t="shared" si="72"/>
        <v>0</v>
      </c>
      <c r="S215" s="41" t="str">
        <f t="shared" si="73"/>
        <v>0%</v>
      </c>
      <c r="T215" s="56"/>
      <c r="U215" s="43">
        <f>IF(D215=0,0,SUM($L$20:L215))</f>
        <v>0</v>
      </c>
      <c r="V215" s="43">
        <f>IF(D215=0,0,SUM($J$20:J215))</f>
        <v>0</v>
      </c>
      <c r="W215" s="42">
        <f t="shared" si="74"/>
        <v>0</v>
      </c>
      <c r="X215" s="41" t="str">
        <f t="shared" si="75"/>
        <v>0%</v>
      </c>
      <c r="Y215" s="17"/>
      <c r="Z215" s="23">
        <f t="shared" si="78"/>
        <v>45487</v>
      </c>
      <c r="AA215" s="22">
        <f t="shared" si="79"/>
        <v>45487</v>
      </c>
      <c r="AB215" s="137">
        <v>45487</v>
      </c>
      <c r="AC215" s="137"/>
      <c r="AD215" s="134"/>
      <c r="AE215" s="134"/>
      <c r="AF215" s="139"/>
      <c r="AG215" s="256"/>
      <c r="AH215" s="256"/>
      <c r="AI215" s="256"/>
      <c r="AJ215" s="256"/>
      <c r="AK215" s="134"/>
      <c r="AL215" s="134"/>
      <c r="AM215" s="134"/>
      <c r="AN215" s="18"/>
      <c r="AO215" s="18"/>
      <c r="AP215" s="18"/>
      <c r="AQ215" s="18"/>
      <c r="AR215" s="17"/>
      <c r="AS215" s="21">
        <f t="shared" si="80"/>
        <v>45487</v>
      </c>
      <c r="AT215" s="17"/>
      <c r="AU215" s="17"/>
      <c r="AV215" s="17"/>
      <c r="AW215" s="17"/>
      <c r="AX215" s="17"/>
      <c r="AY215" s="17"/>
      <c r="AZ215" s="17"/>
    </row>
    <row r="216" spans="1:52" ht="20">
      <c r="A216" s="17"/>
      <c r="B216" s="40"/>
      <c r="C216" s="55">
        <f t="shared" si="76"/>
        <v>197</v>
      </c>
      <c r="D216" s="54">
        <v>0</v>
      </c>
      <c r="E216" s="53" t="str">
        <f t="shared" si="68"/>
        <v>7</v>
      </c>
      <c r="F216" s="52">
        <f t="shared" si="77"/>
        <v>45488</v>
      </c>
      <c r="G216" s="51" t="str">
        <f t="shared" si="69"/>
        <v>Mon</v>
      </c>
      <c r="H216" s="50" t="s">
        <v>47</v>
      </c>
      <c r="I216" s="49"/>
      <c r="J216" s="48">
        <v>0</v>
      </c>
      <c r="K216" s="31"/>
      <c r="L216" s="43">
        <f t="shared" si="67"/>
        <v>0</v>
      </c>
      <c r="M216" s="47">
        <f t="shared" si="70"/>
        <v>0</v>
      </c>
      <c r="N216" s="41" t="str">
        <f t="shared" si="71"/>
        <v>0%</v>
      </c>
      <c r="O216" s="46"/>
      <c r="P216" s="45">
        <f>IF(D216=0,0,SUM($L$202:L216))</f>
        <v>0</v>
      </c>
      <c r="Q216" s="43">
        <f>IF(D216=0,0,SUM($J$202:J216))</f>
        <v>0</v>
      </c>
      <c r="R216" s="42">
        <f t="shared" si="72"/>
        <v>0</v>
      </c>
      <c r="S216" s="41" t="str">
        <f t="shared" si="73"/>
        <v>0%</v>
      </c>
      <c r="T216" s="56"/>
      <c r="U216" s="43">
        <f>IF(D216=0,0,SUM($L$20:L216))</f>
        <v>0</v>
      </c>
      <c r="V216" s="43">
        <f>IF(D216=0,0,SUM($J$20:J216))</f>
        <v>0</v>
      </c>
      <c r="W216" s="42">
        <f t="shared" si="74"/>
        <v>0</v>
      </c>
      <c r="X216" s="41" t="str">
        <f t="shared" si="75"/>
        <v>0%</v>
      </c>
      <c r="Y216" s="17"/>
      <c r="Z216" s="23">
        <f t="shared" si="78"/>
        <v>45488</v>
      </c>
      <c r="AA216" s="22">
        <f t="shared" si="79"/>
        <v>45488</v>
      </c>
      <c r="AB216" s="137">
        <v>45488</v>
      </c>
      <c r="AC216" s="137"/>
      <c r="AD216" s="134"/>
      <c r="AE216" s="134"/>
      <c r="AF216" s="139"/>
      <c r="AG216" s="256"/>
      <c r="AH216" s="256"/>
      <c r="AI216" s="256"/>
      <c r="AJ216" s="256"/>
      <c r="AK216" s="134"/>
      <c r="AL216" s="134"/>
      <c r="AM216" s="134"/>
      <c r="AN216" s="18"/>
      <c r="AO216" s="18"/>
      <c r="AP216" s="18"/>
      <c r="AQ216" s="18"/>
      <c r="AR216" s="17"/>
      <c r="AS216" s="21">
        <f t="shared" si="80"/>
        <v>45488</v>
      </c>
      <c r="AT216" s="17"/>
      <c r="AU216" s="17"/>
      <c r="AV216" s="17"/>
      <c r="AW216" s="17"/>
      <c r="AX216" s="17"/>
      <c r="AY216" s="17"/>
      <c r="AZ216" s="17"/>
    </row>
    <row r="217" spans="1:52" ht="20">
      <c r="A217" s="17"/>
      <c r="B217" s="40"/>
      <c r="C217" s="55">
        <f t="shared" si="76"/>
        <v>198</v>
      </c>
      <c r="D217" s="54">
        <v>1</v>
      </c>
      <c r="E217" s="53" t="str">
        <f t="shared" si="68"/>
        <v>7</v>
      </c>
      <c r="F217" s="52">
        <f t="shared" si="77"/>
        <v>45489</v>
      </c>
      <c r="G217" s="51" t="str">
        <f t="shared" si="69"/>
        <v>Tue</v>
      </c>
      <c r="H217" s="50"/>
      <c r="I217" s="49"/>
      <c r="J217" s="48">
        <v>185350</v>
      </c>
      <c r="K217" s="31"/>
      <c r="L217" s="43">
        <f t="shared" si="67"/>
        <v>234116.88564013841</v>
      </c>
      <c r="M217" s="47">
        <f t="shared" si="70"/>
        <v>-48766.885640138411</v>
      </c>
      <c r="N217" s="41">
        <f t="shared" si="71"/>
        <v>0.79169855473347572</v>
      </c>
      <c r="O217" s="46"/>
      <c r="P217" s="45">
        <f>IF(D217=0,0,SUM($L$202:L217))</f>
        <v>3043519.5133217983</v>
      </c>
      <c r="Q217" s="43">
        <f>IF(D217=0,0,SUM($J$202:J217))</f>
        <v>3419260</v>
      </c>
      <c r="R217" s="42">
        <f t="shared" si="72"/>
        <v>375740.48667820171</v>
      </c>
      <c r="S217" s="41">
        <f t="shared" si="73"/>
        <v>1.1234559151119443</v>
      </c>
      <c r="T217" s="56"/>
      <c r="U217" s="43">
        <f>IF(D217=0,0,SUM($L$20:L217))</f>
        <v>36830282.693598628</v>
      </c>
      <c r="V217" s="43">
        <f>IF(D217=0,0,SUM($J$20:J217))</f>
        <v>38613689</v>
      </c>
      <c r="W217" s="42">
        <f t="shared" si="74"/>
        <v>1783406.306401372</v>
      </c>
      <c r="X217" s="41">
        <f t="shared" si="75"/>
        <v>1.0484222812308563</v>
      </c>
      <c r="Y217" s="17"/>
      <c r="Z217" s="23">
        <f t="shared" si="78"/>
        <v>45489</v>
      </c>
      <c r="AA217" s="22">
        <f t="shared" si="79"/>
        <v>45489</v>
      </c>
      <c r="AB217" s="137">
        <v>45489</v>
      </c>
      <c r="AC217" s="137"/>
      <c r="AD217" s="134"/>
      <c r="AE217" s="134"/>
      <c r="AF217" s="139"/>
      <c r="AG217" s="256"/>
      <c r="AH217" s="256"/>
      <c r="AI217" s="256"/>
      <c r="AJ217" s="256"/>
      <c r="AK217" s="134"/>
      <c r="AL217" s="134"/>
      <c r="AM217" s="134"/>
      <c r="AN217" s="18"/>
      <c r="AO217" s="18"/>
      <c r="AP217" s="18"/>
      <c r="AQ217" s="18"/>
      <c r="AR217" s="17"/>
      <c r="AS217" s="21">
        <f t="shared" si="80"/>
        <v>45489</v>
      </c>
      <c r="AT217" s="17"/>
      <c r="AU217" s="17"/>
      <c r="AV217" s="17"/>
      <c r="AW217" s="17"/>
      <c r="AX217" s="17"/>
      <c r="AY217" s="17"/>
      <c r="AZ217" s="17"/>
    </row>
    <row r="218" spans="1:52" ht="20">
      <c r="A218" s="17"/>
      <c r="B218" s="40"/>
      <c r="C218" s="55">
        <f t="shared" si="76"/>
        <v>199</v>
      </c>
      <c r="D218" s="54">
        <v>1</v>
      </c>
      <c r="E218" s="53" t="str">
        <f t="shared" si="68"/>
        <v>7</v>
      </c>
      <c r="F218" s="52">
        <f t="shared" si="77"/>
        <v>45490</v>
      </c>
      <c r="G218" s="51" t="str">
        <f t="shared" si="69"/>
        <v>Wed</v>
      </c>
      <c r="H218" s="50"/>
      <c r="I218" s="49"/>
      <c r="J218" s="48">
        <v>309450</v>
      </c>
      <c r="K218" s="31"/>
      <c r="L218" s="43">
        <f t="shared" si="67"/>
        <v>234116.88564013841</v>
      </c>
      <c r="M218" s="47">
        <f t="shared" si="70"/>
        <v>75333.114359861589</v>
      </c>
      <c r="N218" s="41">
        <f t="shared" si="71"/>
        <v>1.3217756555828113</v>
      </c>
      <c r="O218" s="46"/>
      <c r="P218" s="45">
        <f>IF(D218=0,0,SUM($L$202:L218))</f>
        <v>3277636.3989619366</v>
      </c>
      <c r="Q218" s="43">
        <f>IF(D218=0,0,SUM($J$202:J218))</f>
        <v>3728710</v>
      </c>
      <c r="R218" s="42">
        <f t="shared" si="72"/>
        <v>451073.60103806341</v>
      </c>
      <c r="S218" s="41">
        <f t="shared" si="73"/>
        <v>1.1376216108598634</v>
      </c>
      <c r="T218" s="56"/>
      <c r="U218" s="43">
        <f>IF(D218=0,0,SUM($L$20:L218))</f>
        <v>37064399.579238765</v>
      </c>
      <c r="V218" s="43">
        <f>IF(D218=0,0,SUM($J$20:J218))</f>
        <v>38923139</v>
      </c>
      <c r="W218" s="42">
        <f t="shared" si="74"/>
        <v>1858739.4207612351</v>
      </c>
      <c r="X218" s="41">
        <f t="shared" si="75"/>
        <v>1.0501489149119358</v>
      </c>
      <c r="Y218" s="17"/>
      <c r="Z218" s="23">
        <f t="shared" si="78"/>
        <v>45490</v>
      </c>
      <c r="AA218" s="22">
        <f t="shared" si="79"/>
        <v>45490</v>
      </c>
      <c r="AB218" s="137">
        <v>45490</v>
      </c>
      <c r="AC218" s="137"/>
      <c r="AD218" s="134"/>
      <c r="AE218" s="134"/>
      <c r="AF218" s="139"/>
      <c r="AG218" s="256"/>
      <c r="AH218" s="256"/>
      <c r="AI218" s="256"/>
      <c r="AJ218" s="256"/>
      <c r="AK218" s="134"/>
      <c r="AL218" s="134"/>
      <c r="AM218" s="134"/>
      <c r="AN218" s="18"/>
      <c r="AO218" s="18"/>
      <c r="AP218" s="18"/>
      <c r="AQ218" s="18"/>
      <c r="AR218" s="17"/>
      <c r="AS218" s="21">
        <f t="shared" si="80"/>
        <v>45490</v>
      </c>
      <c r="AT218" s="17"/>
      <c r="AU218" s="17"/>
      <c r="AV218" s="17"/>
      <c r="AW218" s="17"/>
      <c r="AX218" s="17"/>
      <c r="AY218" s="17"/>
      <c r="AZ218" s="17"/>
    </row>
    <row r="219" spans="1:52" ht="20">
      <c r="A219" s="17"/>
      <c r="B219" s="40"/>
      <c r="C219" s="55">
        <f t="shared" si="76"/>
        <v>200</v>
      </c>
      <c r="D219" s="54">
        <v>1</v>
      </c>
      <c r="E219" s="53" t="str">
        <f t="shared" si="68"/>
        <v>7</v>
      </c>
      <c r="F219" s="52">
        <f t="shared" si="77"/>
        <v>45491</v>
      </c>
      <c r="G219" s="51" t="str">
        <f t="shared" si="69"/>
        <v>Thu</v>
      </c>
      <c r="H219" s="50"/>
      <c r="I219" s="49"/>
      <c r="J219" s="48">
        <v>327800</v>
      </c>
      <c r="K219" s="31"/>
      <c r="L219" s="43">
        <f t="shared" si="67"/>
        <v>234116.88564013841</v>
      </c>
      <c r="M219" s="47">
        <f t="shared" si="70"/>
        <v>93683.114359861589</v>
      </c>
      <c r="N219" s="41">
        <f t="shared" si="71"/>
        <v>1.4001553074811619</v>
      </c>
      <c r="O219" s="46"/>
      <c r="P219" s="45">
        <f>IF(D219=0,0,SUM($L$202:L219))</f>
        <v>3511753.2846020749</v>
      </c>
      <c r="Q219" s="43">
        <f>IF(D219=0,0,SUM($J$202:J219))</f>
        <v>4056510</v>
      </c>
      <c r="R219" s="42">
        <f t="shared" si="72"/>
        <v>544756.71539792512</v>
      </c>
      <c r="S219" s="41">
        <f t="shared" si="73"/>
        <v>1.1551238573012832</v>
      </c>
      <c r="T219" s="56"/>
      <c r="U219" s="43">
        <f>IF(D219=0,0,SUM($L$20:L219))</f>
        <v>37298516.464878902</v>
      </c>
      <c r="V219" s="43">
        <f>IF(D219=0,0,SUM($J$20:J219))</f>
        <v>39250939</v>
      </c>
      <c r="W219" s="42">
        <f t="shared" si="74"/>
        <v>1952422.5351210982</v>
      </c>
      <c r="X219" s="41">
        <f t="shared" si="75"/>
        <v>1.0523458496522118</v>
      </c>
      <c r="Y219" s="17"/>
      <c r="Z219" s="23">
        <f t="shared" si="78"/>
        <v>45491</v>
      </c>
      <c r="AA219" s="22">
        <f t="shared" si="79"/>
        <v>45491</v>
      </c>
      <c r="AB219" s="137">
        <v>45491</v>
      </c>
      <c r="AC219" s="137"/>
      <c r="AD219" s="134"/>
      <c r="AE219" s="134"/>
      <c r="AF219" s="139"/>
      <c r="AG219" s="256"/>
      <c r="AH219" s="256"/>
      <c r="AI219" s="256"/>
      <c r="AJ219" s="256"/>
      <c r="AK219" s="134"/>
      <c r="AL219" s="134"/>
      <c r="AM219" s="134"/>
      <c r="AN219" s="18"/>
      <c r="AO219" s="18"/>
      <c r="AP219" s="18"/>
      <c r="AQ219" s="18"/>
      <c r="AR219" s="17"/>
      <c r="AS219" s="21">
        <f t="shared" si="80"/>
        <v>45491</v>
      </c>
      <c r="AT219" s="17"/>
      <c r="AU219" s="17"/>
      <c r="AV219" s="17"/>
      <c r="AW219" s="17"/>
      <c r="AX219" s="17"/>
      <c r="AY219" s="17"/>
      <c r="AZ219" s="17"/>
    </row>
    <row r="220" spans="1:52" ht="20">
      <c r="A220" s="17"/>
      <c r="B220" s="40"/>
      <c r="C220" s="55">
        <f t="shared" si="76"/>
        <v>201</v>
      </c>
      <c r="D220" s="54">
        <v>1</v>
      </c>
      <c r="E220" s="53" t="str">
        <f t="shared" si="68"/>
        <v>7</v>
      </c>
      <c r="F220" s="52">
        <f t="shared" si="77"/>
        <v>45492</v>
      </c>
      <c r="G220" s="51" t="str">
        <f t="shared" si="69"/>
        <v>Fri</v>
      </c>
      <c r="H220" s="50"/>
      <c r="I220" s="49"/>
      <c r="J220" s="48">
        <v>262250</v>
      </c>
      <c r="K220" s="31"/>
      <c r="L220" s="43">
        <f t="shared" si="67"/>
        <v>234116.88564013841</v>
      </c>
      <c r="M220" s="47">
        <f t="shared" si="70"/>
        <v>28133.114359861589</v>
      </c>
      <c r="N220" s="41">
        <f t="shared" si="71"/>
        <v>1.1201669596916861</v>
      </c>
      <c r="O220" s="46"/>
      <c r="P220" s="45">
        <f>IF(D220=0,0,SUM($L$202:L220))</f>
        <v>3745870.1702422132</v>
      </c>
      <c r="Q220" s="43">
        <f>IF(D220=0,0,SUM($J$202:J220))</f>
        <v>4318760</v>
      </c>
      <c r="R220" s="42">
        <f t="shared" si="72"/>
        <v>572889.82975778682</v>
      </c>
      <c r="S220" s="41">
        <f t="shared" si="73"/>
        <v>1.1529390512006834</v>
      </c>
      <c r="T220" s="56"/>
      <c r="U220" s="43">
        <f>IF(D220=0,0,SUM($L$20:L220))</f>
        <v>37532633.350519039</v>
      </c>
      <c r="V220" s="43">
        <f>IF(D220=0,0,SUM($J$20:J220))</f>
        <v>39513189</v>
      </c>
      <c r="W220" s="42">
        <f t="shared" si="74"/>
        <v>1980555.6494809613</v>
      </c>
      <c r="X220" s="41">
        <f t="shared" si="75"/>
        <v>1.0527688966288204</v>
      </c>
      <c r="Y220" s="17"/>
      <c r="Z220" s="23">
        <f t="shared" si="78"/>
        <v>45492</v>
      </c>
      <c r="AA220" s="22">
        <f t="shared" si="79"/>
        <v>45492</v>
      </c>
      <c r="AB220" s="137">
        <v>45492</v>
      </c>
      <c r="AC220" s="137"/>
      <c r="AD220" s="134"/>
      <c r="AE220" s="134"/>
      <c r="AF220" s="139"/>
      <c r="AG220" s="256"/>
      <c r="AH220" s="256"/>
      <c r="AI220" s="256"/>
      <c r="AJ220" s="256"/>
      <c r="AK220" s="134"/>
      <c r="AL220" s="134"/>
      <c r="AM220" s="134"/>
      <c r="AN220" s="18"/>
      <c r="AO220" s="18"/>
      <c r="AP220" s="18"/>
      <c r="AQ220" s="18"/>
      <c r="AR220" s="17"/>
      <c r="AS220" s="21">
        <f t="shared" si="80"/>
        <v>45492</v>
      </c>
      <c r="AT220" s="17"/>
      <c r="AU220" s="17"/>
      <c r="AV220" s="17"/>
      <c r="AW220" s="17"/>
      <c r="AX220" s="17"/>
      <c r="AY220" s="17"/>
      <c r="AZ220" s="17"/>
    </row>
    <row r="221" spans="1:52" ht="20">
      <c r="A221" s="17"/>
      <c r="B221" s="40"/>
      <c r="C221" s="55">
        <f t="shared" si="76"/>
        <v>202</v>
      </c>
      <c r="D221" s="54">
        <v>1</v>
      </c>
      <c r="E221" s="53" t="str">
        <f t="shared" si="68"/>
        <v>7</v>
      </c>
      <c r="F221" s="52">
        <f t="shared" si="77"/>
        <v>45493</v>
      </c>
      <c r="G221" s="51" t="str">
        <f t="shared" si="69"/>
        <v>Sat</v>
      </c>
      <c r="H221" s="50"/>
      <c r="I221" s="49"/>
      <c r="J221" s="48">
        <v>106930</v>
      </c>
      <c r="K221" s="31"/>
      <c r="L221" s="43">
        <f t="shared" si="67"/>
        <v>234116.88564013841</v>
      </c>
      <c r="M221" s="47">
        <f t="shared" si="70"/>
        <v>-127186.88564013841</v>
      </c>
      <c r="N221" s="41">
        <f t="shared" si="71"/>
        <v>0.45673766634826307</v>
      </c>
      <c r="O221" s="46"/>
      <c r="P221" s="45">
        <f>IF(D221=0,0,SUM($L$202:L221))</f>
        <v>3979987.0558823515</v>
      </c>
      <c r="Q221" s="43">
        <f>IF(D221=0,0,SUM($J$202:J221))</f>
        <v>4425690</v>
      </c>
      <c r="R221" s="42">
        <f t="shared" si="72"/>
        <v>445702.94411764853</v>
      </c>
      <c r="S221" s="41">
        <f t="shared" si="73"/>
        <v>1.1119860285623058</v>
      </c>
      <c r="T221" s="44"/>
      <c r="U221" s="43">
        <f>IF(D221=0,0,SUM($L$20:L221))</f>
        <v>37766750.236159176</v>
      </c>
      <c r="V221" s="43">
        <f>IF(D221=0,0,SUM($J$20:J221))</f>
        <v>39620119</v>
      </c>
      <c r="W221" s="42">
        <f t="shared" si="74"/>
        <v>1853368.7638408244</v>
      </c>
      <c r="X221" s="41">
        <f t="shared" si="75"/>
        <v>1.049074086392171</v>
      </c>
      <c r="Y221" s="17"/>
      <c r="Z221" s="23">
        <f t="shared" si="78"/>
        <v>45493</v>
      </c>
      <c r="AA221" s="22">
        <f t="shared" si="79"/>
        <v>45493</v>
      </c>
      <c r="AB221" s="137">
        <v>45493</v>
      </c>
      <c r="AC221" s="137"/>
      <c r="AD221" s="134"/>
      <c r="AE221" s="134"/>
      <c r="AF221" s="139"/>
      <c r="AG221" s="256"/>
      <c r="AH221" s="256"/>
      <c r="AI221" s="256"/>
      <c r="AJ221" s="256"/>
      <c r="AK221" s="134"/>
      <c r="AL221" s="134"/>
      <c r="AM221" s="134"/>
      <c r="AN221" s="18"/>
      <c r="AO221" s="18"/>
      <c r="AP221" s="18"/>
      <c r="AQ221" s="18"/>
      <c r="AR221" s="17"/>
      <c r="AS221" s="21">
        <f t="shared" si="80"/>
        <v>45493</v>
      </c>
      <c r="AT221" s="17"/>
      <c r="AU221" s="17"/>
      <c r="AV221" s="17"/>
      <c r="AW221" s="17"/>
      <c r="AX221" s="17"/>
      <c r="AY221" s="17"/>
      <c r="AZ221" s="17"/>
    </row>
    <row r="222" spans="1:52" ht="20">
      <c r="A222" s="17"/>
      <c r="B222" s="40"/>
      <c r="C222" s="55">
        <f t="shared" si="76"/>
        <v>203</v>
      </c>
      <c r="D222" s="54">
        <v>0</v>
      </c>
      <c r="E222" s="53" t="str">
        <f t="shared" si="68"/>
        <v>7</v>
      </c>
      <c r="F222" s="52">
        <f t="shared" si="77"/>
        <v>45494</v>
      </c>
      <c r="G222" s="51" t="str">
        <f t="shared" si="69"/>
        <v>Sun</v>
      </c>
      <c r="H222" s="50" t="s">
        <v>46</v>
      </c>
      <c r="I222" s="49"/>
      <c r="J222" s="48">
        <v>0</v>
      </c>
      <c r="K222" s="31"/>
      <c r="L222" s="43">
        <f t="shared" si="67"/>
        <v>0</v>
      </c>
      <c r="M222" s="47">
        <f t="shared" si="70"/>
        <v>0</v>
      </c>
      <c r="N222" s="41" t="str">
        <f t="shared" si="71"/>
        <v>0%</v>
      </c>
      <c r="O222" s="46"/>
      <c r="P222" s="45">
        <f>IF(D222=0,0,SUM($L$202:L222))</f>
        <v>0</v>
      </c>
      <c r="Q222" s="43">
        <f>IF(D222=0,0,SUM($J$202:J222))</f>
        <v>0</v>
      </c>
      <c r="R222" s="42">
        <f t="shared" si="72"/>
        <v>0</v>
      </c>
      <c r="S222" s="41" t="str">
        <f t="shared" si="73"/>
        <v>0%</v>
      </c>
      <c r="T222" s="44"/>
      <c r="U222" s="43">
        <f>IF(D222=0,0,SUM($L$20:L222))</f>
        <v>0</v>
      </c>
      <c r="V222" s="43">
        <f>IF(D222=0,0,SUM($J$20:J222))</f>
        <v>0</v>
      </c>
      <c r="W222" s="42">
        <f t="shared" si="74"/>
        <v>0</v>
      </c>
      <c r="X222" s="41" t="str">
        <f t="shared" si="75"/>
        <v>0%</v>
      </c>
      <c r="Y222" s="17"/>
      <c r="Z222" s="23">
        <f t="shared" si="78"/>
        <v>45494</v>
      </c>
      <c r="AA222" s="22">
        <f t="shared" si="79"/>
        <v>45494</v>
      </c>
      <c r="AB222" s="137">
        <v>45494</v>
      </c>
      <c r="AC222" s="137"/>
      <c r="AD222" s="134"/>
      <c r="AE222" s="134"/>
      <c r="AF222" s="139"/>
      <c r="AG222" s="256"/>
      <c r="AH222" s="256"/>
      <c r="AI222" s="256"/>
      <c r="AJ222" s="256"/>
      <c r="AK222" s="134"/>
      <c r="AL222" s="134"/>
      <c r="AM222" s="134"/>
      <c r="AN222" s="18"/>
      <c r="AO222" s="18"/>
      <c r="AP222" s="18"/>
      <c r="AQ222" s="18"/>
      <c r="AR222" s="17"/>
      <c r="AS222" s="21">
        <f t="shared" si="80"/>
        <v>45494</v>
      </c>
      <c r="AT222" s="17"/>
      <c r="AU222" s="17"/>
      <c r="AV222" s="17"/>
      <c r="AW222" s="17"/>
      <c r="AX222" s="17"/>
      <c r="AY222" s="17"/>
      <c r="AZ222" s="17"/>
    </row>
    <row r="223" spans="1:52" ht="20">
      <c r="A223" s="17"/>
      <c r="B223" s="40"/>
      <c r="C223" s="55">
        <f t="shared" si="76"/>
        <v>204</v>
      </c>
      <c r="D223" s="54">
        <v>1</v>
      </c>
      <c r="E223" s="53" t="str">
        <f t="shared" si="68"/>
        <v>7</v>
      </c>
      <c r="F223" s="52">
        <f t="shared" si="77"/>
        <v>45495</v>
      </c>
      <c r="G223" s="51" t="str">
        <f t="shared" si="69"/>
        <v>Mon</v>
      </c>
      <c r="H223" s="50"/>
      <c r="I223" s="49"/>
      <c r="J223" s="48">
        <v>152170</v>
      </c>
      <c r="K223" s="31"/>
      <c r="L223" s="43">
        <f t="shared" si="67"/>
        <v>234116.88564013841</v>
      </c>
      <c r="M223" s="47">
        <f t="shared" si="70"/>
        <v>-81946.885640138411</v>
      </c>
      <c r="N223" s="41">
        <f t="shared" si="71"/>
        <v>0.64997447571509581</v>
      </c>
      <c r="O223" s="46"/>
      <c r="P223" s="45">
        <f>IF(D223=0,0,SUM($L$202:L223))</f>
        <v>4214103.9415224902</v>
      </c>
      <c r="Q223" s="43">
        <f>IF(D223=0,0,SUM($J$202:J223))</f>
        <v>4577860</v>
      </c>
      <c r="R223" s="42">
        <f t="shared" si="72"/>
        <v>363756.05847750977</v>
      </c>
      <c r="S223" s="41">
        <f t="shared" si="73"/>
        <v>1.086318720070794</v>
      </c>
      <c r="T223" s="56"/>
      <c r="U223" s="43">
        <f>IF(D223=0,0,SUM($L$20:L223))</f>
        <v>38000867.121799313</v>
      </c>
      <c r="V223" s="43">
        <f>IF(D223=0,0,SUM($J$20:J223))</f>
        <v>39772289</v>
      </c>
      <c r="W223" s="42">
        <f t="shared" si="74"/>
        <v>1771421.8782006875</v>
      </c>
      <c r="X223" s="41">
        <f t="shared" si="75"/>
        <v>1.0466153015014887</v>
      </c>
      <c r="Y223" s="17"/>
      <c r="Z223" s="23">
        <f t="shared" si="78"/>
        <v>45495</v>
      </c>
      <c r="AA223" s="22">
        <f t="shared" si="79"/>
        <v>45495</v>
      </c>
      <c r="AB223" s="137">
        <v>45495</v>
      </c>
      <c r="AC223" s="137"/>
      <c r="AD223" s="134"/>
      <c r="AE223" s="134"/>
      <c r="AF223" s="139"/>
      <c r="AG223" s="256"/>
      <c r="AH223" s="256"/>
      <c r="AI223" s="256"/>
      <c r="AJ223" s="256"/>
      <c r="AK223" s="134"/>
      <c r="AL223" s="134"/>
      <c r="AM223" s="134"/>
      <c r="AN223" s="18"/>
      <c r="AO223" s="18"/>
      <c r="AP223" s="18"/>
      <c r="AQ223" s="18"/>
      <c r="AR223" s="17"/>
      <c r="AS223" s="21">
        <f t="shared" si="80"/>
        <v>45495</v>
      </c>
      <c r="AT223" s="17"/>
      <c r="AU223" s="17"/>
      <c r="AV223" s="17"/>
      <c r="AW223" s="17"/>
      <c r="AX223" s="17"/>
      <c r="AY223" s="17"/>
      <c r="AZ223" s="17"/>
    </row>
    <row r="224" spans="1:52" ht="20">
      <c r="A224" s="17"/>
      <c r="B224" s="40"/>
      <c r="C224" s="55">
        <f t="shared" si="76"/>
        <v>205</v>
      </c>
      <c r="D224" s="54">
        <v>1</v>
      </c>
      <c r="E224" s="53" t="str">
        <f t="shared" si="68"/>
        <v>7</v>
      </c>
      <c r="F224" s="52">
        <f t="shared" si="77"/>
        <v>45496</v>
      </c>
      <c r="G224" s="51" t="str">
        <f t="shared" si="69"/>
        <v>Tue</v>
      </c>
      <c r="H224" s="50"/>
      <c r="I224" s="49"/>
      <c r="J224" s="48">
        <v>178230</v>
      </c>
      <c r="K224" s="31"/>
      <c r="L224" s="43">
        <f t="shared" si="67"/>
        <v>234116.88564013841</v>
      </c>
      <c r="M224" s="47">
        <f t="shared" si="70"/>
        <v>-55886.885640138411</v>
      </c>
      <c r="N224" s="41">
        <f t="shared" si="71"/>
        <v>0.76128639552278055</v>
      </c>
      <c r="O224" s="46"/>
      <c r="P224" s="45">
        <f>IF(D224=0,0,SUM($L$202:L224))</f>
        <v>4448220.827162629</v>
      </c>
      <c r="Q224" s="43">
        <f>IF(D224=0,0,SUM($J$202:J224))</f>
        <v>4756090</v>
      </c>
      <c r="R224" s="42">
        <f t="shared" si="72"/>
        <v>307869.17283737101</v>
      </c>
      <c r="S224" s="41">
        <f t="shared" si="73"/>
        <v>1.0692117556208984</v>
      </c>
      <c r="T224" s="56"/>
      <c r="U224" s="43">
        <f>IF(D224=0,0,SUM($L$20:L224))</f>
        <v>38234984.007439449</v>
      </c>
      <c r="V224" s="43">
        <f>IF(D224=0,0,SUM($J$20:J224))</f>
        <v>39950519</v>
      </c>
      <c r="W224" s="42">
        <f t="shared" si="74"/>
        <v>1715534.9925605506</v>
      </c>
      <c r="X224" s="41">
        <f t="shared" si="75"/>
        <v>1.0448682021738718</v>
      </c>
      <c r="Y224" s="17"/>
      <c r="Z224" s="23">
        <f t="shared" si="78"/>
        <v>45496</v>
      </c>
      <c r="AA224" s="22">
        <f t="shared" si="79"/>
        <v>45496</v>
      </c>
      <c r="AB224" s="137">
        <v>45496</v>
      </c>
      <c r="AC224" s="137"/>
      <c r="AD224" s="134"/>
      <c r="AE224" s="134"/>
      <c r="AF224" s="139"/>
      <c r="AG224" s="256"/>
      <c r="AH224" s="256"/>
      <c r="AI224" s="256"/>
      <c r="AJ224" s="256"/>
      <c r="AK224" s="134"/>
      <c r="AL224" s="134"/>
      <c r="AM224" s="134"/>
      <c r="AN224" s="18"/>
      <c r="AO224" s="18"/>
      <c r="AP224" s="18"/>
      <c r="AQ224" s="18"/>
      <c r="AR224" s="17"/>
      <c r="AS224" s="21">
        <f t="shared" si="80"/>
        <v>45496</v>
      </c>
      <c r="AT224" s="17"/>
      <c r="AU224" s="17"/>
      <c r="AV224" s="17"/>
      <c r="AW224" s="17"/>
      <c r="AX224" s="17"/>
      <c r="AY224" s="17"/>
      <c r="AZ224" s="17"/>
    </row>
    <row r="225" spans="1:52" ht="20">
      <c r="A225" s="17"/>
      <c r="B225" s="40"/>
      <c r="C225" s="55">
        <f t="shared" si="76"/>
        <v>206</v>
      </c>
      <c r="D225" s="54">
        <v>1</v>
      </c>
      <c r="E225" s="53" t="str">
        <f t="shared" si="68"/>
        <v>7</v>
      </c>
      <c r="F225" s="52">
        <f t="shared" si="77"/>
        <v>45497</v>
      </c>
      <c r="G225" s="51" t="str">
        <f t="shared" si="69"/>
        <v>Wed</v>
      </c>
      <c r="H225" s="50"/>
      <c r="I225" s="49"/>
      <c r="J225" s="48">
        <v>216010</v>
      </c>
      <c r="K225" s="31"/>
      <c r="L225" s="43">
        <f t="shared" si="67"/>
        <v>234116.88564013841</v>
      </c>
      <c r="M225" s="47">
        <f t="shared" si="70"/>
        <v>-18106.885640138411</v>
      </c>
      <c r="N225" s="41">
        <f t="shared" si="71"/>
        <v>0.92265877964919396</v>
      </c>
      <c r="O225" s="46"/>
      <c r="P225" s="45">
        <f>IF(D225=0,0,SUM($L$202:L225))</f>
        <v>4682337.7128027678</v>
      </c>
      <c r="Q225" s="43">
        <f>IF(D225=0,0,SUM($J$202:J225))</f>
        <v>4972100</v>
      </c>
      <c r="R225" s="42">
        <f t="shared" si="72"/>
        <v>289762.28719723225</v>
      </c>
      <c r="S225" s="41">
        <f t="shared" si="73"/>
        <v>1.0618841068223133</v>
      </c>
      <c r="T225" s="56"/>
      <c r="U225" s="43">
        <f>IF(D225=0,0,SUM($L$20:L225))</f>
        <v>38469100.893079586</v>
      </c>
      <c r="V225" s="43">
        <f>IF(D225=0,0,SUM($J$20:J225))</f>
        <v>40166529</v>
      </c>
      <c r="W225" s="42">
        <f t="shared" si="74"/>
        <v>1697428.1069204137</v>
      </c>
      <c r="X225" s="41">
        <f t="shared" si="75"/>
        <v>1.044124454887527</v>
      </c>
      <c r="Y225" s="17"/>
      <c r="Z225" s="23">
        <f t="shared" si="78"/>
        <v>45497</v>
      </c>
      <c r="AA225" s="22">
        <f t="shared" si="79"/>
        <v>45497</v>
      </c>
      <c r="AB225" s="137">
        <v>45497</v>
      </c>
      <c r="AC225" s="137"/>
      <c r="AD225" s="134"/>
      <c r="AE225" s="134"/>
      <c r="AF225" s="139"/>
      <c r="AG225" s="256"/>
      <c r="AH225" s="256"/>
      <c r="AI225" s="256"/>
      <c r="AJ225" s="256"/>
      <c r="AK225" s="134"/>
      <c r="AL225" s="134"/>
      <c r="AM225" s="134"/>
      <c r="AN225" s="18"/>
      <c r="AO225" s="18"/>
      <c r="AP225" s="18"/>
      <c r="AQ225" s="18"/>
      <c r="AR225" s="17"/>
      <c r="AS225" s="21">
        <f t="shared" si="80"/>
        <v>45497</v>
      </c>
      <c r="AT225" s="17"/>
      <c r="AU225" s="17"/>
      <c r="AV225" s="17"/>
      <c r="AW225" s="17"/>
      <c r="AX225" s="17"/>
      <c r="AY225" s="17"/>
      <c r="AZ225" s="17"/>
    </row>
    <row r="226" spans="1:52" ht="20">
      <c r="A226" s="17"/>
      <c r="B226" s="40"/>
      <c r="C226" s="55">
        <f t="shared" si="76"/>
        <v>207</v>
      </c>
      <c r="D226" s="54">
        <v>1</v>
      </c>
      <c r="E226" s="53" t="str">
        <f t="shared" si="68"/>
        <v>7</v>
      </c>
      <c r="F226" s="52">
        <f t="shared" si="77"/>
        <v>45498</v>
      </c>
      <c r="G226" s="51" t="str">
        <f t="shared" si="69"/>
        <v>Thu</v>
      </c>
      <c r="H226" s="50"/>
      <c r="I226" s="49"/>
      <c r="J226" s="48">
        <v>179230</v>
      </c>
      <c r="K226" s="31"/>
      <c r="L226" s="43">
        <f t="shared" si="67"/>
        <v>234116.88564013841</v>
      </c>
      <c r="M226" s="47">
        <f t="shared" si="70"/>
        <v>-54886.885640138411</v>
      </c>
      <c r="N226" s="41">
        <f t="shared" si="71"/>
        <v>0.76555776619843996</v>
      </c>
      <c r="O226" s="46"/>
      <c r="P226" s="45">
        <f>IF(D226=0,0,SUM($L$202:L226))</f>
        <v>4916454.5984429065</v>
      </c>
      <c r="Q226" s="43">
        <f>IF(D226=0,0,SUM($J$202:J226))</f>
        <v>5151330</v>
      </c>
      <c r="R226" s="42">
        <f t="shared" si="72"/>
        <v>234875.40155709349</v>
      </c>
      <c r="S226" s="41">
        <f t="shared" si="73"/>
        <v>1.0477733286973667</v>
      </c>
      <c r="T226" s="56"/>
      <c r="U226" s="43">
        <f>IF(D226=0,0,SUM($L$20:L226))</f>
        <v>38703217.778719723</v>
      </c>
      <c r="V226" s="43">
        <f>IF(D226=0,0,SUM($J$20:J226))</f>
        <v>40345759</v>
      </c>
      <c r="W226" s="42">
        <f t="shared" si="74"/>
        <v>1642541.2212802768</v>
      </c>
      <c r="X226" s="41">
        <f t="shared" si="75"/>
        <v>1.042439396917106</v>
      </c>
      <c r="Y226" s="17"/>
      <c r="Z226" s="23">
        <f t="shared" si="78"/>
        <v>45498</v>
      </c>
      <c r="AA226" s="22">
        <f t="shared" si="79"/>
        <v>45498</v>
      </c>
      <c r="AB226" s="137">
        <v>45498</v>
      </c>
      <c r="AC226" s="137"/>
      <c r="AD226" s="134"/>
      <c r="AE226" s="134"/>
      <c r="AF226" s="139"/>
      <c r="AG226" s="256"/>
      <c r="AH226" s="256"/>
      <c r="AI226" s="256"/>
      <c r="AJ226" s="256"/>
      <c r="AK226" s="134"/>
      <c r="AL226" s="134"/>
      <c r="AM226" s="134"/>
      <c r="AN226" s="18"/>
      <c r="AO226" s="18"/>
      <c r="AP226" s="18"/>
      <c r="AQ226" s="18"/>
      <c r="AR226" s="17"/>
      <c r="AS226" s="21">
        <f t="shared" si="80"/>
        <v>45498</v>
      </c>
      <c r="AT226" s="17"/>
      <c r="AU226" s="17"/>
      <c r="AV226" s="17"/>
      <c r="AW226" s="17"/>
      <c r="AX226" s="17"/>
      <c r="AY226" s="17"/>
      <c r="AZ226" s="17"/>
    </row>
    <row r="227" spans="1:52" ht="20">
      <c r="A227" s="17"/>
      <c r="B227" s="40"/>
      <c r="C227" s="55">
        <f t="shared" si="76"/>
        <v>208</v>
      </c>
      <c r="D227" s="54">
        <v>1</v>
      </c>
      <c r="E227" s="53" t="str">
        <f t="shared" si="68"/>
        <v>7</v>
      </c>
      <c r="F227" s="52">
        <f t="shared" si="77"/>
        <v>45499</v>
      </c>
      <c r="G227" s="51" t="str">
        <f t="shared" si="69"/>
        <v>Fri</v>
      </c>
      <c r="H227" s="50"/>
      <c r="I227" s="49"/>
      <c r="J227" s="48">
        <v>327300</v>
      </c>
      <c r="K227" s="31"/>
      <c r="L227" s="43">
        <f t="shared" si="67"/>
        <v>234116.88564013841</v>
      </c>
      <c r="M227" s="47">
        <f t="shared" si="70"/>
        <v>93183.114359861589</v>
      </c>
      <c r="N227" s="41">
        <f t="shared" si="71"/>
        <v>1.3980196221433321</v>
      </c>
      <c r="O227" s="46"/>
      <c r="P227" s="45">
        <f>IF(D227=0,0,SUM($L$202:L227))</f>
        <v>5150571.4840830453</v>
      </c>
      <c r="Q227" s="43">
        <f>IF(D227=0,0,SUM($J$202:J227))</f>
        <v>5478630</v>
      </c>
      <c r="R227" s="42">
        <f t="shared" si="72"/>
        <v>328058.51591695473</v>
      </c>
      <c r="S227" s="41">
        <f t="shared" si="73"/>
        <v>1.0636936147630924</v>
      </c>
      <c r="T227" s="56"/>
      <c r="U227" s="43">
        <f>IF(D227=0,0,SUM($L$20:L227))</f>
        <v>38937334.66435986</v>
      </c>
      <c r="V227" s="43">
        <f>IF(D227=0,0,SUM($J$20:J227))</f>
        <v>40673059</v>
      </c>
      <c r="W227" s="42">
        <f t="shared" si="74"/>
        <v>1735724.3356401399</v>
      </c>
      <c r="X227" s="41">
        <f t="shared" si="75"/>
        <v>1.0445773792839725</v>
      </c>
      <c r="Y227" s="17"/>
      <c r="Z227" s="23">
        <f t="shared" si="78"/>
        <v>45499</v>
      </c>
      <c r="AA227" s="22">
        <f t="shared" si="79"/>
        <v>45499</v>
      </c>
      <c r="AB227" s="137">
        <v>45499</v>
      </c>
      <c r="AC227" s="137"/>
      <c r="AD227" s="134"/>
      <c r="AE227" s="134"/>
      <c r="AF227" s="139"/>
      <c r="AG227" s="256"/>
      <c r="AH227" s="256"/>
      <c r="AI227" s="256"/>
      <c r="AJ227" s="256"/>
      <c r="AK227" s="134"/>
      <c r="AL227" s="134"/>
      <c r="AM227" s="134"/>
      <c r="AN227" s="18"/>
      <c r="AO227" s="18"/>
      <c r="AP227" s="18"/>
      <c r="AQ227" s="18"/>
      <c r="AR227" s="17"/>
      <c r="AS227" s="21">
        <f t="shared" si="80"/>
        <v>45499</v>
      </c>
      <c r="AT227" s="17"/>
      <c r="AU227" s="17"/>
      <c r="AV227" s="17"/>
      <c r="AW227" s="17"/>
      <c r="AX227" s="17"/>
      <c r="AY227" s="17"/>
      <c r="AZ227" s="17"/>
    </row>
    <row r="228" spans="1:52" ht="20">
      <c r="A228" s="17"/>
      <c r="B228" s="40"/>
      <c r="C228" s="55">
        <f t="shared" si="76"/>
        <v>209</v>
      </c>
      <c r="D228" s="54">
        <v>1</v>
      </c>
      <c r="E228" s="53" t="str">
        <f t="shared" si="68"/>
        <v>7</v>
      </c>
      <c r="F228" s="52">
        <f t="shared" si="77"/>
        <v>45500</v>
      </c>
      <c r="G228" s="51" t="str">
        <f t="shared" si="69"/>
        <v>Sat</v>
      </c>
      <c r="H228" s="50"/>
      <c r="I228" s="49"/>
      <c r="J228" s="48">
        <v>110165</v>
      </c>
      <c r="K228" s="31"/>
      <c r="L228" s="43">
        <f t="shared" si="67"/>
        <v>234116.88564013841</v>
      </c>
      <c r="M228" s="47">
        <f t="shared" si="70"/>
        <v>-123951.88564013841</v>
      </c>
      <c r="N228" s="41">
        <f t="shared" si="71"/>
        <v>0.47055555048402131</v>
      </c>
      <c r="O228" s="46"/>
      <c r="P228" s="45">
        <f>IF(D228=0,0,SUM($L$202:L228))</f>
        <v>5384688.369723184</v>
      </c>
      <c r="Q228" s="43">
        <f>IF(D228=0,0,SUM($J$202:J228))</f>
        <v>5588795</v>
      </c>
      <c r="R228" s="42">
        <f t="shared" si="72"/>
        <v>204106.63027681597</v>
      </c>
      <c r="S228" s="41">
        <f t="shared" si="73"/>
        <v>1.037905003272698</v>
      </c>
      <c r="T228" s="44"/>
      <c r="U228" s="43">
        <f>IF(D228=0,0,SUM($L$20:L228))</f>
        <v>39171451.549999997</v>
      </c>
      <c r="V228" s="43">
        <f>IF(D228=0,0,SUM($J$20:J228))</f>
        <v>40783224</v>
      </c>
      <c r="W228" s="42">
        <f t="shared" si="74"/>
        <v>1611772.450000003</v>
      </c>
      <c r="X228" s="41">
        <f t="shared" si="75"/>
        <v>1.0411466102537117</v>
      </c>
      <c r="Y228" s="17"/>
      <c r="Z228" s="23">
        <f t="shared" si="78"/>
        <v>45500</v>
      </c>
      <c r="AA228" s="22">
        <f t="shared" si="79"/>
        <v>45500</v>
      </c>
      <c r="AB228" s="137">
        <v>45500</v>
      </c>
      <c r="AC228" s="137"/>
      <c r="AD228" s="134"/>
      <c r="AE228" s="134"/>
      <c r="AF228" s="139"/>
      <c r="AG228" s="256"/>
      <c r="AH228" s="256"/>
      <c r="AI228" s="256"/>
      <c r="AJ228" s="256"/>
      <c r="AK228" s="134"/>
      <c r="AL228" s="134"/>
      <c r="AM228" s="134"/>
      <c r="AN228" s="18"/>
      <c r="AO228" s="18"/>
      <c r="AP228" s="18"/>
      <c r="AQ228" s="18"/>
      <c r="AR228" s="17"/>
      <c r="AS228" s="21">
        <f t="shared" si="80"/>
        <v>45500</v>
      </c>
      <c r="AT228" s="17"/>
      <c r="AU228" s="17"/>
      <c r="AV228" s="17"/>
      <c r="AW228" s="17"/>
      <c r="AX228" s="17"/>
      <c r="AY228" s="17"/>
      <c r="AZ228" s="17"/>
    </row>
    <row r="229" spans="1:52" ht="20">
      <c r="A229" s="17"/>
      <c r="B229" s="40"/>
      <c r="C229" s="55">
        <f t="shared" si="76"/>
        <v>210</v>
      </c>
      <c r="D229" s="54">
        <v>0</v>
      </c>
      <c r="E229" s="53" t="str">
        <f t="shared" si="68"/>
        <v>7</v>
      </c>
      <c r="F229" s="52">
        <f t="shared" si="77"/>
        <v>45501</v>
      </c>
      <c r="G229" s="51" t="str">
        <f t="shared" si="69"/>
        <v>Sun</v>
      </c>
      <c r="H229" s="50" t="s">
        <v>46</v>
      </c>
      <c r="I229" s="49"/>
      <c r="J229" s="48">
        <v>0</v>
      </c>
      <c r="K229" s="31"/>
      <c r="L229" s="43">
        <f t="shared" si="67"/>
        <v>0</v>
      </c>
      <c r="M229" s="47">
        <f t="shared" si="70"/>
        <v>0</v>
      </c>
      <c r="N229" s="41" t="str">
        <f t="shared" si="71"/>
        <v>0%</v>
      </c>
      <c r="O229" s="46"/>
      <c r="P229" s="45">
        <f>IF(D229=0,0,SUM($L$202:L229))</f>
        <v>0</v>
      </c>
      <c r="Q229" s="43">
        <f>IF(D229=0,0,SUM($J$202:J229))</f>
        <v>0</v>
      </c>
      <c r="R229" s="42">
        <f t="shared" si="72"/>
        <v>0</v>
      </c>
      <c r="S229" s="41" t="str">
        <f t="shared" si="73"/>
        <v>0%</v>
      </c>
      <c r="T229" s="56"/>
      <c r="U229" s="43">
        <f>IF(D229=0,0,SUM($L$20:L229))</f>
        <v>0</v>
      </c>
      <c r="V229" s="43">
        <f>IF(D229=0,0,SUM($J$20:J229))</f>
        <v>0</v>
      </c>
      <c r="W229" s="42">
        <f t="shared" si="74"/>
        <v>0</v>
      </c>
      <c r="X229" s="41" t="str">
        <f t="shared" si="75"/>
        <v>0%</v>
      </c>
      <c r="Y229" s="17"/>
      <c r="Z229" s="23">
        <f t="shared" si="78"/>
        <v>45501</v>
      </c>
      <c r="AA229" s="22">
        <f t="shared" si="79"/>
        <v>45501</v>
      </c>
      <c r="AB229" s="137">
        <v>45501</v>
      </c>
      <c r="AC229" s="137"/>
      <c r="AD229" s="134"/>
      <c r="AE229" s="134"/>
      <c r="AF229" s="139"/>
      <c r="AG229" s="256"/>
      <c r="AH229" s="256"/>
      <c r="AI229" s="256"/>
      <c r="AJ229" s="256"/>
      <c r="AK229" s="134"/>
      <c r="AL229" s="134"/>
      <c r="AM229" s="134"/>
      <c r="AN229" s="18"/>
      <c r="AO229" s="18"/>
      <c r="AP229" s="18"/>
      <c r="AQ229" s="18"/>
      <c r="AR229" s="17"/>
      <c r="AS229" s="21">
        <f t="shared" si="80"/>
        <v>45501</v>
      </c>
      <c r="AT229" s="17"/>
      <c r="AU229" s="17"/>
      <c r="AV229" s="17"/>
      <c r="AW229" s="17"/>
      <c r="AX229" s="17"/>
      <c r="AY229" s="17"/>
      <c r="AZ229" s="17"/>
    </row>
    <row r="230" spans="1:52" ht="20">
      <c r="A230" s="17"/>
      <c r="B230" s="40"/>
      <c r="C230" s="55">
        <f t="shared" si="76"/>
        <v>211</v>
      </c>
      <c r="D230" s="54">
        <v>1</v>
      </c>
      <c r="E230" s="53" t="str">
        <f t="shared" si="68"/>
        <v>7</v>
      </c>
      <c r="F230" s="52">
        <f t="shared" si="77"/>
        <v>45502</v>
      </c>
      <c r="G230" s="51" t="str">
        <f t="shared" si="69"/>
        <v>Mon</v>
      </c>
      <c r="H230" s="50"/>
      <c r="I230" s="49"/>
      <c r="J230" s="48">
        <v>342250</v>
      </c>
      <c r="K230" s="31"/>
      <c r="L230" s="43">
        <f t="shared" si="67"/>
        <v>234116.88564013841</v>
      </c>
      <c r="M230" s="47">
        <f t="shared" si="70"/>
        <v>108133.11435986159</v>
      </c>
      <c r="N230" s="41">
        <f t="shared" si="71"/>
        <v>1.4618766137444406</v>
      </c>
      <c r="O230" s="46"/>
      <c r="P230" s="45">
        <f>IF(D230=0,0,SUM($L$202:L230))</f>
        <v>5618805.2553633228</v>
      </c>
      <c r="Q230" s="43">
        <f>IF(D230=0,0,SUM($J$202:J230))</f>
        <v>5931045</v>
      </c>
      <c r="R230" s="42">
        <f t="shared" si="72"/>
        <v>312239.74463667721</v>
      </c>
      <c r="S230" s="41">
        <f t="shared" si="73"/>
        <v>1.0555704870423539</v>
      </c>
      <c r="T230" s="56"/>
      <c r="U230" s="43">
        <f>IF(D230=0,0,SUM($L$20:L230))</f>
        <v>39405568.435640134</v>
      </c>
      <c r="V230" s="43">
        <f>IF(D230=0,0,SUM($J$20:J230))</f>
        <v>41125474</v>
      </c>
      <c r="W230" s="42">
        <f t="shared" si="74"/>
        <v>1719905.5643598661</v>
      </c>
      <c r="X230" s="41">
        <f t="shared" si="75"/>
        <v>1.0436462569286098</v>
      </c>
      <c r="Y230" s="17"/>
      <c r="Z230" s="23">
        <f t="shared" si="78"/>
        <v>45502</v>
      </c>
      <c r="AA230" s="22">
        <f t="shared" si="79"/>
        <v>45502</v>
      </c>
      <c r="AB230" s="137">
        <v>45502</v>
      </c>
      <c r="AC230" s="137"/>
      <c r="AD230" s="134"/>
      <c r="AE230" s="134"/>
      <c r="AF230" s="139"/>
      <c r="AG230" s="256"/>
      <c r="AH230" s="256"/>
      <c r="AI230" s="256"/>
      <c r="AJ230" s="256"/>
      <c r="AK230" s="134"/>
      <c r="AL230" s="134"/>
      <c r="AM230" s="134"/>
      <c r="AN230" s="18"/>
      <c r="AO230" s="18"/>
      <c r="AP230" s="18"/>
      <c r="AQ230" s="18"/>
      <c r="AR230" s="17"/>
      <c r="AS230" s="21">
        <f t="shared" si="80"/>
        <v>45502</v>
      </c>
      <c r="AT230" s="17"/>
      <c r="AU230" s="17"/>
      <c r="AV230" s="17"/>
      <c r="AW230" s="17"/>
      <c r="AX230" s="17"/>
      <c r="AY230" s="17"/>
      <c r="AZ230" s="17"/>
    </row>
    <row r="231" spans="1:52" ht="20">
      <c r="A231" s="17"/>
      <c r="B231" s="40"/>
      <c r="C231" s="55">
        <f t="shared" si="76"/>
        <v>212</v>
      </c>
      <c r="D231" s="54">
        <v>1</v>
      </c>
      <c r="E231" s="53" t="str">
        <f t="shared" si="68"/>
        <v>7</v>
      </c>
      <c r="F231" s="52">
        <f t="shared" si="77"/>
        <v>45503</v>
      </c>
      <c r="G231" s="51" t="str">
        <f t="shared" si="69"/>
        <v>Tue</v>
      </c>
      <c r="H231" s="50"/>
      <c r="I231" s="49"/>
      <c r="J231" s="48">
        <v>185890</v>
      </c>
      <c r="K231" s="31"/>
      <c r="L231" s="43">
        <f t="shared" si="67"/>
        <v>234116.88564013841</v>
      </c>
      <c r="M231" s="47">
        <f t="shared" si="70"/>
        <v>-48226.885640138411</v>
      </c>
      <c r="N231" s="41">
        <f t="shared" si="71"/>
        <v>0.79400509489833182</v>
      </c>
      <c r="O231" s="46"/>
      <c r="P231" s="45">
        <f>IF(D231=0,0,SUM($L$202:L231))</f>
        <v>5852922.1410034616</v>
      </c>
      <c r="Q231" s="43">
        <f>IF(D231=0,0,SUM($J$202:J231))</f>
        <v>6116935</v>
      </c>
      <c r="R231" s="42">
        <f t="shared" si="72"/>
        <v>264012.85899653845</v>
      </c>
      <c r="S231" s="41">
        <f t="shared" si="73"/>
        <v>1.0451078713565929</v>
      </c>
      <c r="T231" s="56"/>
      <c r="U231" s="43">
        <f>IF(D231=0,0,SUM($L$20:L231))</f>
        <v>39639685.321280271</v>
      </c>
      <c r="V231" s="43">
        <f>IF(D231=0,0,SUM($J$20:J231))</f>
        <v>41311364</v>
      </c>
      <c r="W231" s="42">
        <f t="shared" si="74"/>
        <v>1671678.6787197292</v>
      </c>
      <c r="X231" s="41">
        <f t="shared" si="75"/>
        <v>1.0421718453406164</v>
      </c>
      <c r="Y231" s="17"/>
      <c r="Z231" s="23">
        <f t="shared" si="78"/>
        <v>45503</v>
      </c>
      <c r="AA231" s="22">
        <f t="shared" si="79"/>
        <v>45503</v>
      </c>
      <c r="AB231" s="137">
        <v>45503</v>
      </c>
      <c r="AC231" s="137"/>
      <c r="AD231" s="134"/>
      <c r="AE231" s="134"/>
      <c r="AF231" s="139"/>
      <c r="AG231" s="256"/>
      <c r="AH231" s="256"/>
      <c r="AI231" s="256"/>
      <c r="AJ231" s="256"/>
      <c r="AK231" s="134"/>
      <c r="AL231" s="134"/>
      <c r="AM231" s="134"/>
      <c r="AN231" s="18"/>
      <c r="AO231" s="18"/>
      <c r="AP231" s="18"/>
      <c r="AQ231" s="18"/>
      <c r="AR231" s="17"/>
      <c r="AS231" s="21">
        <f t="shared" si="80"/>
        <v>45503</v>
      </c>
      <c r="AT231" s="17"/>
      <c r="AU231" s="17"/>
      <c r="AV231" s="17"/>
      <c r="AW231" s="17"/>
      <c r="AX231" s="17"/>
      <c r="AY231" s="17"/>
      <c r="AZ231" s="17"/>
    </row>
    <row r="232" spans="1:52" ht="21" thickBot="1">
      <c r="A232" s="17"/>
      <c r="B232" s="40"/>
      <c r="C232" s="39">
        <f t="shared" si="76"/>
        <v>213</v>
      </c>
      <c r="D232" s="38">
        <v>1</v>
      </c>
      <c r="E232" s="37" t="str">
        <f t="shared" si="68"/>
        <v>7</v>
      </c>
      <c r="F232" s="36">
        <f t="shared" si="77"/>
        <v>45504</v>
      </c>
      <c r="G232" s="35" t="str">
        <f t="shared" si="69"/>
        <v>Wed</v>
      </c>
      <c r="H232" s="34"/>
      <c r="I232" s="33"/>
      <c r="J232" s="32">
        <v>405250</v>
      </c>
      <c r="K232" s="31"/>
      <c r="L232" s="26">
        <f t="shared" si="67"/>
        <v>234116.88564013841</v>
      </c>
      <c r="M232" s="30">
        <f t="shared" si="70"/>
        <v>171133.11435986159</v>
      </c>
      <c r="N232" s="24">
        <f t="shared" si="71"/>
        <v>1.730972966310985</v>
      </c>
      <c r="O232" s="29"/>
      <c r="P232" s="63">
        <f>IF(D232=0,0,SUM($L$202:L232))</f>
        <v>6087039.0266436003</v>
      </c>
      <c r="Q232" s="26">
        <f>IF(D232=0,0,SUM($J$202:J232))</f>
        <v>6522185</v>
      </c>
      <c r="R232" s="25">
        <f t="shared" si="72"/>
        <v>435145.97335639969</v>
      </c>
      <c r="S232" s="24">
        <f t="shared" si="73"/>
        <v>1.0714872980856078</v>
      </c>
      <c r="T232" s="64"/>
      <c r="U232" s="26">
        <f>IF(D232=0,0,SUM($L$20:L232))</f>
        <v>39873802.206920408</v>
      </c>
      <c r="V232" s="26">
        <f>IF(D232=0,0,SUM($J$20:J232))</f>
        <v>41716614</v>
      </c>
      <c r="W232" s="25">
        <f t="shared" si="74"/>
        <v>1842811.7930795923</v>
      </c>
      <c r="X232" s="24">
        <f t="shared" si="75"/>
        <v>1.046216104085498</v>
      </c>
      <c r="Y232" s="17"/>
      <c r="Z232" s="23">
        <f t="shared" si="78"/>
        <v>45504</v>
      </c>
      <c r="AA232" s="22">
        <f t="shared" si="79"/>
        <v>45504</v>
      </c>
      <c r="AB232" s="137">
        <v>45504</v>
      </c>
      <c r="AC232" s="137"/>
      <c r="AD232" s="134"/>
      <c r="AE232" s="134"/>
      <c r="AF232" s="139"/>
      <c r="AG232" s="256"/>
      <c r="AH232" s="256"/>
      <c r="AI232" s="256"/>
      <c r="AJ232" s="256"/>
      <c r="AK232" s="134"/>
      <c r="AL232" s="134"/>
      <c r="AM232" s="134"/>
      <c r="AN232" s="18"/>
      <c r="AO232" s="18"/>
      <c r="AP232" s="18"/>
      <c r="AQ232" s="18"/>
      <c r="AR232" s="17"/>
      <c r="AS232" s="21">
        <f t="shared" si="80"/>
        <v>45504</v>
      </c>
      <c r="AT232" s="17"/>
      <c r="AU232" s="17"/>
      <c r="AV232" s="17"/>
      <c r="AW232" s="17"/>
      <c r="AX232" s="17"/>
      <c r="AY232" s="17"/>
      <c r="AZ232" s="17"/>
    </row>
    <row r="233" spans="1:52" ht="21" thickTop="1">
      <c r="A233" s="17"/>
      <c r="B233" s="40"/>
      <c r="C233" s="55">
        <f t="shared" si="76"/>
        <v>214</v>
      </c>
      <c r="D233" s="62">
        <v>1</v>
      </c>
      <c r="E233" s="53" t="str">
        <f t="shared" si="68"/>
        <v>8</v>
      </c>
      <c r="F233" s="52">
        <f t="shared" si="77"/>
        <v>45505</v>
      </c>
      <c r="G233" s="51" t="str">
        <f t="shared" si="69"/>
        <v>Thu</v>
      </c>
      <c r="H233" s="50"/>
      <c r="I233" s="49"/>
      <c r="J233" s="48">
        <v>147760</v>
      </c>
      <c r="K233" s="31"/>
      <c r="L233" s="43">
        <f t="shared" ref="L233:L263" si="81">IF(D233=0,0,$K$13)</f>
        <v>197151.06159169553</v>
      </c>
      <c r="M233" s="42">
        <f t="shared" si="70"/>
        <v>-49391.061591695528</v>
      </c>
      <c r="N233" s="60">
        <f t="shared" si="71"/>
        <v>0.74947605560458219</v>
      </c>
      <c r="O233" s="46"/>
      <c r="P233" s="61">
        <f>IF(D233=0,0,$L$233)</f>
        <v>197151.06159169553</v>
      </c>
      <c r="Q233" s="43">
        <f>IF(D233=0,0,$J$233)</f>
        <v>147760</v>
      </c>
      <c r="R233" s="42">
        <f t="shared" si="72"/>
        <v>-49391.061591695528</v>
      </c>
      <c r="S233" s="60">
        <f t="shared" si="73"/>
        <v>0.74947605560458219</v>
      </c>
      <c r="T233" s="56"/>
      <c r="U233" s="43">
        <f>IF(D233=0,0,SUM($L$20:L233))</f>
        <v>40070953.2685121</v>
      </c>
      <c r="V233" s="43">
        <f>IF(D233=0,0,SUM($J$20:J233))</f>
        <v>41864374</v>
      </c>
      <c r="W233" s="42">
        <f t="shared" si="74"/>
        <v>1793420.7314879</v>
      </c>
      <c r="X233" s="60">
        <f t="shared" si="75"/>
        <v>1.0447561284472155</v>
      </c>
      <c r="Y233" s="17"/>
      <c r="Z233" s="23">
        <f t="shared" si="78"/>
        <v>45505</v>
      </c>
      <c r="AA233" s="22">
        <f t="shared" si="79"/>
        <v>45505</v>
      </c>
      <c r="AB233" s="137">
        <v>45505</v>
      </c>
      <c r="AC233" s="137"/>
      <c r="AD233" s="134"/>
      <c r="AE233" s="134"/>
      <c r="AF233" s="139"/>
      <c r="AG233" s="256"/>
      <c r="AH233" s="256"/>
      <c r="AI233" s="256"/>
      <c r="AJ233" s="256"/>
      <c r="AK233" s="134"/>
      <c r="AL233" s="134"/>
      <c r="AM233" s="134"/>
      <c r="AN233" s="18"/>
      <c r="AO233" s="18"/>
      <c r="AP233" s="18"/>
      <c r="AQ233" s="18"/>
      <c r="AR233" s="17"/>
      <c r="AS233" s="21">
        <f t="shared" si="80"/>
        <v>45505</v>
      </c>
      <c r="AT233" s="17"/>
      <c r="AU233" s="17"/>
      <c r="AV233" s="17"/>
      <c r="AW233" s="17"/>
      <c r="AX233" s="17"/>
      <c r="AY233" s="17"/>
      <c r="AZ233" s="17"/>
    </row>
    <row r="234" spans="1:52" ht="20">
      <c r="A234" s="17"/>
      <c r="B234" s="40"/>
      <c r="C234" s="55">
        <f t="shared" si="76"/>
        <v>215</v>
      </c>
      <c r="D234" s="54">
        <v>1</v>
      </c>
      <c r="E234" s="53" t="str">
        <f t="shared" si="68"/>
        <v>8</v>
      </c>
      <c r="F234" s="52">
        <f t="shared" si="77"/>
        <v>45506</v>
      </c>
      <c r="G234" s="51" t="str">
        <f t="shared" si="69"/>
        <v>Fri</v>
      </c>
      <c r="H234" s="50"/>
      <c r="I234" s="49"/>
      <c r="J234" s="48">
        <v>311600</v>
      </c>
      <c r="K234" s="31"/>
      <c r="L234" s="43">
        <f t="shared" si="81"/>
        <v>197151.06159169553</v>
      </c>
      <c r="M234" s="47">
        <f t="shared" si="70"/>
        <v>114448.93840830447</v>
      </c>
      <c r="N234" s="41">
        <f t="shared" si="71"/>
        <v>1.5805139342608812</v>
      </c>
      <c r="O234" s="46"/>
      <c r="P234" s="45">
        <f>IF(D234=0,0,SUM($L$233:L234))</f>
        <v>394302.12318339106</v>
      </c>
      <c r="Q234" s="43">
        <f>IF(D234=0,0,SUM($J$233:J234))</f>
        <v>459360</v>
      </c>
      <c r="R234" s="42">
        <f t="shared" si="72"/>
        <v>65057.876816608943</v>
      </c>
      <c r="S234" s="41">
        <f t="shared" si="73"/>
        <v>1.1649949949327316</v>
      </c>
      <c r="T234" s="56"/>
      <c r="U234" s="43">
        <f>IF(D234=0,0,SUM($L$20:L234))</f>
        <v>40268104.330103792</v>
      </c>
      <c r="V234" s="43">
        <f>IF(D234=0,0,SUM($J$20:J234))</f>
        <v>42175974</v>
      </c>
      <c r="W234" s="42">
        <f t="shared" si="74"/>
        <v>1907869.6698962077</v>
      </c>
      <c r="X234" s="41">
        <f t="shared" si="75"/>
        <v>1.0473791776800856</v>
      </c>
      <c r="Y234" s="17"/>
      <c r="Z234" s="23">
        <f t="shared" si="78"/>
        <v>45506</v>
      </c>
      <c r="AA234" s="22">
        <f t="shared" si="79"/>
        <v>45506</v>
      </c>
      <c r="AB234" s="137">
        <v>45506</v>
      </c>
      <c r="AC234" s="137"/>
      <c r="AD234" s="134"/>
      <c r="AE234" s="134"/>
      <c r="AF234" s="139"/>
      <c r="AG234" s="256"/>
      <c r="AH234" s="256"/>
      <c r="AI234" s="256"/>
      <c r="AJ234" s="256"/>
      <c r="AK234" s="134"/>
      <c r="AL234" s="134"/>
      <c r="AM234" s="134"/>
      <c r="AN234" s="18"/>
      <c r="AO234" s="18"/>
      <c r="AP234" s="18"/>
      <c r="AQ234" s="18"/>
      <c r="AR234" s="17"/>
      <c r="AS234" s="21">
        <f t="shared" si="80"/>
        <v>45506</v>
      </c>
      <c r="AT234" s="17"/>
      <c r="AU234" s="17"/>
      <c r="AV234" s="17"/>
      <c r="AW234" s="17"/>
      <c r="AX234" s="17"/>
      <c r="AY234" s="17"/>
      <c r="AZ234" s="17"/>
    </row>
    <row r="235" spans="1:52" ht="20">
      <c r="A235" s="17"/>
      <c r="B235" s="40"/>
      <c r="C235" s="55">
        <f t="shared" si="76"/>
        <v>216</v>
      </c>
      <c r="D235" s="54">
        <v>1</v>
      </c>
      <c r="E235" s="53" t="str">
        <f t="shared" si="68"/>
        <v>8</v>
      </c>
      <c r="F235" s="52">
        <f t="shared" si="77"/>
        <v>45507</v>
      </c>
      <c r="G235" s="51" t="str">
        <f t="shared" si="69"/>
        <v>Sat</v>
      </c>
      <c r="H235" s="50"/>
      <c r="I235" s="49"/>
      <c r="J235" s="48">
        <v>160520</v>
      </c>
      <c r="K235" s="31"/>
      <c r="L235" s="43">
        <f t="shared" si="81"/>
        <v>197151.06159169553</v>
      </c>
      <c r="M235" s="47">
        <f t="shared" si="70"/>
        <v>-36631.061591695528</v>
      </c>
      <c r="N235" s="41">
        <f t="shared" si="71"/>
        <v>0.81419799976751173</v>
      </c>
      <c r="O235" s="46"/>
      <c r="P235" s="45">
        <f>IF(D235=0,0,SUM($L$233:L235))</f>
        <v>591453.18477508659</v>
      </c>
      <c r="Q235" s="43">
        <f>IF(D235=0,0,SUM($J$233:J235))</f>
        <v>619880</v>
      </c>
      <c r="R235" s="42">
        <f t="shared" si="72"/>
        <v>28426.815224913415</v>
      </c>
      <c r="S235" s="41">
        <f t="shared" si="73"/>
        <v>1.0480626632109917</v>
      </c>
      <c r="T235" s="44"/>
      <c r="U235" s="43">
        <f>IF(D235=0,0,SUM($L$20:L235))</f>
        <v>40465255.391695485</v>
      </c>
      <c r="V235" s="43">
        <f>IF(D235=0,0,SUM($J$20:J235))</f>
        <v>42336494</v>
      </c>
      <c r="W235" s="42">
        <f t="shared" si="74"/>
        <v>1871238.6083045155</v>
      </c>
      <c r="X235" s="41">
        <f t="shared" si="75"/>
        <v>1.0462430939874543</v>
      </c>
      <c r="Y235" s="17"/>
      <c r="Z235" s="23">
        <f t="shared" si="78"/>
        <v>45507</v>
      </c>
      <c r="AA235" s="22">
        <f t="shared" si="79"/>
        <v>45507</v>
      </c>
      <c r="AB235" s="137">
        <v>45507</v>
      </c>
      <c r="AC235" s="137"/>
      <c r="AD235" s="134"/>
      <c r="AE235" s="134"/>
      <c r="AF235" s="139"/>
      <c r="AG235" s="256"/>
      <c r="AH235" s="256"/>
      <c r="AI235" s="256"/>
      <c r="AJ235" s="256"/>
      <c r="AK235" s="134"/>
      <c r="AL235" s="134"/>
      <c r="AM235" s="134"/>
      <c r="AN235" s="18"/>
      <c r="AO235" s="18"/>
      <c r="AP235" s="18"/>
      <c r="AQ235" s="18"/>
      <c r="AR235" s="17"/>
      <c r="AS235" s="21">
        <f t="shared" si="80"/>
        <v>45507</v>
      </c>
      <c r="AT235" s="17"/>
      <c r="AU235" s="17"/>
      <c r="AV235" s="17"/>
      <c r="AW235" s="17"/>
      <c r="AX235" s="17"/>
      <c r="AY235" s="17"/>
      <c r="AZ235" s="17"/>
    </row>
    <row r="236" spans="1:52" ht="20">
      <c r="A236" s="17"/>
      <c r="B236" s="40"/>
      <c r="C236" s="55">
        <f t="shared" si="76"/>
        <v>217</v>
      </c>
      <c r="D236" s="54">
        <v>0</v>
      </c>
      <c r="E236" s="53" t="str">
        <f t="shared" si="68"/>
        <v>8</v>
      </c>
      <c r="F236" s="52">
        <f t="shared" si="77"/>
        <v>45508</v>
      </c>
      <c r="G236" s="51" t="str">
        <f t="shared" si="69"/>
        <v>Sun</v>
      </c>
      <c r="H236" s="50" t="s">
        <v>46</v>
      </c>
      <c r="I236" s="49"/>
      <c r="J236" s="48">
        <v>0</v>
      </c>
      <c r="K236" s="31"/>
      <c r="L236" s="43">
        <f t="shared" si="81"/>
        <v>0</v>
      </c>
      <c r="M236" s="47">
        <f t="shared" si="70"/>
        <v>0</v>
      </c>
      <c r="N236" s="41" t="str">
        <f t="shared" si="71"/>
        <v>0%</v>
      </c>
      <c r="O236" s="46"/>
      <c r="P236" s="45">
        <f>IF(D236=0,0,SUM($L$233:L236))</f>
        <v>0</v>
      </c>
      <c r="Q236" s="43">
        <f>IF(D236=0,0,SUM($J$233:J236))</f>
        <v>0</v>
      </c>
      <c r="R236" s="42">
        <f t="shared" si="72"/>
        <v>0</v>
      </c>
      <c r="S236" s="41" t="str">
        <f t="shared" si="73"/>
        <v>0%</v>
      </c>
      <c r="T236" s="56"/>
      <c r="U236" s="43">
        <f>IF(D236=0,0,SUM($L$20:L236))</f>
        <v>0</v>
      </c>
      <c r="V236" s="43">
        <f>IF(D236=0,0,SUM($J$20:J236))</f>
        <v>0</v>
      </c>
      <c r="W236" s="42">
        <f t="shared" si="74"/>
        <v>0</v>
      </c>
      <c r="X236" s="41" t="str">
        <f t="shared" si="75"/>
        <v>0%</v>
      </c>
      <c r="Y236" s="17"/>
      <c r="Z236" s="23">
        <f t="shared" si="78"/>
        <v>45508</v>
      </c>
      <c r="AA236" s="22">
        <f t="shared" si="79"/>
        <v>45508</v>
      </c>
      <c r="AB236" s="137">
        <v>45508</v>
      </c>
      <c r="AC236" s="137"/>
      <c r="AD236" s="134"/>
      <c r="AE236" s="134"/>
      <c r="AF236" s="139"/>
      <c r="AG236" s="256"/>
      <c r="AH236" s="256"/>
      <c r="AI236" s="256"/>
      <c r="AJ236" s="256"/>
      <c r="AK236" s="134"/>
      <c r="AL236" s="134"/>
      <c r="AM236" s="134"/>
      <c r="AN236" s="18"/>
      <c r="AO236" s="18"/>
      <c r="AP236" s="18"/>
      <c r="AQ236" s="18"/>
      <c r="AR236" s="17"/>
      <c r="AS236" s="21">
        <f t="shared" si="80"/>
        <v>45508</v>
      </c>
      <c r="AT236" s="17"/>
      <c r="AU236" s="17"/>
      <c r="AV236" s="17"/>
      <c r="AW236" s="17"/>
      <c r="AX236" s="17"/>
      <c r="AY236" s="17"/>
      <c r="AZ236" s="17"/>
    </row>
    <row r="237" spans="1:52" ht="20">
      <c r="A237" s="17"/>
      <c r="B237" s="40"/>
      <c r="C237" s="55">
        <f t="shared" si="76"/>
        <v>218</v>
      </c>
      <c r="D237" s="54">
        <v>1</v>
      </c>
      <c r="E237" s="53" t="str">
        <f t="shared" si="68"/>
        <v>8</v>
      </c>
      <c r="F237" s="52">
        <f t="shared" si="77"/>
        <v>45509</v>
      </c>
      <c r="G237" s="51" t="str">
        <f t="shared" si="69"/>
        <v>Mon</v>
      </c>
      <c r="H237" s="50"/>
      <c r="I237" s="49"/>
      <c r="J237" s="48">
        <v>279000</v>
      </c>
      <c r="K237" s="31"/>
      <c r="L237" s="43">
        <f t="shared" si="81"/>
        <v>197151.06159169553</v>
      </c>
      <c r="M237" s="47">
        <f t="shared" si="70"/>
        <v>81848.938408304472</v>
      </c>
      <c r="N237" s="41">
        <f t="shared" si="71"/>
        <v>1.4151584969794153</v>
      </c>
      <c r="O237" s="46"/>
      <c r="P237" s="45">
        <f>IF(D237=0,0,SUM($L$233:L237))</f>
        <v>788604.24636678211</v>
      </c>
      <c r="Q237" s="43">
        <f>IF(D237=0,0,SUM($J$233:J237))</f>
        <v>898880</v>
      </c>
      <c r="R237" s="42">
        <f t="shared" si="72"/>
        <v>110275.75363321789</v>
      </c>
      <c r="S237" s="41">
        <f t="shared" si="73"/>
        <v>1.1398366216530975</v>
      </c>
      <c r="T237" s="56"/>
      <c r="U237" s="43">
        <f>IF(D237=0,0,SUM($L$20:L237))</f>
        <v>40662406.453287177</v>
      </c>
      <c r="V237" s="43">
        <f>IF(D237=0,0,SUM($J$20:J237))</f>
        <v>42615494</v>
      </c>
      <c r="W237" s="42">
        <f t="shared" si="74"/>
        <v>1953087.5467128232</v>
      </c>
      <c r="X237" s="41">
        <f t="shared" si="75"/>
        <v>1.0480317747292336</v>
      </c>
      <c r="Y237" s="17"/>
      <c r="Z237" s="23">
        <f t="shared" si="78"/>
        <v>45509</v>
      </c>
      <c r="AA237" s="22">
        <f t="shared" si="79"/>
        <v>45509</v>
      </c>
      <c r="AB237" s="137">
        <v>45509</v>
      </c>
      <c r="AC237" s="137"/>
      <c r="AD237" s="134"/>
      <c r="AE237" s="134"/>
      <c r="AF237" s="139"/>
      <c r="AG237" s="256"/>
      <c r="AH237" s="256"/>
      <c r="AI237" s="256"/>
      <c r="AJ237" s="256"/>
      <c r="AK237" s="134"/>
      <c r="AL237" s="134"/>
      <c r="AM237" s="134"/>
      <c r="AN237" s="18"/>
      <c r="AO237" s="18"/>
      <c r="AP237" s="18"/>
      <c r="AQ237" s="18"/>
      <c r="AR237" s="17"/>
      <c r="AS237" s="21">
        <f t="shared" si="80"/>
        <v>45509</v>
      </c>
      <c r="AT237" s="17"/>
      <c r="AU237" s="17"/>
      <c r="AV237" s="17"/>
      <c r="AW237" s="17"/>
      <c r="AX237" s="17"/>
      <c r="AY237" s="17"/>
      <c r="AZ237" s="17"/>
    </row>
    <row r="238" spans="1:52" ht="20">
      <c r="A238" s="17"/>
      <c r="B238" s="40"/>
      <c r="C238" s="55">
        <f t="shared" si="76"/>
        <v>219</v>
      </c>
      <c r="D238" s="54">
        <v>1</v>
      </c>
      <c r="E238" s="53" t="str">
        <f t="shared" si="68"/>
        <v>8</v>
      </c>
      <c r="F238" s="52">
        <f t="shared" si="77"/>
        <v>45510</v>
      </c>
      <c r="G238" s="51" t="str">
        <f t="shared" si="69"/>
        <v>Tue</v>
      </c>
      <c r="H238" s="50"/>
      <c r="I238" s="49"/>
      <c r="J238" s="48">
        <v>121150</v>
      </c>
      <c r="K238" s="31"/>
      <c r="L238" s="43">
        <f t="shared" si="81"/>
        <v>197151.06159169553</v>
      </c>
      <c r="M238" s="47">
        <f t="shared" si="70"/>
        <v>-76001.061591695528</v>
      </c>
      <c r="N238" s="41">
        <f t="shared" si="71"/>
        <v>0.61450341186041646</v>
      </c>
      <c r="O238" s="46"/>
      <c r="P238" s="45">
        <f>IF(D238=0,0,SUM($L$233:L238))</f>
        <v>985755.30795847764</v>
      </c>
      <c r="Q238" s="43">
        <f>IF(D238=0,0,SUM($J$233:J238))</f>
        <v>1020030</v>
      </c>
      <c r="R238" s="42">
        <f t="shared" si="72"/>
        <v>34274.692041522358</v>
      </c>
      <c r="S238" s="41">
        <f t="shared" si="73"/>
        <v>1.0347699796945613</v>
      </c>
      <c r="T238" s="56"/>
      <c r="U238" s="43">
        <f>IF(D238=0,0,SUM($L$20:L238))</f>
        <v>40859557.514878869</v>
      </c>
      <c r="V238" s="43">
        <f>IF(D238=0,0,SUM($J$20:J238))</f>
        <v>42736644</v>
      </c>
      <c r="W238" s="42">
        <f t="shared" si="74"/>
        <v>1877086.4851211309</v>
      </c>
      <c r="X238" s="41">
        <f t="shared" si="75"/>
        <v>1.0459399611568871</v>
      </c>
      <c r="Y238" s="17"/>
      <c r="Z238" s="23">
        <f t="shared" si="78"/>
        <v>45510</v>
      </c>
      <c r="AA238" s="22">
        <f t="shared" si="79"/>
        <v>45510</v>
      </c>
      <c r="AB238" s="137">
        <v>45510</v>
      </c>
      <c r="AC238" s="137"/>
      <c r="AD238" s="134"/>
      <c r="AE238" s="134"/>
      <c r="AF238" s="139"/>
      <c r="AG238" s="256"/>
      <c r="AH238" s="256"/>
      <c r="AI238" s="256"/>
      <c r="AJ238" s="256"/>
      <c r="AK238" s="134"/>
      <c r="AL238" s="134"/>
      <c r="AM238" s="134"/>
      <c r="AN238" s="18"/>
      <c r="AO238" s="18"/>
      <c r="AP238" s="18"/>
      <c r="AQ238" s="18"/>
      <c r="AR238" s="17"/>
      <c r="AS238" s="21">
        <f t="shared" si="80"/>
        <v>45510</v>
      </c>
      <c r="AT238" s="17"/>
      <c r="AU238" s="17"/>
      <c r="AV238" s="17"/>
      <c r="AW238" s="17"/>
      <c r="AX238" s="17"/>
      <c r="AY238" s="17"/>
      <c r="AZ238" s="17"/>
    </row>
    <row r="239" spans="1:52" ht="20">
      <c r="A239" s="17"/>
      <c r="B239" s="40"/>
      <c r="C239" s="55">
        <f t="shared" si="76"/>
        <v>220</v>
      </c>
      <c r="D239" s="54">
        <v>1</v>
      </c>
      <c r="E239" s="53" t="str">
        <f t="shared" si="68"/>
        <v>8</v>
      </c>
      <c r="F239" s="52">
        <f t="shared" si="77"/>
        <v>45511</v>
      </c>
      <c r="G239" s="51" t="str">
        <f t="shared" si="69"/>
        <v>Wed</v>
      </c>
      <c r="H239" s="50"/>
      <c r="I239" s="49"/>
      <c r="J239" s="48">
        <v>232885</v>
      </c>
      <c r="K239" s="31"/>
      <c r="L239" s="43">
        <f t="shared" si="81"/>
        <v>197151.06159169553</v>
      </c>
      <c r="M239" s="47">
        <f t="shared" si="70"/>
        <v>35733.938408304472</v>
      </c>
      <c r="N239" s="41">
        <f t="shared" si="71"/>
        <v>1.1812515647636241</v>
      </c>
      <c r="O239" s="46"/>
      <c r="P239" s="45">
        <f>IF(D239=0,0,SUM($L$233:L239))</f>
        <v>1182906.3695501732</v>
      </c>
      <c r="Q239" s="43">
        <f>IF(D239=0,0,SUM($J$233:J239))</f>
        <v>1252915</v>
      </c>
      <c r="R239" s="42">
        <f t="shared" si="72"/>
        <v>70008.630449826829</v>
      </c>
      <c r="S239" s="41">
        <f t="shared" si="73"/>
        <v>1.0591835772060718</v>
      </c>
      <c r="T239" s="56"/>
      <c r="U239" s="43">
        <f>IF(D239=0,0,SUM($L$20:L239))</f>
        <v>41056708.576470561</v>
      </c>
      <c r="V239" s="43">
        <f>IF(D239=0,0,SUM($J$20:J239))</f>
        <v>42969529</v>
      </c>
      <c r="W239" s="42">
        <f t="shared" si="74"/>
        <v>1912820.4235294387</v>
      </c>
      <c r="X239" s="41">
        <f t="shared" si="75"/>
        <v>1.0465897167564393</v>
      </c>
      <c r="Y239" s="17"/>
      <c r="Z239" s="23">
        <f t="shared" si="78"/>
        <v>45511</v>
      </c>
      <c r="AA239" s="22">
        <f t="shared" si="79"/>
        <v>45511</v>
      </c>
      <c r="AB239" s="137">
        <v>45511</v>
      </c>
      <c r="AC239" s="137"/>
      <c r="AD239" s="134"/>
      <c r="AE239" s="134"/>
      <c r="AF239" s="139"/>
      <c r="AG239" s="256"/>
      <c r="AH239" s="256"/>
      <c r="AI239" s="256"/>
      <c r="AJ239" s="256"/>
      <c r="AK239" s="134"/>
      <c r="AL239" s="134"/>
      <c r="AM239" s="134"/>
      <c r="AN239" s="18"/>
      <c r="AO239" s="18"/>
      <c r="AP239" s="18"/>
      <c r="AQ239" s="18"/>
      <c r="AR239" s="17"/>
      <c r="AS239" s="21">
        <f t="shared" si="80"/>
        <v>45511</v>
      </c>
      <c r="AT239" s="17"/>
      <c r="AU239" s="17"/>
      <c r="AV239" s="17"/>
      <c r="AW239" s="17"/>
      <c r="AX239" s="17"/>
      <c r="AY239" s="17"/>
      <c r="AZ239" s="17"/>
    </row>
    <row r="240" spans="1:52" ht="20">
      <c r="A240" s="17"/>
      <c r="B240" s="40"/>
      <c r="C240" s="55">
        <f t="shared" si="76"/>
        <v>221</v>
      </c>
      <c r="D240" s="54">
        <v>1</v>
      </c>
      <c r="E240" s="53" t="str">
        <f t="shared" si="68"/>
        <v>8</v>
      </c>
      <c r="F240" s="52">
        <f t="shared" si="77"/>
        <v>45512</v>
      </c>
      <c r="G240" s="51" t="str">
        <f t="shared" si="69"/>
        <v>Thu</v>
      </c>
      <c r="H240" s="50"/>
      <c r="I240" s="49"/>
      <c r="J240" s="48">
        <v>143660</v>
      </c>
      <c r="K240" s="31"/>
      <c r="L240" s="43">
        <f t="shared" si="81"/>
        <v>197151.06159169553</v>
      </c>
      <c r="M240" s="47">
        <f t="shared" si="70"/>
        <v>-53491.061591695528</v>
      </c>
      <c r="N240" s="41">
        <f t="shared" si="71"/>
        <v>0.72867981962746531</v>
      </c>
      <c r="O240" s="46"/>
      <c r="P240" s="45">
        <f>IF(D240=0,0,SUM($L$233:L240))</f>
        <v>1380057.4311418687</v>
      </c>
      <c r="Q240" s="43">
        <f>IF(D240=0,0,SUM($J$233:J240))</f>
        <v>1396575</v>
      </c>
      <c r="R240" s="42">
        <f t="shared" si="72"/>
        <v>16517.568858131301</v>
      </c>
      <c r="S240" s="41">
        <f t="shared" si="73"/>
        <v>1.0119687546948424</v>
      </c>
      <c r="T240" s="56"/>
      <c r="U240" s="43">
        <f>IF(D240=0,0,SUM($L$20:L240))</f>
        <v>41253859.638062254</v>
      </c>
      <c r="V240" s="43">
        <f>IF(D240=0,0,SUM($J$20:J240))</f>
        <v>43113189</v>
      </c>
      <c r="W240" s="42">
        <f t="shared" si="74"/>
        <v>1859329.3619377464</v>
      </c>
      <c r="X240" s="41">
        <f t="shared" si="75"/>
        <v>1.0450704340939354</v>
      </c>
      <c r="Y240" s="17"/>
      <c r="Z240" s="23">
        <f t="shared" si="78"/>
        <v>45512</v>
      </c>
      <c r="AA240" s="22">
        <f t="shared" si="79"/>
        <v>45512</v>
      </c>
      <c r="AB240" s="137">
        <v>45512</v>
      </c>
      <c r="AC240" s="137"/>
      <c r="AD240" s="134"/>
      <c r="AE240" s="134"/>
      <c r="AF240" s="139"/>
      <c r="AG240" s="256"/>
      <c r="AH240" s="256"/>
      <c r="AI240" s="256"/>
      <c r="AJ240" s="256"/>
      <c r="AK240" s="134"/>
      <c r="AL240" s="134"/>
      <c r="AM240" s="134"/>
      <c r="AN240" s="18"/>
      <c r="AO240" s="18"/>
      <c r="AP240" s="18"/>
      <c r="AQ240" s="18"/>
      <c r="AR240" s="17"/>
      <c r="AS240" s="21">
        <f t="shared" si="80"/>
        <v>45512</v>
      </c>
      <c r="AT240" s="17"/>
      <c r="AU240" s="17"/>
      <c r="AV240" s="17"/>
      <c r="AW240" s="17"/>
      <c r="AX240" s="17"/>
      <c r="AY240" s="17"/>
      <c r="AZ240" s="17"/>
    </row>
    <row r="241" spans="1:52" ht="20">
      <c r="A241" s="17"/>
      <c r="B241" s="40"/>
      <c r="C241" s="55">
        <f t="shared" si="76"/>
        <v>222</v>
      </c>
      <c r="D241" s="54">
        <v>1</v>
      </c>
      <c r="E241" s="53" t="str">
        <f t="shared" si="68"/>
        <v>8</v>
      </c>
      <c r="F241" s="52">
        <f t="shared" si="77"/>
        <v>45513</v>
      </c>
      <c r="G241" s="51" t="str">
        <f t="shared" si="69"/>
        <v>Fri</v>
      </c>
      <c r="H241" s="50"/>
      <c r="I241" s="49"/>
      <c r="J241" s="48">
        <v>278720</v>
      </c>
      <c r="K241" s="31"/>
      <c r="L241" s="43">
        <f t="shared" si="81"/>
        <v>197151.06159169553</v>
      </c>
      <c r="M241" s="47">
        <f t="shared" si="70"/>
        <v>81568.938408304472</v>
      </c>
      <c r="N241" s="41">
        <f t="shared" si="71"/>
        <v>1.4137382662297586</v>
      </c>
      <c r="O241" s="46"/>
      <c r="P241" s="45">
        <f>IF(D241=0,0,SUM($L$233:L241))</f>
        <v>1577208.4927335642</v>
      </c>
      <c r="Q241" s="43">
        <f>IF(D241=0,0,SUM($J$233:J241))</f>
        <v>1675295</v>
      </c>
      <c r="R241" s="42">
        <f t="shared" si="72"/>
        <v>98086.507266435772</v>
      </c>
      <c r="S241" s="41">
        <f t="shared" si="73"/>
        <v>1.0621899436367068</v>
      </c>
      <c r="T241" s="56"/>
      <c r="U241" s="43">
        <f>IF(D241=0,0,SUM($L$20:L241))</f>
        <v>41451010.699653946</v>
      </c>
      <c r="V241" s="43">
        <f>IF(D241=0,0,SUM($J$20:J241))</f>
        <v>43391909</v>
      </c>
      <c r="W241" s="42">
        <f t="shared" si="74"/>
        <v>1940898.3003460541</v>
      </c>
      <c r="X241" s="41">
        <f t="shared" si="75"/>
        <v>1.0468239077307289</v>
      </c>
      <c r="Y241" s="17"/>
      <c r="Z241" s="23">
        <f t="shared" si="78"/>
        <v>45513</v>
      </c>
      <c r="AA241" s="22">
        <f t="shared" si="79"/>
        <v>45513</v>
      </c>
      <c r="AB241" s="137">
        <v>45513</v>
      </c>
      <c r="AC241" s="137"/>
      <c r="AD241" s="134"/>
      <c r="AE241" s="134"/>
      <c r="AF241" s="139"/>
      <c r="AG241" s="256"/>
      <c r="AH241" s="256"/>
      <c r="AI241" s="256"/>
      <c r="AJ241" s="256"/>
      <c r="AK241" s="134"/>
      <c r="AL241" s="134"/>
      <c r="AM241" s="134"/>
      <c r="AN241" s="18"/>
      <c r="AO241" s="18"/>
      <c r="AP241" s="18"/>
      <c r="AQ241" s="18"/>
      <c r="AR241" s="17"/>
      <c r="AS241" s="21">
        <f t="shared" si="80"/>
        <v>45513</v>
      </c>
      <c r="AT241" s="17"/>
      <c r="AU241" s="17"/>
      <c r="AV241" s="17"/>
      <c r="AW241" s="17"/>
      <c r="AX241" s="17"/>
      <c r="AY241" s="17"/>
      <c r="AZ241" s="17"/>
    </row>
    <row r="242" spans="1:52" ht="20">
      <c r="A242" s="17"/>
      <c r="B242" s="40"/>
      <c r="C242" s="55">
        <f t="shared" si="76"/>
        <v>223</v>
      </c>
      <c r="D242" s="54">
        <v>1</v>
      </c>
      <c r="E242" s="53" t="str">
        <f t="shared" si="68"/>
        <v>8</v>
      </c>
      <c r="F242" s="52">
        <f t="shared" si="77"/>
        <v>45514</v>
      </c>
      <c r="G242" s="51" t="str">
        <f t="shared" si="69"/>
        <v>Sat</v>
      </c>
      <c r="H242" s="50"/>
      <c r="I242" s="49"/>
      <c r="J242" s="48">
        <v>150510</v>
      </c>
      <c r="K242" s="31"/>
      <c r="L242" s="43">
        <f t="shared" si="81"/>
        <v>197151.06159169553</v>
      </c>
      <c r="M242" s="47">
        <f t="shared" si="70"/>
        <v>-46641.061591695528</v>
      </c>
      <c r="N242" s="41">
        <f t="shared" si="71"/>
        <v>0.76342475046728253</v>
      </c>
      <c r="O242" s="46"/>
      <c r="P242" s="45">
        <f>IF(D242=0,0,SUM($L$233:L242))</f>
        <v>1774359.5543252598</v>
      </c>
      <c r="Q242" s="43">
        <f>IF(D242=0,0,SUM($J$233:J242))</f>
        <v>1825805</v>
      </c>
      <c r="R242" s="42">
        <f t="shared" si="72"/>
        <v>51445.445674740244</v>
      </c>
      <c r="S242" s="41">
        <f t="shared" si="73"/>
        <v>1.0289938110623265</v>
      </c>
      <c r="T242" s="44"/>
      <c r="U242" s="43">
        <f>IF(D242=0,0,SUM($L$20:L242))</f>
        <v>41648161.761245638</v>
      </c>
      <c r="V242" s="43">
        <f>IF(D242=0,0,SUM($J$20:J242))</f>
        <v>43542419</v>
      </c>
      <c r="W242" s="42">
        <f t="shared" si="74"/>
        <v>1894257.2387543619</v>
      </c>
      <c r="X242" s="41">
        <f t="shared" si="75"/>
        <v>1.0454823732584759</v>
      </c>
      <c r="Y242" s="17"/>
      <c r="Z242" s="23">
        <f t="shared" si="78"/>
        <v>45514</v>
      </c>
      <c r="AA242" s="22">
        <f t="shared" si="79"/>
        <v>45514</v>
      </c>
      <c r="AB242" s="137">
        <v>45514</v>
      </c>
      <c r="AC242" s="137"/>
      <c r="AD242" s="134"/>
      <c r="AE242" s="134"/>
      <c r="AF242" s="139"/>
      <c r="AG242" s="256"/>
      <c r="AH242" s="256"/>
      <c r="AI242" s="256"/>
      <c r="AJ242" s="256"/>
      <c r="AK242" s="134"/>
      <c r="AL242" s="134"/>
      <c r="AM242" s="134"/>
      <c r="AN242" s="18"/>
      <c r="AO242" s="18"/>
      <c r="AP242" s="18"/>
      <c r="AQ242" s="18"/>
      <c r="AR242" s="17"/>
      <c r="AS242" s="21">
        <f t="shared" si="80"/>
        <v>45514</v>
      </c>
      <c r="AT242" s="17"/>
      <c r="AU242" s="17"/>
      <c r="AV242" s="17"/>
      <c r="AW242" s="17"/>
      <c r="AX242" s="17"/>
      <c r="AY242" s="17"/>
      <c r="AZ242" s="17"/>
    </row>
    <row r="243" spans="1:52" ht="20">
      <c r="A243" s="17"/>
      <c r="B243" s="40"/>
      <c r="C243" s="55">
        <f t="shared" si="76"/>
        <v>224</v>
      </c>
      <c r="D243" s="54">
        <v>0</v>
      </c>
      <c r="E243" s="53" t="str">
        <f t="shared" si="68"/>
        <v>8</v>
      </c>
      <c r="F243" s="52">
        <f t="shared" si="77"/>
        <v>45515</v>
      </c>
      <c r="G243" s="51" t="str">
        <f t="shared" si="69"/>
        <v>Sun</v>
      </c>
      <c r="H243" s="50" t="s">
        <v>46</v>
      </c>
      <c r="I243" s="49"/>
      <c r="J243" s="48">
        <v>0</v>
      </c>
      <c r="K243" s="31"/>
      <c r="L243" s="43">
        <f t="shared" si="81"/>
        <v>0</v>
      </c>
      <c r="M243" s="47">
        <f t="shared" si="70"/>
        <v>0</v>
      </c>
      <c r="N243" s="41" t="str">
        <f t="shared" si="71"/>
        <v>0%</v>
      </c>
      <c r="O243" s="46"/>
      <c r="P243" s="45">
        <f>IF(D243=0,0,SUM($L$233:L243))</f>
        <v>0</v>
      </c>
      <c r="Q243" s="43">
        <f>IF(D243=0,0,SUM($J$233:J243))</f>
        <v>0</v>
      </c>
      <c r="R243" s="42">
        <f t="shared" si="72"/>
        <v>0</v>
      </c>
      <c r="S243" s="41" t="str">
        <f t="shared" si="73"/>
        <v>0%</v>
      </c>
      <c r="T243" s="44"/>
      <c r="U243" s="43">
        <f>IF(D243=0,0,SUM($L$20:L243))</f>
        <v>0</v>
      </c>
      <c r="V243" s="43">
        <f>IF(D243=0,0,SUM($J$20:J243))</f>
        <v>0</v>
      </c>
      <c r="W243" s="42">
        <f t="shared" si="74"/>
        <v>0</v>
      </c>
      <c r="X243" s="41" t="str">
        <f t="shared" si="75"/>
        <v>0%</v>
      </c>
      <c r="Y243" s="17"/>
      <c r="Z243" s="23">
        <f t="shared" si="78"/>
        <v>45515</v>
      </c>
      <c r="AA243" s="22">
        <f t="shared" si="79"/>
        <v>45515</v>
      </c>
      <c r="AB243" s="137">
        <v>45515</v>
      </c>
      <c r="AC243" s="137"/>
      <c r="AD243" s="134"/>
      <c r="AE243" s="134"/>
      <c r="AF243" s="139"/>
      <c r="AG243" s="256"/>
      <c r="AH243" s="256"/>
      <c r="AI243" s="256"/>
      <c r="AJ243" s="256"/>
      <c r="AK243" s="134"/>
      <c r="AL243" s="134"/>
      <c r="AM243" s="134"/>
      <c r="AN243" s="18"/>
      <c r="AO243" s="18"/>
      <c r="AP243" s="18"/>
      <c r="AQ243" s="18"/>
      <c r="AR243" s="17"/>
      <c r="AS243" s="21">
        <f t="shared" si="80"/>
        <v>45515</v>
      </c>
      <c r="AT243" s="17"/>
      <c r="AU243" s="17"/>
      <c r="AV243" s="17"/>
      <c r="AW243" s="17"/>
      <c r="AX243" s="17"/>
      <c r="AY243" s="17"/>
      <c r="AZ243" s="17"/>
    </row>
    <row r="244" spans="1:52" ht="20">
      <c r="A244" s="17"/>
      <c r="B244" s="40"/>
      <c r="C244" s="55">
        <f t="shared" si="76"/>
        <v>225</v>
      </c>
      <c r="D244" s="54">
        <v>0</v>
      </c>
      <c r="E244" s="53" t="str">
        <f t="shared" si="68"/>
        <v>8</v>
      </c>
      <c r="F244" s="52">
        <f t="shared" si="77"/>
        <v>45516</v>
      </c>
      <c r="G244" s="51" t="str">
        <f t="shared" si="69"/>
        <v>Mon</v>
      </c>
      <c r="H244" s="50" t="s">
        <v>47</v>
      </c>
      <c r="I244" s="49"/>
      <c r="J244" s="48">
        <v>0</v>
      </c>
      <c r="K244" s="31"/>
      <c r="L244" s="43">
        <f t="shared" si="81"/>
        <v>0</v>
      </c>
      <c r="M244" s="47">
        <f t="shared" si="70"/>
        <v>0</v>
      </c>
      <c r="N244" s="41" t="str">
        <f t="shared" si="71"/>
        <v>0%</v>
      </c>
      <c r="O244" s="46"/>
      <c r="P244" s="45">
        <f>IF(D244=0,0,SUM($L$233:L244))</f>
        <v>0</v>
      </c>
      <c r="Q244" s="43">
        <f>IF(D244=0,0,SUM($J$233:J244))</f>
        <v>0</v>
      </c>
      <c r="R244" s="42">
        <f t="shared" si="72"/>
        <v>0</v>
      </c>
      <c r="S244" s="41" t="str">
        <f t="shared" si="73"/>
        <v>0%</v>
      </c>
      <c r="T244" s="44"/>
      <c r="U244" s="43">
        <f>IF(D244=0,0,SUM($L$20:L244))</f>
        <v>0</v>
      </c>
      <c r="V244" s="43">
        <f>IF(D244=0,0,SUM($J$20:J244))</f>
        <v>0</v>
      </c>
      <c r="W244" s="42">
        <f t="shared" si="74"/>
        <v>0</v>
      </c>
      <c r="X244" s="41" t="str">
        <f t="shared" si="75"/>
        <v>0%</v>
      </c>
      <c r="Y244" s="17"/>
      <c r="Z244" s="23">
        <f t="shared" si="78"/>
        <v>45516</v>
      </c>
      <c r="AA244" s="22">
        <f t="shared" si="79"/>
        <v>45516</v>
      </c>
      <c r="AB244" s="137">
        <v>45516</v>
      </c>
      <c r="AC244" s="137"/>
      <c r="AD244" s="134"/>
      <c r="AE244" s="134"/>
      <c r="AF244" s="139"/>
      <c r="AG244" s="256"/>
      <c r="AH244" s="256"/>
      <c r="AI244" s="256"/>
      <c r="AJ244" s="256"/>
      <c r="AK244" s="134"/>
      <c r="AL244" s="134"/>
      <c r="AM244" s="134"/>
      <c r="AN244" s="18"/>
      <c r="AO244" s="18"/>
      <c r="AP244" s="18"/>
      <c r="AQ244" s="18"/>
      <c r="AR244" s="17"/>
      <c r="AS244" s="21">
        <f t="shared" si="80"/>
        <v>45516</v>
      </c>
      <c r="AT244" s="17"/>
      <c r="AU244" s="17"/>
      <c r="AV244" s="17"/>
      <c r="AW244" s="17"/>
      <c r="AX244" s="17"/>
      <c r="AY244" s="17"/>
      <c r="AZ244" s="17"/>
    </row>
    <row r="245" spans="1:52" ht="20">
      <c r="A245" s="17"/>
      <c r="B245" s="40"/>
      <c r="C245" s="55">
        <f t="shared" si="76"/>
        <v>226</v>
      </c>
      <c r="D245" s="54">
        <v>0</v>
      </c>
      <c r="E245" s="53" t="str">
        <f t="shared" si="68"/>
        <v>8</v>
      </c>
      <c r="F245" s="52">
        <f t="shared" si="77"/>
        <v>45517</v>
      </c>
      <c r="G245" s="51" t="str">
        <f t="shared" si="69"/>
        <v>Tue</v>
      </c>
      <c r="H245" s="50" t="s">
        <v>47</v>
      </c>
      <c r="I245" s="49"/>
      <c r="J245" s="48">
        <v>0</v>
      </c>
      <c r="K245" s="31"/>
      <c r="L245" s="43">
        <f t="shared" si="81"/>
        <v>0</v>
      </c>
      <c r="M245" s="47">
        <f t="shared" si="70"/>
        <v>0</v>
      </c>
      <c r="N245" s="41" t="str">
        <f t="shared" si="71"/>
        <v>0%</v>
      </c>
      <c r="O245" s="46"/>
      <c r="P245" s="45">
        <f>IF(D245=0,0,SUM($L$233:L245))</f>
        <v>0</v>
      </c>
      <c r="Q245" s="43">
        <f>IF(D245=0,0,SUM($J$233:J245))</f>
        <v>0</v>
      </c>
      <c r="R245" s="42">
        <f t="shared" si="72"/>
        <v>0</v>
      </c>
      <c r="S245" s="41" t="str">
        <f t="shared" si="73"/>
        <v>0%</v>
      </c>
      <c r="T245" s="44"/>
      <c r="U245" s="43">
        <f>IF(D245=0,0,SUM($L$20:L245))</f>
        <v>0</v>
      </c>
      <c r="V245" s="43">
        <f>IF(D245=0,0,SUM($J$20:J245))</f>
        <v>0</v>
      </c>
      <c r="W245" s="42">
        <f t="shared" si="74"/>
        <v>0</v>
      </c>
      <c r="X245" s="41" t="str">
        <f t="shared" si="75"/>
        <v>0%</v>
      </c>
      <c r="Y245" s="17"/>
      <c r="Z245" s="23">
        <f t="shared" si="78"/>
        <v>45517</v>
      </c>
      <c r="AA245" s="22">
        <f t="shared" si="79"/>
        <v>45517</v>
      </c>
      <c r="AB245" s="137">
        <v>45517</v>
      </c>
      <c r="AC245" s="137"/>
      <c r="AD245" s="134"/>
      <c r="AE245" s="134"/>
      <c r="AF245" s="139"/>
      <c r="AG245" s="256"/>
      <c r="AH245" s="256"/>
      <c r="AI245" s="256"/>
      <c r="AJ245" s="256"/>
      <c r="AK245" s="134"/>
      <c r="AL245" s="134"/>
      <c r="AM245" s="134"/>
      <c r="AN245" s="18"/>
      <c r="AO245" s="18"/>
      <c r="AP245" s="18"/>
      <c r="AQ245" s="18"/>
      <c r="AR245" s="17"/>
      <c r="AS245" s="21">
        <f t="shared" si="80"/>
        <v>45517</v>
      </c>
      <c r="AT245" s="17"/>
      <c r="AU245" s="17"/>
      <c r="AV245" s="17"/>
      <c r="AW245" s="17"/>
      <c r="AX245" s="17"/>
      <c r="AY245" s="17"/>
      <c r="AZ245" s="17"/>
    </row>
    <row r="246" spans="1:52" ht="20">
      <c r="A246" s="17"/>
      <c r="B246" s="40"/>
      <c r="C246" s="55">
        <f t="shared" si="76"/>
        <v>227</v>
      </c>
      <c r="D246" s="54">
        <v>0</v>
      </c>
      <c r="E246" s="53" t="str">
        <f t="shared" si="68"/>
        <v>8</v>
      </c>
      <c r="F246" s="52">
        <f t="shared" si="77"/>
        <v>45518</v>
      </c>
      <c r="G246" s="51" t="str">
        <f t="shared" si="69"/>
        <v>Wed</v>
      </c>
      <c r="H246" s="50" t="s">
        <v>47</v>
      </c>
      <c r="I246" s="49"/>
      <c r="J246" s="48">
        <v>0</v>
      </c>
      <c r="K246" s="31"/>
      <c r="L246" s="43">
        <f t="shared" si="81"/>
        <v>0</v>
      </c>
      <c r="M246" s="47">
        <f t="shared" si="70"/>
        <v>0</v>
      </c>
      <c r="N246" s="41" t="str">
        <f t="shared" si="71"/>
        <v>0%</v>
      </c>
      <c r="O246" s="46"/>
      <c r="P246" s="45">
        <f>IF(D246=0,0,SUM($L$233:L246))</f>
        <v>0</v>
      </c>
      <c r="Q246" s="43">
        <f>IF(D246=0,0,SUM($J$233:J246))</f>
        <v>0</v>
      </c>
      <c r="R246" s="42">
        <f t="shared" si="72"/>
        <v>0</v>
      </c>
      <c r="S246" s="41" t="str">
        <f t="shared" si="73"/>
        <v>0%</v>
      </c>
      <c r="T246" s="44"/>
      <c r="U246" s="43">
        <f>IF(D246=0,0,SUM($L$20:L246))</f>
        <v>0</v>
      </c>
      <c r="V246" s="43">
        <f>IF(D246=0,0,SUM($J$20:J246))</f>
        <v>0</v>
      </c>
      <c r="W246" s="42">
        <f t="shared" si="74"/>
        <v>0</v>
      </c>
      <c r="X246" s="41" t="str">
        <f t="shared" si="75"/>
        <v>0%</v>
      </c>
      <c r="Y246" s="17"/>
      <c r="Z246" s="23">
        <f t="shared" si="78"/>
        <v>45518</v>
      </c>
      <c r="AA246" s="22">
        <f t="shared" si="79"/>
        <v>45518</v>
      </c>
      <c r="AB246" s="137">
        <v>45518</v>
      </c>
      <c r="AC246" s="137"/>
      <c r="AD246" s="134"/>
      <c r="AE246" s="134"/>
      <c r="AF246" s="139"/>
      <c r="AG246" s="256"/>
      <c r="AH246" s="256"/>
      <c r="AI246" s="256"/>
      <c r="AJ246" s="256"/>
      <c r="AK246" s="134"/>
      <c r="AL246" s="134"/>
      <c r="AM246" s="134"/>
      <c r="AN246" s="18"/>
      <c r="AO246" s="18"/>
      <c r="AP246" s="18"/>
      <c r="AQ246" s="18"/>
      <c r="AR246" s="17"/>
      <c r="AS246" s="21">
        <f t="shared" si="80"/>
        <v>45518</v>
      </c>
      <c r="AT246" s="17"/>
      <c r="AU246" s="17"/>
      <c r="AV246" s="17"/>
      <c r="AW246" s="17"/>
      <c r="AX246" s="17"/>
      <c r="AY246" s="17"/>
      <c r="AZ246" s="17"/>
    </row>
    <row r="247" spans="1:52" ht="20">
      <c r="A247" s="17"/>
      <c r="B247" s="40"/>
      <c r="C247" s="55">
        <f t="shared" si="76"/>
        <v>228</v>
      </c>
      <c r="D247" s="54">
        <v>0</v>
      </c>
      <c r="E247" s="53" t="str">
        <f t="shared" si="68"/>
        <v>8</v>
      </c>
      <c r="F247" s="52">
        <f t="shared" si="77"/>
        <v>45519</v>
      </c>
      <c r="G247" s="51" t="str">
        <f t="shared" si="69"/>
        <v>Thu</v>
      </c>
      <c r="H247" s="50" t="s">
        <v>47</v>
      </c>
      <c r="I247" s="49"/>
      <c r="J247" s="48">
        <v>0</v>
      </c>
      <c r="K247" s="31"/>
      <c r="L247" s="43">
        <f t="shared" si="81"/>
        <v>0</v>
      </c>
      <c r="M247" s="47">
        <f t="shared" si="70"/>
        <v>0</v>
      </c>
      <c r="N247" s="41" t="str">
        <f t="shared" si="71"/>
        <v>0%</v>
      </c>
      <c r="O247" s="46"/>
      <c r="P247" s="45">
        <f>IF(D247=0,0,SUM($L$233:L247))</f>
        <v>0</v>
      </c>
      <c r="Q247" s="43">
        <f>IF(D247=0,0,SUM($J$233:J247))</f>
        <v>0</v>
      </c>
      <c r="R247" s="42">
        <f t="shared" si="72"/>
        <v>0</v>
      </c>
      <c r="S247" s="41" t="str">
        <f t="shared" si="73"/>
        <v>0%</v>
      </c>
      <c r="T247" s="44"/>
      <c r="U247" s="43">
        <f>IF(D247=0,0,SUM($L$20:L247))</f>
        <v>0</v>
      </c>
      <c r="V247" s="43">
        <f>IF(D247=0,0,SUM($J$20:J247))</f>
        <v>0</v>
      </c>
      <c r="W247" s="42">
        <f t="shared" si="74"/>
        <v>0</v>
      </c>
      <c r="X247" s="41" t="str">
        <f t="shared" si="75"/>
        <v>0%</v>
      </c>
      <c r="Y247" s="17"/>
      <c r="Z247" s="23">
        <f t="shared" si="78"/>
        <v>45519</v>
      </c>
      <c r="AA247" s="22">
        <f t="shared" si="79"/>
        <v>45519</v>
      </c>
      <c r="AB247" s="137">
        <v>45519</v>
      </c>
      <c r="AC247" s="137"/>
      <c r="AD247" s="134"/>
      <c r="AE247" s="134"/>
      <c r="AF247" s="139"/>
      <c r="AG247" s="256"/>
      <c r="AH247" s="256"/>
      <c r="AI247" s="256"/>
      <c r="AJ247" s="256"/>
      <c r="AK247" s="134"/>
      <c r="AL247" s="134"/>
      <c r="AM247" s="134"/>
      <c r="AN247" s="18"/>
      <c r="AO247" s="18"/>
      <c r="AP247" s="18"/>
      <c r="AQ247" s="18"/>
      <c r="AR247" s="17"/>
      <c r="AS247" s="21">
        <f t="shared" si="80"/>
        <v>45519</v>
      </c>
      <c r="AT247" s="17"/>
      <c r="AU247" s="17"/>
      <c r="AV247" s="17"/>
      <c r="AW247" s="17"/>
      <c r="AX247" s="17"/>
      <c r="AY247" s="17"/>
      <c r="AZ247" s="17"/>
    </row>
    <row r="248" spans="1:52" ht="20">
      <c r="A248" s="17"/>
      <c r="B248" s="40"/>
      <c r="C248" s="55">
        <f t="shared" si="76"/>
        <v>229</v>
      </c>
      <c r="D248" s="54">
        <v>0</v>
      </c>
      <c r="E248" s="53" t="str">
        <f t="shared" si="68"/>
        <v>8</v>
      </c>
      <c r="F248" s="52">
        <f t="shared" si="77"/>
        <v>45520</v>
      </c>
      <c r="G248" s="51" t="str">
        <f t="shared" si="69"/>
        <v>Fri</v>
      </c>
      <c r="H248" s="50" t="s">
        <v>47</v>
      </c>
      <c r="I248" s="49"/>
      <c r="J248" s="48">
        <v>0</v>
      </c>
      <c r="K248" s="31"/>
      <c r="L248" s="43">
        <f t="shared" si="81"/>
        <v>0</v>
      </c>
      <c r="M248" s="47">
        <f t="shared" si="70"/>
        <v>0</v>
      </c>
      <c r="N248" s="41" t="str">
        <f t="shared" si="71"/>
        <v>0%</v>
      </c>
      <c r="O248" s="46"/>
      <c r="P248" s="45">
        <f>IF(D248=0,0,SUM($L$233:L248))</f>
        <v>0</v>
      </c>
      <c r="Q248" s="43">
        <f>IF(D248=0,0,SUM($J$233:J248))</f>
        <v>0</v>
      </c>
      <c r="R248" s="42">
        <f t="shared" si="72"/>
        <v>0</v>
      </c>
      <c r="S248" s="41" t="str">
        <f t="shared" si="73"/>
        <v>0%</v>
      </c>
      <c r="T248" s="44"/>
      <c r="U248" s="43">
        <f>IF(D248=0,0,SUM($L$20:L248))</f>
        <v>0</v>
      </c>
      <c r="V248" s="43">
        <f>IF(D248=0,0,SUM($J$20:J248))</f>
        <v>0</v>
      </c>
      <c r="W248" s="42">
        <f t="shared" si="74"/>
        <v>0</v>
      </c>
      <c r="X248" s="41" t="str">
        <f t="shared" si="75"/>
        <v>0%</v>
      </c>
      <c r="Y248" s="17"/>
      <c r="Z248" s="23">
        <f t="shared" si="78"/>
        <v>45520</v>
      </c>
      <c r="AA248" s="22">
        <f t="shared" si="79"/>
        <v>45520</v>
      </c>
      <c r="AB248" s="137">
        <v>45520</v>
      </c>
      <c r="AC248" s="137"/>
      <c r="AD248" s="134"/>
      <c r="AE248" s="134"/>
      <c r="AF248" s="139"/>
      <c r="AG248" s="256"/>
      <c r="AH248" s="256"/>
      <c r="AI248" s="256"/>
      <c r="AJ248" s="256"/>
      <c r="AK248" s="134"/>
      <c r="AL248" s="134"/>
      <c r="AM248" s="134"/>
      <c r="AN248" s="18"/>
      <c r="AO248" s="18"/>
      <c r="AP248" s="18"/>
      <c r="AQ248" s="18"/>
      <c r="AR248" s="17"/>
      <c r="AS248" s="21">
        <f t="shared" si="80"/>
        <v>45520</v>
      </c>
      <c r="AT248" s="17"/>
      <c r="AU248" s="17"/>
      <c r="AV248" s="17"/>
      <c r="AW248" s="17"/>
      <c r="AX248" s="17"/>
      <c r="AY248" s="17"/>
      <c r="AZ248" s="17"/>
    </row>
    <row r="249" spans="1:52" ht="20">
      <c r="A249" s="17"/>
      <c r="B249" s="40"/>
      <c r="C249" s="55">
        <f t="shared" si="76"/>
        <v>230</v>
      </c>
      <c r="D249" s="54">
        <v>1</v>
      </c>
      <c r="E249" s="53" t="str">
        <f t="shared" si="68"/>
        <v>8</v>
      </c>
      <c r="F249" s="52">
        <f t="shared" si="77"/>
        <v>45521</v>
      </c>
      <c r="G249" s="51" t="str">
        <f t="shared" si="69"/>
        <v>Sat</v>
      </c>
      <c r="H249" s="50"/>
      <c r="I249" s="49"/>
      <c r="J249" s="48">
        <v>67850</v>
      </c>
      <c r="K249" s="31"/>
      <c r="L249" s="43">
        <f t="shared" si="81"/>
        <v>197151.06159169553</v>
      </c>
      <c r="M249" s="47">
        <f t="shared" si="70"/>
        <v>-129301.06159169553</v>
      </c>
      <c r="N249" s="41">
        <f t="shared" si="71"/>
        <v>0.34415234415789725</v>
      </c>
      <c r="O249" s="46"/>
      <c r="P249" s="45">
        <f>IF(D249=0,0,SUM($L$233:L249))</f>
        <v>1971510.6159169553</v>
      </c>
      <c r="Q249" s="43">
        <f>IF(D249=0,0,SUM($J$233:J249))</f>
        <v>1893655</v>
      </c>
      <c r="R249" s="42">
        <f t="shared" si="72"/>
        <v>-77855.615916955285</v>
      </c>
      <c r="S249" s="41">
        <f t="shared" si="73"/>
        <v>0.96050966437188345</v>
      </c>
      <c r="T249" s="44"/>
      <c r="U249" s="43">
        <f>IF(D249=0,0,SUM($L$20:L249))</f>
        <v>41845312.82283733</v>
      </c>
      <c r="V249" s="43">
        <f>IF(D249=0,0,SUM($J$20:J249))</f>
        <v>43610269</v>
      </c>
      <c r="W249" s="42">
        <f t="shared" si="74"/>
        <v>1764956.1771626696</v>
      </c>
      <c r="X249" s="41">
        <f t="shared" si="75"/>
        <v>1.0421781092815594</v>
      </c>
      <c r="Y249" s="17"/>
      <c r="Z249" s="23">
        <f t="shared" si="78"/>
        <v>45521</v>
      </c>
      <c r="AA249" s="22">
        <f t="shared" si="79"/>
        <v>45521</v>
      </c>
      <c r="AB249" s="137">
        <v>45521</v>
      </c>
      <c r="AC249" s="137"/>
      <c r="AD249" s="134"/>
      <c r="AE249" s="134"/>
      <c r="AF249" s="139"/>
      <c r="AG249" s="256"/>
      <c r="AH249" s="256"/>
      <c r="AI249" s="256"/>
      <c r="AJ249" s="256"/>
      <c r="AK249" s="134"/>
      <c r="AL249" s="134"/>
      <c r="AM249" s="134"/>
      <c r="AN249" s="18"/>
      <c r="AO249" s="18"/>
      <c r="AP249" s="18"/>
      <c r="AQ249" s="18"/>
      <c r="AR249" s="17"/>
      <c r="AS249" s="21">
        <f t="shared" si="80"/>
        <v>45521</v>
      </c>
      <c r="AT249" s="17"/>
      <c r="AU249" s="17"/>
      <c r="AV249" s="17"/>
      <c r="AW249" s="17"/>
      <c r="AX249" s="17"/>
      <c r="AY249" s="17"/>
      <c r="AZ249" s="17"/>
    </row>
    <row r="250" spans="1:52" ht="20">
      <c r="A250" s="17"/>
      <c r="B250" s="40"/>
      <c r="C250" s="55">
        <f t="shared" si="76"/>
        <v>231</v>
      </c>
      <c r="D250" s="54">
        <v>0</v>
      </c>
      <c r="E250" s="53" t="str">
        <f t="shared" si="68"/>
        <v>8</v>
      </c>
      <c r="F250" s="52">
        <f t="shared" si="77"/>
        <v>45522</v>
      </c>
      <c r="G250" s="51" t="str">
        <f t="shared" si="69"/>
        <v>Sun</v>
      </c>
      <c r="H250" s="50" t="s">
        <v>46</v>
      </c>
      <c r="I250" s="49"/>
      <c r="J250" s="48">
        <v>0</v>
      </c>
      <c r="K250" s="31"/>
      <c r="L250" s="43">
        <f t="shared" si="81"/>
        <v>0</v>
      </c>
      <c r="M250" s="47">
        <f t="shared" si="70"/>
        <v>0</v>
      </c>
      <c r="N250" s="41" t="str">
        <f t="shared" si="71"/>
        <v>0%</v>
      </c>
      <c r="O250" s="46"/>
      <c r="P250" s="45">
        <f>IF(D250=0,0,SUM($L$233:L250))</f>
        <v>0</v>
      </c>
      <c r="Q250" s="43">
        <f>IF(D250=0,0,SUM($J$233:J250))</f>
        <v>0</v>
      </c>
      <c r="R250" s="42">
        <f t="shared" si="72"/>
        <v>0</v>
      </c>
      <c r="S250" s="41" t="str">
        <f t="shared" si="73"/>
        <v>0%</v>
      </c>
      <c r="T250" s="56"/>
      <c r="U250" s="43">
        <f>IF(D250=0,0,SUM($L$20:L250))</f>
        <v>0</v>
      </c>
      <c r="V250" s="43">
        <f>IF(D250=0,0,SUM($J$20:J250))</f>
        <v>0</v>
      </c>
      <c r="W250" s="42">
        <f t="shared" si="74"/>
        <v>0</v>
      </c>
      <c r="X250" s="41" t="str">
        <f t="shared" si="75"/>
        <v>0%</v>
      </c>
      <c r="Y250" s="17"/>
      <c r="Z250" s="23">
        <f t="shared" si="78"/>
        <v>45522</v>
      </c>
      <c r="AA250" s="22">
        <f t="shared" si="79"/>
        <v>45522</v>
      </c>
      <c r="AB250" s="137">
        <v>45522</v>
      </c>
      <c r="AC250" s="137"/>
      <c r="AD250" s="134"/>
      <c r="AE250" s="134"/>
      <c r="AF250" s="139"/>
      <c r="AG250" s="256"/>
      <c r="AH250" s="256"/>
      <c r="AI250" s="256"/>
      <c r="AJ250" s="256"/>
      <c r="AK250" s="134"/>
      <c r="AL250" s="134"/>
      <c r="AM250" s="134"/>
      <c r="AN250" s="18"/>
      <c r="AO250" s="18"/>
      <c r="AP250" s="18"/>
      <c r="AQ250" s="18"/>
      <c r="AR250" s="17"/>
      <c r="AS250" s="21">
        <f t="shared" si="80"/>
        <v>45522</v>
      </c>
      <c r="AT250" s="17"/>
      <c r="AU250" s="17"/>
      <c r="AV250" s="17"/>
      <c r="AW250" s="17"/>
      <c r="AX250" s="17"/>
      <c r="AY250" s="17"/>
      <c r="AZ250" s="17"/>
    </row>
    <row r="251" spans="1:52" ht="20">
      <c r="A251" s="17"/>
      <c r="B251" s="40"/>
      <c r="C251" s="55">
        <f t="shared" si="76"/>
        <v>232</v>
      </c>
      <c r="D251" s="54">
        <v>1</v>
      </c>
      <c r="E251" s="53" t="str">
        <f t="shared" si="68"/>
        <v>8</v>
      </c>
      <c r="F251" s="52">
        <f t="shared" si="77"/>
        <v>45523</v>
      </c>
      <c r="G251" s="51" t="str">
        <f t="shared" si="69"/>
        <v>Mon</v>
      </c>
      <c r="H251" s="50"/>
      <c r="I251" s="49"/>
      <c r="J251" s="48">
        <v>148100</v>
      </c>
      <c r="K251" s="31"/>
      <c r="L251" s="43">
        <f t="shared" si="81"/>
        <v>197151.06159169553</v>
      </c>
      <c r="M251" s="47">
        <f t="shared" si="70"/>
        <v>-49051.061591695528</v>
      </c>
      <c r="N251" s="41">
        <f t="shared" si="71"/>
        <v>0.75120062151487965</v>
      </c>
      <c r="O251" s="46"/>
      <c r="P251" s="45">
        <f>IF(D251=0,0,SUM($L$233:L251))</f>
        <v>2168661.6775086508</v>
      </c>
      <c r="Q251" s="43">
        <f>IF(D251=0,0,SUM($J$233:J251))</f>
        <v>2041755</v>
      </c>
      <c r="R251" s="42">
        <f t="shared" si="72"/>
        <v>-126906.67750865081</v>
      </c>
      <c r="S251" s="41">
        <f t="shared" si="73"/>
        <v>0.94148156956670126</v>
      </c>
      <c r="T251" s="56"/>
      <c r="U251" s="43">
        <f>IF(D251=0,0,SUM($L$20:L251))</f>
        <v>42042463.884429023</v>
      </c>
      <c r="V251" s="43">
        <f>IF(D251=0,0,SUM($J$20:J251))</f>
        <v>43758369</v>
      </c>
      <c r="W251" s="42">
        <f t="shared" si="74"/>
        <v>1715905.1155709773</v>
      </c>
      <c r="X251" s="41">
        <f t="shared" si="75"/>
        <v>1.0408136193037556</v>
      </c>
      <c r="Y251" s="17"/>
      <c r="Z251" s="23">
        <f t="shared" si="78"/>
        <v>45523</v>
      </c>
      <c r="AA251" s="22">
        <f t="shared" si="79"/>
        <v>45523</v>
      </c>
      <c r="AB251" s="137">
        <v>45523</v>
      </c>
      <c r="AC251" s="137"/>
      <c r="AD251" s="134"/>
      <c r="AE251" s="134"/>
      <c r="AF251" s="139"/>
      <c r="AG251" s="256"/>
      <c r="AH251" s="256"/>
      <c r="AI251" s="256"/>
      <c r="AJ251" s="256"/>
      <c r="AK251" s="134"/>
      <c r="AL251" s="134"/>
      <c r="AM251" s="134"/>
      <c r="AN251" s="18"/>
      <c r="AO251" s="18"/>
      <c r="AP251" s="18"/>
      <c r="AQ251" s="18"/>
      <c r="AR251" s="17"/>
      <c r="AS251" s="21">
        <f t="shared" si="80"/>
        <v>45523</v>
      </c>
      <c r="AT251" s="17"/>
      <c r="AU251" s="17"/>
      <c r="AV251" s="17"/>
      <c r="AW251" s="17"/>
      <c r="AX251" s="17"/>
      <c r="AY251" s="17"/>
      <c r="AZ251" s="17"/>
    </row>
    <row r="252" spans="1:52" ht="20">
      <c r="A252" s="17"/>
      <c r="B252" s="40"/>
      <c r="C252" s="55">
        <f t="shared" si="76"/>
        <v>233</v>
      </c>
      <c r="D252" s="54">
        <v>1</v>
      </c>
      <c r="E252" s="53" t="str">
        <f t="shared" si="68"/>
        <v>8</v>
      </c>
      <c r="F252" s="52">
        <f t="shared" si="77"/>
        <v>45524</v>
      </c>
      <c r="G252" s="51" t="str">
        <f t="shared" si="69"/>
        <v>Tue</v>
      </c>
      <c r="H252" s="50"/>
      <c r="I252" s="49"/>
      <c r="J252" s="48">
        <v>192250</v>
      </c>
      <c r="K252" s="31"/>
      <c r="L252" s="43">
        <f t="shared" si="81"/>
        <v>197151.06159169553</v>
      </c>
      <c r="M252" s="47">
        <f t="shared" si="70"/>
        <v>-4901.0615916955285</v>
      </c>
      <c r="N252" s="41">
        <f t="shared" si="71"/>
        <v>0.97514057721968683</v>
      </c>
      <c r="O252" s="46"/>
      <c r="P252" s="45">
        <f>IF(D252=0,0,SUM($L$233:L252))</f>
        <v>2365812.7391003463</v>
      </c>
      <c r="Q252" s="43">
        <f>IF(D252=0,0,SUM($J$233:J252))</f>
        <v>2234005</v>
      </c>
      <c r="R252" s="42">
        <f t="shared" si="72"/>
        <v>-131807.73910034634</v>
      </c>
      <c r="S252" s="41">
        <f t="shared" si="73"/>
        <v>0.94428648687111671</v>
      </c>
      <c r="T252" s="56"/>
      <c r="U252" s="43">
        <f>IF(D252=0,0,SUM($L$20:L252))</f>
        <v>42239614.946020715</v>
      </c>
      <c r="V252" s="43">
        <f>IF(D252=0,0,SUM($J$20:J252))</f>
        <v>43950619</v>
      </c>
      <c r="W252" s="42">
        <f t="shared" si="74"/>
        <v>1711004.0539792851</v>
      </c>
      <c r="X252" s="41">
        <f t="shared" si="75"/>
        <v>1.040507094019816</v>
      </c>
      <c r="Y252" s="17"/>
      <c r="Z252" s="23">
        <f t="shared" si="78"/>
        <v>45524</v>
      </c>
      <c r="AA252" s="22">
        <f t="shared" si="79"/>
        <v>45524</v>
      </c>
      <c r="AB252" s="137">
        <v>45524</v>
      </c>
      <c r="AC252" s="137"/>
      <c r="AD252" s="134"/>
      <c r="AE252" s="134"/>
      <c r="AF252" s="139"/>
      <c r="AG252" s="256"/>
      <c r="AH252" s="256"/>
      <c r="AI252" s="256"/>
      <c r="AJ252" s="256"/>
      <c r="AK252" s="134"/>
      <c r="AL252" s="134"/>
      <c r="AM252" s="134"/>
      <c r="AN252" s="18"/>
      <c r="AO252" s="18"/>
      <c r="AP252" s="18"/>
      <c r="AQ252" s="18"/>
      <c r="AR252" s="17"/>
      <c r="AS252" s="21">
        <f t="shared" si="80"/>
        <v>45524</v>
      </c>
      <c r="AT252" s="17"/>
      <c r="AU252" s="17"/>
      <c r="AV252" s="17"/>
      <c r="AW252" s="17"/>
      <c r="AX252" s="17"/>
      <c r="AY252" s="17"/>
      <c r="AZ252" s="17"/>
    </row>
    <row r="253" spans="1:52" ht="20">
      <c r="A253" s="17"/>
      <c r="B253" s="40"/>
      <c r="C253" s="55">
        <f t="shared" si="76"/>
        <v>234</v>
      </c>
      <c r="D253" s="54">
        <v>1</v>
      </c>
      <c r="E253" s="53" t="str">
        <f t="shared" si="68"/>
        <v>8</v>
      </c>
      <c r="F253" s="52">
        <f t="shared" si="77"/>
        <v>45525</v>
      </c>
      <c r="G253" s="51" t="str">
        <f t="shared" si="69"/>
        <v>Wed</v>
      </c>
      <c r="H253" s="50"/>
      <c r="I253" s="49"/>
      <c r="J253" s="48">
        <v>341650</v>
      </c>
      <c r="K253" s="31"/>
      <c r="L253" s="43">
        <f t="shared" si="81"/>
        <v>197151.06159169553</v>
      </c>
      <c r="M253" s="47">
        <f t="shared" si="70"/>
        <v>144498.93840830447</v>
      </c>
      <c r="N253" s="41">
        <f t="shared" si="71"/>
        <v>1.7329351272151157</v>
      </c>
      <c r="O253" s="46"/>
      <c r="P253" s="45">
        <f>IF(D253=0,0,SUM($L$233:L253))</f>
        <v>2562963.8006920419</v>
      </c>
      <c r="Q253" s="43">
        <f>IF(D253=0,0,SUM($J$233:J253))</f>
        <v>2575655</v>
      </c>
      <c r="R253" s="42">
        <f t="shared" si="72"/>
        <v>12691.19930795813</v>
      </c>
      <c r="S253" s="41">
        <f t="shared" si="73"/>
        <v>1.0049517668975783</v>
      </c>
      <c r="T253" s="56"/>
      <c r="U253" s="43">
        <f>IF(D253=0,0,SUM($L$20:L253))</f>
        <v>42436766.007612407</v>
      </c>
      <c r="V253" s="43">
        <f>IF(D253=0,0,SUM($J$20:J253))</f>
        <v>44292269</v>
      </c>
      <c r="W253" s="42">
        <f t="shared" si="74"/>
        <v>1855502.9923875928</v>
      </c>
      <c r="X253" s="41">
        <f t="shared" si="75"/>
        <v>1.0437239489940102</v>
      </c>
      <c r="Y253" s="17"/>
      <c r="Z253" s="23">
        <f t="shared" si="78"/>
        <v>45525</v>
      </c>
      <c r="AA253" s="22">
        <f t="shared" si="79"/>
        <v>45525</v>
      </c>
      <c r="AB253" s="137">
        <v>45525</v>
      </c>
      <c r="AC253" s="137"/>
      <c r="AD253" s="134"/>
      <c r="AE253" s="134"/>
      <c r="AF253" s="139"/>
      <c r="AG253" s="256"/>
      <c r="AH253" s="256"/>
      <c r="AI253" s="256"/>
      <c r="AJ253" s="256"/>
      <c r="AK253" s="134"/>
      <c r="AL253" s="134"/>
      <c r="AM253" s="134"/>
      <c r="AN253" s="18"/>
      <c r="AO253" s="18"/>
      <c r="AP253" s="18"/>
      <c r="AQ253" s="18"/>
      <c r="AR253" s="17"/>
      <c r="AS253" s="21">
        <f t="shared" si="80"/>
        <v>45525</v>
      </c>
      <c r="AT253" s="17"/>
      <c r="AU253" s="17"/>
      <c r="AV253" s="17"/>
      <c r="AW253" s="17"/>
      <c r="AX253" s="17"/>
      <c r="AY253" s="17"/>
      <c r="AZ253" s="17"/>
    </row>
    <row r="254" spans="1:52" ht="20">
      <c r="A254" s="17"/>
      <c r="B254" s="40"/>
      <c r="C254" s="55">
        <f t="shared" si="76"/>
        <v>235</v>
      </c>
      <c r="D254" s="54">
        <v>1</v>
      </c>
      <c r="E254" s="53" t="str">
        <f t="shared" si="68"/>
        <v>8</v>
      </c>
      <c r="F254" s="52">
        <f t="shared" si="77"/>
        <v>45526</v>
      </c>
      <c r="G254" s="51" t="str">
        <f t="shared" si="69"/>
        <v>Thu</v>
      </c>
      <c r="H254" s="50"/>
      <c r="I254" s="49"/>
      <c r="J254" s="48">
        <v>211250</v>
      </c>
      <c r="K254" s="31"/>
      <c r="L254" s="43">
        <f t="shared" si="81"/>
        <v>197151.06159169553</v>
      </c>
      <c r="M254" s="47">
        <f t="shared" si="70"/>
        <v>14098.938408304472</v>
      </c>
      <c r="N254" s="41">
        <f t="shared" si="71"/>
        <v>1.0715133780892527</v>
      </c>
      <c r="O254" s="46"/>
      <c r="P254" s="45">
        <f>IF(D254=0,0,SUM($L$233:L254))</f>
        <v>2760114.8622837374</v>
      </c>
      <c r="Q254" s="43">
        <f>IF(D254=0,0,SUM($J$233:J254))</f>
        <v>2786905</v>
      </c>
      <c r="R254" s="42">
        <f t="shared" si="72"/>
        <v>26790.137716262601</v>
      </c>
      <c r="S254" s="41">
        <f t="shared" si="73"/>
        <v>1.0097061676969836</v>
      </c>
      <c r="T254" s="56"/>
      <c r="U254" s="43">
        <f>IF(D254=0,0,SUM($L$20:L254))</f>
        <v>42633917.069204099</v>
      </c>
      <c r="V254" s="43">
        <f>IF(D254=0,0,SUM($J$20:J254))</f>
        <v>44503519</v>
      </c>
      <c r="W254" s="42">
        <f t="shared" si="74"/>
        <v>1869601.9307959005</v>
      </c>
      <c r="X254" s="41">
        <f t="shared" si="75"/>
        <v>1.0438524550245085</v>
      </c>
      <c r="Y254" s="17"/>
      <c r="Z254" s="23">
        <f t="shared" si="78"/>
        <v>45526</v>
      </c>
      <c r="AA254" s="22">
        <f t="shared" si="79"/>
        <v>45526</v>
      </c>
      <c r="AB254" s="137">
        <v>45526</v>
      </c>
      <c r="AC254" s="137"/>
      <c r="AD254" s="134"/>
      <c r="AE254" s="134"/>
      <c r="AF254" s="139"/>
      <c r="AG254" s="256"/>
      <c r="AH254" s="256"/>
      <c r="AI254" s="256"/>
      <c r="AJ254" s="256"/>
      <c r="AK254" s="134"/>
      <c r="AL254" s="134"/>
      <c r="AM254" s="134"/>
      <c r="AN254" s="18"/>
      <c r="AO254" s="18"/>
      <c r="AP254" s="18"/>
      <c r="AQ254" s="18"/>
      <c r="AR254" s="17"/>
      <c r="AS254" s="21">
        <f t="shared" si="80"/>
        <v>45526</v>
      </c>
      <c r="AT254" s="17"/>
      <c r="AU254" s="17"/>
      <c r="AV254" s="17"/>
      <c r="AW254" s="17"/>
      <c r="AX254" s="17"/>
      <c r="AY254" s="17"/>
      <c r="AZ254" s="17"/>
    </row>
    <row r="255" spans="1:52" ht="20">
      <c r="A255" s="17"/>
      <c r="B255" s="40"/>
      <c r="C255" s="55">
        <f t="shared" si="76"/>
        <v>236</v>
      </c>
      <c r="D255" s="54">
        <v>1</v>
      </c>
      <c r="E255" s="53" t="str">
        <f t="shared" si="68"/>
        <v>8</v>
      </c>
      <c r="F255" s="52">
        <f t="shared" si="77"/>
        <v>45527</v>
      </c>
      <c r="G255" s="51" t="str">
        <f t="shared" si="69"/>
        <v>Fri</v>
      </c>
      <c r="H255" s="50"/>
      <c r="I255" s="49"/>
      <c r="J255" s="48">
        <v>346500</v>
      </c>
      <c r="K255" s="31"/>
      <c r="L255" s="43">
        <f t="shared" si="81"/>
        <v>197151.06159169553</v>
      </c>
      <c r="M255" s="47">
        <f t="shared" si="70"/>
        <v>149348.93840830447</v>
      </c>
      <c r="N255" s="41">
        <f t="shared" si="71"/>
        <v>1.7575355527002416</v>
      </c>
      <c r="O255" s="46"/>
      <c r="P255" s="45">
        <f>IF(D255=0,0,SUM($L$233:L255))</f>
        <v>2957265.9238754329</v>
      </c>
      <c r="Q255" s="43">
        <f>IF(D255=0,0,SUM($J$233:J255))</f>
        <v>3133405</v>
      </c>
      <c r="R255" s="42">
        <f t="shared" si="72"/>
        <v>176139.07612456707</v>
      </c>
      <c r="S255" s="41">
        <f t="shared" si="73"/>
        <v>1.0595614600305341</v>
      </c>
      <c r="T255" s="56"/>
      <c r="U255" s="43">
        <f>IF(D255=0,0,SUM($L$20:L255))</f>
        <v>42831068.130795792</v>
      </c>
      <c r="V255" s="43">
        <f>IF(D255=0,0,SUM($J$20:J255))</f>
        <v>44850019</v>
      </c>
      <c r="W255" s="42">
        <f t="shared" si="74"/>
        <v>2018950.8692042083</v>
      </c>
      <c r="X255" s="41">
        <f t="shared" si="75"/>
        <v>1.0471375325742243</v>
      </c>
      <c r="Y255" s="17"/>
      <c r="Z255" s="23">
        <f t="shared" si="78"/>
        <v>45527</v>
      </c>
      <c r="AA255" s="22">
        <f t="shared" si="79"/>
        <v>45527</v>
      </c>
      <c r="AB255" s="137">
        <v>45527</v>
      </c>
      <c r="AC255" s="137"/>
      <c r="AD255" s="134"/>
      <c r="AE255" s="134"/>
      <c r="AF255" s="139"/>
      <c r="AG255" s="256"/>
      <c r="AH255" s="256"/>
      <c r="AI255" s="256"/>
      <c r="AJ255" s="256"/>
      <c r="AK255" s="134"/>
      <c r="AL255" s="134"/>
      <c r="AM255" s="134"/>
      <c r="AN255" s="18"/>
      <c r="AO255" s="18"/>
      <c r="AP255" s="18"/>
      <c r="AQ255" s="18"/>
      <c r="AR255" s="17"/>
      <c r="AS255" s="21">
        <f t="shared" si="80"/>
        <v>45527</v>
      </c>
      <c r="AT255" s="17"/>
      <c r="AU255" s="17"/>
      <c r="AV255" s="17"/>
      <c r="AW255" s="17"/>
      <c r="AX255" s="17"/>
      <c r="AY255" s="17"/>
      <c r="AZ255" s="17"/>
    </row>
    <row r="256" spans="1:52" ht="20">
      <c r="A256" s="17"/>
      <c r="B256" s="40"/>
      <c r="C256" s="55">
        <f t="shared" si="76"/>
        <v>237</v>
      </c>
      <c r="D256" s="54">
        <v>1</v>
      </c>
      <c r="E256" s="53" t="str">
        <f t="shared" si="68"/>
        <v>8</v>
      </c>
      <c r="F256" s="52">
        <f t="shared" si="77"/>
        <v>45528</v>
      </c>
      <c r="G256" s="51" t="str">
        <f t="shared" si="69"/>
        <v>Sat</v>
      </c>
      <c r="H256" s="50"/>
      <c r="I256" s="49"/>
      <c r="J256" s="48">
        <v>163470</v>
      </c>
      <c r="K256" s="31"/>
      <c r="L256" s="43">
        <f t="shared" si="81"/>
        <v>197151.06159169553</v>
      </c>
      <c r="M256" s="47">
        <f t="shared" si="70"/>
        <v>-33681.061591695528</v>
      </c>
      <c r="N256" s="41">
        <f t="shared" si="71"/>
        <v>0.82916114516568118</v>
      </c>
      <c r="O256" s="46"/>
      <c r="P256" s="45">
        <f>IF(D256=0,0,SUM($L$233:L256))</f>
        <v>3154416.9854671285</v>
      </c>
      <c r="Q256" s="43">
        <f>IF(D256=0,0,SUM($J$233:J256))</f>
        <v>3296875</v>
      </c>
      <c r="R256" s="42">
        <f t="shared" si="72"/>
        <v>142458.01453287154</v>
      </c>
      <c r="S256" s="41">
        <f t="shared" si="73"/>
        <v>1.0451614403514808</v>
      </c>
      <c r="T256" s="44"/>
      <c r="U256" s="43">
        <f>IF(D256=0,0,SUM($L$20:L256))</f>
        <v>43028219.192387484</v>
      </c>
      <c r="V256" s="43">
        <f>IF(D256=0,0,SUM($J$20:J256))</f>
        <v>45013489</v>
      </c>
      <c r="W256" s="42">
        <f t="shared" si="74"/>
        <v>1985269.807612516</v>
      </c>
      <c r="X256" s="41">
        <f t="shared" si="75"/>
        <v>1.0461387862401645</v>
      </c>
      <c r="Y256" s="17"/>
      <c r="Z256" s="23">
        <f t="shared" si="78"/>
        <v>45528</v>
      </c>
      <c r="AA256" s="22">
        <f t="shared" si="79"/>
        <v>45528</v>
      </c>
      <c r="AB256" s="137">
        <v>45528</v>
      </c>
      <c r="AC256" s="137"/>
      <c r="AD256" s="134"/>
      <c r="AE256" s="134"/>
      <c r="AF256" s="139"/>
      <c r="AG256" s="256"/>
      <c r="AH256" s="256"/>
      <c r="AI256" s="256"/>
      <c r="AJ256" s="256"/>
      <c r="AK256" s="134"/>
      <c r="AL256" s="134"/>
      <c r="AM256" s="134"/>
      <c r="AN256" s="18"/>
      <c r="AO256" s="18"/>
      <c r="AP256" s="18"/>
      <c r="AQ256" s="18"/>
      <c r="AR256" s="17"/>
      <c r="AS256" s="21">
        <f t="shared" si="80"/>
        <v>45528</v>
      </c>
      <c r="AT256" s="17"/>
      <c r="AU256" s="17"/>
      <c r="AV256" s="17"/>
      <c r="AW256" s="17"/>
      <c r="AX256" s="17"/>
      <c r="AY256" s="17"/>
      <c r="AZ256" s="17"/>
    </row>
    <row r="257" spans="1:52" ht="20">
      <c r="A257" s="17"/>
      <c r="B257" s="40"/>
      <c r="C257" s="55">
        <f t="shared" si="76"/>
        <v>238</v>
      </c>
      <c r="D257" s="54">
        <v>0</v>
      </c>
      <c r="E257" s="53" t="str">
        <f t="shared" si="68"/>
        <v>8</v>
      </c>
      <c r="F257" s="52">
        <f t="shared" si="77"/>
        <v>45529</v>
      </c>
      <c r="G257" s="51" t="str">
        <f t="shared" si="69"/>
        <v>Sun</v>
      </c>
      <c r="H257" s="50" t="s">
        <v>46</v>
      </c>
      <c r="I257" s="49"/>
      <c r="J257" s="48">
        <v>0</v>
      </c>
      <c r="K257" s="31"/>
      <c r="L257" s="43">
        <f t="shared" si="81"/>
        <v>0</v>
      </c>
      <c r="M257" s="47">
        <f t="shared" si="70"/>
        <v>0</v>
      </c>
      <c r="N257" s="41" t="str">
        <f t="shared" si="71"/>
        <v>0%</v>
      </c>
      <c r="O257" s="46"/>
      <c r="P257" s="45">
        <f>IF(D257=0,0,SUM($L$233:L257))</f>
        <v>0</v>
      </c>
      <c r="Q257" s="43">
        <f>IF(D257=0,0,SUM($J$233:J257))</f>
        <v>0</v>
      </c>
      <c r="R257" s="42">
        <f t="shared" si="72"/>
        <v>0</v>
      </c>
      <c r="S257" s="41" t="str">
        <f t="shared" si="73"/>
        <v>0%</v>
      </c>
      <c r="T257" s="56"/>
      <c r="U257" s="43">
        <f>IF(D257=0,0,SUM($L$20:L257))</f>
        <v>0</v>
      </c>
      <c r="V257" s="43">
        <f>IF(D257=0,0,SUM($J$20:J257))</f>
        <v>0</v>
      </c>
      <c r="W257" s="42">
        <f t="shared" si="74"/>
        <v>0</v>
      </c>
      <c r="X257" s="41" t="str">
        <f t="shared" si="75"/>
        <v>0%</v>
      </c>
      <c r="Y257" s="17"/>
      <c r="Z257" s="23">
        <f t="shared" si="78"/>
        <v>45529</v>
      </c>
      <c r="AA257" s="22">
        <f t="shared" si="79"/>
        <v>45529</v>
      </c>
      <c r="AB257" s="137">
        <v>45529</v>
      </c>
      <c r="AC257" s="137"/>
      <c r="AD257" s="134"/>
      <c r="AE257" s="134"/>
      <c r="AF257" s="139"/>
      <c r="AG257" s="256"/>
      <c r="AH257" s="256"/>
      <c r="AI257" s="256"/>
      <c r="AJ257" s="256"/>
      <c r="AK257" s="134"/>
      <c r="AL257" s="134"/>
      <c r="AM257" s="134"/>
      <c r="AN257" s="18"/>
      <c r="AO257" s="18"/>
      <c r="AP257" s="18"/>
      <c r="AQ257" s="18"/>
      <c r="AR257" s="17"/>
      <c r="AS257" s="21">
        <f t="shared" si="80"/>
        <v>45529</v>
      </c>
      <c r="AT257" s="17"/>
      <c r="AU257" s="17"/>
      <c r="AV257" s="17"/>
      <c r="AW257" s="17"/>
      <c r="AX257" s="17"/>
      <c r="AY257" s="17"/>
      <c r="AZ257" s="17"/>
    </row>
    <row r="258" spans="1:52" ht="20">
      <c r="A258" s="17"/>
      <c r="B258" s="40"/>
      <c r="C258" s="55">
        <f t="shared" si="76"/>
        <v>239</v>
      </c>
      <c r="D258" s="54">
        <v>1</v>
      </c>
      <c r="E258" s="53" t="str">
        <f t="shared" si="68"/>
        <v>8</v>
      </c>
      <c r="F258" s="52">
        <f t="shared" si="77"/>
        <v>45530</v>
      </c>
      <c r="G258" s="51" t="str">
        <f t="shared" si="69"/>
        <v>Mon</v>
      </c>
      <c r="H258" s="50"/>
      <c r="I258" s="49"/>
      <c r="J258" s="48">
        <v>134000</v>
      </c>
      <c r="K258" s="31"/>
      <c r="L258" s="43">
        <f t="shared" si="81"/>
        <v>197151.06159169553</v>
      </c>
      <c r="M258" s="47">
        <f t="shared" si="70"/>
        <v>-63151.061591695528</v>
      </c>
      <c r="N258" s="41">
        <f t="shared" si="71"/>
        <v>0.67968185876430709</v>
      </c>
      <c r="O258" s="46"/>
      <c r="P258" s="45">
        <f>IF(D258=0,0,SUM($L$233:L258))</f>
        <v>3351568.047058824</v>
      </c>
      <c r="Q258" s="43">
        <f>IF(D258=0,0,SUM($J$233:J258))</f>
        <v>3430875</v>
      </c>
      <c r="R258" s="42">
        <f t="shared" si="72"/>
        <v>79306.952941176016</v>
      </c>
      <c r="S258" s="41">
        <f t="shared" si="73"/>
        <v>1.0236626414345882</v>
      </c>
      <c r="T258" s="56"/>
      <c r="U258" s="43">
        <f>IF(D258=0,0,SUM($L$20:L258))</f>
        <v>43225370.253979176</v>
      </c>
      <c r="V258" s="43">
        <f>IF(D258=0,0,SUM($J$20:J258))</f>
        <v>45147489</v>
      </c>
      <c r="W258" s="42">
        <f t="shared" si="74"/>
        <v>1922118.7460208237</v>
      </c>
      <c r="X258" s="41">
        <f t="shared" si="75"/>
        <v>1.0444673749403888</v>
      </c>
      <c r="Y258" s="17"/>
      <c r="Z258" s="23">
        <f t="shared" si="78"/>
        <v>45530</v>
      </c>
      <c r="AA258" s="22">
        <f t="shared" si="79"/>
        <v>45530</v>
      </c>
      <c r="AB258" s="137">
        <v>45530</v>
      </c>
      <c r="AC258" s="137"/>
      <c r="AD258" s="134"/>
      <c r="AE258" s="134"/>
      <c r="AF258" s="139"/>
      <c r="AG258" s="256"/>
      <c r="AH258" s="256"/>
      <c r="AI258" s="256"/>
      <c r="AJ258" s="256"/>
      <c r="AK258" s="134"/>
      <c r="AL258" s="134"/>
      <c r="AM258" s="134"/>
      <c r="AN258" s="18"/>
      <c r="AO258" s="18"/>
      <c r="AP258" s="18"/>
      <c r="AQ258" s="18"/>
      <c r="AR258" s="17"/>
      <c r="AS258" s="21">
        <f t="shared" si="80"/>
        <v>45530</v>
      </c>
      <c r="AT258" s="17"/>
      <c r="AU258" s="17"/>
      <c r="AV258" s="17"/>
      <c r="AW258" s="17"/>
      <c r="AX258" s="17"/>
      <c r="AY258" s="17"/>
      <c r="AZ258" s="17"/>
    </row>
    <row r="259" spans="1:52" ht="20">
      <c r="A259" s="17"/>
      <c r="B259" s="40"/>
      <c r="C259" s="55">
        <f t="shared" si="76"/>
        <v>240</v>
      </c>
      <c r="D259" s="54">
        <v>1</v>
      </c>
      <c r="E259" s="53" t="str">
        <f t="shared" si="68"/>
        <v>8</v>
      </c>
      <c r="F259" s="52">
        <f t="shared" si="77"/>
        <v>45531</v>
      </c>
      <c r="G259" s="51" t="str">
        <f t="shared" si="69"/>
        <v>Tue</v>
      </c>
      <c r="H259" s="50"/>
      <c r="I259" s="49"/>
      <c r="J259" s="48">
        <v>157150</v>
      </c>
      <c r="K259" s="31"/>
      <c r="L259" s="43">
        <f t="shared" si="81"/>
        <v>197151.06159169553</v>
      </c>
      <c r="M259" s="47">
        <f t="shared" si="70"/>
        <v>-40001.061591695528</v>
      </c>
      <c r="N259" s="41">
        <f t="shared" si="71"/>
        <v>0.79710450824485712</v>
      </c>
      <c r="O259" s="46"/>
      <c r="P259" s="45">
        <f>IF(D259=0,0,SUM($L$233:L259))</f>
        <v>3548719.1086505195</v>
      </c>
      <c r="Q259" s="43">
        <f>IF(D259=0,0,SUM($J$233:J259))</f>
        <v>3588025</v>
      </c>
      <c r="R259" s="42">
        <f t="shared" si="72"/>
        <v>39305.891349480487</v>
      </c>
      <c r="S259" s="41">
        <f t="shared" si="73"/>
        <v>1.0110760784796031</v>
      </c>
      <c r="T259" s="56"/>
      <c r="U259" s="43">
        <f>IF(D259=0,0,SUM($L$20:L259))</f>
        <v>43422521.315570869</v>
      </c>
      <c r="V259" s="43">
        <f>IF(D259=0,0,SUM($J$20:J259))</f>
        <v>45304639</v>
      </c>
      <c r="W259" s="42">
        <f t="shared" si="74"/>
        <v>1882117.6844291314</v>
      </c>
      <c r="X259" s="41">
        <f t="shared" si="75"/>
        <v>1.0433442745240642</v>
      </c>
      <c r="Y259" s="17"/>
      <c r="Z259" s="23">
        <f t="shared" si="78"/>
        <v>45531</v>
      </c>
      <c r="AA259" s="22">
        <f t="shared" si="79"/>
        <v>45531</v>
      </c>
      <c r="AB259" s="137">
        <v>45531</v>
      </c>
      <c r="AC259" s="137"/>
      <c r="AD259" s="134"/>
      <c r="AE259" s="134"/>
      <c r="AF259" s="139"/>
      <c r="AG259" s="256"/>
      <c r="AH259" s="256"/>
      <c r="AI259" s="256"/>
      <c r="AJ259" s="256"/>
      <c r="AK259" s="134"/>
      <c r="AL259" s="134"/>
      <c r="AM259" s="134"/>
      <c r="AN259" s="18"/>
      <c r="AO259" s="18"/>
      <c r="AP259" s="18"/>
      <c r="AQ259" s="18"/>
      <c r="AR259" s="17"/>
      <c r="AS259" s="21">
        <f t="shared" si="80"/>
        <v>45531</v>
      </c>
      <c r="AT259" s="17"/>
      <c r="AU259" s="17"/>
      <c r="AV259" s="17"/>
      <c r="AW259" s="17"/>
      <c r="AX259" s="17"/>
      <c r="AY259" s="17"/>
      <c r="AZ259" s="17"/>
    </row>
    <row r="260" spans="1:52" ht="20">
      <c r="A260" s="17"/>
      <c r="B260" s="40"/>
      <c r="C260" s="55">
        <f t="shared" si="76"/>
        <v>241</v>
      </c>
      <c r="D260" s="54">
        <v>1</v>
      </c>
      <c r="E260" s="53" t="str">
        <f t="shared" si="68"/>
        <v>8</v>
      </c>
      <c r="F260" s="52">
        <f t="shared" si="77"/>
        <v>45532</v>
      </c>
      <c r="G260" s="51" t="str">
        <f t="shared" si="69"/>
        <v>Wed</v>
      </c>
      <c r="H260" s="50"/>
      <c r="I260" s="49"/>
      <c r="J260" s="48">
        <v>307544</v>
      </c>
      <c r="K260" s="31"/>
      <c r="L260" s="43">
        <f t="shared" si="81"/>
        <v>197151.06159169553</v>
      </c>
      <c r="M260" s="47">
        <f t="shared" si="70"/>
        <v>110392.93840830447</v>
      </c>
      <c r="N260" s="41">
        <f t="shared" si="71"/>
        <v>1.5599408774015675</v>
      </c>
      <c r="O260" s="46"/>
      <c r="P260" s="45">
        <f>IF(D260=0,0,SUM($L$233:L260))</f>
        <v>3745870.170242215</v>
      </c>
      <c r="Q260" s="43">
        <f>IF(D260=0,0,SUM($J$233:J260))</f>
        <v>3895569</v>
      </c>
      <c r="R260" s="42">
        <f t="shared" si="72"/>
        <v>149698.82975778496</v>
      </c>
      <c r="S260" s="41">
        <f t="shared" si="73"/>
        <v>1.0399636994754959</v>
      </c>
      <c r="T260" s="56"/>
      <c r="U260" s="43">
        <f>IF(D260=0,0,SUM($L$20:L260))</f>
        <v>43619672.377162561</v>
      </c>
      <c r="V260" s="43">
        <f>IF(D260=0,0,SUM($J$20:J260))</f>
        <v>45612183</v>
      </c>
      <c r="W260" s="42">
        <f t="shared" si="74"/>
        <v>1992510.6228374392</v>
      </c>
      <c r="X260" s="41">
        <f t="shared" si="75"/>
        <v>1.0456791744240757</v>
      </c>
      <c r="Y260" s="17"/>
      <c r="Z260" s="23">
        <f t="shared" si="78"/>
        <v>45532</v>
      </c>
      <c r="AA260" s="22">
        <f t="shared" si="79"/>
        <v>45532</v>
      </c>
      <c r="AB260" s="137">
        <v>45532</v>
      </c>
      <c r="AC260" s="137"/>
      <c r="AD260" s="134"/>
      <c r="AE260" s="134"/>
      <c r="AF260" s="139"/>
      <c r="AG260" s="256"/>
      <c r="AH260" s="256"/>
      <c r="AI260" s="256"/>
      <c r="AJ260" s="256"/>
      <c r="AK260" s="134"/>
      <c r="AL260" s="134"/>
      <c r="AM260" s="134"/>
      <c r="AN260" s="18"/>
      <c r="AO260" s="18"/>
      <c r="AP260" s="18"/>
      <c r="AQ260" s="18"/>
      <c r="AR260" s="17"/>
      <c r="AS260" s="21">
        <f t="shared" si="80"/>
        <v>45532</v>
      </c>
      <c r="AT260" s="17"/>
      <c r="AU260" s="17"/>
      <c r="AV260" s="17"/>
      <c r="AW260" s="17"/>
      <c r="AX260" s="17"/>
      <c r="AY260" s="17"/>
      <c r="AZ260" s="17"/>
    </row>
    <row r="261" spans="1:52" ht="20">
      <c r="A261" s="17"/>
      <c r="B261" s="40"/>
      <c r="C261" s="55">
        <f t="shared" si="76"/>
        <v>242</v>
      </c>
      <c r="D261" s="54">
        <v>1</v>
      </c>
      <c r="E261" s="53" t="str">
        <f t="shared" si="68"/>
        <v>8</v>
      </c>
      <c r="F261" s="52">
        <f t="shared" si="77"/>
        <v>45533</v>
      </c>
      <c r="G261" s="51" t="str">
        <f t="shared" si="69"/>
        <v>Thu</v>
      </c>
      <c r="H261" s="50"/>
      <c r="I261" s="49"/>
      <c r="J261" s="48">
        <v>319443</v>
      </c>
      <c r="K261" s="31"/>
      <c r="L261" s="43">
        <f t="shared" si="81"/>
        <v>197151.06159169553</v>
      </c>
      <c r="M261" s="47">
        <f t="shared" si="70"/>
        <v>122291.93840830447</v>
      </c>
      <c r="N261" s="41">
        <f t="shared" si="71"/>
        <v>1.6202956120093026</v>
      </c>
      <c r="O261" s="46"/>
      <c r="P261" s="45">
        <f>IF(D261=0,0,SUM($L$233:L261))</f>
        <v>3943021.2318339106</v>
      </c>
      <c r="Q261" s="43">
        <f>IF(D261=0,0,SUM($J$233:J261))</f>
        <v>4215012</v>
      </c>
      <c r="R261" s="42">
        <f t="shared" si="72"/>
        <v>271990.76816608943</v>
      </c>
      <c r="S261" s="41">
        <f t="shared" si="73"/>
        <v>1.0689802951021863</v>
      </c>
      <c r="T261" s="56"/>
      <c r="U261" s="43">
        <f>IF(D261=0,0,SUM($L$20:L261))</f>
        <v>43816823.438754253</v>
      </c>
      <c r="V261" s="43">
        <f>IF(D261=0,0,SUM($J$20:J261))</f>
        <v>45931626</v>
      </c>
      <c r="W261" s="42">
        <f t="shared" si="74"/>
        <v>2114802.5612457469</v>
      </c>
      <c r="X261" s="41">
        <f t="shared" si="75"/>
        <v>1.0482646252118606</v>
      </c>
      <c r="Y261" s="17"/>
      <c r="Z261" s="23">
        <f t="shared" si="78"/>
        <v>45533</v>
      </c>
      <c r="AA261" s="22">
        <f t="shared" si="79"/>
        <v>45533</v>
      </c>
      <c r="AB261" s="137">
        <v>45533</v>
      </c>
      <c r="AC261" s="137"/>
      <c r="AD261" s="134"/>
      <c r="AE261" s="134"/>
      <c r="AF261" s="139"/>
      <c r="AG261" s="256"/>
      <c r="AH261" s="256"/>
      <c r="AI261" s="256"/>
      <c r="AJ261" s="256"/>
      <c r="AK261" s="134"/>
      <c r="AL261" s="134"/>
      <c r="AM261" s="134"/>
      <c r="AN261" s="18"/>
      <c r="AO261" s="18"/>
      <c r="AP261" s="18"/>
      <c r="AQ261" s="18"/>
      <c r="AR261" s="17"/>
      <c r="AS261" s="21">
        <f t="shared" si="80"/>
        <v>45533</v>
      </c>
      <c r="AT261" s="17"/>
      <c r="AU261" s="17"/>
      <c r="AV261" s="17"/>
      <c r="AW261" s="17"/>
      <c r="AX261" s="17"/>
      <c r="AY261" s="17"/>
      <c r="AZ261" s="17"/>
    </row>
    <row r="262" spans="1:52" ht="20">
      <c r="A262" s="17"/>
      <c r="B262" s="40"/>
      <c r="C262" s="55">
        <f t="shared" si="76"/>
        <v>243</v>
      </c>
      <c r="D262" s="54">
        <v>1</v>
      </c>
      <c r="E262" s="53" t="str">
        <f t="shared" si="68"/>
        <v>8</v>
      </c>
      <c r="F262" s="52">
        <f t="shared" si="77"/>
        <v>45534</v>
      </c>
      <c r="G262" s="51" t="str">
        <f t="shared" si="69"/>
        <v>Fri</v>
      </c>
      <c r="H262" s="50"/>
      <c r="I262" s="49"/>
      <c r="J262" s="48">
        <v>213300</v>
      </c>
      <c r="K262" s="31"/>
      <c r="L262" s="43">
        <f t="shared" si="81"/>
        <v>197151.06159169553</v>
      </c>
      <c r="M262" s="47">
        <f t="shared" si="70"/>
        <v>16148.938408304472</v>
      </c>
      <c r="N262" s="41">
        <f t="shared" si="71"/>
        <v>1.0819114960778111</v>
      </c>
      <c r="O262" s="46"/>
      <c r="P262" s="45">
        <f>IF(D262=0,0,SUM($L$233:L262))</f>
        <v>4140172.2934256061</v>
      </c>
      <c r="Q262" s="43">
        <f>IF(D262=0,0,SUM($J$233:J262))</f>
        <v>4428312</v>
      </c>
      <c r="R262" s="42">
        <f t="shared" si="72"/>
        <v>288139.7065743939</v>
      </c>
      <c r="S262" s="41">
        <f t="shared" si="73"/>
        <v>1.0695960665772162</v>
      </c>
      <c r="T262" s="56"/>
      <c r="U262" s="43">
        <f>IF(D262=0,0,SUM($L$20:L262))</f>
        <v>44013974.500345945</v>
      </c>
      <c r="V262" s="43">
        <f>IF(D262=0,0,SUM($J$20:J262))</f>
        <v>46144926</v>
      </c>
      <c r="W262" s="42">
        <f t="shared" si="74"/>
        <v>2130951.4996540546</v>
      </c>
      <c r="X262" s="41">
        <f t="shared" si="75"/>
        <v>1.0484153390791215</v>
      </c>
      <c r="Y262" s="17"/>
      <c r="Z262" s="23">
        <f t="shared" si="78"/>
        <v>45534</v>
      </c>
      <c r="AA262" s="22">
        <f t="shared" si="79"/>
        <v>45534</v>
      </c>
      <c r="AB262" s="137">
        <v>45534</v>
      </c>
      <c r="AC262" s="137"/>
      <c r="AD262" s="134"/>
      <c r="AE262" s="134"/>
      <c r="AF262" s="139"/>
      <c r="AG262" s="256"/>
      <c r="AH262" s="256"/>
      <c r="AI262" s="256"/>
      <c r="AJ262" s="256"/>
      <c r="AK262" s="134"/>
      <c r="AL262" s="134"/>
      <c r="AM262" s="134"/>
      <c r="AN262" s="18"/>
      <c r="AO262" s="18"/>
      <c r="AP262" s="18"/>
      <c r="AQ262" s="18"/>
      <c r="AR262" s="17"/>
      <c r="AS262" s="21">
        <f t="shared" si="80"/>
        <v>45534</v>
      </c>
      <c r="AT262" s="17"/>
      <c r="AU262" s="17"/>
      <c r="AV262" s="17"/>
      <c r="AW262" s="17"/>
      <c r="AX262" s="17"/>
      <c r="AY262" s="17"/>
      <c r="AZ262" s="17"/>
    </row>
    <row r="263" spans="1:52" ht="21" thickBot="1">
      <c r="A263" s="17"/>
      <c r="B263" s="40"/>
      <c r="C263" s="39">
        <f t="shared" si="76"/>
        <v>244</v>
      </c>
      <c r="D263" s="38">
        <v>1</v>
      </c>
      <c r="E263" s="37" t="str">
        <f t="shared" si="68"/>
        <v>8</v>
      </c>
      <c r="F263" s="36">
        <f t="shared" si="77"/>
        <v>45535</v>
      </c>
      <c r="G263" s="35" t="str">
        <f t="shared" si="69"/>
        <v>Sat</v>
      </c>
      <c r="H263" s="34"/>
      <c r="I263" s="33"/>
      <c r="J263" s="32">
        <v>83690</v>
      </c>
      <c r="K263" s="31"/>
      <c r="L263" s="26">
        <f t="shared" si="81"/>
        <v>197151.06159169553</v>
      </c>
      <c r="M263" s="30">
        <f t="shared" si="70"/>
        <v>-113461.06159169553</v>
      </c>
      <c r="N263" s="24">
        <f t="shared" si="71"/>
        <v>0.42449682656705118</v>
      </c>
      <c r="O263" s="29"/>
      <c r="P263" s="63">
        <f>IF(D263=0,0,SUM($L$233:L263))</f>
        <v>4337323.3550173016</v>
      </c>
      <c r="Q263" s="26">
        <f>IF(D263=0,0,SUM($J$233:J263))</f>
        <v>4512002</v>
      </c>
      <c r="R263" s="25">
        <f t="shared" si="72"/>
        <v>174678.64498269837</v>
      </c>
      <c r="S263" s="24">
        <f t="shared" si="73"/>
        <v>1.0402733738494814</v>
      </c>
      <c r="T263" s="27"/>
      <c r="U263" s="26">
        <f>IF(D263=0,0,SUM($L$20:L263))</f>
        <v>44211125.561937638</v>
      </c>
      <c r="V263" s="26">
        <f>IF(D263=0,0,SUM($J$20:J263))</f>
        <v>46228616</v>
      </c>
      <c r="W263" s="25">
        <f t="shared" si="74"/>
        <v>2017490.4380623624</v>
      </c>
      <c r="X263" s="24">
        <f t="shared" si="75"/>
        <v>1.0456330937613421</v>
      </c>
      <c r="Y263" s="17"/>
      <c r="Z263" s="23">
        <f t="shared" si="78"/>
        <v>45535</v>
      </c>
      <c r="AA263" s="22">
        <f t="shared" si="79"/>
        <v>45535</v>
      </c>
      <c r="AB263" s="137">
        <v>45535</v>
      </c>
      <c r="AC263" s="137"/>
      <c r="AD263" s="134"/>
      <c r="AE263" s="134"/>
      <c r="AF263" s="139"/>
      <c r="AG263" s="256"/>
      <c r="AH263" s="256"/>
      <c r="AI263" s="256"/>
      <c r="AJ263" s="256"/>
      <c r="AK263" s="134"/>
      <c r="AL263" s="134"/>
      <c r="AM263" s="134"/>
      <c r="AN263" s="18"/>
      <c r="AO263" s="18"/>
      <c r="AP263" s="18"/>
      <c r="AQ263" s="18"/>
      <c r="AR263" s="17"/>
      <c r="AS263" s="21">
        <f t="shared" si="80"/>
        <v>45535</v>
      </c>
      <c r="AT263" s="17"/>
      <c r="AU263" s="17"/>
      <c r="AV263" s="17"/>
      <c r="AW263" s="17"/>
      <c r="AX263" s="17"/>
      <c r="AY263" s="17"/>
      <c r="AZ263" s="17"/>
    </row>
    <row r="264" spans="1:52" ht="21" thickTop="1">
      <c r="A264" s="17"/>
      <c r="B264" s="40"/>
      <c r="C264" s="55">
        <f t="shared" si="76"/>
        <v>245</v>
      </c>
      <c r="D264" s="62">
        <v>0</v>
      </c>
      <c r="E264" s="53" t="str">
        <f t="shared" si="68"/>
        <v>9</v>
      </c>
      <c r="F264" s="52">
        <f t="shared" si="77"/>
        <v>45536</v>
      </c>
      <c r="G264" s="51" t="str">
        <f t="shared" si="69"/>
        <v>Sun</v>
      </c>
      <c r="H264" s="50" t="s">
        <v>46</v>
      </c>
      <c r="I264" s="49"/>
      <c r="J264" s="48">
        <v>0</v>
      </c>
      <c r="K264" s="31"/>
      <c r="L264" s="43">
        <f t="shared" ref="L264:L293" si="82">IF(D264=0,0,$K$14)</f>
        <v>0</v>
      </c>
      <c r="M264" s="42">
        <f t="shared" si="70"/>
        <v>0</v>
      </c>
      <c r="N264" s="60" t="str">
        <f t="shared" si="71"/>
        <v>0%</v>
      </c>
      <c r="O264" s="46"/>
      <c r="P264" s="61">
        <f>IF(D264=0,0,$L$264)</f>
        <v>0</v>
      </c>
      <c r="Q264" s="43">
        <f>IF(D264=0,0,$J$264)</f>
        <v>0</v>
      </c>
      <c r="R264" s="42">
        <f t="shared" si="72"/>
        <v>0</v>
      </c>
      <c r="S264" s="60" t="str">
        <f t="shared" si="73"/>
        <v>0%</v>
      </c>
      <c r="T264" s="56"/>
      <c r="U264" s="43">
        <f>IF(D264=0,0,SUM($L$20:L264))</f>
        <v>0</v>
      </c>
      <c r="V264" s="43">
        <f>IF(D264=0,0,SUM($J$20:J264))</f>
        <v>0</v>
      </c>
      <c r="W264" s="42">
        <f t="shared" si="74"/>
        <v>0</v>
      </c>
      <c r="X264" s="60" t="str">
        <f t="shared" si="75"/>
        <v>0%</v>
      </c>
      <c r="Y264" s="17"/>
      <c r="Z264" s="23">
        <f t="shared" si="78"/>
        <v>45536</v>
      </c>
      <c r="AA264" s="22">
        <f t="shared" si="79"/>
        <v>45536</v>
      </c>
      <c r="AB264" s="137">
        <v>45536</v>
      </c>
      <c r="AC264" s="137"/>
      <c r="AD264" s="134"/>
      <c r="AE264" s="134"/>
      <c r="AF264" s="139"/>
      <c r="AG264" s="256"/>
      <c r="AH264" s="256"/>
      <c r="AI264" s="256"/>
      <c r="AJ264" s="256"/>
      <c r="AK264" s="134"/>
      <c r="AL264" s="134"/>
      <c r="AM264" s="134"/>
      <c r="AN264" s="18"/>
      <c r="AO264" s="18"/>
      <c r="AP264" s="18"/>
      <c r="AQ264" s="18"/>
      <c r="AR264" s="17"/>
      <c r="AS264" s="21">
        <f t="shared" si="80"/>
        <v>45536</v>
      </c>
      <c r="AT264" s="17"/>
      <c r="AU264" s="17"/>
      <c r="AV264" s="17"/>
      <c r="AW264" s="17"/>
      <c r="AX264" s="17"/>
      <c r="AY264" s="17"/>
      <c r="AZ264" s="17"/>
    </row>
    <row r="265" spans="1:52" ht="20">
      <c r="A265" s="17"/>
      <c r="B265" s="40"/>
      <c r="C265" s="55">
        <f t="shared" si="76"/>
        <v>246</v>
      </c>
      <c r="D265" s="54">
        <v>1</v>
      </c>
      <c r="E265" s="53" t="str">
        <f t="shared" si="68"/>
        <v>9</v>
      </c>
      <c r="F265" s="52">
        <f t="shared" si="77"/>
        <v>45537</v>
      </c>
      <c r="G265" s="51" t="str">
        <f t="shared" si="69"/>
        <v>Mon</v>
      </c>
      <c r="H265" s="50"/>
      <c r="I265" s="49"/>
      <c r="J265" s="48">
        <v>279660</v>
      </c>
      <c r="K265" s="31"/>
      <c r="L265" s="43">
        <f t="shared" si="82"/>
        <v>234116.88564013838</v>
      </c>
      <c r="M265" s="47">
        <f t="shared" si="70"/>
        <v>45543.114359861618</v>
      </c>
      <c r="N265" s="41">
        <f t="shared" si="71"/>
        <v>1.194531523154917</v>
      </c>
      <c r="O265" s="46"/>
      <c r="P265" s="45">
        <f>IF(D265=0,0,SUM($L$264:L265))</f>
        <v>234116.88564013838</v>
      </c>
      <c r="Q265" s="43">
        <f>IF(D265=0,0,SUM($J$264:J265))</f>
        <v>279660</v>
      </c>
      <c r="R265" s="42">
        <f t="shared" si="72"/>
        <v>45543.114359861618</v>
      </c>
      <c r="S265" s="41">
        <f t="shared" si="73"/>
        <v>1.194531523154917</v>
      </c>
      <c r="T265" s="56"/>
      <c r="U265" s="43">
        <f>IF(D265=0,0,SUM($L$20:L265))</f>
        <v>44445242.447577775</v>
      </c>
      <c r="V265" s="43">
        <f>IF(D265=0,0,SUM($J$20:J265))</f>
        <v>46508276</v>
      </c>
      <c r="W265" s="42">
        <f t="shared" si="74"/>
        <v>2063033.5524222255</v>
      </c>
      <c r="X265" s="41">
        <f t="shared" si="75"/>
        <v>1.0464174215014246</v>
      </c>
      <c r="Y265" s="17"/>
      <c r="Z265" s="23">
        <f t="shared" si="78"/>
        <v>45537</v>
      </c>
      <c r="AA265" s="22">
        <f t="shared" si="79"/>
        <v>45537</v>
      </c>
      <c r="AB265" s="137">
        <v>45537</v>
      </c>
      <c r="AC265" s="137"/>
      <c r="AD265" s="134"/>
      <c r="AE265" s="134"/>
      <c r="AF265" s="139"/>
      <c r="AG265" s="256"/>
      <c r="AH265" s="256"/>
      <c r="AI265" s="256"/>
      <c r="AJ265" s="256"/>
      <c r="AK265" s="134"/>
      <c r="AL265" s="134"/>
      <c r="AM265" s="134"/>
      <c r="AN265" s="18"/>
      <c r="AO265" s="18"/>
      <c r="AP265" s="18"/>
      <c r="AQ265" s="18"/>
      <c r="AR265" s="17"/>
      <c r="AS265" s="21">
        <f t="shared" si="80"/>
        <v>45537</v>
      </c>
      <c r="AT265" s="17"/>
      <c r="AU265" s="17"/>
      <c r="AV265" s="17"/>
      <c r="AW265" s="17"/>
      <c r="AX265" s="17"/>
      <c r="AY265" s="17"/>
      <c r="AZ265" s="17"/>
    </row>
    <row r="266" spans="1:52" ht="20">
      <c r="A266" s="17"/>
      <c r="B266" s="40"/>
      <c r="C266" s="55">
        <f t="shared" si="76"/>
        <v>247</v>
      </c>
      <c r="D266" s="54">
        <v>1</v>
      </c>
      <c r="E266" s="53" t="str">
        <f t="shared" si="68"/>
        <v>9</v>
      </c>
      <c r="F266" s="52">
        <f t="shared" si="77"/>
        <v>45538</v>
      </c>
      <c r="G266" s="51" t="str">
        <f t="shared" si="69"/>
        <v>Tue</v>
      </c>
      <c r="H266" s="50"/>
      <c r="I266" s="49"/>
      <c r="J266" s="48">
        <v>286930</v>
      </c>
      <c r="K266" s="31"/>
      <c r="L266" s="43">
        <f t="shared" si="82"/>
        <v>234116.88564013838</v>
      </c>
      <c r="M266" s="47">
        <f t="shared" si="70"/>
        <v>52813.114359861618</v>
      </c>
      <c r="N266" s="41">
        <f t="shared" si="71"/>
        <v>1.225584387966961</v>
      </c>
      <c r="O266" s="46"/>
      <c r="P266" s="45">
        <f>IF(D266=0,0,SUM($L$264:L266))</f>
        <v>468233.77128027676</v>
      </c>
      <c r="Q266" s="43">
        <f>IF(D266=0,0,SUM($J$264:J266))</f>
        <v>566590</v>
      </c>
      <c r="R266" s="42">
        <f t="shared" si="72"/>
        <v>98356.228719723236</v>
      </c>
      <c r="S266" s="41">
        <f t="shared" si="73"/>
        <v>1.210057955560939</v>
      </c>
      <c r="T266" s="56"/>
      <c r="U266" s="43">
        <f>IF(D266=0,0,SUM($L$20:L266))</f>
        <v>44679359.333217911</v>
      </c>
      <c r="V266" s="43">
        <f>IF(D266=0,0,SUM($J$20:J266))</f>
        <v>46795206</v>
      </c>
      <c r="W266" s="42">
        <f t="shared" si="74"/>
        <v>2115846.6667820886</v>
      </c>
      <c r="X266" s="41">
        <f t="shared" si="75"/>
        <v>1.0473562445468867</v>
      </c>
      <c r="Y266" s="17"/>
      <c r="Z266" s="23">
        <f t="shared" si="78"/>
        <v>45538</v>
      </c>
      <c r="AA266" s="22">
        <f t="shared" si="79"/>
        <v>45538</v>
      </c>
      <c r="AB266" s="137">
        <v>45538</v>
      </c>
      <c r="AC266" s="137"/>
      <c r="AD266" s="134"/>
      <c r="AE266" s="134"/>
      <c r="AF266" s="139"/>
      <c r="AG266" s="256"/>
      <c r="AH266" s="256"/>
      <c r="AI266" s="256"/>
      <c r="AJ266" s="256"/>
      <c r="AK266" s="134"/>
      <c r="AL266" s="134"/>
      <c r="AM266" s="134"/>
      <c r="AN266" s="18"/>
      <c r="AO266" s="18"/>
      <c r="AP266" s="18"/>
      <c r="AQ266" s="18"/>
      <c r="AR266" s="17"/>
      <c r="AS266" s="21">
        <f t="shared" si="80"/>
        <v>45538</v>
      </c>
      <c r="AT266" s="17"/>
      <c r="AU266" s="17"/>
      <c r="AV266" s="17"/>
      <c r="AW266" s="17"/>
      <c r="AX266" s="17"/>
      <c r="AY266" s="17"/>
      <c r="AZ266" s="17"/>
    </row>
    <row r="267" spans="1:52" ht="20">
      <c r="A267" s="17"/>
      <c r="B267" s="40"/>
      <c r="C267" s="55">
        <f t="shared" si="76"/>
        <v>248</v>
      </c>
      <c r="D267" s="54">
        <v>1</v>
      </c>
      <c r="E267" s="53" t="str">
        <f t="shared" si="68"/>
        <v>9</v>
      </c>
      <c r="F267" s="52">
        <f t="shared" si="77"/>
        <v>45539</v>
      </c>
      <c r="G267" s="51" t="str">
        <f t="shared" si="69"/>
        <v>Wed</v>
      </c>
      <c r="H267" s="50"/>
      <c r="I267" s="49"/>
      <c r="J267" s="48">
        <v>158690</v>
      </c>
      <c r="K267" s="31"/>
      <c r="L267" s="43">
        <f t="shared" si="82"/>
        <v>234116.88564013838</v>
      </c>
      <c r="M267" s="47">
        <f t="shared" si="70"/>
        <v>-75426.885640138382</v>
      </c>
      <c r="N267" s="41">
        <f t="shared" si="71"/>
        <v>0.67782381252039536</v>
      </c>
      <c r="O267" s="46"/>
      <c r="P267" s="45">
        <f>IF(D267=0,0,SUM($L$264:L267))</f>
        <v>702350.65692041512</v>
      </c>
      <c r="Q267" s="43">
        <f>IF(D267=0,0,SUM($J$264:J267))</f>
        <v>725280</v>
      </c>
      <c r="R267" s="42">
        <f t="shared" si="72"/>
        <v>22929.343079584884</v>
      </c>
      <c r="S267" s="41">
        <f t="shared" si="73"/>
        <v>1.0326465745474245</v>
      </c>
      <c r="T267" s="56"/>
      <c r="U267" s="43">
        <f>IF(D267=0,0,SUM($L$20:L267))</f>
        <v>44913476.218858048</v>
      </c>
      <c r="V267" s="43">
        <f>IF(D267=0,0,SUM($J$20:J267))</f>
        <v>46953896</v>
      </c>
      <c r="W267" s="42">
        <f t="shared" si="74"/>
        <v>2040419.7811419517</v>
      </c>
      <c r="X267" s="41">
        <f t="shared" si="75"/>
        <v>1.0454300123909186</v>
      </c>
      <c r="Y267" s="17"/>
      <c r="Z267" s="23">
        <f t="shared" si="78"/>
        <v>45539</v>
      </c>
      <c r="AA267" s="22">
        <f t="shared" si="79"/>
        <v>45539</v>
      </c>
      <c r="AB267" s="137">
        <v>45539</v>
      </c>
      <c r="AC267" s="137"/>
      <c r="AD267" s="134"/>
      <c r="AE267" s="134"/>
      <c r="AF267" s="139"/>
      <c r="AG267" s="256"/>
      <c r="AH267" s="256"/>
      <c r="AI267" s="256"/>
      <c r="AJ267" s="256"/>
      <c r="AK267" s="134"/>
      <c r="AL267" s="134"/>
      <c r="AM267" s="134"/>
      <c r="AN267" s="18"/>
      <c r="AO267" s="18"/>
      <c r="AP267" s="18"/>
      <c r="AQ267" s="18"/>
      <c r="AR267" s="17"/>
      <c r="AS267" s="21">
        <f t="shared" si="80"/>
        <v>45539</v>
      </c>
      <c r="AT267" s="17"/>
      <c r="AU267" s="17"/>
      <c r="AV267" s="17"/>
      <c r="AW267" s="17"/>
      <c r="AX267" s="17"/>
      <c r="AY267" s="17"/>
      <c r="AZ267" s="17"/>
    </row>
    <row r="268" spans="1:52" ht="20">
      <c r="A268" s="17"/>
      <c r="B268" s="40"/>
      <c r="C268" s="55">
        <f t="shared" si="76"/>
        <v>249</v>
      </c>
      <c r="D268" s="54">
        <v>1</v>
      </c>
      <c r="E268" s="53" t="str">
        <f t="shared" si="68"/>
        <v>9</v>
      </c>
      <c r="F268" s="52">
        <f t="shared" si="77"/>
        <v>45540</v>
      </c>
      <c r="G268" s="51" t="str">
        <f t="shared" si="69"/>
        <v>Thu</v>
      </c>
      <c r="H268" s="50"/>
      <c r="I268" s="49"/>
      <c r="J268" s="48">
        <v>258350</v>
      </c>
      <c r="K268" s="31"/>
      <c r="L268" s="43">
        <f t="shared" si="82"/>
        <v>234116.88564013838</v>
      </c>
      <c r="M268" s="47">
        <f t="shared" si="70"/>
        <v>24233.114359861618</v>
      </c>
      <c r="N268" s="41">
        <f t="shared" si="71"/>
        <v>1.1035086140566144</v>
      </c>
      <c r="O268" s="46"/>
      <c r="P268" s="45">
        <f>IF(D268=0,0,SUM($L$264:L268))</f>
        <v>936467.54256055353</v>
      </c>
      <c r="Q268" s="43">
        <f>IF(D268=0,0,SUM($J$264:J268))</f>
        <v>983630</v>
      </c>
      <c r="R268" s="42">
        <f t="shared" si="72"/>
        <v>47162.457439446473</v>
      </c>
      <c r="S268" s="41">
        <f t="shared" si="73"/>
        <v>1.0503620844247219</v>
      </c>
      <c r="T268" s="56"/>
      <c r="U268" s="43">
        <f>IF(D268=0,0,SUM($L$20:L268))</f>
        <v>45147593.104498185</v>
      </c>
      <c r="V268" s="43">
        <f>IF(D268=0,0,SUM($J$20:J268))</f>
        <v>47212246</v>
      </c>
      <c r="W268" s="42">
        <f t="shared" si="74"/>
        <v>2064652.8955018148</v>
      </c>
      <c r="X268" s="41">
        <f t="shared" si="75"/>
        <v>1.0457311841790322</v>
      </c>
      <c r="Y268" s="17"/>
      <c r="Z268" s="23">
        <f t="shared" si="78"/>
        <v>45540</v>
      </c>
      <c r="AA268" s="22">
        <f t="shared" si="79"/>
        <v>45540</v>
      </c>
      <c r="AB268" s="137">
        <v>45540</v>
      </c>
      <c r="AC268" s="137"/>
      <c r="AD268" s="134"/>
      <c r="AE268" s="134"/>
      <c r="AF268" s="139"/>
      <c r="AG268" s="256"/>
      <c r="AH268" s="256"/>
      <c r="AI268" s="256"/>
      <c r="AJ268" s="256"/>
      <c r="AK268" s="134"/>
      <c r="AL268" s="134"/>
      <c r="AM268" s="134"/>
      <c r="AN268" s="18"/>
      <c r="AO268" s="18"/>
      <c r="AP268" s="18"/>
      <c r="AQ268" s="18"/>
      <c r="AR268" s="17"/>
      <c r="AS268" s="21">
        <f t="shared" si="80"/>
        <v>45540</v>
      </c>
      <c r="AT268" s="17"/>
      <c r="AU268" s="17"/>
      <c r="AV268" s="17"/>
      <c r="AW268" s="17"/>
      <c r="AX268" s="17"/>
      <c r="AY268" s="17"/>
      <c r="AZ268" s="17"/>
    </row>
    <row r="269" spans="1:52" ht="20">
      <c r="A269" s="17"/>
      <c r="B269" s="40"/>
      <c r="C269" s="55">
        <f t="shared" si="76"/>
        <v>250</v>
      </c>
      <c r="D269" s="54">
        <v>1</v>
      </c>
      <c r="E269" s="53" t="str">
        <f t="shared" si="68"/>
        <v>9</v>
      </c>
      <c r="F269" s="52">
        <f t="shared" si="77"/>
        <v>45541</v>
      </c>
      <c r="G269" s="51" t="str">
        <f t="shared" si="69"/>
        <v>Fri</v>
      </c>
      <c r="H269" s="50"/>
      <c r="I269" s="49"/>
      <c r="J269" s="48">
        <v>317100</v>
      </c>
      <c r="K269" s="31"/>
      <c r="L269" s="43">
        <f t="shared" si="82"/>
        <v>234116.88564013838</v>
      </c>
      <c r="M269" s="47">
        <f t="shared" si="70"/>
        <v>82983.114359861618</v>
      </c>
      <c r="N269" s="41">
        <f t="shared" si="71"/>
        <v>1.3544516412516061</v>
      </c>
      <c r="O269" s="46"/>
      <c r="P269" s="45">
        <f>IF(D269=0,0,SUM($L$264:L269))</f>
        <v>1170584.4282006919</v>
      </c>
      <c r="Q269" s="43">
        <f>IF(D269=0,0,SUM($J$264:J269))</f>
        <v>1300730</v>
      </c>
      <c r="R269" s="42">
        <f t="shared" si="72"/>
        <v>130145.57179930806</v>
      </c>
      <c r="S269" s="41">
        <f t="shared" si="73"/>
        <v>1.1111799957900987</v>
      </c>
      <c r="T269" s="56"/>
      <c r="U269" s="43">
        <f>IF(D269=0,0,SUM($L$20:L269))</f>
        <v>45381709.990138322</v>
      </c>
      <c r="V269" s="43">
        <f>IF(D269=0,0,SUM($J$20:J269))</f>
        <v>47529346</v>
      </c>
      <c r="W269" s="42">
        <f t="shared" si="74"/>
        <v>2147636.0098616779</v>
      </c>
      <c r="X269" s="41">
        <f t="shared" si="75"/>
        <v>1.0473238229746824</v>
      </c>
      <c r="Y269" s="17"/>
      <c r="Z269" s="23">
        <f t="shared" si="78"/>
        <v>45541</v>
      </c>
      <c r="AA269" s="22">
        <f t="shared" si="79"/>
        <v>45541</v>
      </c>
      <c r="AB269" s="137">
        <v>45541</v>
      </c>
      <c r="AC269" s="137"/>
      <c r="AD269" s="134"/>
      <c r="AE269" s="134"/>
      <c r="AF269" s="139"/>
      <c r="AG269" s="256"/>
      <c r="AH269" s="256"/>
      <c r="AI269" s="256"/>
      <c r="AJ269" s="256"/>
      <c r="AK269" s="134"/>
      <c r="AL269" s="134"/>
      <c r="AM269" s="134"/>
      <c r="AN269" s="18"/>
      <c r="AO269" s="18"/>
      <c r="AP269" s="18"/>
      <c r="AQ269" s="18"/>
      <c r="AR269" s="17"/>
      <c r="AS269" s="21">
        <f t="shared" si="80"/>
        <v>45541</v>
      </c>
      <c r="AT269" s="17"/>
      <c r="AU269" s="17"/>
      <c r="AV269" s="17"/>
      <c r="AW269" s="17"/>
      <c r="AX269" s="17"/>
      <c r="AY269" s="17"/>
      <c r="AZ269" s="17"/>
    </row>
    <row r="270" spans="1:52" ht="20">
      <c r="A270" s="17"/>
      <c r="B270" s="40"/>
      <c r="C270" s="55">
        <f t="shared" si="76"/>
        <v>251</v>
      </c>
      <c r="D270" s="54">
        <v>1</v>
      </c>
      <c r="E270" s="53" t="str">
        <f t="shared" si="68"/>
        <v>9</v>
      </c>
      <c r="F270" s="52">
        <f t="shared" si="77"/>
        <v>45542</v>
      </c>
      <c r="G270" s="51" t="str">
        <f t="shared" si="69"/>
        <v>Sat</v>
      </c>
      <c r="H270" s="50"/>
      <c r="I270" s="49"/>
      <c r="J270" s="48">
        <v>168990</v>
      </c>
      <c r="K270" s="31"/>
      <c r="L270" s="43">
        <f t="shared" si="82"/>
        <v>234116.88564013838</v>
      </c>
      <c r="M270" s="47">
        <f t="shared" si="70"/>
        <v>-65126.885640138382</v>
      </c>
      <c r="N270" s="41">
        <f t="shared" si="71"/>
        <v>0.72181893047968748</v>
      </c>
      <c r="O270" s="46"/>
      <c r="P270" s="45">
        <f>IF(D270=0,0,SUM($L$264:L270))</f>
        <v>1404701.3138408302</v>
      </c>
      <c r="Q270" s="43">
        <f>IF(D270=0,0,SUM($J$264:J270))</f>
        <v>1469720</v>
      </c>
      <c r="R270" s="42">
        <f t="shared" si="72"/>
        <v>65018.686159169767</v>
      </c>
      <c r="S270" s="41">
        <f t="shared" si="73"/>
        <v>1.0462864849050302</v>
      </c>
      <c r="T270" s="44"/>
      <c r="U270" s="43">
        <f>IF(D270=0,0,SUM($L$20:L270))</f>
        <v>45615826.875778459</v>
      </c>
      <c r="V270" s="43">
        <f>IF(D270=0,0,SUM($J$20:J270))</f>
        <v>47698336</v>
      </c>
      <c r="W270" s="42">
        <f t="shared" si="74"/>
        <v>2082509.124221541</v>
      </c>
      <c r="X270" s="41">
        <f t="shared" si="75"/>
        <v>1.0456532143962369</v>
      </c>
      <c r="Y270" s="17"/>
      <c r="Z270" s="23">
        <f t="shared" si="78"/>
        <v>45542</v>
      </c>
      <c r="AA270" s="22">
        <f t="shared" si="79"/>
        <v>45542</v>
      </c>
      <c r="AB270" s="137">
        <v>45542</v>
      </c>
      <c r="AC270" s="137"/>
      <c r="AD270" s="134"/>
      <c r="AE270" s="134"/>
      <c r="AF270" s="139"/>
      <c r="AG270" s="256"/>
      <c r="AH270" s="256"/>
      <c r="AI270" s="256"/>
      <c r="AJ270" s="256"/>
      <c r="AK270" s="134"/>
      <c r="AL270" s="134"/>
      <c r="AM270" s="134"/>
      <c r="AN270" s="18"/>
      <c r="AO270" s="18"/>
      <c r="AP270" s="18"/>
      <c r="AQ270" s="18"/>
      <c r="AR270" s="17"/>
      <c r="AS270" s="21">
        <f t="shared" si="80"/>
        <v>45542</v>
      </c>
      <c r="AT270" s="17"/>
      <c r="AU270" s="17"/>
      <c r="AV270" s="17"/>
      <c r="AW270" s="17"/>
      <c r="AX270" s="17"/>
      <c r="AY270" s="17"/>
      <c r="AZ270" s="17"/>
    </row>
    <row r="271" spans="1:52" ht="20">
      <c r="A271" s="17"/>
      <c r="B271" s="40"/>
      <c r="C271" s="55">
        <f t="shared" si="76"/>
        <v>252</v>
      </c>
      <c r="D271" s="54">
        <v>0</v>
      </c>
      <c r="E271" s="53" t="str">
        <f t="shared" si="68"/>
        <v>9</v>
      </c>
      <c r="F271" s="52">
        <f t="shared" si="77"/>
        <v>45543</v>
      </c>
      <c r="G271" s="51" t="str">
        <f t="shared" si="69"/>
        <v>Sun</v>
      </c>
      <c r="H271" s="50" t="s">
        <v>46</v>
      </c>
      <c r="I271" s="49"/>
      <c r="J271" s="48">
        <v>0</v>
      </c>
      <c r="K271" s="31"/>
      <c r="L271" s="43">
        <f t="shared" si="82"/>
        <v>0</v>
      </c>
      <c r="M271" s="47">
        <f t="shared" si="70"/>
        <v>0</v>
      </c>
      <c r="N271" s="41" t="str">
        <f t="shared" si="71"/>
        <v>0%</v>
      </c>
      <c r="O271" s="46"/>
      <c r="P271" s="45">
        <f>IF(D271=0,0,SUM($L$264:L271))</f>
        <v>0</v>
      </c>
      <c r="Q271" s="43">
        <f>IF(D271=0,0,SUM($J$264:J271))</f>
        <v>0</v>
      </c>
      <c r="R271" s="42">
        <f t="shared" si="72"/>
        <v>0</v>
      </c>
      <c r="S271" s="41" t="str">
        <f t="shared" si="73"/>
        <v>0%</v>
      </c>
      <c r="T271" s="56"/>
      <c r="U271" s="43">
        <f>IF(D271=0,0,SUM($L$20:L271))</f>
        <v>0</v>
      </c>
      <c r="V271" s="43">
        <f>IF(D271=0,0,SUM($J$20:J271))</f>
        <v>0</v>
      </c>
      <c r="W271" s="42">
        <f t="shared" si="74"/>
        <v>0</v>
      </c>
      <c r="X271" s="41" t="str">
        <f t="shared" si="75"/>
        <v>0%</v>
      </c>
      <c r="Y271" s="17"/>
      <c r="Z271" s="23">
        <f t="shared" si="78"/>
        <v>45543</v>
      </c>
      <c r="AA271" s="22">
        <f t="shared" si="79"/>
        <v>45543</v>
      </c>
      <c r="AB271" s="137">
        <v>45543</v>
      </c>
      <c r="AC271" s="137"/>
      <c r="AD271" s="134"/>
      <c r="AE271" s="134"/>
      <c r="AF271" s="139"/>
      <c r="AG271" s="256"/>
      <c r="AH271" s="256"/>
      <c r="AI271" s="256"/>
      <c r="AJ271" s="256"/>
      <c r="AK271" s="134"/>
      <c r="AL271" s="134"/>
      <c r="AM271" s="134"/>
      <c r="AN271" s="18"/>
      <c r="AO271" s="18"/>
      <c r="AP271" s="18"/>
      <c r="AQ271" s="18"/>
      <c r="AR271" s="17"/>
      <c r="AS271" s="21">
        <f t="shared" si="80"/>
        <v>45543</v>
      </c>
      <c r="AT271" s="17"/>
      <c r="AU271" s="17"/>
      <c r="AV271" s="17"/>
      <c r="AW271" s="17"/>
      <c r="AX271" s="17"/>
      <c r="AY271" s="17"/>
      <c r="AZ271" s="17"/>
    </row>
    <row r="272" spans="1:52" ht="20">
      <c r="A272" s="17"/>
      <c r="B272" s="40"/>
      <c r="C272" s="55">
        <f t="shared" si="76"/>
        <v>253</v>
      </c>
      <c r="D272" s="54">
        <v>1</v>
      </c>
      <c r="E272" s="53" t="str">
        <f t="shared" si="68"/>
        <v>9</v>
      </c>
      <c r="F272" s="52">
        <f t="shared" si="77"/>
        <v>45544</v>
      </c>
      <c r="G272" s="51" t="str">
        <f t="shared" si="69"/>
        <v>Mon</v>
      </c>
      <c r="H272" s="50"/>
      <c r="I272" s="49"/>
      <c r="J272" s="48">
        <v>232040</v>
      </c>
      <c r="K272" s="31"/>
      <c r="L272" s="43">
        <f t="shared" si="82"/>
        <v>234116.88564013838</v>
      </c>
      <c r="M272" s="47">
        <f t="shared" si="70"/>
        <v>-2076.8856401383819</v>
      </c>
      <c r="N272" s="41">
        <f t="shared" si="71"/>
        <v>0.99112885158001474</v>
      </c>
      <c r="O272" s="46"/>
      <c r="P272" s="45">
        <f>IF(D272=0,0,SUM($L$264:L272))</f>
        <v>1638818.1994809685</v>
      </c>
      <c r="Q272" s="43">
        <f>IF(D272=0,0,SUM($J$264:J272))</f>
        <v>1701760</v>
      </c>
      <c r="R272" s="42">
        <f t="shared" si="72"/>
        <v>62941.800519031473</v>
      </c>
      <c r="S272" s="41">
        <f t="shared" si="73"/>
        <v>1.0384068230014567</v>
      </c>
      <c r="T272" s="56"/>
      <c r="U272" s="43">
        <f>IF(D272=0,0,SUM($L$20:L272))</f>
        <v>45849943.761418596</v>
      </c>
      <c r="V272" s="43">
        <f>IF(D272=0,0,SUM($J$20:J272))</f>
        <v>47930376</v>
      </c>
      <c r="W272" s="42">
        <f t="shared" si="74"/>
        <v>2080432.2385814041</v>
      </c>
      <c r="X272" s="41">
        <f t="shared" si="75"/>
        <v>1.0453748045887905</v>
      </c>
      <c r="Y272" s="17"/>
      <c r="Z272" s="23">
        <f t="shared" si="78"/>
        <v>45544</v>
      </c>
      <c r="AA272" s="22">
        <f t="shared" si="79"/>
        <v>45544</v>
      </c>
      <c r="AB272" s="137">
        <v>45544</v>
      </c>
      <c r="AC272" s="137"/>
      <c r="AD272" s="134"/>
      <c r="AE272" s="134"/>
      <c r="AF272" s="139"/>
      <c r="AG272" s="256"/>
      <c r="AH272" s="256"/>
      <c r="AI272" s="256"/>
      <c r="AJ272" s="256"/>
      <c r="AK272" s="134"/>
      <c r="AL272" s="134"/>
      <c r="AM272" s="134"/>
      <c r="AN272" s="18"/>
      <c r="AO272" s="18"/>
      <c r="AP272" s="18"/>
      <c r="AQ272" s="18"/>
      <c r="AR272" s="17"/>
      <c r="AS272" s="21">
        <f t="shared" si="80"/>
        <v>45544</v>
      </c>
      <c r="AT272" s="17"/>
      <c r="AU272" s="17"/>
      <c r="AV272" s="17"/>
      <c r="AW272" s="17"/>
      <c r="AX272" s="17"/>
      <c r="AY272" s="17"/>
      <c r="AZ272" s="17"/>
    </row>
    <row r="273" spans="1:52" ht="20">
      <c r="A273" s="17"/>
      <c r="B273" s="40"/>
      <c r="C273" s="55">
        <f t="shared" si="76"/>
        <v>254</v>
      </c>
      <c r="D273" s="54">
        <v>1</v>
      </c>
      <c r="E273" s="53" t="str">
        <f t="shared" si="68"/>
        <v>9</v>
      </c>
      <c r="F273" s="52">
        <f t="shared" si="77"/>
        <v>45545</v>
      </c>
      <c r="G273" s="51" t="str">
        <f t="shared" si="69"/>
        <v>Tue</v>
      </c>
      <c r="H273" s="50"/>
      <c r="I273" s="49"/>
      <c r="J273" s="48">
        <v>326150</v>
      </c>
      <c r="K273" s="31"/>
      <c r="L273" s="43">
        <f t="shared" si="82"/>
        <v>234116.88564013838</v>
      </c>
      <c r="M273" s="47">
        <f t="shared" si="70"/>
        <v>92033.114359861618</v>
      </c>
      <c r="N273" s="41">
        <f t="shared" si="71"/>
        <v>1.393107545866324</v>
      </c>
      <c r="O273" s="46"/>
      <c r="P273" s="45">
        <f>IF(D273=0,0,SUM($L$264:L273))</f>
        <v>1872935.0851211068</v>
      </c>
      <c r="Q273" s="43">
        <f>IF(D273=0,0,SUM($J$264:J273))</f>
        <v>2027910</v>
      </c>
      <c r="R273" s="42">
        <f t="shared" si="72"/>
        <v>154974.91487889318</v>
      </c>
      <c r="S273" s="41">
        <f t="shared" si="73"/>
        <v>1.0827444133595652</v>
      </c>
      <c r="T273" s="56"/>
      <c r="U273" s="43">
        <f>IF(D273=0,0,SUM($L$20:L273))</f>
        <v>46084060.647058733</v>
      </c>
      <c r="V273" s="43">
        <f>IF(D273=0,0,SUM($J$20:J273))</f>
        <v>48256526</v>
      </c>
      <c r="W273" s="42">
        <f t="shared" si="74"/>
        <v>2172465.3529412672</v>
      </c>
      <c r="X273" s="41">
        <f t="shared" si="75"/>
        <v>1.0471413612958154</v>
      </c>
      <c r="Y273" s="17"/>
      <c r="Z273" s="23">
        <f t="shared" si="78"/>
        <v>45545</v>
      </c>
      <c r="AA273" s="22">
        <f t="shared" si="79"/>
        <v>45545</v>
      </c>
      <c r="AB273" s="137">
        <v>45545</v>
      </c>
      <c r="AC273" s="137"/>
      <c r="AD273" s="134"/>
      <c r="AE273" s="134"/>
      <c r="AF273" s="139"/>
      <c r="AG273" s="256"/>
      <c r="AH273" s="256"/>
      <c r="AI273" s="256"/>
      <c r="AJ273" s="256"/>
      <c r="AK273" s="134"/>
      <c r="AL273" s="134"/>
      <c r="AM273" s="134"/>
      <c r="AN273" s="18"/>
      <c r="AO273" s="18"/>
      <c r="AP273" s="18"/>
      <c r="AQ273" s="18"/>
      <c r="AR273" s="17"/>
      <c r="AS273" s="21">
        <f t="shared" si="80"/>
        <v>45545</v>
      </c>
      <c r="AT273" s="17"/>
      <c r="AU273" s="17"/>
      <c r="AV273" s="17"/>
      <c r="AW273" s="17"/>
      <c r="AX273" s="17"/>
      <c r="AY273" s="17"/>
      <c r="AZ273" s="17"/>
    </row>
    <row r="274" spans="1:52" ht="20">
      <c r="A274" s="17"/>
      <c r="B274" s="40"/>
      <c r="C274" s="55">
        <f t="shared" si="76"/>
        <v>255</v>
      </c>
      <c r="D274" s="54">
        <v>1</v>
      </c>
      <c r="E274" s="53" t="str">
        <f t="shared" si="68"/>
        <v>9</v>
      </c>
      <c r="F274" s="52">
        <f t="shared" si="77"/>
        <v>45546</v>
      </c>
      <c r="G274" s="51" t="str">
        <f t="shared" si="69"/>
        <v>Wed</v>
      </c>
      <c r="H274" s="50"/>
      <c r="I274" s="49"/>
      <c r="J274" s="48">
        <v>155250</v>
      </c>
      <c r="K274" s="31"/>
      <c r="L274" s="43">
        <f t="shared" si="82"/>
        <v>234116.88564013838</v>
      </c>
      <c r="M274" s="47">
        <f t="shared" si="70"/>
        <v>-78866.885640138382</v>
      </c>
      <c r="N274" s="41">
        <f t="shared" si="71"/>
        <v>0.66313029739612694</v>
      </c>
      <c r="O274" s="46"/>
      <c r="P274" s="45">
        <f>IF(D274=0,0,SUM($L$264:L274))</f>
        <v>2107051.9707612451</v>
      </c>
      <c r="Q274" s="43">
        <f>IF(D274=0,0,SUM($J$264:J274))</f>
        <v>2183160</v>
      </c>
      <c r="R274" s="42">
        <f t="shared" si="72"/>
        <v>76108.029238754883</v>
      </c>
      <c r="S274" s="41">
        <f t="shared" si="73"/>
        <v>1.036120622696961</v>
      </c>
      <c r="T274" s="56"/>
      <c r="U274" s="43">
        <f>IF(D274=0,0,SUM($L$20:L274))</f>
        <v>46318177.53269887</v>
      </c>
      <c r="V274" s="43">
        <f>IF(D274=0,0,SUM($J$20:J274))</f>
        <v>48411776</v>
      </c>
      <c r="W274" s="42">
        <f t="shared" si="74"/>
        <v>2093598.4673011303</v>
      </c>
      <c r="X274" s="41">
        <f t="shared" si="75"/>
        <v>1.0452003636331142</v>
      </c>
      <c r="Y274" s="17"/>
      <c r="Z274" s="23">
        <f t="shared" si="78"/>
        <v>45546</v>
      </c>
      <c r="AA274" s="22">
        <f t="shared" si="79"/>
        <v>45546</v>
      </c>
      <c r="AB274" s="137">
        <v>45546</v>
      </c>
      <c r="AC274" s="137"/>
      <c r="AD274" s="134"/>
      <c r="AE274" s="134"/>
      <c r="AF274" s="139"/>
      <c r="AG274" s="256"/>
      <c r="AH274" s="256"/>
      <c r="AI274" s="256"/>
      <c r="AJ274" s="256"/>
      <c r="AK274" s="134"/>
      <c r="AL274" s="134"/>
      <c r="AM274" s="134"/>
      <c r="AN274" s="18"/>
      <c r="AO274" s="18"/>
      <c r="AP274" s="18"/>
      <c r="AQ274" s="18"/>
      <c r="AR274" s="17"/>
      <c r="AS274" s="21">
        <f t="shared" si="80"/>
        <v>45546</v>
      </c>
      <c r="AT274" s="17"/>
      <c r="AU274" s="17"/>
      <c r="AV274" s="17"/>
      <c r="AW274" s="17"/>
      <c r="AX274" s="17"/>
      <c r="AY274" s="17"/>
      <c r="AZ274" s="17"/>
    </row>
    <row r="275" spans="1:52" ht="20">
      <c r="A275" s="17"/>
      <c r="B275" s="40"/>
      <c r="C275" s="55">
        <f t="shared" si="76"/>
        <v>256</v>
      </c>
      <c r="D275" s="54">
        <v>1</v>
      </c>
      <c r="E275" s="53" t="str">
        <f t="shared" si="68"/>
        <v>9</v>
      </c>
      <c r="F275" s="52">
        <f t="shared" si="77"/>
        <v>45547</v>
      </c>
      <c r="G275" s="51" t="str">
        <f t="shared" si="69"/>
        <v>Thu</v>
      </c>
      <c r="H275" s="50"/>
      <c r="I275" s="49"/>
      <c r="J275" s="48">
        <v>242920</v>
      </c>
      <c r="K275" s="31"/>
      <c r="L275" s="43">
        <f t="shared" si="82"/>
        <v>234116.88564013838</v>
      </c>
      <c r="M275" s="47">
        <f t="shared" si="70"/>
        <v>8803.1143598616181</v>
      </c>
      <c r="N275" s="41">
        <f t="shared" si="71"/>
        <v>1.0376013645311895</v>
      </c>
      <c r="O275" s="46"/>
      <c r="P275" s="45">
        <f>IF(D275=0,0,SUM($L$264:L275))</f>
        <v>2341168.8564013834</v>
      </c>
      <c r="Q275" s="43">
        <f>IF(D275=0,0,SUM($J$264:J275))</f>
        <v>2426080</v>
      </c>
      <c r="R275" s="42">
        <f t="shared" si="72"/>
        <v>84911.143598616589</v>
      </c>
      <c r="S275" s="41">
        <f t="shared" si="73"/>
        <v>1.0362686968803838</v>
      </c>
      <c r="T275" s="56"/>
      <c r="U275" s="43">
        <f>IF(D275=0,0,SUM($L$20:L275))</f>
        <v>46552294.418339007</v>
      </c>
      <c r="V275" s="43">
        <f>IF(D275=0,0,SUM($J$20:J275))</f>
        <v>48654696</v>
      </c>
      <c r="W275" s="42">
        <f t="shared" si="74"/>
        <v>2102401.5816609934</v>
      </c>
      <c r="X275" s="41">
        <f t="shared" si="75"/>
        <v>1.0451621473856456</v>
      </c>
      <c r="Y275" s="17"/>
      <c r="Z275" s="23">
        <f t="shared" si="78"/>
        <v>45547</v>
      </c>
      <c r="AA275" s="22">
        <f t="shared" si="79"/>
        <v>45547</v>
      </c>
      <c r="AB275" s="137">
        <v>45547</v>
      </c>
      <c r="AC275" s="137"/>
      <c r="AD275" s="134"/>
      <c r="AE275" s="134"/>
      <c r="AF275" s="139"/>
      <c r="AG275" s="256"/>
      <c r="AH275" s="256"/>
      <c r="AI275" s="256"/>
      <c r="AJ275" s="256"/>
      <c r="AK275" s="134"/>
      <c r="AL275" s="134"/>
      <c r="AM275" s="134"/>
      <c r="AN275" s="18"/>
      <c r="AO275" s="18"/>
      <c r="AP275" s="18"/>
      <c r="AQ275" s="18"/>
      <c r="AR275" s="17"/>
      <c r="AS275" s="21">
        <f t="shared" si="80"/>
        <v>45547</v>
      </c>
      <c r="AT275" s="17"/>
      <c r="AU275" s="17"/>
      <c r="AV275" s="17"/>
      <c r="AW275" s="17"/>
      <c r="AX275" s="17"/>
      <c r="AY275" s="17"/>
      <c r="AZ275" s="17"/>
    </row>
    <row r="276" spans="1:52" ht="20">
      <c r="A276" s="17"/>
      <c r="B276" s="40"/>
      <c r="C276" s="55">
        <f t="shared" si="76"/>
        <v>257</v>
      </c>
      <c r="D276" s="54">
        <v>1</v>
      </c>
      <c r="E276" s="53" t="str">
        <f t="shared" ref="E276:E339" si="83">TEXT(AA276,"m")</f>
        <v>9</v>
      </c>
      <c r="F276" s="52">
        <f t="shared" si="77"/>
        <v>45548</v>
      </c>
      <c r="G276" s="51" t="str">
        <f t="shared" ref="G276:G339" si="84">TEXT(AS276,"ddd")</f>
        <v>Fri</v>
      </c>
      <c r="H276" s="50"/>
      <c r="I276" s="49"/>
      <c r="J276" s="48">
        <v>303730</v>
      </c>
      <c r="K276" s="31"/>
      <c r="L276" s="43">
        <f t="shared" si="82"/>
        <v>234116.88564013838</v>
      </c>
      <c r="M276" s="47">
        <f t="shared" ref="M276:M339" si="85">IF(D276=0,0,J276-L276)</f>
        <v>69613.114359861618</v>
      </c>
      <c r="N276" s="41">
        <f t="shared" ref="N276:N339" si="86">IFERROR(J276/L276,"0%")</f>
        <v>1.2973434153180394</v>
      </c>
      <c r="O276" s="46"/>
      <c r="P276" s="45">
        <f>IF(D276=0,0,SUM($L$264:L276))</f>
        <v>2575285.7420415217</v>
      </c>
      <c r="Q276" s="43">
        <f>IF(D276=0,0,SUM($J$264:J276))</f>
        <v>2729810</v>
      </c>
      <c r="R276" s="42">
        <f t="shared" ref="R276:R339" si="87">IF(D276=0,0,Q276-P276)</f>
        <v>154524.25795847829</v>
      </c>
      <c r="S276" s="41">
        <f t="shared" ref="S276:S339" si="88">IFERROR(Q276/P276,"0%")</f>
        <v>1.060002762192898</v>
      </c>
      <c r="T276" s="56"/>
      <c r="U276" s="43">
        <f>IF(D276=0,0,SUM($L$20:L276))</f>
        <v>46786411.303979144</v>
      </c>
      <c r="V276" s="43">
        <f>IF(D276=0,0,SUM($J$20:J276))</f>
        <v>48958426</v>
      </c>
      <c r="W276" s="42">
        <f t="shared" ref="W276:W339" si="89">IF(D276=0,0,V276-U276)</f>
        <v>2172014.6960208565</v>
      </c>
      <c r="X276" s="41">
        <f t="shared" ref="X276:X339" si="90">IFERROR(V276/U276,"0%")</f>
        <v>1.0464240499641855</v>
      </c>
      <c r="Y276" s="17"/>
      <c r="Z276" s="23">
        <f t="shared" si="78"/>
        <v>45548</v>
      </c>
      <c r="AA276" s="22">
        <f t="shared" si="79"/>
        <v>45548</v>
      </c>
      <c r="AB276" s="137">
        <v>45548</v>
      </c>
      <c r="AC276" s="137"/>
      <c r="AD276" s="134"/>
      <c r="AE276" s="134"/>
      <c r="AF276" s="139"/>
      <c r="AG276" s="256"/>
      <c r="AH276" s="256"/>
      <c r="AI276" s="256"/>
      <c r="AJ276" s="256"/>
      <c r="AK276" s="134"/>
      <c r="AL276" s="134"/>
      <c r="AM276" s="134"/>
      <c r="AN276" s="18"/>
      <c r="AO276" s="18"/>
      <c r="AP276" s="18"/>
      <c r="AQ276" s="18"/>
      <c r="AR276" s="17"/>
      <c r="AS276" s="21">
        <f t="shared" si="80"/>
        <v>45548</v>
      </c>
      <c r="AT276" s="17"/>
      <c r="AU276" s="17"/>
      <c r="AV276" s="17"/>
      <c r="AW276" s="17"/>
      <c r="AX276" s="17"/>
      <c r="AY276" s="17"/>
      <c r="AZ276" s="17"/>
    </row>
    <row r="277" spans="1:52" ht="20">
      <c r="A277" s="17"/>
      <c r="B277" s="40"/>
      <c r="C277" s="55">
        <f t="shared" ref="C277:C340" si="91">C276+1</f>
        <v>258</v>
      </c>
      <c r="D277" s="54">
        <v>1</v>
      </c>
      <c r="E277" s="53" t="str">
        <f t="shared" si="83"/>
        <v>9</v>
      </c>
      <c r="F277" s="52">
        <f t="shared" ref="F277:F340" si="92">F276+1</f>
        <v>45549</v>
      </c>
      <c r="G277" s="51" t="str">
        <f t="shared" si="84"/>
        <v>Sat</v>
      </c>
      <c r="H277" s="50"/>
      <c r="I277" s="49"/>
      <c r="J277" s="48">
        <v>113250</v>
      </c>
      <c r="K277" s="31"/>
      <c r="L277" s="43">
        <f t="shared" si="82"/>
        <v>234116.88564013838</v>
      </c>
      <c r="M277" s="47">
        <f t="shared" si="85"/>
        <v>-120866.88564013838</v>
      </c>
      <c r="N277" s="41">
        <f t="shared" si="86"/>
        <v>0.48373272901843073</v>
      </c>
      <c r="O277" s="46"/>
      <c r="P277" s="45">
        <f>IF(D277=0,0,SUM($L$264:L277))</f>
        <v>2809402.62768166</v>
      </c>
      <c r="Q277" s="43">
        <f>IF(D277=0,0,SUM($J$264:J277))</f>
        <v>2843060</v>
      </c>
      <c r="R277" s="42">
        <f t="shared" si="87"/>
        <v>33657.37231834</v>
      </c>
      <c r="S277" s="41">
        <f t="shared" si="88"/>
        <v>1.0119802594283591</v>
      </c>
      <c r="T277" s="44"/>
      <c r="U277" s="43">
        <f>IF(D277=0,0,SUM($L$20:L277))</f>
        <v>47020528.18961928</v>
      </c>
      <c r="V277" s="43">
        <f>IF(D277=0,0,SUM($J$20:J277))</f>
        <v>49071676</v>
      </c>
      <c r="W277" s="42">
        <f t="shared" si="89"/>
        <v>2051147.8103807196</v>
      </c>
      <c r="X277" s="41">
        <f t="shared" si="90"/>
        <v>1.0436223898232082</v>
      </c>
      <c r="Y277" s="17"/>
      <c r="Z277" s="23">
        <f t="shared" ref="Z277:Z340" si="93">Z276+1</f>
        <v>45549</v>
      </c>
      <c r="AA277" s="22">
        <f t="shared" ref="AA277:AA340" si="94">AA276+1</f>
        <v>45549</v>
      </c>
      <c r="AB277" s="137">
        <v>45549</v>
      </c>
      <c r="AC277" s="137"/>
      <c r="AD277" s="134"/>
      <c r="AE277" s="134"/>
      <c r="AF277" s="139"/>
      <c r="AG277" s="256"/>
      <c r="AH277" s="256"/>
      <c r="AI277" s="256"/>
      <c r="AJ277" s="256"/>
      <c r="AK277" s="134"/>
      <c r="AL277" s="134"/>
      <c r="AM277" s="134"/>
      <c r="AN277" s="18"/>
      <c r="AO277" s="18"/>
      <c r="AP277" s="18"/>
      <c r="AQ277" s="18"/>
      <c r="AR277" s="17"/>
      <c r="AS277" s="21">
        <f t="shared" ref="AS277:AS340" si="95">AS276+1</f>
        <v>45549</v>
      </c>
      <c r="AT277" s="17"/>
      <c r="AU277" s="17"/>
      <c r="AV277" s="17"/>
      <c r="AW277" s="17"/>
      <c r="AX277" s="17"/>
      <c r="AY277" s="17"/>
      <c r="AZ277" s="17"/>
    </row>
    <row r="278" spans="1:52" ht="20">
      <c r="A278" s="17"/>
      <c r="B278" s="40"/>
      <c r="C278" s="55">
        <f t="shared" si="91"/>
        <v>259</v>
      </c>
      <c r="D278" s="54">
        <v>0</v>
      </c>
      <c r="E278" s="53" t="str">
        <f t="shared" si="83"/>
        <v>9</v>
      </c>
      <c r="F278" s="52">
        <f t="shared" si="92"/>
        <v>45550</v>
      </c>
      <c r="G278" s="51" t="str">
        <f t="shared" si="84"/>
        <v>Sun</v>
      </c>
      <c r="H278" s="50" t="s">
        <v>46</v>
      </c>
      <c r="I278" s="49"/>
      <c r="J278" s="48">
        <v>0</v>
      </c>
      <c r="K278" s="31"/>
      <c r="L278" s="43">
        <f t="shared" si="82"/>
        <v>0</v>
      </c>
      <c r="M278" s="47">
        <f t="shared" si="85"/>
        <v>0</v>
      </c>
      <c r="N278" s="41" t="str">
        <f t="shared" si="86"/>
        <v>0%</v>
      </c>
      <c r="O278" s="46"/>
      <c r="P278" s="45">
        <f>IF(D278=0,0,SUM($L$264:L278))</f>
        <v>0</v>
      </c>
      <c r="Q278" s="43">
        <f>IF(D278=0,0,SUM($J$264:J278))</f>
        <v>0</v>
      </c>
      <c r="R278" s="42">
        <f t="shared" si="87"/>
        <v>0</v>
      </c>
      <c r="S278" s="41" t="str">
        <f t="shared" si="88"/>
        <v>0%</v>
      </c>
      <c r="T278" s="44"/>
      <c r="U278" s="43">
        <f>IF(D278=0,0,SUM($L$20:L278))</f>
        <v>0</v>
      </c>
      <c r="V278" s="43">
        <f>IF(D278=0,0,SUM($J$20:J278))</f>
        <v>0</v>
      </c>
      <c r="W278" s="42">
        <f t="shared" si="89"/>
        <v>0</v>
      </c>
      <c r="X278" s="41" t="str">
        <f t="shared" si="90"/>
        <v>0%</v>
      </c>
      <c r="Y278" s="17"/>
      <c r="Z278" s="23">
        <f t="shared" si="93"/>
        <v>45550</v>
      </c>
      <c r="AA278" s="22">
        <f t="shared" si="94"/>
        <v>45550</v>
      </c>
      <c r="AB278" s="137">
        <v>45550</v>
      </c>
      <c r="AC278" s="137"/>
      <c r="AD278" s="134"/>
      <c r="AE278" s="134"/>
      <c r="AF278" s="139"/>
      <c r="AG278" s="256"/>
      <c r="AH278" s="256"/>
      <c r="AI278" s="256"/>
      <c r="AJ278" s="256"/>
      <c r="AK278" s="134"/>
      <c r="AL278" s="134"/>
      <c r="AM278" s="134"/>
      <c r="AN278" s="18"/>
      <c r="AO278" s="18"/>
      <c r="AP278" s="18"/>
      <c r="AQ278" s="18"/>
      <c r="AR278" s="17"/>
      <c r="AS278" s="21">
        <f t="shared" si="95"/>
        <v>45550</v>
      </c>
      <c r="AT278" s="17"/>
      <c r="AU278" s="17"/>
      <c r="AV278" s="17"/>
      <c r="AW278" s="17"/>
      <c r="AX278" s="17"/>
      <c r="AY278" s="17"/>
      <c r="AZ278" s="17"/>
    </row>
    <row r="279" spans="1:52" ht="20">
      <c r="A279" s="17"/>
      <c r="B279" s="40"/>
      <c r="C279" s="55">
        <f t="shared" si="91"/>
        <v>260</v>
      </c>
      <c r="D279" s="54">
        <v>0</v>
      </c>
      <c r="E279" s="53" t="str">
        <f t="shared" si="83"/>
        <v>9</v>
      </c>
      <c r="F279" s="52">
        <f t="shared" si="92"/>
        <v>45551</v>
      </c>
      <c r="G279" s="51" t="str">
        <f t="shared" si="84"/>
        <v>Mon</v>
      </c>
      <c r="H279" s="50" t="s">
        <v>47</v>
      </c>
      <c r="I279" s="49"/>
      <c r="J279" s="48">
        <v>0</v>
      </c>
      <c r="K279" s="31"/>
      <c r="L279" s="43">
        <f t="shared" si="82"/>
        <v>0</v>
      </c>
      <c r="M279" s="47">
        <f t="shared" si="85"/>
        <v>0</v>
      </c>
      <c r="N279" s="41" t="str">
        <f t="shared" si="86"/>
        <v>0%</v>
      </c>
      <c r="O279" s="46"/>
      <c r="P279" s="45">
        <f>IF(D279=0,0,SUM($L$264:L279))</f>
        <v>0</v>
      </c>
      <c r="Q279" s="43">
        <f>IF(D279=0,0,SUM($J$264:J279))</f>
        <v>0</v>
      </c>
      <c r="R279" s="42">
        <f t="shared" si="87"/>
        <v>0</v>
      </c>
      <c r="S279" s="41" t="str">
        <f t="shared" si="88"/>
        <v>0%</v>
      </c>
      <c r="T279" s="56"/>
      <c r="U279" s="43">
        <f>IF(D279=0,0,SUM($L$20:L279))</f>
        <v>0</v>
      </c>
      <c r="V279" s="43">
        <f>IF(D279=0,0,SUM($J$20:J279))</f>
        <v>0</v>
      </c>
      <c r="W279" s="42">
        <f t="shared" si="89"/>
        <v>0</v>
      </c>
      <c r="X279" s="41" t="str">
        <f t="shared" si="90"/>
        <v>0%</v>
      </c>
      <c r="Y279" s="17"/>
      <c r="Z279" s="23">
        <f t="shared" si="93"/>
        <v>45551</v>
      </c>
      <c r="AA279" s="22">
        <f t="shared" si="94"/>
        <v>45551</v>
      </c>
      <c r="AB279" s="137">
        <v>45551</v>
      </c>
      <c r="AC279" s="137"/>
      <c r="AD279" s="134"/>
      <c r="AE279" s="134"/>
      <c r="AF279" s="139"/>
      <c r="AG279" s="256"/>
      <c r="AH279" s="256"/>
      <c r="AI279" s="256"/>
      <c r="AJ279" s="256"/>
      <c r="AK279" s="134"/>
      <c r="AL279" s="134"/>
      <c r="AM279" s="134"/>
      <c r="AN279" s="18"/>
      <c r="AO279" s="18"/>
      <c r="AP279" s="18"/>
      <c r="AQ279" s="18"/>
      <c r="AR279" s="17"/>
      <c r="AS279" s="21">
        <f t="shared" si="95"/>
        <v>45551</v>
      </c>
      <c r="AT279" s="17"/>
      <c r="AU279" s="17"/>
      <c r="AV279" s="17"/>
      <c r="AW279" s="17"/>
      <c r="AX279" s="17"/>
      <c r="AY279" s="17"/>
      <c r="AZ279" s="17"/>
    </row>
    <row r="280" spans="1:52" ht="20">
      <c r="A280" s="17"/>
      <c r="B280" s="40"/>
      <c r="C280" s="55">
        <f t="shared" si="91"/>
        <v>261</v>
      </c>
      <c r="D280" s="54">
        <v>1</v>
      </c>
      <c r="E280" s="53" t="str">
        <f t="shared" si="83"/>
        <v>9</v>
      </c>
      <c r="F280" s="52">
        <f t="shared" si="92"/>
        <v>45552</v>
      </c>
      <c r="G280" s="51" t="str">
        <f t="shared" si="84"/>
        <v>Tue</v>
      </c>
      <c r="H280" s="50"/>
      <c r="I280" s="49"/>
      <c r="J280" s="48">
        <v>156480</v>
      </c>
      <c r="K280" s="31"/>
      <c r="L280" s="43">
        <f t="shared" si="82"/>
        <v>234116.88564013838</v>
      </c>
      <c r="M280" s="47">
        <f t="shared" si="85"/>
        <v>-77636.885640138382</v>
      </c>
      <c r="N280" s="41">
        <f t="shared" si="86"/>
        <v>0.66838408332718802</v>
      </c>
      <c r="O280" s="46"/>
      <c r="P280" s="45">
        <f>IF(D280=0,0,SUM($L$264:L280))</f>
        <v>3043519.5133217983</v>
      </c>
      <c r="Q280" s="43">
        <f>IF(D280=0,0,SUM($J$264:J280))</f>
        <v>2999540</v>
      </c>
      <c r="R280" s="42">
        <f t="shared" si="87"/>
        <v>-43979.513321798295</v>
      </c>
      <c r="S280" s="41">
        <f t="shared" si="88"/>
        <v>0.98554978434365359</v>
      </c>
      <c r="T280" s="56"/>
      <c r="U280" s="43">
        <f>IF(D280=0,0,SUM($L$20:L280))</f>
        <v>47254645.075259417</v>
      </c>
      <c r="V280" s="43">
        <f>IF(D280=0,0,SUM($J$20:J280))</f>
        <v>49228156</v>
      </c>
      <c r="W280" s="42">
        <f t="shared" si="89"/>
        <v>1973510.9247405827</v>
      </c>
      <c r="X280" s="41">
        <f t="shared" si="90"/>
        <v>1.0417633212903725</v>
      </c>
      <c r="Y280" s="17"/>
      <c r="Z280" s="23">
        <f t="shared" si="93"/>
        <v>45552</v>
      </c>
      <c r="AA280" s="22">
        <f t="shared" si="94"/>
        <v>45552</v>
      </c>
      <c r="AB280" s="137">
        <v>45552</v>
      </c>
      <c r="AC280" s="137"/>
      <c r="AD280" s="134"/>
      <c r="AE280" s="134"/>
      <c r="AF280" s="139"/>
      <c r="AG280" s="256"/>
      <c r="AH280" s="256"/>
      <c r="AI280" s="256"/>
      <c r="AJ280" s="256"/>
      <c r="AK280" s="134"/>
      <c r="AL280" s="134"/>
      <c r="AM280" s="134"/>
      <c r="AN280" s="18"/>
      <c r="AO280" s="18"/>
      <c r="AP280" s="18"/>
      <c r="AQ280" s="18"/>
      <c r="AR280" s="17"/>
      <c r="AS280" s="21">
        <f t="shared" si="95"/>
        <v>45552</v>
      </c>
      <c r="AT280" s="17"/>
      <c r="AU280" s="17"/>
      <c r="AV280" s="17"/>
      <c r="AW280" s="17"/>
      <c r="AX280" s="17"/>
      <c r="AY280" s="17"/>
      <c r="AZ280" s="17"/>
    </row>
    <row r="281" spans="1:52" ht="20">
      <c r="A281" s="17"/>
      <c r="B281" s="40"/>
      <c r="C281" s="55">
        <f t="shared" si="91"/>
        <v>262</v>
      </c>
      <c r="D281" s="54">
        <v>1</v>
      </c>
      <c r="E281" s="53" t="str">
        <f t="shared" si="83"/>
        <v>9</v>
      </c>
      <c r="F281" s="52">
        <f t="shared" si="92"/>
        <v>45553</v>
      </c>
      <c r="G281" s="51" t="str">
        <f t="shared" si="84"/>
        <v>Wed</v>
      </c>
      <c r="H281" s="50"/>
      <c r="I281" s="49"/>
      <c r="J281" s="48">
        <v>167950</v>
      </c>
      <c r="K281" s="31"/>
      <c r="L281" s="43">
        <f t="shared" si="82"/>
        <v>234116.88564013838</v>
      </c>
      <c r="M281" s="47">
        <f t="shared" si="85"/>
        <v>-66166.885640138382</v>
      </c>
      <c r="N281" s="41">
        <f t="shared" si="86"/>
        <v>0.71737670497700168</v>
      </c>
      <c r="O281" s="46"/>
      <c r="P281" s="45">
        <f>IF(D281=0,0,SUM($L$264:L281))</f>
        <v>3277636.3989619366</v>
      </c>
      <c r="Q281" s="43">
        <f>IF(D281=0,0,SUM($J$264:J281))</f>
        <v>3167490</v>
      </c>
      <c r="R281" s="42">
        <f t="shared" si="87"/>
        <v>-110146.39896193659</v>
      </c>
      <c r="S281" s="41">
        <f t="shared" si="88"/>
        <v>0.96639456438889282</v>
      </c>
      <c r="T281" s="56"/>
      <c r="U281" s="43">
        <f>IF(D281=0,0,SUM($L$20:L281))</f>
        <v>47488761.960899554</v>
      </c>
      <c r="V281" s="43">
        <f>IF(D281=0,0,SUM($J$20:J281))</f>
        <v>49396106</v>
      </c>
      <c r="W281" s="42">
        <f t="shared" si="89"/>
        <v>1907344.0391004458</v>
      </c>
      <c r="X281" s="41">
        <f t="shared" si="90"/>
        <v>1.0401641137890871</v>
      </c>
      <c r="Y281" s="17"/>
      <c r="Z281" s="23">
        <f t="shared" si="93"/>
        <v>45553</v>
      </c>
      <c r="AA281" s="22">
        <f t="shared" si="94"/>
        <v>45553</v>
      </c>
      <c r="AB281" s="137">
        <v>45553</v>
      </c>
      <c r="AC281" s="137"/>
      <c r="AD281" s="134"/>
      <c r="AE281" s="134"/>
      <c r="AF281" s="139"/>
      <c r="AG281" s="256"/>
      <c r="AH281" s="256"/>
      <c r="AI281" s="256"/>
      <c r="AJ281" s="256"/>
      <c r="AK281" s="134"/>
      <c r="AL281" s="134"/>
      <c r="AM281" s="134"/>
      <c r="AN281" s="18"/>
      <c r="AO281" s="18"/>
      <c r="AP281" s="18"/>
      <c r="AQ281" s="18"/>
      <c r="AR281" s="17"/>
      <c r="AS281" s="21">
        <f t="shared" si="95"/>
        <v>45553</v>
      </c>
      <c r="AT281" s="17"/>
      <c r="AU281" s="17"/>
      <c r="AV281" s="17"/>
      <c r="AW281" s="17"/>
      <c r="AX281" s="17"/>
      <c r="AY281" s="17"/>
      <c r="AZ281" s="17"/>
    </row>
    <row r="282" spans="1:52" ht="20">
      <c r="A282" s="17"/>
      <c r="B282" s="40"/>
      <c r="C282" s="55">
        <f t="shared" si="91"/>
        <v>263</v>
      </c>
      <c r="D282" s="54">
        <v>1</v>
      </c>
      <c r="E282" s="53" t="str">
        <f t="shared" si="83"/>
        <v>9</v>
      </c>
      <c r="F282" s="52">
        <f t="shared" si="92"/>
        <v>45554</v>
      </c>
      <c r="G282" s="51" t="str">
        <f t="shared" si="84"/>
        <v>Thu</v>
      </c>
      <c r="H282" s="50"/>
      <c r="I282" s="49"/>
      <c r="J282" s="48">
        <v>221950</v>
      </c>
      <c r="K282" s="31"/>
      <c r="L282" s="43">
        <f t="shared" si="82"/>
        <v>234116.88564013838</v>
      </c>
      <c r="M282" s="47">
        <f t="shared" si="85"/>
        <v>-12166.885640138382</v>
      </c>
      <c r="N282" s="41">
        <f t="shared" si="86"/>
        <v>0.94803072146261103</v>
      </c>
      <c r="O282" s="46"/>
      <c r="P282" s="45">
        <f>IF(D282=0,0,SUM($L$264:L282))</f>
        <v>3511753.2846020749</v>
      </c>
      <c r="Q282" s="43">
        <f>IF(D282=0,0,SUM($J$264:J282))</f>
        <v>3389440</v>
      </c>
      <c r="R282" s="42">
        <f t="shared" si="87"/>
        <v>-122313.28460207488</v>
      </c>
      <c r="S282" s="41">
        <f t="shared" si="88"/>
        <v>0.96517030819380734</v>
      </c>
      <c r="T282" s="56"/>
      <c r="U282" s="43">
        <f>IF(D282=0,0,SUM($L$20:L282))</f>
        <v>47722878.846539691</v>
      </c>
      <c r="V282" s="43">
        <f>IF(D282=0,0,SUM($J$20:J282))</f>
        <v>49618056</v>
      </c>
      <c r="W282" s="42">
        <f t="shared" si="89"/>
        <v>1895177.1534603089</v>
      </c>
      <c r="X282" s="41">
        <f t="shared" si="90"/>
        <v>1.0397121296800753</v>
      </c>
      <c r="Y282" s="17"/>
      <c r="Z282" s="23">
        <f t="shared" si="93"/>
        <v>45554</v>
      </c>
      <c r="AA282" s="22">
        <f t="shared" si="94"/>
        <v>45554</v>
      </c>
      <c r="AB282" s="137">
        <v>45554</v>
      </c>
      <c r="AC282" s="137"/>
      <c r="AD282" s="134"/>
      <c r="AE282" s="134"/>
      <c r="AF282" s="139"/>
      <c r="AG282" s="256"/>
      <c r="AH282" s="256"/>
      <c r="AI282" s="256"/>
      <c r="AJ282" s="256"/>
      <c r="AK282" s="134"/>
      <c r="AL282" s="134"/>
      <c r="AM282" s="134"/>
      <c r="AN282" s="18"/>
      <c r="AO282" s="18"/>
      <c r="AP282" s="18"/>
      <c r="AQ282" s="18"/>
      <c r="AR282" s="17"/>
      <c r="AS282" s="21">
        <f t="shared" si="95"/>
        <v>45554</v>
      </c>
      <c r="AT282" s="17"/>
      <c r="AU282" s="17"/>
      <c r="AV282" s="17"/>
      <c r="AW282" s="17"/>
      <c r="AX282" s="17"/>
      <c r="AY282" s="17"/>
      <c r="AZ282" s="17"/>
    </row>
    <row r="283" spans="1:52" ht="20">
      <c r="A283" s="17"/>
      <c r="B283" s="40"/>
      <c r="C283" s="55">
        <f t="shared" si="91"/>
        <v>264</v>
      </c>
      <c r="D283" s="54">
        <v>1</v>
      </c>
      <c r="E283" s="53" t="str">
        <f t="shared" si="83"/>
        <v>9</v>
      </c>
      <c r="F283" s="52">
        <f t="shared" si="92"/>
        <v>45555</v>
      </c>
      <c r="G283" s="51" t="str">
        <f t="shared" si="84"/>
        <v>Fri</v>
      </c>
      <c r="H283" s="50"/>
      <c r="I283" s="49"/>
      <c r="J283" s="48">
        <v>364650</v>
      </c>
      <c r="K283" s="31"/>
      <c r="L283" s="43">
        <f t="shared" si="82"/>
        <v>234116.88564013838</v>
      </c>
      <c r="M283" s="47">
        <f t="shared" si="85"/>
        <v>130533.11435986162</v>
      </c>
      <c r="N283" s="41">
        <f t="shared" si="86"/>
        <v>1.557555316879212</v>
      </c>
      <c r="O283" s="46"/>
      <c r="P283" s="45">
        <f>IF(D283=0,0,SUM($L$264:L283))</f>
        <v>3745870.1702422132</v>
      </c>
      <c r="Q283" s="43">
        <f>IF(D283=0,0,SUM($J$264:J283))</f>
        <v>3754090</v>
      </c>
      <c r="R283" s="42">
        <f t="shared" si="87"/>
        <v>8219.8297577868216</v>
      </c>
      <c r="S283" s="41">
        <f t="shared" si="88"/>
        <v>1.0021943712366452</v>
      </c>
      <c r="T283" s="56"/>
      <c r="U283" s="43">
        <f>IF(D283=0,0,SUM($L$20:L283))</f>
        <v>47956995.732179828</v>
      </c>
      <c r="V283" s="43">
        <f>IF(D283=0,0,SUM($J$20:J283))</f>
        <v>49982706</v>
      </c>
      <c r="W283" s="42">
        <f t="shared" si="89"/>
        <v>2025710.267820172</v>
      </c>
      <c r="X283" s="41">
        <f t="shared" si="90"/>
        <v>1.0422401411283755</v>
      </c>
      <c r="Y283" s="17"/>
      <c r="Z283" s="23">
        <f t="shared" si="93"/>
        <v>45555</v>
      </c>
      <c r="AA283" s="22">
        <f t="shared" si="94"/>
        <v>45555</v>
      </c>
      <c r="AB283" s="137">
        <v>45555</v>
      </c>
      <c r="AC283" s="137"/>
      <c r="AD283" s="134"/>
      <c r="AE283" s="134"/>
      <c r="AF283" s="139"/>
      <c r="AG283" s="256"/>
      <c r="AH283" s="256"/>
      <c r="AI283" s="256"/>
      <c r="AJ283" s="256"/>
      <c r="AK283" s="134"/>
      <c r="AL283" s="134"/>
      <c r="AM283" s="134"/>
      <c r="AN283" s="18"/>
      <c r="AO283" s="18"/>
      <c r="AP283" s="18"/>
      <c r="AQ283" s="18"/>
      <c r="AR283" s="17"/>
      <c r="AS283" s="21">
        <f t="shared" si="95"/>
        <v>45555</v>
      </c>
      <c r="AT283" s="17"/>
      <c r="AU283" s="17"/>
      <c r="AV283" s="17"/>
      <c r="AW283" s="17"/>
      <c r="AX283" s="17"/>
      <c r="AY283" s="17"/>
      <c r="AZ283" s="17"/>
    </row>
    <row r="284" spans="1:52" ht="20">
      <c r="A284" s="17"/>
      <c r="B284" s="40"/>
      <c r="C284" s="55">
        <f t="shared" si="91"/>
        <v>265</v>
      </c>
      <c r="D284" s="54">
        <v>1</v>
      </c>
      <c r="E284" s="53" t="str">
        <f t="shared" si="83"/>
        <v>9</v>
      </c>
      <c r="F284" s="52">
        <f t="shared" si="92"/>
        <v>45556</v>
      </c>
      <c r="G284" s="51" t="str">
        <f t="shared" si="84"/>
        <v>Sat</v>
      </c>
      <c r="H284" s="50"/>
      <c r="I284" s="49"/>
      <c r="J284" s="48">
        <v>135400</v>
      </c>
      <c r="K284" s="31"/>
      <c r="L284" s="43">
        <f t="shared" si="82"/>
        <v>234116.88564013838</v>
      </c>
      <c r="M284" s="47">
        <f t="shared" si="85"/>
        <v>-98716.885640138382</v>
      </c>
      <c r="N284" s="41">
        <f t="shared" si="86"/>
        <v>0.57834358948428721</v>
      </c>
      <c r="O284" s="46"/>
      <c r="P284" s="45">
        <f>IF(D284=0,0,SUM($L$264:L284))</f>
        <v>3979987.0558823515</v>
      </c>
      <c r="Q284" s="43">
        <f>IF(D284=0,0,SUM($J$264:J284))</f>
        <v>3889490</v>
      </c>
      <c r="R284" s="42">
        <f t="shared" si="87"/>
        <v>-90497.055882351473</v>
      </c>
      <c r="S284" s="41">
        <f t="shared" si="88"/>
        <v>0.97726197231003598</v>
      </c>
      <c r="T284" s="44"/>
      <c r="U284" s="43">
        <f>IF(D284=0,0,SUM($L$20:L284))</f>
        <v>48191112.617819965</v>
      </c>
      <c r="V284" s="43">
        <f>IF(D284=0,0,SUM($J$20:J284))</f>
        <v>50118106</v>
      </c>
      <c r="W284" s="42">
        <f t="shared" si="89"/>
        <v>1926993.3821800351</v>
      </c>
      <c r="X284" s="41">
        <f t="shared" si="90"/>
        <v>1.0399864887424799</v>
      </c>
      <c r="Y284" s="17"/>
      <c r="Z284" s="23">
        <f t="shared" si="93"/>
        <v>45556</v>
      </c>
      <c r="AA284" s="22">
        <f t="shared" si="94"/>
        <v>45556</v>
      </c>
      <c r="AB284" s="137">
        <v>45556</v>
      </c>
      <c r="AC284" s="137"/>
      <c r="AD284" s="134"/>
      <c r="AE284" s="134"/>
      <c r="AF284" s="139"/>
      <c r="AG284" s="256"/>
      <c r="AH284" s="256"/>
      <c r="AI284" s="256"/>
      <c r="AJ284" s="256"/>
      <c r="AK284" s="134"/>
      <c r="AL284" s="134"/>
      <c r="AM284" s="134"/>
      <c r="AN284" s="18"/>
      <c r="AO284" s="18"/>
      <c r="AP284" s="18"/>
      <c r="AQ284" s="18"/>
      <c r="AR284" s="17"/>
      <c r="AS284" s="21">
        <f t="shared" si="95"/>
        <v>45556</v>
      </c>
      <c r="AT284" s="17"/>
      <c r="AU284" s="17"/>
      <c r="AV284" s="17"/>
      <c r="AW284" s="17"/>
      <c r="AX284" s="17"/>
      <c r="AY284" s="17"/>
      <c r="AZ284" s="17"/>
    </row>
    <row r="285" spans="1:52" ht="20">
      <c r="A285" s="17"/>
      <c r="B285" s="40"/>
      <c r="C285" s="55">
        <f t="shared" si="91"/>
        <v>266</v>
      </c>
      <c r="D285" s="54">
        <v>0</v>
      </c>
      <c r="E285" s="53" t="str">
        <f t="shared" si="83"/>
        <v>9</v>
      </c>
      <c r="F285" s="52">
        <f t="shared" si="92"/>
        <v>45557</v>
      </c>
      <c r="G285" s="51" t="str">
        <f t="shared" si="84"/>
        <v>Sun</v>
      </c>
      <c r="H285" s="50" t="s">
        <v>46</v>
      </c>
      <c r="I285" s="49"/>
      <c r="J285" s="48">
        <v>0</v>
      </c>
      <c r="K285" s="31"/>
      <c r="L285" s="43">
        <f t="shared" si="82"/>
        <v>0</v>
      </c>
      <c r="M285" s="47">
        <f t="shared" si="85"/>
        <v>0</v>
      </c>
      <c r="N285" s="41" t="str">
        <f t="shared" si="86"/>
        <v>0%</v>
      </c>
      <c r="O285" s="46"/>
      <c r="P285" s="45">
        <f>IF(D285=0,0,SUM($L$264:L285))</f>
        <v>0</v>
      </c>
      <c r="Q285" s="43">
        <f>IF(D285=0,0,SUM($J$264:J285))</f>
        <v>0</v>
      </c>
      <c r="R285" s="42">
        <f t="shared" si="87"/>
        <v>0</v>
      </c>
      <c r="S285" s="41" t="str">
        <f t="shared" si="88"/>
        <v>0%</v>
      </c>
      <c r="T285" s="56"/>
      <c r="U285" s="43">
        <f>IF(D285=0,0,SUM($L$20:L285))</f>
        <v>0</v>
      </c>
      <c r="V285" s="43">
        <f>IF(D285=0,0,SUM($J$20:J285))</f>
        <v>0</v>
      </c>
      <c r="W285" s="42">
        <f t="shared" si="89"/>
        <v>0</v>
      </c>
      <c r="X285" s="41" t="str">
        <f t="shared" si="90"/>
        <v>0%</v>
      </c>
      <c r="Y285" s="17"/>
      <c r="Z285" s="23">
        <f t="shared" si="93"/>
        <v>45557</v>
      </c>
      <c r="AA285" s="22">
        <f t="shared" si="94"/>
        <v>45557</v>
      </c>
      <c r="AB285" s="137">
        <v>45557</v>
      </c>
      <c r="AC285" s="137"/>
      <c r="AD285" s="134"/>
      <c r="AE285" s="134"/>
      <c r="AF285" s="139"/>
      <c r="AG285" s="256"/>
      <c r="AH285" s="256"/>
      <c r="AI285" s="256"/>
      <c r="AJ285" s="256"/>
      <c r="AK285" s="134"/>
      <c r="AL285" s="134"/>
      <c r="AM285" s="134"/>
      <c r="AN285" s="18"/>
      <c r="AO285" s="18"/>
      <c r="AP285" s="18"/>
      <c r="AQ285" s="18"/>
      <c r="AR285" s="17"/>
      <c r="AS285" s="21">
        <f t="shared" si="95"/>
        <v>45557</v>
      </c>
      <c r="AT285" s="17"/>
      <c r="AU285" s="17"/>
      <c r="AV285" s="17"/>
      <c r="AW285" s="17"/>
      <c r="AX285" s="17"/>
      <c r="AY285" s="17"/>
      <c r="AZ285" s="17"/>
    </row>
    <row r="286" spans="1:52" ht="20">
      <c r="A286" s="17"/>
      <c r="B286" s="40"/>
      <c r="C286" s="55">
        <f t="shared" si="91"/>
        <v>267</v>
      </c>
      <c r="D286" s="54">
        <v>0</v>
      </c>
      <c r="E286" s="53" t="str">
        <f t="shared" si="83"/>
        <v>9</v>
      </c>
      <c r="F286" s="52">
        <f t="shared" si="92"/>
        <v>45558</v>
      </c>
      <c r="G286" s="51" t="str">
        <f t="shared" si="84"/>
        <v>Mon</v>
      </c>
      <c r="H286" s="50" t="s">
        <v>47</v>
      </c>
      <c r="I286" s="49"/>
      <c r="J286" s="48">
        <v>0</v>
      </c>
      <c r="K286" s="31"/>
      <c r="L286" s="43">
        <f t="shared" si="82"/>
        <v>0</v>
      </c>
      <c r="M286" s="47">
        <f t="shared" si="85"/>
        <v>0</v>
      </c>
      <c r="N286" s="41" t="str">
        <f t="shared" si="86"/>
        <v>0%</v>
      </c>
      <c r="O286" s="46"/>
      <c r="P286" s="45">
        <f>IF(D286=0,0,SUM($L$264:L286))</f>
        <v>0</v>
      </c>
      <c r="Q286" s="43">
        <f>IF(D286=0,0,SUM($J$264:J286))</f>
        <v>0</v>
      </c>
      <c r="R286" s="42">
        <f t="shared" si="87"/>
        <v>0</v>
      </c>
      <c r="S286" s="41" t="str">
        <f t="shared" si="88"/>
        <v>0%</v>
      </c>
      <c r="T286" s="44"/>
      <c r="U286" s="43">
        <f>IF(D286=0,0,SUM($L$20:L286))</f>
        <v>0</v>
      </c>
      <c r="V286" s="43">
        <f>IF(D286=0,0,SUM($J$20:J286))</f>
        <v>0</v>
      </c>
      <c r="W286" s="42">
        <f t="shared" si="89"/>
        <v>0</v>
      </c>
      <c r="X286" s="41" t="str">
        <f t="shared" si="90"/>
        <v>0%</v>
      </c>
      <c r="Y286" s="17"/>
      <c r="Z286" s="23">
        <f t="shared" si="93"/>
        <v>45558</v>
      </c>
      <c r="AA286" s="22">
        <f t="shared" si="94"/>
        <v>45558</v>
      </c>
      <c r="AB286" s="137">
        <v>45558</v>
      </c>
      <c r="AC286" s="137"/>
      <c r="AD286" s="134"/>
      <c r="AE286" s="134"/>
      <c r="AF286" s="139"/>
      <c r="AG286" s="256"/>
      <c r="AH286" s="256"/>
      <c r="AI286" s="256"/>
      <c r="AJ286" s="256"/>
      <c r="AK286" s="134"/>
      <c r="AL286" s="134"/>
      <c r="AM286" s="134"/>
      <c r="AN286" s="18"/>
      <c r="AO286" s="18"/>
      <c r="AP286" s="18"/>
      <c r="AQ286" s="18"/>
      <c r="AR286" s="17"/>
      <c r="AS286" s="21">
        <f t="shared" si="95"/>
        <v>45558</v>
      </c>
      <c r="AT286" s="17"/>
      <c r="AU286" s="17"/>
      <c r="AV286" s="17"/>
      <c r="AW286" s="17"/>
      <c r="AX286" s="17"/>
      <c r="AY286" s="17"/>
      <c r="AZ286" s="17"/>
    </row>
    <row r="287" spans="1:52" ht="20">
      <c r="A287" s="17"/>
      <c r="B287" s="40"/>
      <c r="C287" s="55">
        <f t="shared" si="91"/>
        <v>268</v>
      </c>
      <c r="D287" s="54">
        <v>1</v>
      </c>
      <c r="E287" s="53" t="str">
        <f t="shared" si="83"/>
        <v>9</v>
      </c>
      <c r="F287" s="52">
        <f t="shared" si="92"/>
        <v>45559</v>
      </c>
      <c r="G287" s="51" t="str">
        <f t="shared" si="84"/>
        <v>Tue</v>
      </c>
      <c r="H287" s="50"/>
      <c r="I287" s="49"/>
      <c r="J287" s="48">
        <v>403600</v>
      </c>
      <c r="K287" s="31"/>
      <c r="L287" s="43">
        <f t="shared" si="82"/>
        <v>234116.88564013838</v>
      </c>
      <c r="M287" s="47">
        <f t="shared" si="85"/>
        <v>169483.11435986162</v>
      </c>
      <c r="N287" s="41">
        <f t="shared" si="86"/>
        <v>1.7239252046961471</v>
      </c>
      <c r="O287" s="46"/>
      <c r="P287" s="45">
        <f>IF(D287=0,0,SUM($L$264:L287))</f>
        <v>4214103.9415224902</v>
      </c>
      <c r="Q287" s="43">
        <f>IF(D287=0,0,SUM($J$264:J287))</f>
        <v>4293090</v>
      </c>
      <c r="R287" s="42">
        <f t="shared" si="87"/>
        <v>78986.058477509767</v>
      </c>
      <c r="S287" s="41">
        <f t="shared" si="88"/>
        <v>1.0187432629981532</v>
      </c>
      <c r="T287" s="56"/>
      <c r="U287" s="43">
        <f>IF(D287=0,0,SUM($L$20:L287))</f>
        <v>48425229.503460102</v>
      </c>
      <c r="V287" s="43">
        <f>IF(D287=0,0,SUM($J$20:J287))</f>
        <v>50521706</v>
      </c>
      <c r="W287" s="42">
        <f t="shared" si="89"/>
        <v>2096476.4965398982</v>
      </c>
      <c r="X287" s="41">
        <f t="shared" si="90"/>
        <v>1.043293062687294</v>
      </c>
      <c r="Y287" s="17"/>
      <c r="Z287" s="23">
        <f t="shared" si="93"/>
        <v>45559</v>
      </c>
      <c r="AA287" s="22">
        <f t="shared" si="94"/>
        <v>45559</v>
      </c>
      <c r="AB287" s="137">
        <v>45559</v>
      </c>
      <c r="AC287" s="137"/>
      <c r="AD287" s="134"/>
      <c r="AE287" s="134"/>
      <c r="AF287" s="139"/>
      <c r="AG287" s="256"/>
      <c r="AH287" s="256"/>
      <c r="AI287" s="256"/>
      <c r="AJ287" s="256"/>
      <c r="AK287" s="134"/>
      <c r="AL287" s="134"/>
      <c r="AM287" s="134"/>
      <c r="AN287" s="18"/>
      <c r="AO287" s="18"/>
      <c r="AP287" s="18"/>
      <c r="AQ287" s="18"/>
      <c r="AR287" s="17"/>
      <c r="AS287" s="21">
        <f t="shared" si="95"/>
        <v>45559</v>
      </c>
      <c r="AT287" s="17"/>
      <c r="AU287" s="17"/>
      <c r="AV287" s="17"/>
      <c r="AW287" s="17"/>
      <c r="AX287" s="17"/>
      <c r="AY287" s="17"/>
      <c r="AZ287" s="17"/>
    </row>
    <row r="288" spans="1:52" ht="20">
      <c r="A288" s="17"/>
      <c r="B288" s="40"/>
      <c r="C288" s="55">
        <f t="shared" si="91"/>
        <v>269</v>
      </c>
      <c r="D288" s="54">
        <v>1</v>
      </c>
      <c r="E288" s="53" t="str">
        <f t="shared" si="83"/>
        <v>9</v>
      </c>
      <c r="F288" s="52">
        <f t="shared" si="92"/>
        <v>45560</v>
      </c>
      <c r="G288" s="51" t="str">
        <f t="shared" si="84"/>
        <v>Wed</v>
      </c>
      <c r="H288" s="50"/>
      <c r="I288" s="49"/>
      <c r="J288" s="48">
        <v>309400</v>
      </c>
      <c r="K288" s="31"/>
      <c r="L288" s="43">
        <f t="shared" si="82"/>
        <v>234116.88564013838</v>
      </c>
      <c r="M288" s="47">
        <f t="shared" si="85"/>
        <v>75283.114359861618</v>
      </c>
      <c r="N288" s="41">
        <f t="shared" si="86"/>
        <v>1.3215620870490286</v>
      </c>
      <c r="O288" s="46"/>
      <c r="P288" s="45">
        <f>IF(D288=0,0,SUM($L$264:L288))</f>
        <v>4448220.827162629</v>
      </c>
      <c r="Q288" s="43">
        <f>IF(D288=0,0,SUM($J$264:J288))</f>
        <v>4602490</v>
      </c>
      <c r="R288" s="42">
        <f t="shared" si="87"/>
        <v>154269.17283737101</v>
      </c>
      <c r="S288" s="41">
        <f t="shared" si="88"/>
        <v>1.034681095842936</v>
      </c>
      <c r="T288" s="56"/>
      <c r="U288" s="43">
        <f>IF(D288=0,0,SUM($L$20:L288))</f>
        <v>48659346.389100239</v>
      </c>
      <c r="V288" s="43">
        <f>IF(D288=0,0,SUM($J$20:J288))</f>
        <v>50831106</v>
      </c>
      <c r="W288" s="42">
        <f t="shared" si="89"/>
        <v>2171759.6108997613</v>
      </c>
      <c r="X288" s="41">
        <f t="shared" si="90"/>
        <v>1.0446319108673074</v>
      </c>
      <c r="Y288" s="17"/>
      <c r="Z288" s="23">
        <f t="shared" si="93"/>
        <v>45560</v>
      </c>
      <c r="AA288" s="22">
        <f t="shared" si="94"/>
        <v>45560</v>
      </c>
      <c r="AB288" s="137">
        <v>45560</v>
      </c>
      <c r="AC288" s="137"/>
      <c r="AD288" s="134"/>
      <c r="AE288" s="134"/>
      <c r="AF288" s="139"/>
      <c r="AG288" s="256"/>
      <c r="AH288" s="256"/>
      <c r="AI288" s="256"/>
      <c r="AJ288" s="256"/>
      <c r="AK288" s="134"/>
      <c r="AL288" s="134"/>
      <c r="AM288" s="134"/>
      <c r="AN288" s="18"/>
      <c r="AO288" s="18"/>
      <c r="AP288" s="18"/>
      <c r="AQ288" s="18"/>
      <c r="AR288" s="17"/>
      <c r="AS288" s="21">
        <f t="shared" si="95"/>
        <v>45560</v>
      </c>
      <c r="AT288" s="17"/>
      <c r="AU288" s="17"/>
      <c r="AV288" s="17"/>
      <c r="AW288" s="17"/>
      <c r="AX288" s="17"/>
      <c r="AY288" s="17"/>
      <c r="AZ288" s="17"/>
    </row>
    <row r="289" spans="1:52" ht="20">
      <c r="A289" s="17"/>
      <c r="B289" s="40"/>
      <c r="C289" s="55">
        <f t="shared" si="91"/>
        <v>270</v>
      </c>
      <c r="D289" s="54">
        <v>1</v>
      </c>
      <c r="E289" s="53" t="str">
        <f t="shared" si="83"/>
        <v>9</v>
      </c>
      <c r="F289" s="52">
        <f t="shared" si="92"/>
        <v>45561</v>
      </c>
      <c r="G289" s="51" t="str">
        <f t="shared" si="84"/>
        <v>Thu</v>
      </c>
      <c r="H289" s="50"/>
      <c r="I289" s="49"/>
      <c r="J289" s="48">
        <v>168650</v>
      </c>
      <c r="K289" s="31"/>
      <c r="L289" s="43">
        <f t="shared" si="82"/>
        <v>234116.88564013838</v>
      </c>
      <c r="M289" s="47">
        <f t="shared" si="85"/>
        <v>-65466.885640138382</v>
      </c>
      <c r="N289" s="41">
        <f t="shared" si="86"/>
        <v>0.72036666444996333</v>
      </c>
      <c r="O289" s="46"/>
      <c r="P289" s="45">
        <f>IF(D289=0,0,SUM($L$264:L289))</f>
        <v>4682337.7128027678</v>
      </c>
      <c r="Q289" s="43">
        <f>IF(D289=0,0,SUM($J$264:J289))</f>
        <v>4771140</v>
      </c>
      <c r="R289" s="42">
        <f t="shared" si="87"/>
        <v>88802.287197232246</v>
      </c>
      <c r="S289" s="41">
        <f t="shared" si="88"/>
        <v>1.0189653742732871</v>
      </c>
      <c r="T289" s="56"/>
      <c r="U289" s="43">
        <f>IF(D289=0,0,SUM($L$20:L289))</f>
        <v>48893463.274740376</v>
      </c>
      <c r="V289" s="43">
        <f>IF(D289=0,0,SUM($J$20:J289))</f>
        <v>50999756</v>
      </c>
      <c r="W289" s="42">
        <f t="shared" si="89"/>
        <v>2106292.7252596244</v>
      </c>
      <c r="X289" s="41">
        <f t="shared" si="90"/>
        <v>1.0430792294958535</v>
      </c>
      <c r="Y289" s="17"/>
      <c r="Z289" s="23">
        <f t="shared" si="93"/>
        <v>45561</v>
      </c>
      <c r="AA289" s="22">
        <f t="shared" si="94"/>
        <v>45561</v>
      </c>
      <c r="AB289" s="137">
        <v>45561</v>
      </c>
      <c r="AC289" s="137"/>
      <c r="AD289" s="134"/>
      <c r="AE289" s="134"/>
      <c r="AF289" s="139"/>
      <c r="AG289" s="256"/>
      <c r="AH289" s="256"/>
      <c r="AI289" s="256"/>
      <c r="AJ289" s="256"/>
      <c r="AK289" s="134"/>
      <c r="AL289" s="134"/>
      <c r="AM289" s="134"/>
      <c r="AN289" s="18"/>
      <c r="AO289" s="18"/>
      <c r="AP289" s="18"/>
      <c r="AQ289" s="18"/>
      <c r="AR289" s="17"/>
      <c r="AS289" s="21">
        <f t="shared" si="95"/>
        <v>45561</v>
      </c>
      <c r="AT289" s="17"/>
      <c r="AU289" s="17"/>
      <c r="AV289" s="17"/>
      <c r="AW289" s="17"/>
      <c r="AX289" s="17"/>
      <c r="AY289" s="17"/>
      <c r="AZ289" s="17"/>
    </row>
    <row r="290" spans="1:52" ht="20">
      <c r="A290" s="17"/>
      <c r="B290" s="40"/>
      <c r="C290" s="55">
        <f t="shared" si="91"/>
        <v>271</v>
      </c>
      <c r="D290" s="54">
        <v>1</v>
      </c>
      <c r="E290" s="53" t="str">
        <f t="shared" si="83"/>
        <v>9</v>
      </c>
      <c r="F290" s="52">
        <f t="shared" si="92"/>
        <v>45562</v>
      </c>
      <c r="G290" s="51" t="str">
        <f t="shared" si="84"/>
        <v>Fri</v>
      </c>
      <c r="H290" s="50"/>
      <c r="I290" s="49"/>
      <c r="J290" s="48">
        <v>339485</v>
      </c>
      <c r="K290" s="31"/>
      <c r="L290" s="43">
        <f t="shared" si="82"/>
        <v>234116.88564013838</v>
      </c>
      <c r="M290" s="47">
        <f t="shared" si="85"/>
        <v>105368.11435986162</v>
      </c>
      <c r="N290" s="41">
        <f t="shared" si="86"/>
        <v>1.4500662738262424</v>
      </c>
      <c r="O290" s="46"/>
      <c r="P290" s="45">
        <f>IF(D290=0,0,SUM($L$264:L290))</f>
        <v>4916454.5984429065</v>
      </c>
      <c r="Q290" s="43">
        <f>IF(D290=0,0,SUM($J$264:J290))</f>
        <v>5110625</v>
      </c>
      <c r="R290" s="42">
        <f t="shared" si="87"/>
        <v>194170.40155709349</v>
      </c>
      <c r="S290" s="41">
        <f t="shared" si="88"/>
        <v>1.0394939885377137</v>
      </c>
      <c r="T290" s="56"/>
      <c r="U290" s="43">
        <f>IF(D290=0,0,SUM($L$20:L290))</f>
        <v>49127580.160380512</v>
      </c>
      <c r="V290" s="43">
        <f>IF(D290=0,0,SUM($J$20:J290))</f>
        <v>51339241</v>
      </c>
      <c r="W290" s="42">
        <f t="shared" si="89"/>
        <v>2211660.8396194875</v>
      </c>
      <c r="X290" s="41">
        <f t="shared" si="90"/>
        <v>1.0450187213048019</v>
      </c>
      <c r="Y290" s="17"/>
      <c r="Z290" s="23">
        <f t="shared" si="93"/>
        <v>45562</v>
      </c>
      <c r="AA290" s="22">
        <f t="shared" si="94"/>
        <v>45562</v>
      </c>
      <c r="AB290" s="137">
        <v>45562</v>
      </c>
      <c r="AC290" s="137"/>
      <c r="AD290" s="134"/>
      <c r="AE290" s="134"/>
      <c r="AF290" s="139"/>
      <c r="AG290" s="256"/>
      <c r="AH290" s="256"/>
      <c r="AI290" s="256"/>
      <c r="AJ290" s="256"/>
      <c r="AK290" s="134"/>
      <c r="AL290" s="134"/>
      <c r="AM290" s="134"/>
      <c r="AN290" s="18"/>
      <c r="AO290" s="18"/>
      <c r="AP290" s="18"/>
      <c r="AQ290" s="18"/>
      <c r="AR290" s="17"/>
      <c r="AS290" s="21">
        <f t="shared" si="95"/>
        <v>45562</v>
      </c>
      <c r="AT290" s="17"/>
      <c r="AU290" s="17"/>
      <c r="AV290" s="17"/>
      <c r="AW290" s="17"/>
      <c r="AX290" s="17"/>
      <c r="AY290" s="17"/>
      <c r="AZ290" s="17"/>
    </row>
    <row r="291" spans="1:52" ht="20">
      <c r="A291" s="17"/>
      <c r="B291" s="40"/>
      <c r="C291" s="55">
        <f t="shared" si="91"/>
        <v>272</v>
      </c>
      <c r="D291" s="54">
        <v>1</v>
      </c>
      <c r="E291" s="53" t="str">
        <f t="shared" si="83"/>
        <v>9</v>
      </c>
      <c r="F291" s="52">
        <f t="shared" si="92"/>
        <v>45563</v>
      </c>
      <c r="G291" s="51" t="str">
        <f t="shared" si="84"/>
        <v>Sat</v>
      </c>
      <c r="H291" s="50"/>
      <c r="I291" s="49"/>
      <c r="J291" s="48">
        <v>116650</v>
      </c>
      <c r="K291" s="31"/>
      <c r="L291" s="43">
        <f t="shared" si="82"/>
        <v>234116.88564013838</v>
      </c>
      <c r="M291" s="47">
        <f t="shared" si="85"/>
        <v>-117466.88564013838</v>
      </c>
      <c r="N291" s="41">
        <f t="shared" si="86"/>
        <v>0.49825538931567281</v>
      </c>
      <c r="O291" s="46"/>
      <c r="P291" s="45">
        <f>IF(D291=0,0,SUM($L$264:L291))</f>
        <v>5150571.4840830453</v>
      </c>
      <c r="Q291" s="43">
        <f>IF(D291=0,0,SUM($J$264:J291))</f>
        <v>5227275</v>
      </c>
      <c r="R291" s="42">
        <f t="shared" si="87"/>
        <v>76703.515916954726</v>
      </c>
      <c r="S291" s="41">
        <f t="shared" si="88"/>
        <v>1.0148922340276207</v>
      </c>
      <c r="T291" s="44"/>
      <c r="U291" s="43">
        <f>IF(D291=0,0,SUM($L$20:L291))</f>
        <v>49361697.046020649</v>
      </c>
      <c r="V291" s="43">
        <f>IF(D291=0,0,SUM($J$20:J291))</f>
        <v>51455891</v>
      </c>
      <c r="W291" s="42">
        <f t="shared" si="89"/>
        <v>2094193.9539793506</v>
      </c>
      <c r="X291" s="41">
        <f t="shared" si="90"/>
        <v>1.0424254853318131</v>
      </c>
      <c r="Y291" s="17"/>
      <c r="Z291" s="23">
        <f t="shared" si="93"/>
        <v>45563</v>
      </c>
      <c r="AA291" s="22">
        <f t="shared" si="94"/>
        <v>45563</v>
      </c>
      <c r="AB291" s="137">
        <v>45563</v>
      </c>
      <c r="AC291" s="137"/>
      <c r="AD291" s="134"/>
      <c r="AE291" s="134"/>
      <c r="AF291" s="139"/>
      <c r="AG291" s="256"/>
      <c r="AH291" s="256"/>
      <c r="AI291" s="256"/>
      <c r="AJ291" s="256"/>
      <c r="AK291" s="134"/>
      <c r="AL291" s="134"/>
      <c r="AM291" s="134"/>
      <c r="AN291" s="18"/>
      <c r="AO291" s="18"/>
      <c r="AP291" s="18"/>
      <c r="AQ291" s="18"/>
      <c r="AR291" s="17"/>
      <c r="AS291" s="21">
        <f t="shared" si="95"/>
        <v>45563</v>
      </c>
      <c r="AT291" s="17"/>
      <c r="AU291" s="17"/>
      <c r="AV291" s="17"/>
      <c r="AW291" s="17"/>
      <c r="AX291" s="17"/>
      <c r="AY291" s="17"/>
      <c r="AZ291" s="17"/>
    </row>
    <row r="292" spans="1:52" ht="20">
      <c r="A292" s="17"/>
      <c r="B292" s="40"/>
      <c r="C292" s="55">
        <f t="shared" si="91"/>
        <v>273</v>
      </c>
      <c r="D292" s="54">
        <v>0</v>
      </c>
      <c r="E292" s="53" t="str">
        <f t="shared" si="83"/>
        <v>9</v>
      </c>
      <c r="F292" s="52">
        <f t="shared" si="92"/>
        <v>45564</v>
      </c>
      <c r="G292" s="51" t="str">
        <f t="shared" si="84"/>
        <v>Sun</v>
      </c>
      <c r="H292" s="50" t="s">
        <v>46</v>
      </c>
      <c r="I292" s="49"/>
      <c r="J292" s="48">
        <v>0</v>
      </c>
      <c r="K292" s="31"/>
      <c r="L292" s="43">
        <f t="shared" si="82"/>
        <v>0</v>
      </c>
      <c r="M292" s="47">
        <f t="shared" si="85"/>
        <v>0</v>
      </c>
      <c r="N292" s="41" t="str">
        <f t="shared" si="86"/>
        <v>0%</v>
      </c>
      <c r="O292" s="46"/>
      <c r="P292" s="45">
        <f>IF(D292=0,0,SUM($L$264:L292))</f>
        <v>0</v>
      </c>
      <c r="Q292" s="43">
        <f>IF(D292=0,0,SUM($J$264:J292))</f>
        <v>0</v>
      </c>
      <c r="R292" s="42">
        <f t="shared" si="87"/>
        <v>0</v>
      </c>
      <c r="S292" s="41" t="str">
        <f t="shared" si="88"/>
        <v>0%</v>
      </c>
      <c r="T292" s="56"/>
      <c r="U292" s="43">
        <f>IF(D292=0,0,SUM($L$20:L292))</f>
        <v>0</v>
      </c>
      <c r="V292" s="43">
        <f>IF(D292=0,0,SUM($J$20:J292))</f>
        <v>0</v>
      </c>
      <c r="W292" s="42">
        <f t="shared" si="89"/>
        <v>0</v>
      </c>
      <c r="X292" s="41" t="str">
        <f t="shared" si="90"/>
        <v>0%</v>
      </c>
      <c r="Y292" s="17"/>
      <c r="Z292" s="23">
        <f t="shared" si="93"/>
        <v>45564</v>
      </c>
      <c r="AA292" s="22">
        <f t="shared" si="94"/>
        <v>45564</v>
      </c>
      <c r="AB292" s="137">
        <v>45564</v>
      </c>
      <c r="AC292" s="137"/>
      <c r="AD292" s="134"/>
      <c r="AE292" s="134"/>
      <c r="AF292" s="139"/>
      <c r="AG292" s="256"/>
      <c r="AH292" s="256"/>
      <c r="AI292" s="256"/>
      <c r="AJ292" s="256"/>
      <c r="AK292" s="134"/>
      <c r="AL292" s="134"/>
      <c r="AM292" s="134"/>
      <c r="AN292" s="18"/>
      <c r="AO292" s="18"/>
      <c r="AP292" s="18"/>
      <c r="AQ292" s="18"/>
      <c r="AR292" s="17"/>
      <c r="AS292" s="21">
        <f t="shared" si="95"/>
        <v>45564</v>
      </c>
      <c r="AT292" s="17"/>
      <c r="AU292" s="17"/>
      <c r="AV292" s="17"/>
      <c r="AW292" s="17"/>
      <c r="AX292" s="17"/>
      <c r="AY292" s="17"/>
      <c r="AZ292" s="17"/>
    </row>
    <row r="293" spans="1:52" ht="21" thickBot="1">
      <c r="A293" s="17"/>
      <c r="B293" s="40"/>
      <c r="C293" s="39">
        <f t="shared" si="91"/>
        <v>274</v>
      </c>
      <c r="D293" s="38">
        <v>1</v>
      </c>
      <c r="E293" s="37" t="str">
        <f t="shared" si="83"/>
        <v>9</v>
      </c>
      <c r="F293" s="36">
        <f t="shared" si="92"/>
        <v>45565</v>
      </c>
      <c r="G293" s="35" t="str">
        <f t="shared" si="84"/>
        <v>Mon</v>
      </c>
      <c r="H293" s="34"/>
      <c r="I293" s="33"/>
      <c r="J293" s="32">
        <v>197800</v>
      </c>
      <c r="K293" s="31"/>
      <c r="L293" s="26">
        <f t="shared" si="82"/>
        <v>234116.88564013838</v>
      </c>
      <c r="M293" s="30">
        <f t="shared" si="85"/>
        <v>-36316.885640138382</v>
      </c>
      <c r="N293" s="24">
        <f t="shared" si="86"/>
        <v>0.84487711964543577</v>
      </c>
      <c r="O293" s="29"/>
      <c r="P293" s="63">
        <f>IF(D293=0,0,SUM($L$264:L293))</f>
        <v>5384688.369723184</v>
      </c>
      <c r="Q293" s="26">
        <f>IF(D293=0,0,SUM($J$264:J293))</f>
        <v>5425075</v>
      </c>
      <c r="R293" s="25">
        <f t="shared" si="87"/>
        <v>40386.630276815966</v>
      </c>
      <c r="S293" s="24">
        <f t="shared" si="88"/>
        <v>1.0075002725327431</v>
      </c>
      <c r="T293" s="64"/>
      <c r="U293" s="26">
        <f>IF(D293=0,0,SUM($L$20:L293))</f>
        <v>49595813.931660786</v>
      </c>
      <c r="V293" s="26">
        <f>IF(D293=0,0,SUM($J$20:J293))</f>
        <v>51653691</v>
      </c>
      <c r="W293" s="25">
        <f t="shared" si="89"/>
        <v>2057877.0683392137</v>
      </c>
      <c r="X293" s="24">
        <f t="shared" si="90"/>
        <v>1.0414929588850947</v>
      </c>
      <c r="Y293" s="17"/>
      <c r="Z293" s="23">
        <f t="shared" si="93"/>
        <v>45565</v>
      </c>
      <c r="AA293" s="22">
        <f t="shared" si="94"/>
        <v>45565</v>
      </c>
      <c r="AB293" s="137">
        <v>45565</v>
      </c>
      <c r="AC293" s="137"/>
      <c r="AD293" s="134"/>
      <c r="AE293" s="134"/>
      <c r="AF293" s="139"/>
      <c r="AG293" s="256"/>
      <c r="AH293" s="256"/>
      <c r="AI293" s="256"/>
      <c r="AJ293" s="256"/>
      <c r="AK293" s="134"/>
      <c r="AL293" s="134"/>
      <c r="AM293" s="134"/>
      <c r="AN293" s="18"/>
      <c r="AO293" s="18"/>
      <c r="AP293" s="18"/>
      <c r="AQ293" s="18"/>
      <c r="AR293" s="17"/>
      <c r="AS293" s="21">
        <f t="shared" si="95"/>
        <v>45565</v>
      </c>
      <c r="AT293" s="17"/>
      <c r="AU293" s="17"/>
      <c r="AV293" s="17"/>
      <c r="AW293" s="17"/>
      <c r="AX293" s="17"/>
      <c r="AY293" s="17"/>
      <c r="AZ293" s="17"/>
    </row>
    <row r="294" spans="1:52" ht="21" thickTop="1">
      <c r="A294" s="17"/>
      <c r="B294" s="40"/>
      <c r="C294" s="55">
        <f t="shared" si="91"/>
        <v>275</v>
      </c>
      <c r="D294" s="62">
        <v>1</v>
      </c>
      <c r="E294" s="53" t="str">
        <f t="shared" si="83"/>
        <v>10</v>
      </c>
      <c r="F294" s="52">
        <f t="shared" si="92"/>
        <v>45566</v>
      </c>
      <c r="G294" s="51" t="str">
        <f t="shared" si="84"/>
        <v>Tue</v>
      </c>
      <c r="H294" s="50"/>
      <c r="I294" s="49"/>
      <c r="J294" s="48">
        <v>265250</v>
      </c>
      <c r="K294" s="31"/>
      <c r="L294" s="43">
        <f t="shared" ref="L294:L324" si="96">IF(D294=0,0,$K$15)</f>
        <v>308048.53373702423</v>
      </c>
      <c r="M294" s="42">
        <f t="shared" si="85"/>
        <v>-42798.533737024234</v>
      </c>
      <c r="N294" s="60">
        <f t="shared" si="86"/>
        <v>0.86106561450618491</v>
      </c>
      <c r="O294" s="46"/>
      <c r="P294" s="61">
        <f>IF(D294=0,0,$L$294)</f>
        <v>308048.53373702423</v>
      </c>
      <c r="Q294" s="43">
        <f>IF(D294=0,0,$J$294)</f>
        <v>265250</v>
      </c>
      <c r="R294" s="42">
        <f t="shared" si="87"/>
        <v>-42798.533737024234</v>
      </c>
      <c r="S294" s="60">
        <f t="shared" si="88"/>
        <v>0.86106561450618491</v>
      </c>
      <c r="T294" s="56"/>
      <c r="U294" s="43">
        <f>IF(D294=0,0,SUM($L$20:L294))</f>
        <v>49903862.465397812</v>
      </c>
      <c r="V294" s="43">
        <f>IF(D294=0,0,SUM($J$20:J294))</f>
        <v>51918941</v>
      </c>
      <c r="W294" s="42">
        <f t="shared" si="89"/>
        <v>2015078.5346021876</v>
      </c>
      <c r="X294" s="60">
        <f t="shared" si="90"/>
        <v>1.0403792098457187</v>
      </c>
      <c r="Y294" s="17"/>
      <c r="Z294" s="23">
        <f t="shared" si="93"/>
        <v>45566</v>
      </c>
      <c r="AA294" s="22">
        <f t="shared" si="94"/>
        <v>45566</v>
      </c>
      <c r="AB294" s="137">
        <v>45566</v>
      </c>
      <c r="AC294" s="137"/>
      <c r="AD294" s="134"/>
      <c r="AE294" s="134"/>
      <c r="AF294" s="139"/>
      <c r="AG294" s="256"/>
      <c r="AH294" s="256"/>
      <c r="AI294" s="256"/>
      <c r="AJ294" s="256"/>
      <c r="AK294" s="134"/>
      <c r="AL294" s="134"/>
      <c r="AM294" s="134"/>
      <c r="AN294" s="18"/>
      <c r="AO294" s="18"/>
      <c r="AP294" s="18"/>
      <c r="AQ294" s="18"/>
      <c r="AR294" s="17"/>
      <c r="AS294" s="21">
        <f t="shared" si="95"/>
        <v>45566</v>
      </c>
      <c r="AT294" s="17"/>
      <c r="AU294" s="17"/>
      <c r="AV294" s="17"/>
      <c r="AW294" s="17"/>
      <c r="AX294" s="17"/>
      <c r="AY294" s="17"/>
      <c r="AZ294" s="17"/>
    </row>
    <row r="295" spans="1:52" ht="20">
      <c r="A295" s="17"/>
      <c r="B295" s="40"/>
      <c r="C295" s="55">
        <f t="shared" si="91"/>
        <v>276</v>
      </c>
      <c r="D295" s="54">
        <v>1</v>
      </c>
      <c r="E295" s="53" t="str">
        <f t="shared" si="83"/>
        <v>10</v>
      </c>
      <c r="F295" s="52">
        <f t="shared" si="92"/>
        <v>45567</v>
      </c>
      <c r="G295" s="51" t="str">
        <f t="shared" si="84"/>
        <v>Wed</v>
      </c>
      <c r="H295" s="50"/>
      <c r="I295" s="49"/>
      <c r="J295" s="48">
        <v>241150</v>
      </c>
      <c r="K295" s="31"/>
      <c r="L295" s="43">
        <f t="shared" si="96"/>
        <v>308048.53373702423</v>
      </c>
      <c r="M295" s="47">
        <f t="shared" si="85"/>
        <v>-66898.533737024234</v>
      </c>
      <c r="N295" s="41">
        <f t="shared" si="86"/>
        <v>0.78283118921080674</v>
      </c>
      <c r="O295" s="46"/>
      <c r="P295" s="45">
        <f>IF(D295=0,0,SUM($L$294:L295))</f>
        <v>616097.06747404847</v>
      </c>
      <c r="Q295" s="43">
        <f>IF(D295=0,0,SUM($J$294:J295))</f>
        <v>506400</v>
      </c>
      <c r="R295" s="42">
        <f t="shared" si="87"/>
        <v>-109697.06747404847</v>
      </c>
      <c r="S295" s="41">
        <f t="shared" si="88"/>
        <v>0.82194840185849583</v>
      </c>
      <c r="T295" s="56"/>
      <c r="U295" s="43">
        <f>IF(D295=0,0,SUM($L$20:L295))</f>
        <v>50211910.999134839</v>
      </c>
      <c r="V295" s="43">
        <f>IF(D295=0,0,SUM($J$20:J295))</f>
        <v>52160091</v>
      </c>
      <c r="W295" s="42">
        <f t="shared" si="89"/>
        <v>1948180.0008651614</v>
      </c>
      <c r="X295" s="41">
        <f t="shared" si="90"/>
        <v>1.0387991606393696</v>
      </c>
      <c r="Y295" s="17"/>
      <c r="Z295" s="23">
        <f t="shared" si="93"/>
        <v>45567</v>
      </c>
      <c r="AA295" s="22">
        <f t="shared" si="94"/>
        <v>45567</v>
      </c>
      <c r="AB295" s="137">
        <v>45567</v>
      </c>
      <c r="AC295" s="137"/>
      <c r="AD295" s="134"/>
      <c r="AE295" s="134"/>
      <c r="AF295" s="139"/>
      <c r="AG295" s="256"/>
      <c r="AH295" s="256"/>
      <c r="AI295" s="256"/>
      <c r="AJ295" s="256"/>
      <c r="AK295" s="134"/>
      <c r="AL295" s="134"/>
      <c r="AM295" s="134"/>
      <c r="AN295" s="18"/>
      <c r="AO295" s="18"/>
      <c r="AP295" s="18"/>
      <c r="AQ295" s="18"/>
      <c r="AR295" s="17"/>
      <c r="AS295" s="21">
        <f t="shared" si="95"/>
        <v>45567</v>
      </c>
      <c r="AT295" s="17"/>
      <c r="AU295" s="17"/>
      <c r="AV295" s="17"/>
      <c r="AW295" s="17"/>
      <c r="AX295" s="17"/>
      <c r="AY295" s="17"/>
      <c r="AZ295" s="17"/>
    </row>
    <row r="296" spans="1:52" ht="20">
      <c r="A296" s="17"/>
      <c r="B296" s="40"/>
      <c r="C296" s="55">
        <f t="shared" si="91"/>
        <v>277</v>
      </c>
      <c r="D296" s="54">
        <v>1</v>
      </c>
      <c r="E296" s="53" t="str">
        <f t="shared" si="83"/>
        <v>10</v>
      </c>
      <c r="F296" s="52">
        <f t="shared" si="92"/>
        <v>45568</v>
      </c>
      <c r="G296" s="51" t="str">
        <f t="shared" si="84"/>
        <v>Thu</v>
      </c>
      <c r="H296" s="50"/>
      <c r="I296" s="49"/>
      <c r="J296" s="48">
        <v>229100</v>
      </c>
      <c r="K296" s="31"/>
      <c r="L296" s="43">
        <f t="shared" si="96"/>
        <v>308048.53373702423</v>
      </c>
      <c r="M296" s="47">
        <f t="shared" si="85"/>
        <v>-78948.533737024234</v>
      </c>
      <c r="N296" s="41">
        <f t="shared" si="86"/>
        <v>0.74371397656311766</v>
      </c>
      <c r="O296" s="46"/>
      <c r="P296" s="45">
        <f>IF(D296=0,0,SUM($L$294:L296))</f>
        <v>924145.60121107264</v>
      </c>
      <c r="Q296" s="43">
        <f>IF(D296=0,0,SUM($J$294:J296))</f>
        <v>735500</v>
      </c>
      <c r="R296" s="42">
        <f t="shared" si="87"/>
        <v>-188645.60121107264</v>
      </c>
      <c r="S296" s="41">
        <f t="shared" si="88"/>
        <v>0.79587026009336981</v>
      </c>
      <c r="T296" s="56"/>
      <c r="U296" s="43">
        <f>IF(D296=0,0,SUM($L$20:L296))</f>
        <v>50519959.532871865</v>
      </c>
      <c r="V296" s="43">
        <f>IF(D296=0,0,SUM($J$20:J296))</f>
        <v>52389191</v>
      </c>
      <c r="W296" s="42">
        <f t="shared" si="89"/>
        <v>1869231.4671281353</v>
      </c>
      <c r="X296" s="41">
        <f t="shared" si="90"/>
        <v>1.0369998607364657</v>
      </c>
      <c r="Y296" s="17"/>
      <c r="Z296" s="23">
        <f t="shared" si="93"/>
        <v>45568</v>
      </c>
      <c r="AA296" s="22">
        <f t="shared" si="94"/>
        <v>45568</v>
      </c>
      <c r="AB296" s="137">
        <v>45568</v>
      </c>
      <c r="AC296" s="137"/>
      <c r="AD296" s="134"/>
      <c r="AE296" s="134"/>
      <c r="AF296" s="139"/>
      <c r="AG296" s="256"/>
      <c r="AH296" s="256"/>
      <c r="AI296" s="256"/>
      <c r="AJ296" s="256"/>
      <c r="AK296" s="134"/>
      <c r="AL296" s="134"/>
      <c r="AM296" s="134"/>
      <c r="AN296" s="18"/>
      <c r="AO296" s="18"/>
      <c r="AP296" s="18"/>
      <c r="AQ296" s="18"/>
      <c r="AR296" s="17"/>
      <c r="AS296" s="21">
        <f t="shared" si="95"/>
        <v>45568</v>
      </c>
      <c r="AT296" s="17"/>
      <c r="AU296" s="17"/>
      <c r="AV296" s="17"/>
      <c r="AW296" s="17"/>
      <c r="AX296" s="17"/>
      <c r="AY296" s="17"/>
      <c r="AZ296" s="17"/>
    </row>
    <row r="297" spans="1:52" ht="20">
      <c r="A297" s="17"/>
      <c r="B297" s="40"/>
      <c r="C297" s="55">
        <f t="shared" si="91"/>
        <v>278</v>
      </c>
      <c r="D297" s="54">
        <v>1</v>
      </c>
      <c r="E297" s="53" t="str">
        <f t="shared" si="83"/>
        <v>10</v>
      </c>
      <c r="F297" s="52">
        <f t="shared" si="92"/>
        <v>45569</v>
      </c>
      <c r="G297" s="51" t="str">
        <f t="shared" si="84"/>
        <v>Fri</v>
      </c>
      <c r="H297" s="50"/>
      <c r="I297" s="49"/>
      <c r="J297" s="48">
        <v>293550</v>
      </c>
      <c r="K297" s="31"/>
      <c r="L297" s="43">
        <f t="shared" si="96"/>
        <v>308048.53373702423</v>
      </c>
      <c r="M297" s="47">
        <f t="shared" si="85"/>
        <v>-14498.533737024234</v>
      </c>
      <c r="N297" s="41">
        <f t="shared" si="86"/>
        <v>0.952934254998268</v>
      </c>
      <c r="O297" s="46"/>
      <c r="P297" s="45">
        <f>IF(D297=0,0,SUM($L$294:L297))</f>
        <v>1232194.1349480969</v>
      </c>
      <c r="Q297" s="43">
        <f>IF(D297=0,0,SUM($J$294:J297))</f>
        <v>1029050</v>
      </c>
      <c r="R297" s="42">
        <f t="shared" si="87"/>
        <v>-203144.13494809694</v>
      </c>
      <c r="S297" s="41">
        <f t="shared" si="88"/>
        <v>0.8351362588195943</v>
      </c>
      <c r="T297" s="56"/>
      <c r="U297" s="43">
        <f>IF(D297=0,0,SUM($L$20:L297))</f>
        <v>50828008.066608891</v>
      </c>
      <c r="V297" s="43">
        <f>IF(D297=0,0,SUM($J$20:J297))</f>
        <v>52682741</v>
      </c>
      <c r="W297" s="42">
        <f t="shared" si="89"/>
        <v>1854732.9333911091</v>
      </c>
      <c r="X297" s="41">
        <f t="shared" si="90"/>
        <v>1.0364903722168402</v>
      </c>
      <c r="Y297" s="17"/>
      <c r="Z297" s="23">
        <f t="shared" si="93"/>
        <v>45569</v>
      </c>
      <c r="AA297" s="22">
        <f t="shared" si="94"/>
        <v>45569</v>
      </c>
      <c r="AB297" s="137">
        <v>45569</v>
      </c>
      <c r="AC297" s="137"/>
      <c r="AD297" s="134"/>
      <c r="AE297" s="134"/>
      <c r="AF297" s="139"/>
      <c r="AG297" s="256"/>
      <c r="AH297" s="256"/>
      <c r="AI297" s="256"/>
      <c r="AJ297" s="256"/>
      <c r="AK297" s="134"/>
      <c r="AL297" s="134"/>
      <c r="AM297" s="134"/>
      <c r="AN297" s="18"/>
      <c r="AO297" s="18"/>
      <c r="AP297" s="18"/>
      <c r="AQ297" s="18"/>
      <c r="AR297" s="17"/>
      <c r="AS297" s="21">
        <f t="shared" si="95"/>
        <v>45569</v>
      </c>
      <c r="AT297" s="17"/>
      <c r="AU297" s="17"/>
      <c r="AV297" s="17"/>
      <c r="AW297" s="17"/>
      <c r="AX297" s="17"/>
      <c r="AY297" s="17"/>
      <c r="AZ297" s="17"/>
    </row>
    <row r="298" spans="1:52" ht="20">
      <c r="A298" s="17"/>
      <c r="B298" s="40"/>
      <c r="C298" s="55">
        <f t="shared" si="91"/>
        <v>279</v>
      </c>
      <c r="D298" s="54">
        <v>1</v>
      </c>
      <c r="E298" s="53" t="str">
        <f t="shared" si="83"/>
        <v>10</v>
      </c>
      <c r="F298" s="52">
        <f t="shared" si="92"/>
        <v>45570</v>
      </c>
      <c r="G298" s="51" t="str">
        <f t="shared" si="84"/>
        <v>Sat</v>
      </c>
      <c r="H298" s="50"/>
      <c r="I298" s="49"/>
      <c r="J298" s="48">
        <v>76900</v>
      </c>
      <c r="K298" s="31"/>
      <c r="L298" s="43">
        <f t="shared" si="96"/>
        <v>308048.53373702423</v>
      </c>
      <c r="M298" s="47">
        <f t="shared" si="85"/>
        <v>-231148.53373702423</v>
      </c>
      <c r="N298" s="41">
        <f t="shared" si="86"/>
        <v>0.24963598776823984</v>
      </c>
      <c r="O298" s="46"/>
      <c r="P298" s="45">
        <f>IF(D298=0,0,SUM($L$294:L298))</f>
        <v>1540242.6686851212</v>
      </c>
      <c r="Q298" s="43">
        <f>IF(D298=0,0,SUM($J$294:J298))</f>
        <v>1105950</v>
      </c>
      <c r="R298" s="42">
        <f t="shared" si="87"/>
        <v>-434292.66868512123</v>
      </c>
      <c r="S298" s="41">
        <f t="shared" si="88"/>
        <v>0.71803620460932338</v>
      </c>
      <c r="T298" s="44"/>
      <c r="U298" s="43">
        <f>IF(D298=0,0,SUM($L$20:L298))</f>
        <v>51136056.600345917</v>
      </c>
      <c r="V298" s="43">
        <f>IF(D298=0,0,SUM($J$20:J298))</f>
        <v>52759641</v>
      </c>
      <c r="W298" s="42">
        <f t="shared" si="89"/>
        <v>1623584.399654083</v>
      </c>
      <c r="X298" s="41">
        <f t="shared" si="90"/>
        <v>1.0317502855635352</v>
      </c>
      <c r="Y298" s="17"/>
      <c r="Z298" s="23">
        <f t="shared" si="93"/>
        <v>45570</v>
      </c>
      <c r="AA298" s="22">
        <f t="shared" si="94"/>
        <v>45570</v>
      </c>
      <c r="AB298" s="137">
        <v>45570</v>
      </c>
      <c r="AC298" s="137"/>
      <c r="AD298" s="134"/>
      <c r="AE298" s="134"/>
      <c r="AF298" s="139"/>
      <c r="AG298" s="256"/>
      <c r="AH298" s="256"/>
      <c r="AI298" s="256"/>
      <c r="AJ298" s="256"/>
      <c r="AK298" s="134"/>
      <c r="AL298" s="134"/>
      <c r="AM298" s="134"/>
      <c r="AN298" s="18"/>
      <c r="AO298" s="18"/>
      <c r="AP298" s="18"/>
      <c r="AQ298" s="18"/>
      <c r="AR298" s="17"/>
      <c r="AS298" s="21">
        <f t="shared" si="95"/>
        <v>45570</v>
      </c>
      <c r="AT298" s="17"/>
      <c r="AU298" s="17"/>
      <c r="AV298" s="17"/>
      <c r="AW298" s="17"/>
      <c r="AX298" s="17"/>
      <c r="AY298" s="17"/>
      <c r="AZ298" s="17"/>
    </row>
    <row r="299" spans="1:52" ht="20">
      <c r="A299" s="17"/>
      <c r="B299" s="40"/>
      <c r="C299" s="55">
        <f t="shared" si="91"/>
        <v>280</v>
      </c>
      <c r="D299" s="54">
        <v>0</v>
      </c>
      <c r="E299" s="53" t="str">
        <f t="shared" si="83"/>
        <v>10</v>
      </c>
      <c r="F299" s="52">
        <f t="shared" si="92"/>
        <v>45571</v>
      </c>
      <c r="G299" s="51" t="str">
        <f t="shared" si="84"/>
        <v>Sun</v>
      </c>
      <c r="H299" s="50" t="s">
        <v>46</v>
      </c>
      <c r="I299" s="49"/>
      <c r="J299" s="48">
        <v>0</v>
      </c>
      <c r="K299" s="31"/>
      <c r="L299" s="43">
        <f t="shared" si="96"/>
        <v>0</v>
      </c>
      <c r="M299" s="47">
        <f t="shared" si="85"/>
        <v>0</v>
      </c>
      <c r="N299" s="41" t="str">
        <f t="shared" si="86"/>
        <v>0%</v>
      </c>
      <c r="O299" s="46"/>
      <c r="P299" s="45">
        <f>IF(D299=0,0,SUM($L$294:L299))</f>
        <v>0</v>
      </c>
      <c r="Q299" s="43">
        <f>IF(D299=0,0,SUM($J$294:J299))</f>
        <v>0</v>
      </c>
      <c r="R299" s="42">
        <f t="shared" si="87"/>
        <v>0</v>
      </c>
      <c r="S299" s="41" t="str">
        <f t="shared" si="88"/>
        <v>0%</v>
      </c>
      <c r="T299" s="56"/>
      <c r="U299" s="43">
        <f>IF(D299=0,0,SUM($L$20:L299))</f>
        <v>0</v>
      </c>
      <c r="V299" s="43">
        <f>IF(D299=0,0,SUM($J$20:J299))</f>
        <v>0</v>
      </c>
      <c r="W299" s="42">
        <f t="shared" si="89"/>
        <v>0</v>
      </c>
      <c r="X299" s="41" t="str">
        <f t="shared" si="90"/>
        <v>0%</v>
      </c>
      <c r="Y299" s="17"/>
      <c r="Z299" s="23">
        <f t="shared" si="93"/>
        <v>45571</v>
      </c>
      <c r="AA299" s="22">
        <f t="shared" si="94"/>
        <v>45571</v>
      </c>
      <c r="AB299" s="137">
        <v>45571</v>
      </c>
      <c r="AC299" s="137"/>
      <c r="AD299" s="134"/>
      <c r="AE299" s="134"/>
      <c r="AF299" s="139"/>
      <c r="AG299" s="256"/>
      <c r="AH299" s="256"/>
      <c r="AI299" s="256"/>
      <c r="AJ299" s="256"/>
      <c r="AK299" s="134"/>
      <c r="AL299" s="134"/>
      <c r="AM299" s="134"/>
      <c r="AN299" s="18"/>
      <c r="AO299" s="18"/>
      <c r="AP299" s="18"/>
      <c r="AQ299" s="18"/>
      <c r="AR299" s="17"/>
      <c r="AS299" s="21">
        <f t="shared" si="95"/>
        <v>45571</v>
      </c>
      <c r="AT299" s="17"/>
      <c r="AU299" s="17"/>
      <c r="AV299" s="17"/>
      <c r="AW299" s="17"/>
      <c r="AX299" s="17"/>
      <c r="AY299" s="17"/>
      <c r="AZ299" s="17"/>
    </row>
    <row r="300" spans="1:52" ht="20">
      <c r="A300" s="17"/>
      <c r="B300" s="40"/>
      <c r="C300" s="55">
        <f t="shared" si="91"/>
        <v>281</v>
      </c>
      <c r="D300" s="54">
        <v>1</v>
      </c>
      <c r="E300" s="53" t="str">
        <f t="shared" si="83"/>
        <v>10</v>
      </c>
      <c r="F300" s="52">
        <f t="shared" si="92"/>
        <v>45572</v>
      </c>
      <c r="G300" s="51" t="str">
        <f t="shared" si="84"/>
        <v>Mon</v>
      </c>
      <c r="H300" s="50"/>
      <c r="I300" s="49"/>
      <c r="J300" s="48">
        <v>292800</v>
      </c>
      <c r="K300" s="31"/>
      <c r="L300" s="43">
        <f t="shared" si="96"/>
        <v>308048.53373702423</v>
      </c>
      <c r="M300" s="47">
        <f t="shared" si="85"/>
        <v>-15248.533737024234</v>
      </c>
      <c r="N300" s="41">
        <f t="shared" si="86"/>
        <v>0.95049957371314209</v>
      </c>
      <c r="O300" s="46"/>
      <c r="P300" s="45">
        <f>IF(D300=0,0,SUM($L$294:L300))</f>
        <v>1848291.2024221455</v>
      </c>
      <c r="Q300" s="43">
        <f>IF(D300=0,0,SUM($J$294:J300))</f>
        <v>1398750</v>
      </c>
      <c r="R300" s="42">
        <f t="shared" si="87"/>
        <v>-449541.20242214552</v>
      </c>
      <c r="S300" s="41">
        <f t="shared" si="88"/>
        <v>0.75678009945995983</v>
      </c>
      <c r="T300" s="56"/>
      <c r="U300" s="43">
        <f>IF(D300=0,0,SUM($L$20:L300))</f>
        <v>51444105.134082943</v>
      </c>
      <c r="V300" s="43">
        <f>IF(D300=0,0,SUM($J$20:J300))</f>
        <v>53052441</v>
      </c>
      <c r="W300" s="42">
        <f t="shared" si="89"/>
        <v>1608335.8659170568</v>
      </c>
      <c r="X300" s="41">
        <f t="shared" si="90"/>
        <v>1.0312637543548502</v>
      </c>
      <c r="Y300" s="17"/>
      <c r="Z300" s="23">
        <f t="shared" si="93"/>
        <v>45572</v>
      </c>
      <c r="AA300" s="22">
        <f t="shared" si="94"/>
        <v>45572</v>
      </c>
      <c r="AB300" s="137">
        <v>45572</v>
      </c>
      <c r="AC300" s="137"/>
      <c r="AD300" s="134"/>
      <c r="AE300" s="134"/>
      <c r="AF300" s="139"/>
      <c r="AG300" s="256"/>
      <c r="AH300" s="256"/>
      <c r="AI300" s="256"/>
      <c r="AJ300" s="256"/>
      <c r="AK300" s="134"/>
      <c r="AL300" s="134"/>
      <c r="AM300" s="134"/>
      <c r="AN300" s="18"/>
      <c r="AO300" s="18"/>
      <c r="AP300" s="18"/>
      <c r="AQ300" s="18"/>
      <c r="AR300" s="17"/>
      <c r="AS300" s="21">
        <f t="shared" si="95"/>
        <v>45572</v>
      </c>
      <c r="AT300" s="17"/>
      <c r="AU300" s="17"/>
      <c r="AV300" s="17"/>
      <c r="AW300" s="17"/>
      <c r="AX300" s="17"/>
      <c r="AY300" s="17"/>
      <c r="AZ300" s="17"/>
    </row>
    <row r="301" spans="1:52" ht="20">
      <c r="A301" s="17"/>
      <c r="B301" s="40"/>
      <c r="C301" s="55">
        <f t="shared" si="91"/>
        <v>282</v>
      </c>
      <c r="D301" s="54">
        <v>1</v>
      </c>
      <c r="E301" s="53" t="str">
        <f t="shared" si="83"/>
        <v>10</v>
      </c>
      <c r="F301" s="52">
        <f t="shared" si="92"/>
        <v>45573</v>
      </c>
      <c r="G301" s="51" t="str">
        <f t="shared" si="84"/>
        <v>Tue</v>
      </c>
      <c r="H301" s="50"/>
      <c r="I301" s="49"/>
      <c r="J301" s="48">
        <v>172250</v>
      </c>
      <c r="K301" s="31"/>
      <c r="L301" s="43">
        <f t="shared" si="96"/>
        <v>308048.53373702423</v>
      </c>
      <c r="M301" s="47">
        <f t="shared" si="85"/>
        <v>-135798.53373702423</v>
      </c>
      <c r="N301" s="41">
        <f t="shared" si="86"/>
        <v>0.5591651351505762</v>
      </c>
      <c r="O301" s="46"/>
      <c r="P301" s="45">
        <f>IF(D301=0,0,SUM($L$294:L301))</f>
        <v>2156339.7361591696</v>
      </c>
      <c r="Q301" s="43">
        <f>IF(D301=0,0,SUM($J$294:J301))</f>
        <v>1571000</v>
      </c>
      <c r="R301" s="42">
        <f t="shared" si="87"/>
        <v>-585339.73615916958</v>
      </c>
      <c r="S301" s="41">
        <f t="shared" si="88"/>
        <v>0.72854939027290511</v>
      </c>
      <c r="T301" s="56"/>
      <c r="U301" s="43">
        <f>IF(D301=0,0,SUM($L$20:L301))</f>
        <v>51752153.667819969</v>
      </c>
      <c r="V301" s="43">
        <f>IF(D301=0,0,SUM($J$20:J301))</f>
        <v>53224691</v>
      </c>
      <c r="W301" s="42">
        <f t="shared" si="89"/>
        <v>1472537.3321800306</v>
      </c>
      <c r="X301" s="41">
        <f t="shared" si="90"/>
        <v>1.0284536435262532</v>
      </c>
      <c r="Y301" s="17"/>
      <c r="Z301" s="23">
        <f t="shared" si="93"/>
        <v>45573</v>
      </c>
      <c r="AA301" s="22">
        <f t="shared" si="94"/>
        <v>45573</v>
      </c>
      <c r="AB301" s="137">
        <v>45573</v>
      </c>
      <c r="AC301" s="137"/>
      <c r="AD301" s="134"/>
      <c r="AE301" s="134"/>
      <c r="AF301" s="139"/>
      <c r="AG301" s="256"/>
      <c r="AH301" s="256"/>
      <c r="AI301" s="256"/>
      <c r="AJ301" s="256"/>
      <c r="AK301" s="134"/>
      <c r="AL301" s="134"/>
      <c r="AM301" s="134"/>
      <c r="AN301" s="18"/>
      <c r="AO301" s="18"/>
      <c r="AP301" s="18"/>
      <c r="AQ301" s="18"/>
      <c r="AR301" s="17"/>
      <c r="AS301" s="21">
        <f t="shared" si="95"/>
        <v>45573</v>
      </c>
      <c r="AT301" s="17"/>
      <c r="AU301" s="17"/>
      <c r="AV301" s="17"/>
      <c r="AW301" s="17"/>
      <c r="AX301" s="17"/>
      <c r="AY301" s="17"/>
      <c r="AZ301" s="17"/>
    </row>
    <row r="302" spans="1:52" ht="20">
      <c r="A302" s="17"/>
      <c r="B302" s="40"/>
      <c r="C302" s="55">
        <f t="shared" si="91"/>
        <v>283</v>
      </c>
      <c r="D302" s="54">
        <v>1</v>
      </c>
      <c r="E302" s="53" t="str">
        <f t="shared" si="83"/>
        <v>10</v>
      </c>
      <c r="F302" s="52">
        <f t="shared" si="92"/>
        <v>45574</v>
      </c>
      <c r="G302" s="51" t="str">
        <f t="shared" si="84"/>
        <v>Wed</v>
      </c>
      <c r="H302" s="50"/>
      <c r="I302" s="49"/>
      <c r="J302" s="48">
        <v>160180</v>
      </c>
      <c r="K302" s="31"/>
      <c r="L302" s="43">
        <f t="shared" si="96"/>
        <v>308048.53373702423</v>
      </c>
      <c r="M302" s="47">
        <f t="shared" si="85"/>
        <v>-147868.53373702423</v>
      </c>
      <c r="N302" s="41">
        <f t="shared" si="86"/>
        <v>0.51998299766861711</v>
      </c>
      <c r="O302" s="46"/>
      <c r="P302" s="45">
        <f>IF(D302=0,0,SUM($L$294:L302))</f>
        <v>2464388.2698961939</v>
      </c>
      <c r="Q302" s="43">
        <f>IF(D302=0,0,SUM($J$294:J302))</f>
        <v>1731180</v>
      </c>
      <c r="R302" s="42">
        <f t="shared" si="87"/>
        <v>-733208.26989619387</v>
      </c>
      <c r="S302" s="41">
        <f t="shared" si="88"/>
        <v>0.70247859119736911</v>
      </c>
      <c r="T302" s="56"/>
      <c r="U302" s="43">
        <f>IF(D302=0,0,SUM($L$20:L302))</f>
        <v>52060202.201556996</v>
      </c>
      <c r="V302" s="43">
        <f>IF(D302=0,0,SUM($J$20:J302))</f>
        <v>53384871</v>
      </c>
      <c r="W302" s="42">
        <f t="shared" si="89"/>
        <v>1324668.7984430045</v>
      </c>
      <c r="X302" s="41">
        <f t="shared" si="90"/>
        <v>1.0254449414797584</v>
      </c>
      <c r="Y302" s="17"/>
      <c r="Z302" s="23">
        <f t="shared" si="93"/>
        <v>45574</v>
      </c>
      <c r="AA302" s="22">
        <f t="shared" si="94"/>
        <v>45574</v>
      </c>
      <c r="AB302" s="137">
        <v>45574</v>
      </c>
      <c r="AC302" s="137"/>
      <c r="AD302" s="134"/>
      <c r="AE302" s="134"/>
      <c r="AF302" s="139"/>
      <c r="AG302" s="256"/>
      <c r="AH302" s="256"/>
      <c r="AI302" s="256"/>
      <c r="AJ302" s="256"/>
      <c r="AK302" s="134"/>
      <c r="AL302" s="134"/>
      <c r="AM302" s="134"/>
      <c r="AN302" s="18"/>
      <c r="AO302" s="18"/>
      <c r="AP302" s="18"/>
      <c r="AQ302" s="18"/>
      <c r="AR302" s="17"/>
      <c r="AS302" s="21">
        <f t="shared" si="95"/>
        <v>45574</v>
      </c>
      <c r="AT302" s="17"/>
      <c r="AU302" s="17"/>
      <c r="AV302" s="17"/>
      <c r="AW302" s="17"/>
      <c r="AX302" s="17"/>
      <c r="AY302" s="17"/>
      <c r="AZ302" s="17"/>
    </row>
    <row r="303" spans="1:52" ht="20">
      <c r="A303" s="17"/>
      <c r="B303" s="40"/>
      <c r="C303" s="55">
        <f t="shared" si="91"/>
        <v>284</v>
      </c>
      <c r="D303" s="54">
        <v>1</v>
      </c>
      <c r="E303" s="53" t="str">
        <f t="shared" si="83"/>
        <v>10</v>
      </c>
      <c r="F303" s="52">
        <f t="shared" si="92"/>
        <v>45575</v>
      </c>
      <c r="G303" s="51" t="str">
        <f t="shared" si="84"/>
        <v>Thu</v>
      </c>
      <c r="H303" s="50"/>
      <c r="I303" s="49"/>
      <c r="J303" s="48">
        <v>316700</v>
      </c>
      <c r="K303" s="31"/>
      <c r="L303" s="43">
        <f t="shared" si="96"/>
        <v>308048.53373702423</v>
      </c>
      <c r="M303" s="47">
        <f t="shared" si="85"/>
        <v>8651.4662629757659</v>
      </c>
      <c r="N303" s="41">
        <f t="shared" si="86"/>
        <v>1.0280847506658199</v>
      </c>
      <c r="O303" s="46"/>
      <c r="P303" s="45">
        <f>IF(D303=0,0,SUM($L$294:L303))</f>
        <v>2772436.8036332182</v>
      </c>
      <c r="Q303" s="43">
        <f>IF(D303=0,0,SUM($J$294:J303))</f>
        <v>2047880</v>
      </c>
      <c r="R303" s="42">
        <f t="shared" si="87"/>
        <v>-724556.80363321817</v>
      </c>
      <c r="S303" s="41">
        <f t="shared" si="88"/>
        <v>0.73865705336053022</v>
      </c>
      <c r="T303" s="56"/>
      <c r="U303" s="43">
        <f>IF(D303=0,0,SUM($L$20:L303))</f>
        <v>52368250.735294022</v>
      </c>
      <c r="V303" s="43">
        <f>IF(D303=0,0,SUM($J$20:J303))</f>
        <v>53701571</v>
      </c>
      <c r="W303" s="42">
        <f t="shared" si="89"/>
        <v>1333320.2647059783</v>
      </c>
      <c r="X303" s="41">
        <f t="shared" si="90"/>
        <v>1.0254604697690881</v>
      </c>
      <c r="Y303" s="17"/>
      <c r="Z303" s="23">
        <f t="shared" si="93"/>
        <v>45575</v>
      </c>
      <c r="AA303" s="22">
        <f t="shared" si="94"/>
        <v>45575</v>
      </c>
      <c r="AB303" s="137">
        <v>45575</v>
      </c>
      <c r="AC303" s="137"/>
      <c r="AD303" s="134"/>
      <c r="AE303" s="134"/>
      <c r="AF303" s="139"/>
      <c r="AG303" s="256"/>
      <c r="AH303" s="256"/>
      <c r="AI303" s="256"/>
      <c r="AJ303" s="256"/>
      <c r="AK303" s="134"/>
      <c r="AL303" s="134"/>
      <c r="AM303" s="134"/>
      <c r="AN303" s="18"/>
      <c r="AO303" s="18"/>
      <c r="AP303" s="18"/>
      <c r="AQ303" s="18"/>
      <c r="AR303" s="17"/>
      <c r="AS303" s="21">
        <f t="shared" si="95"/>
        <v>45575</v>
      </c>
      <c r="AT303" s="17"/>
      <c r="AU303" s="17"/>
      <c r="AV303" s="17"/>
      <c r="AW303" s="17"/>
      <c r="AX303" s="17"/>
      <c r="AY303" s="17"/>
      <c r="AZ303" s="17"/>
    </row>
    <row r="304" spans="1:52" ht="20">
      <c r="A304" s="17"/>
      <c r="B304" s="40"/>
      <c r="C304" s="55">
        <f t="shared" si="91"/>
        <v>285</v>
      </c>
      <c r="D304" s="54">
        <v>1</v>
      </c>
      <c r="E304" s="53" t="str">
        <f t="shared" si="83"/>
        <v>10</v>
      </c>
      <c r="F304" s="52">
        <f t="shared" si="92"/>
        <v>45576</v>
      </c>
      <c r="G304" s="51" t="str">
        <f t="shared" si="84"/>
        <v>Fri</v>
      </c>
      <c r="H304" s="50"/>
      <c r="I304" s="49"/>
      <c r="J304" s="48">
        <v>205250</v>
      </c>
      <c r="K304" s="31"/>
      <c r="L304" s="43">
        <f t="shared" si="96"/>
        <v>308048.53373702423</v>
      </c>
      <c r="M304" s="47">
        <f t="shared" si="85"/>
        <v>-102798.53373702423</v>
      </c>
      <c r="N304" s="41">
        <f t="shared" si="86"/>
        <v>0.66629111169611477</v>
      </c>
      <c r="O304" s="46"/>
      <c r="P304" s="45">
        <f>IF(D304=0,0,SUM($L$294:L304))</f>
        <v>3080485.3373702425</v>
      </c>
      <c r="Q304" s="43">
        <f>IF(D304=0,0,SUM($J$294:J304))</f>
        <v>2253130</v>
      </c>
      <c r="R304" s="42">
        <f t="shared" si="87"/>
        <v>-827355.33737024246</v>
      </c>
      <c r="S304" s="41">
        <f t="shared" si="88"/>
        <v>0.73142045919408871</v>
      </c>
      <c r="T304" s="56"/>
      <c r="U304" s="43">
        <f>IF(D304=0,0,SUM($L$20:L304))</f>
        <v>52676299.269031048</v>
      </c>
      <c r="V304" s="43">
        <f>IF(D304=0,0,SUM($J$20:J304))</f>
        <v>53906821</v>
      </c>
      <c r="W304" s="42">
        <f t="shared" si="89"/>
        <v>1230521.7309689522</v>
      </c>
      <c r="X304" s="41">
        <f t="shared" si="90"/>
        <v>1.0233600641663221</v>
      </c>
      <c r="Y304" s="17"/>
      <c r="Z304" s="23">
        <f t="shared" si="93"/>
        <v>45576</v>
      </c>
      <c r="AA304" s="22">
        <f t="shared" si="94"/>
        <v>45576</v>
      </c>
      <c r="AB304" s="137">
        <v>45576</v>
      </c>
      <c r="AC304" s="137"/>
      <c r="AD304" s="134"/>
      <c r="AE304" s="134"/>
      <c r="AF304" s="139"/>
      <c r="AG304" s="256"/>
      <c r="AH304" s="256"/>
      <c r="AI304" s="256"/>
      <c r="AJ304" s="256"/>
      <c r="AK304" s="134"/>
      <c r="AL304" s="134"/>
      <c r="AM304" s="134"/>
      <c r="AN304" s="18"/>
      <c r="AO304" s="18"/>
      <c r="AP304" s="18"/>
      <c r="AQ304" s="18"/>
      <c r="AR304" s="17"/>
      <c r="AS304" s="21">
        <f t="shared" si="95"/>
        <v>45576</v>
      </c>
      <c r="AT304" s="17"/>
      <c r="AU304" s="17"/>
      <c r="AV304" s="17"/>
      <c r="AW304" s="17"/>
      <c r="AX304" s="17"/>
      <c r="AY304" s="17"/>
      <c r="AZ304" s="17"/>
    </row>
    <row r="305" spans="1:52" ht="20">
      <c r="A305" s="17"/>
      <c r="B305" s="40"/>
      <c r="C305" s="55">
        <f t="shared" si="91"/>
        <v>286</v>
      </c>
      <c r="D305" s="54">
        <v>1</v>
      </c>
      <c r="E305" s="53" t="str">
        <f t="shared" si="83"/>
        <v>10</v>
      </c>
      <c r="F305" s="52">
        <f t="shared" si="92"/>
        <v>45577</v>
      </c>
      <c r="G305" s="51" t="str">
        <f t="shared" si="84"/>
        <v>Sat</v>
      </c>
      <c r="H305" s="50"/>
      <c r="I305" s="49"/>
      <c r="J305" s="48">
        <v>174460</v>
      </c>
      <c r="K305" s="31"/>
      <c r="L305" s="43">
        <f t="shared" si="96"/>
        <v>308048.53373702423</v>
      </c>
      <c r="M305" s="47">
        <f t="shared" si="85"/>
        <v>-133588.53373702423</v>
      </c>
      <c r="N305" s="41">
        <f t="shared" si="86"/>
        <v>0.56633932933741382</v>
      </c>
      <c r="O305" s="46"/>
      <c r="P305" s="45">
        <f>IF(D305=0,0,SUM($L$294:L305))</f>
        <v>3388533.8711072668</v>
      </c>
      <c r="Q305" s="43">
        <f>IF(D305=0,0,SUM($J$294:J305))</f>
        <v>2427590</v>
      </c>
      <c r="R305" s="42">
        <f t="shared" si="87"/>
        <v>-960943.87110726675</v>
      </c>
      <c r="S305" s="41">
        <f t="shared" si="88"/>
        <v>0.71641308375257284</v>
      </c>
      <c r="T305" s="44"/>
      <c r="U305" s="43">
        <f>IF(D305=0,0,SUM($L$20:L305))</f>
        <v>52984347.802768074</v>
      </c>
      <c r="V305" s="43">
        <f>IF(D305=0,0,SUM($J$20:J305))</f>
        <v>54081281</v>
      </c>
      <c r="W305" s="42">
        <f t="shared" si="89"/>
        <v>1096933.197231926</v>
      </c>
      <c r="X305" s="41">
        <f t="shared" si="90"/>
        <v>1.0207029668708052</v>
      </c>
      <c r="Y305" s="17"/>
      <c r="Z305" s="23">
        <f t="shared" si="93"/>
        <v>45577</v>
      </c>
      <c r="AA305" s="22">
        <f t="shared" si="94"/>
        <v>45577</v>
      </c>
      <c r="AB305" s="137">
        <v>45577</v>
      </c>
      <c r="AC305" s="137"/>
      <c r="AD305" s="134"/>
      <c r="AE305" s="134"/>
      <c r="AF305" s="139"/>
      <c r="AG305" s="256"/>
      <c r="AH305" s="256"/>
      <c r="AI305" s="256"/>
      <c r="AJ305" s="256"/>
      <c r="AK305" s="134"/>
      <c r="AL305" s="134"/>
      <c r="AM305" s="134"/>
      <c r="AN305" s="18"/>
      <c r="AO305" s="18"/>
      <c r="AP305" s="18"/>
      <c r="AQ305" s="18"/>
      <c r="AR305" s="17"/>
      <c r="AS305" s="21">
        <f t="shared" si="95"/>
        <v>45577</v>
      </c>
      <c r="AT305" s="17"/>
      <c r="AU305" s="17"/>
      <c r="AV305" s="17"/>
      <c r="AW305" s="17"/>
      <c r="AX305" s="17"/>
      <c r="AY305" s="17"/>
      <c r="AZ305" s="17"/>
    </row>
    <row r="306" spans="1:52" ht="20">
      <c r="A306" s="17"/>
      <c r="B306" s="40"/>
      <c r="C306" s="55">
        <f t="shared" si="91"/>
        <v>287</v>
      </c>
      <c r="D306" s="54">
        <v>0</v>
      </c>
      <c r="E306" s="53" t="str">
        <f t="shared" si="83"/>
        <v>10</v>
      </c>
      <c r="F306" s="52">
        <f t="shared" si="92"/>
        <v>45578</v>
      </c>
      <c r="G306" s="51" t="str">
        <f t="shared" si="84"/>
        <v>Sun</v>
      </c>
      <c r="H306" s="50" t="s">
        <v>46</v>
      </c>
      <c r="I306" s="49"/>
      <c r="J306" s="48">
        <v>0</v>
      </c>
      <c r="K306" s="31"/>
      <c r="L306" s="43">
        <f t="shared" si="96"/>
        <v>0</v>
      </c>
      <c r="M306" s="47">
        <f t="shared" si="85"/>
        <v>0</v>
      </c>
      <c r="N306" s="41" t="str">
        <f t="shared" si="86"/>
        <v>0%</v>
      </c>
      <c r="O306" s="46"/>
      <c r="P306" s="45">
        <f>IF(D306=0,0,SUM($L$294:L306))</f>
        <v>0</v>
      </c>
      <c r="Q306" s="43">
        <f>IF(D306=0,0,SUM($J$294:J306))</f>
        <v>0</v>
      </c>
      <c r="R306" s="42">
        <f t="shared" si="87"/>
        <v>0</v>
      </c>
      <c r="S306" s="41" t="str">
        <f t="shared" si="88"/>
        <v>0%</v>
      </c>
      <c r="T306" s="44"/>
      <c r="U306" s="43">
        <f>IF(D306=0,0,SUM($L$20:L306))</f>
        <v>0</v>
      </c>
      <c r="V306" s="43">
        <f>IF(D306=0,0,SUM($J$20:J306))</f>
        <v>0</v>
      </c>
      <c r="W306" s="42">
        <f t="shared" si="89"/>
        <v>0</v>
      </c>
      <c r="X306" s="41" t="str">
        <f t="shared" si="90"/>
        <v>0%</v>
      </c>
      <c r="Y306" s="17"/>
      <c r="Z306" s="23">
        <f t="shared" si="93"/>
        <v>45578</v>
      </c>
      <c r="AA306" s="22">
        <f t="shared" si="94"/>
        <v>45578</v>
      </c>
      <c r="AB306" s="137">
        <v>45578</v>
      </c>
      <c r="AC306" s="137"/>
      <c r="AD306" s="134"/>
      <c r="AE306" s="134"/>
      <c r="AF306" s="139"/>
      <c r="AG306" s="256"/>
      <c r="AH306" s="256"/>
      <c r="AI306" s="256"/>
      <c r="AJ306" s="256"/>
      <c r="AK306" s="134"/>
      <c r="AL306" s="134"/>
      <c r="AM306" s="134"/>
      <c r="AN306" s="18"/>
      <c r="AO306" s="18"/>
      <c r="AP306" s="18"/>
      <c r="AQ306" s="18"/>
      <c r="AR306" s="17"/>
      <c r="AS306" s="21">
        <f t="shared" si="95"/>
        <v>45578</v>
      </c>
      <c r="AT306" s="17"/>
      <c r="AU306" s="17"/>
      <c r="AV306" s="17"/>
      <c r="AW306" s="17"/>
      <c r="AX306" s="17"/>
      <c r="AY306" s="17"/>
      <c r="AZ306" s="17"/>
    </row>
    <row r="307" spans="1:52" ht="20">
      <c r="A307" s="17"/>
      <c r="B307" s="40"/>
      <c r="C307" s="55">
        <f t="shared" si="91"/>
        <v>288</v>
      </c>
      <c r="D307" s="54">
        <v>0</v>
      </c>
      <c r="E307" s="53" t="str">
        <f t="shared" si="83"/>
        <v>10</v>
      </c>
      <c r="F307" s="52">
        <f t="shared" si="92"/>
        <v>45579</v>
      </c>
      <c r="G307" s="51" t="str">
        <f t="shared" si="84"/>
        <v>Mon</v>
      </c>
      <c r="H307" s="50" t="s">
        <v>47</v>
      </c>
      <c r="I307" s="49"/>
      <c r="J307" s="48">
        <v>0</v>
      </c>
      <c r="K307" s="31"/>
      <c r="L307" s="43">
        <f t="shared" si="96"/>
        <v>0</v>
      </c>
      <c r="M307" s="47">
        <f t="shared" si="85"/>
        <v>0</v>
      </c>
      <c r="N307" s="41" t="str">
        <f t="shared" si="86"/>
        <v>0%</v>
      </c>
      <c r="O307" s="46"/>
      <c r="P307" s="45">
        <f>IF(D307=0,0,SUM($L$294:L307))</f>
        <v>0</v>
      </c>
      <c r="Q307" s="43">
        <f>IF(D307=0,0,SUM($J$294:J307))</f>
        <v>0</v>
      </c>
      <c r="R307" s="42">
        <f t="shared" si="87"/>
        <v>0</v>
      </c>
      <c r="S307" s="41" t="str">
        <f t="shared" si="88"/>
        <v>0%</v>
      </c>
      <c r="T307" s="56"/>
      <c r="U307" s="43">
        <f>IF(D307=0,0,SUM($L$20:L307))</f>
        <v>0</v>
      </c>
      <c r="V307" s="43">
        <f>IF(D307=0,0,SUM($J$20:J307))</f>
        <v>0</v>
      </c>
      <c r="W307" s="42">
        <f t="shared" si="89"/>
        <v>0</v>
      </c>
      <c r="X307" s="41" t="str">
        <f t="shared" si="90"/>
        <v>0%</v>
      </c>
      <c r="Y307" s="17"/>
      <c r="Z307" s="23">
        <f t="shared" si="93"/>
        <v>45579</v>
      </c>
      <c r="AA307" s="22">
        <f t="shared" si="94"/>
        <v>45579</v>
      </c>
      <c r="AB307" s="137">
        <v>45579</v>
      </c>
      <c r="AC307" s="137"/>
      <c r="AD307" s="134"/>
      <c r="AE307" s="134"/>
      <c r="AF307" s="139"/>
      <c r="AG307" s="256"/>
      <c r="AH307" s="256"/>
      <c r="AI307" s="256"/>
      <c r="AJ307" s="256"/>
      <c r="AK307" s="134"/>
      <c r="AL307" s="134"/>
      <c r="AM307" s="134"/>
      <c r="AN307" s="18"/>
      <c r="AO307" s="18"/>
      <c r="AP307" s="18"/>
      <c r="AQ307" s="18"/>
      <c r="AR307" s="17"/>
      <c r="AS307" s="21">
        <f t="shared" si="95"/>
        <v>45579</v>
      </c>
      <c r="AT307" s="17"/>
      <c r="AU307" s="17"/>
      <c r="AV307" s="17"/>
      <c r="AW307" s="17"/>
      <c r="AX307" s="17"/>
      <c r="AY307" s="17"/>
      <c r="AZ307" s="17"/>
    </row>
    <row r="308" spans="1:52" ht="20">
      <c r="A308" s="17"/>
      <c r="B308" s="40"/>
      <c r="C308" s="55">
        <f t="shared" si="91"/>
        <v>289</v>
      </c>
      <c r="D308" s="54">
        <v>1</v>
      </c>
      <c r="E308" s="53" t="str">
        <f t="shared" si="83"/>
        <v>10</v>
      </c>
      <c r="F308" s="52">
        <f t="shared" si="92"/>
        <v>45580</v>
      </c>
      <c r="G308" s="51" t="str">
        <f t="shared" si="84"/>
        <v>Tue</v>
      </c>
      <c r="H308" s="50"/>
      <c r="I308" s="49"/>
      <c r="J308" s="48">
        <v>214800</v>
      </c>
      <c r="K308" s="31"/>
      <c r="L308" s="43">
        <f t="shared" si="96"/>
        <v>308048.53373702423</v>
      </c>
      <c r="M308" s="47">
        <f t="shared" si="85"/>
        <v>-93248.533737024234</v>
      </c>
      <c r="N308" s="41">
        <f t="shared" si="86"/>
        <v>0.69729272006005094</v>
      </c>
      <c r="O308" s="46"/>
      <c r="P308" s="45">
        <f>IF(D308=0,0,SUM($L$294:L308))</f>
        <v>3696582.404844291</v>
      </c>
      <c r="Q308" s="43">
        <f>IF(D308=0,0,SUM($J$294:J308))</f>
        <v>2642390</v>
      </c>
      <c r="R308" s="42">
        <f t="shared" si="87"/>
        <v>-1054192.404844291</v>
      </c>
      <c r="S308" s="41">
        <f t="shared" si="88"/>
        <v>0.71481972011152928</v>
      </c>
      <c r="T308" s="56"/>
      <c r="U308" s="43">
        <f>IF(D308=0,0,SUM($L$20:L308))</f>
        <v>53292396.3365051</v>
      </c>
      <c r="V308" s="43">
        <f>IF(D308=0,0,SUM($J$20:J308))</f>
        <v>54296081</v>
      </c>
      <c r="W308" s="42">
        <f t="shared" si="89"/>
        <v>1003684.6634948999</v>
      </c>
      <c r="X308" s="41">
        <f t="shared" si="90"/>
        <v>1.0188335434788354</v>
      </c>
      <c r="Y308" s="17"/>
      <c r="Z308" s="23">
        <f t="shared" si="93"/>
        <v>45580</v>
      </c>
      <c r="AA308" s="22">
        <f t="shared" si="94"/>
        <v>45580</v>
      </c>
      <c r="AB308" s="137">
        <v>45580</v>
      </c>
      <c r="AC308" s="137"/>
      <c r="AD308" s="134"/>
      <c r="AE308" s="134"/>
      <c r="AF308" s="139"/>
      <c r="AG308" s="256"/>
      <c r="AH308" s="256"/>
      <c r="AI308" s="256"/>
      <c r="AJ308" s="256"/>
      <c r="AK308" s="134"/>
      <c r="AL308" s="134"/>
      <c r="AM308" s="134"/>
      <c r="AN308" s="18"/>
      <c r="AO308" s="18"/>
      <c r="AP308" s="18"/>
      <c r="AQ308" s="18"/>
      <c r="AR308" s="17"/>
      <c r="AS308" s="21">
        <f t="shared" si="95"/>
        <v>45580</v>
      </c>
      <c r="AT308" s="17"/>
      <c r="AU308" s="17"/>
      <c r="AV308" s="17"/>
      <c r="AW308" s="17"/>
      <c r="AX308" s="17"/>
      <c r="AY308" s="17"/>
      <c r="AZ308" s="17"/>
    </row>
    <row r="309" spans="1:52" ht="20">
      <c r="A309" s="17"/>
      <c r="B309" s="40"/>
      <c r="C309" s="55">
        <f t="shared" si="91"/>
        <v>290</v>
      </c>
      <c r="D309" s="54">
        <v>1</v>
      </c>
      <c r="E309" s="53" t="str">
        <f t="shared" si="83"/>
        <v>10</v>
      </c>
      <c r="F309" s="52">
        <f t="shared" si="92"/>
        <v>45581</v>
      </c>
      <c r="G309" s="51" t="str">
        <f t="shared" si="84"/>
        <v>Wed</v>
      </c>
      <c r="H309" s="50"/>
      <c r="I309" s="49"/>
      <c r="J309" s="48">
        <v>166400</v>
      </c>
      <c r="K309" s="31"/>
      <c r="L309" s="43">
        <f t="shared" si="96"/>
        <v>308048.53373702423</v>
      </c>
      <c r="M309" s="47">
        <f t="shared" si="85"/>
        <v>-141648.53373702423</v>
      </c>
      <c r="N309" s="41">
        <f t="shared" si="86"/>
        <v>0.54017462112659442</v>
      </c>
      <c r="O309" s="46"/>
      <c r="P309" s="45">
        <f>IF(D309=0,0,SUM($L$294:L309))</f>
        <v>4004630.9385813153</v>
      </c>
      <c r="Q309" s="43">
        <f>IF(D309=0,0,SUM($J$294:J309))</f>
        <v>2808790</v>
      </c>
      <c r="R309" s="42">
        <f t="shared" si="87"/>
        <v>-1195840.9385813153</v>
      </c>
      <c r="S309" s="41">
        <f t="shared" si="88"/>
        <v>0.7013854817280728</v>
      </c>
      <c r="T309" s="56"/>
      <c r="U309" s="43">
        <f>IF(D309=0,0,SUM($L$20:L309))</f>
        <v>53600444.870242126</v>
      </c>
      <c r="V309" s="43">
        <f>IF(D309=0,0,SUM($J$20:J309))</f>
        <v>54462481</v>
      </c>
      <c r="W309" s="42">
        <f t="shared" si="89"/>
        <v>862036.12975787371</v>
      </c>
      <c r="X309" s="41">
        <f t="shared" si="90"/>
        <v>1.0160826301319834</v>
      </c>
      <c r="Y309" s="17"/>
      <c r="Z309" s="23">
        <f t="shared" si="93"/>
        <v>45581</v>
      </c>
      <c r="AA309" s="22">
        <f t="shared" si="94"/>
        <v>45581</v>
      </c>
      <c r="AB309" s="137">
        <v>45581</v>
      </c>
      <c r="AC309" s="137"/>
      <c r="AD309" s="134"/>
      <c r="AE309" s="134"/>
      <c r="AF309" s="139"/>
      <c r="AG309" s="256"/>
      <c r="AH309" s="256"/>
      <c r="AI309" s="256"/>
      <c r="AJ309" s="256"/>
      <c r="AK309" s="134"/>
      <c r="AL309" s="134"/>
      <c r="AM309" s="134"/>
      <c r="AN309" s="18"/>
      <c r="AO309" s="18"/>
      <c r="AP309" s="18"/>
      <c r="AQ309" s="18"/>
      <c r="AR309" s="17"/>
      <c r="AS309" s="21">
        <f t="shared" si="95"/>
        <v>45581</v>
      </c>
      <c r="AT309" s="17"/>
      <c r="AU309" s="17"/>
      <c r="AV309" s="17"/>
      <c r="AW309" s="17"/>
      <c r="AX309" s="17"/>
      <c r="AY309" s="17"/>
      <c r="AZ309" s="17"/>
    </row>
    <row r="310" spans="1:52" ht="20">
      <c r="A310" s="17"/>
      <c r="B310" s="40"/>
      <c r="C310" s="55">
        <f t="shared" si="91"/>
        <v>291</v>
      </c>
      <c r="D310" s="54">
        <v>1</v>
      </c>
      <c r="E310" s="53" t="str">
        <f t="shared" si="83"/>
        <v>10</v>
      </c>
      <c r="F310" s="52">
        <f t="shared" si="92"/>
        <v>45582</v>
      </c>
      <c r="G310" s="51" t="str">
        <f t="shared" si="84"/>
        <v>Thu</v>
      </c>
      <c r="H310" s="50"/>
      <c r="I310" s="49"/>
      <c r="J310" s="48">
        <v>95000</v>
      </c>
      <c r="K310" s="31"/>
      <c r="L310" s="43">
        <f t="shared" si="96"/>
        <v>308048.53373702423</v>
      </c>
      <c r="M310" s="47">
        <f t="shared" si="85"/>
        <v>-213048.53373702423</v>
      </c>
      <c r="N310" s="41">
        <f t="shared" si="86"/>
        <v>0.30839296278261097</v>
      </c>
      <c r="O310" s="46"/>
      <c r="P310" s="45">
        <f>IF(D310=0,0,SUM($L$294:L310))</f>
        <v>4312679.4723183392</v>
      </c>
      <c r="Q310" s="43">
        <f>IF(D310=0,0,SUM($J$294:J310))</f>
        <v>2903790</v>
      </c>
      <c r="R310" s="42">
        <f t="shared" si="87"/>
        <v>-1408889.4723183392</v>
      </c>
      <c r="S310" s="41">
        <f t="shared" si="88"/>
        <v>0.67331458751768269</v>
      </c>
      <c r="T310" s="56"/>
      <c r="U310" s="43">
        <f>IF(D310=0,0,SUM($L$20:L310))</f>
        <v>53908493.403979152</v>
      </c>
      <c r="V310" s="43">
        <f>IF(D310=0,0,SUM($J$20:J310))</f>
        <v>54557481</v>
      </c>
      <c r="W310" s="42">
        <f t="shared" si="89"/>
        <v>648987.59602084756</v>
      </c>
      <c r="X310" s="41">
        <f t="shared" si="90"/>
        <v>1.0120386891757012</v>
      </c>
      <c r="Y310" s="17"/>
      <c r="Z310" s="23">
        <f t="shared" si="93"/>
        <v>45582</v>
      </c>
      <c r="AA310" s="22">
        <f t="shared" si="94"/>
        <v>45582</v>
      </c>
      <c r="AB310" s="137">
        <v>45582</v>
      </c>
      <c r="AC310" s="137"/>
      <c r="AD310" s="134"/>
      <c r="AE310" s="134"/>
      <c r="AF310" s="139"/>
      <c r="AG310" s="256"/>
      <c r="AH310" s="256"/>
      <c r="AI310" s="256"/>
      <c r="AJ310" s="256"/>
      <c r="AK310" s="134"/>
      <c r="AL310" s="134"/>
      <c r="AM310" s="134"/>
      <c r="AN310" s="18"/>
      <c r="AO310" s="18"/>
      <c r="AP310" s="18"/>
      <c r="AQ310" s="18"/>
      <c r="AR310" s="17"/>
      <c r="AS310" s="21">
        <f t="shared" si="95"/>
        <v>45582</v>
      </c>
      <c r="AT310" s="17"/>
      <c r="AU310" s="17"/>
      <c r="AV310" s="17"/>
      <c r="AW310" s="17"/>
      <c r="AX310" s="17"/>
      <c r="AY310" s="17"/>
      <c r="AZ310" s="17"/>
    </row>
    <row r="311" spans="1:52" ht="20">
      <c r="A311" s="17"/>
      <c r="B311" s="40"/>
      <c r="C311" s="55">
        <f t="shared" si="91"/>
        <v>292</v>
      </c>
      <c r="D311" s="54">
        <v>1</v>
      </c>
      <c r="E311" s="53" t="str">
        <f t="shared" si="83"/>
        <v>10</v>
      </c>
      <c r="F311" s="52">
        <f t="shared" si="92"/>
        <v>45583</v>
      </c>
      <c r="G311" s="51" t="str">
        <f t="shared" si="84"/>
        <v>Fri</v>
      </c>
      <c r="H311" s="50"/>
      <c r="I311" s="49"/>
      <c r="J311" s="48">
        <v>148400</v>
      </c>
      <c r="K311" s="31"/>
      <c r="L311" s="43">
        <f t="shared" si="96"/>
        <v>308048.53373702423</v>
      </c>
      <c r="M311" s="47">
        <f t="shared" si="85"/>
        <v>-159648.53373702423</v>
      </c>
      <c r="N311" s="41">
        <f t="shared" si="86"/>
        <v>0.48174227028357336</v>
      </c>
      <c r="O311" s="46"/>
      <c r="P311" s="45">
        <f>IF(D311=0,0,SUM($L$294:L311))</f>
        <v>4620728.0060553635</v>
      </c>
      <c r="Q311" s="43">
        <f>IF(D311=0,0,SUM($J$294:J311))</f>
        <v>3052190</v>
      </c>
      <c r="R311" s="42">
        <f t="shared" si="87"/>
        <v>-1568538.0060553635</v>
      </c>
      <c r="S311" s="41">
        <f t="shared" si="88"/>
        <v>0.66054309970207536</v>
      </c>
      <c r="T311" s="56"/>
      <c r="U311" s="43">
        <f>IF(D311=0,0,SUM($L$20:L311))</f>
        <v>54216541.937716179</v>
      </c>
      <c r="V311" s="43">
        <f>IF(D311=0,0,SUM($J$20:J311))</f>
        <v>54705881</v>
      </c>
      <c r="W311" s="42">
        <f t="shared" si="89"/>
        <v>489339.0622838214</v>
      </c>
      <c r="X311" s="41">
        <f t="shared" si="90"/>
        <v>1.009025641341087</v>
      </c>
      <c r="Y311" s="17"/>
      <c r="Z311" s="23">
        <f t="shared" si="93"/>
        <v>45583</v>
      </c>
      <c r="AA311" s="22">
        <f t="shared" si="94"/>
        <v>45583</v>
      </c>
      <c r="AB311" s="137">
        <v>45583</v>
      </c>
      <c r="AC311" s="137"/>
      <c r="AD311" s="134"/>
      <c r="AE311" s="134"/>
      <c r="AF311" s="139"/>
      <c r="AG311" s="256"/>
      <c r="AH311" s="256"/>
      <c r="AI311" s="256"/>
      <c r="AJ311" s="256"/>
      <c r="AK311" s="134"/>
      <c r="AL311" s="134"/>
      <c r="AM311" s="134"/>
      <c r="AN311" s="18"/>
      <c r="AO311" s="18"/>
      <c r="AP311" s="18"/>
      <c r="AQ311" s="18"/>
      <c r="AR311" s="17"/>
      <c r="AS311" s="21">
        <f t="shared" si="95"/>
        <v>45583</v>
      </c>
      <c r="AT311" s="17"/>
      <c r="AU311" s="17"/>
      <c r="AV311" s="17"/>
      <c r="AW311" s="17"/>
      <c r="AX311" s="17"/>
      <c r="AY311" s="17"/>
      <c r="AZ311" s="17"/>
    </row>
    <row r="312" spans="1:52" ht="20">
      <c r="A312" s="17"/>
      <c r="B312" s="40"/>
      <c r="C312" s="55">
        <f t="shared" si="91"/>
        <v>293</v>
      </c>
      <c r="D312" s="54">
        <v>1</v>
      </c>
      <c r="E312" s="53" t="str">
        <f t="shared" si="83"/>
        <v>10</v>
      </c>
      <c r="F312" s="52">
        <f t="shared" si="92"/>
        <v>45584</v>
      </c>
      <c r="G312" s="51" t="str">
        <f t="shared" si="84"/>
        <v>Sat</v>
      </c>
      <c r="H312" s="50"/>
      <c r="I312" s="49"/>
      <c r="J312" s="48">
        <v>105860</v>
      </c>
      <c r="K312" s="31"/>
      <c r="L312" s="43">
        <f t="shared" si="96"/>
        <v>308048.53373702423</v>
      </c>
      <c r="M312" s="47">
        <f t="shared" si="85"/>
        <v>-202188.53373702423</v>
      </c>
      <c r="N312" s="41">
        <f t="shared" si="86"/>
        <v>0.34364714779123368</v>
      </c>
      <c r="O312" s="46"/>
      <c r="P312" s="45">
        <f>IF(D312=0,0,SUM($L$294:L312))</f>
        <v>4928776.5397923877</v>
      </c>
      <c r="Q312" s="43">
        <f>IF(D312=0,0,SUM($J$294:J312))</f>
        <v>3158050</v>
      </c>
      <c r="R312" s="42">
        <f t="shared" si="87"/>
        <v>-1770726.5397923877</v>
      </c>
      <c r="S312" s="41">
        <f t="shared" si="88"/>
        <v>0.64073710270764783</v>
      </c>
      <c r="T312" s="44"/>
      <c r="U312" s="43">
        <f>IF(D312=0,0,SUM($L$20:L312))</f>
        <v>54524590.471453205</v>
      </c>
      <c r="V312" s="43">
        <f>IF(D312=0,0,SUM($J$20:J312))</f>
        <v>54811741</v>
      </c>
      <c r="W312" s="42">
        <f t="shared" si="89"/>
        <v>287150.52854679525</v>
      </c>
      <c r="X312" s="41">
        <f t="shared" si="90"/>
        <v>1.0052664408125567</v>
      </c>
      <c r="Y312" s="17"/>
      <c r="Z312" s="23">
        <f t="shared" si="93"/>
        <v>45584</v>
      </c>
      <c r="AA312" s="22">
        <f t="shared" si="94"/>
        <v>45584</v>
      </c>
      <c r="AB312" s="137">
        <v>45584</v>
      </c>
      <c r="AC312" s="137"/>
      <c r="AD312" s="134"/>
      <c r="AE312" s="134"/>
      <c r="AF312" s="139"/>
      <c r="AG312" s="256"/>
      <c r="AH312" s="256"/>
      <c r="AI312" s="256"/>
      <c r="AJ312" s="256"/>
      <c r="AK312" s="134"/>
      <c r="AL312" s="134"/>
      <c r="AM312" s="134"/>
      <c r="AN312" s="18"/>
      <c r="AO312" s="18"/>
      <c r="AP312" s="18"/>
      <c r="AQ312" s="18"/>
      <c r="AR312" s="17"/>
      <c r="AS312" s="21">
        <f t="shared" si="95"/>
        <v>45584</v>
      </c>
      <c r="AT312" s="17"/>
      <c r="AU312" s="17"/>
      <c r="AV312" s="17"/>
      <c r="AW312" s="17"/>
      <c r="AX312" s="17"/>
      <c r="AY312" s="17"/>
      <c r="AZ312" s="17"/>
    </row>
    <row r="313" spans="1:52" ht="20">
      <c r="A313" s="17"/>
      <c r="B313" s="40"/>
      <c r="C313" s="55">
        <f t="shared" si="91"/>
        <v>294</v>
      </c>
      <c r="D313" s="54">
        <v>0</v>
      </c>
      <c r="E313" s="53" t="str">
        <f t="shared" si="83"/>
        <v>10</v>
      </c>
      <c r="F313" s="52">
        <f t="shared" si="92"/>
        <v>45585</v>
      </c>
      <c r="G313" s="51" t="str">
        <f t="shared" si="84"/>
        <v>Sun</v>
      </c>
      <c r="H313" s="50" t="s">
        <v>46</v>
      </c>
      <c r="I313" s="49"/>
      <c r="J313" s="48">
        <v>0</v>
      </c>
      <c r="K313" s="31"/>
      <c r="L313" s="43">
        <f t="shared" si="96"/>
        <v>0</v>
      </c>
      <c r="M313" s="47">
        <f t="shared" si="85"/>
        <v>0</v>
      </c>
      <c r="N313" s="41" t="str">
        <f t="shared" si="86"/>
        <v>0%</v>
      </c>
      <c r="O313" s="46"/>
      <c r="P313" s="45">
        <f>IF(D313=0,0,SUM($L$294:L313))</f>
        <v>0</v>
      </c>
      <c r="Q313" s="43">
        <f>IF(D313=0,0,SUM($J$294:J313))</f>
        <v>0</v>
      </c>
      <c r="R313" s="42">
        <f t="shared" si="87"/>
        <v>0</v>
      </c>
      <c r="S313" s="41" t="str">
        <f t="shared" si="88"/>
        <v>0%</v>
      </c>
      <c r="T313" s="56"/>
      <c r="U313" s="43">
        <f>IF(D313=0,0,SUM($L$20:L313))</f>
        <v>0</v>
      </c>
      <c r="V313" s="43">
        <f>IF(D313=0,0,SUM($J$20:J313))</f>
        <v>0</v>
      </c>
      <c r="W313" s="42">
        <f t="shared" si="89"/>
        <v>0</v>
      </c>
      <c r="X313" s="41" t="str">
        <f t="shared" si="90"/>
        <v>0%</v>
      </c>
      <c r="Y313" s="17"/>
      <c r="Z313" s="23">
        <f t="shared" si="93"/>
        <v>45585</v>
      </c>
      <c r="AA313" s="22">
        <f t="shared" si="94"/>
        <v>45585</v>
      </c>
      <c r="AB313" s="137">
        <v>45585</v>
      </c>
      <c r="AC313" s="137"/>
      <c r="AD313" s="134"/>
      <c r="AE313" s="134"/>
      <c r="AF313" s="139"/>
      <c r="AG313" s="256"/>
      <c r="AH313" s="256"/>
      <c r="AI313" s="256"/>
      <c r="AJ313" s="256"/>
      <c r="AK313" s="134"/>
      <c r="AL313" s="134"/>
      <c r="AM313" s="134"/>
      <c r="AN313" s="18"/>
      <c r="AO313" s="18"/>
      <c r="AP313" s="18"/>
      <c r="AQ313" s="18"/>
      <c r="AR313" s="17"/>
      <c r="AS313" s="21">
        <f t="shared" si="95"/>
        <v>45585</v>
      </c>
      <c r="AT313" s="17"/>
      <c r="AU313" s="17"/>
      <c r="AV313" s="17"/>
      <c r="AW313" s="17"/>
      <c r="AX313" s="17"/>
      <c r="AY313" s="17"/>
      <c r="AZ313" s="17"/>
    </row>
    <row r="314" spans="1:52" ht="20">
      <c r="A314" s="17"/>
      <c r="B314" s="40"/>
      <c r="C314" s="55">
        <f t="shared" si="91"/>
        <v>295</v>
      </c>
      <c r="D314" s="54">
        <v>1</v>
      </c>
      <c r="E314" s="53" t="str">
        <f t="shared" si="83"/>
        <v>10</v>
      </c>
      <c r="F314" s="52">
        <f t="shared" si="92"/>
        <v>45586</v>
      </c>
      <c r="G314" s="51" t="str">
        <f t="shared" si="84"/>
        <v>Mon</v>
      </c>
      <c r="H314" s="50"/>
      <c r="I314" s="49"/>
      <c r="J314" s="48">
        <v>234050</v>
      </c>
      <c r="K314" s="31"/>
      <c r="L314" s="43">
        <f t="shared" si="96"/>
        <v>308048.53373702423</v>
      </c>
      <c r="M314" s="47">
        <f t="shared" si="85"/>
        <v>-73998.533737024234</v>
      </c>
      <c r="N314" s="41">
        <f t="shared" si="86"/>
        <v>0.7597828730449484</v>
      </c>
      <c r="O314" s="46"/>
      <c r="P314" s="45">
        <f>IF(D314=0,0,SUM($L$294:L314))</f>
        <v>5236825.073529412</v>
      </c>
      <c r="Q314" s="43">
        <f>IF(D314=0,0,SUM($J$294:J314))</f>
        <v>3392100</v>
      </c>
      <c r="R314" s="42">
        <f t="shared" si="87"/>
        <v>-1844725.073529412</v>
      </c>
      <c r="S314" s="41">
        <f t="shared" si="88"/>
        <v>0.64773979508043011</v>
      </c>
      <c r="T314" s="56"/>
      <c r="U314" s="43">
        <f>IF(D314=0,0,SUM($L$20:L314))</f>
        <v>54832639.005190231</v>
      </c>
      <c r="V314" s="43">
        <f>IF(D314=0,0,SUM($J$20:J314))</f>
        <v>55045791</v>
      </c>
      <c r="W314" s="42">
        <f t="shared" si="89"/>
        <v>213151.99480976909</v>
      </c>
      <c r="X314" s="41">
        <f t="shared" si="90"/>
        <v>1.0038873196453229</v>
      </c>
      <c r="Y314" s="17"/>
      <c r="Z314" s="23">
        <f t="shared" si="93"/>
        <v>45586</v>
      </c>
      <c r="AA314" s="22">
        <f t="shared" si="94"/>
        <v>45586</v>
      </c>
      <c r="AB314" s="137">
        <v>45586</v>
      </c>
      <c r="AC314" s="137"/>
      <c r="AD314" s="134"/>
      <c r="AE314" s="134"/>
      <c r="AF314" s="139"/>
      <c r="AG314" s="256"/>
      <c r="AH314" s="256"/>
      <c r="AI314" s="256"/>
      <c r="AJ314" s="256"/>
      <c r="AK314" s="134"/>
      <c r="AL314" s="134"/>
      <c r="AM314" s="134"/>
      <c r="AN314" s="18"/>
      <c r="AO314" s="18"/>
      <c r="AP314" s="18"/>
      <c r="AQ314" s="18"/>
      <c r="AR314" s="17"/>
      <c r="AS314" s="21">
        <f t="shared" si="95"/>
        <v>45586</v>
      </c>
      <c r="AT314" s="17"/>
      <c r="AU314" s="17"/>
      <c r="AV314" s="17"/>
      <c r="AW314" s="17"/>
      <c r="AX314" s="17"/>
      <c r="AY314" s="17"/>
      <c r="AZ314" s="17"/>
    </row>
    <row r="315" spans="1:52" ht="20">
      <c r="A315" s="17"/>
      <c r="B315" s="40"/>
      <c r="C315" s="55">
        <f t="shared" si="91"/>
        <v>296</v>
      </c>
      <c r="D315" s="54">
        <v>1</v>
      </c>
      <c r="E315" s="53" t="str">
        <f t="shared" si="83"/>
        <v>10</v>
      </c>
      <c r="F315" s="52">
        <f t="shared" si="92"/>
        <v>45587</v>
      </c>
      <c r="G315" s="51" t="str">
        <f t="shared" si="84"/>
        <v>Tue</v>
      </c>
      <c r="H315" s="50"/>
      <c r="I315" s="49"/>
      <c r="J315" s="48">
        <v>173600</v>
      </c>
      <c r="K315" s="31"/>
      <c r="L315" s="43">
        <f t="shared" si="96"/>
        <v>308048.53373702423</v>
      </c>
      <c r="M315" s="47">
        <f t="shared" si="85"/>
        <v>-134448.53373702423</v>
      </c>
      <c r="N315" s="41">
        <f t="shared" si="86"/>
        <v>0.5635475614638028</v>
      </c>
      <c r="O315" s="46"/>
      <c r="P315" s="45">
        <f>IF(D315=0,0,SUM($L$294:L315))</f>
        <v>5544873.6072664363</v>
      </c>
      <c r="Q315" s="43">
        <f>IF(D315=0,0,SUM($J$294:J315))</f>
        <v>3565700</v>
      </c>
      <c r="R315" s="42">
        <f t="shared" si="87"/>
        <v>-1979173.6072664363</v>
      </c>
      <c r="S315" s="41">
        <f t="shared" si="88"/>
        <v>0.64306244876839536</v>
      </c>
      <c r="T315" s="56"/>
      <c r="U315" s="43">
        <f>IF(D315=0,0,SUM($L$20:L315))</f>
        <v>55140687.538927257</v>
      </c>
      <c r="V315" s="43">
        <f>IF(D315=0,0,SUM($J$20:J315))</f>
        <v>55219391</v>
      </c>
      <c r="W315" s="42">
        <f t="shared" si="89"/>
        <v>78703.461072742939</v>
      </c>
      <c r="X315" s="41">
        <f t="shared" si="90"/>
        <v>1.0014273209962641</v>
      </c>
      <c r="Y315" s="17"/>
      <c r="Z315" s="23">
        <f t="shared" si="93"/>
        <v>45587</v>
      </c>
      <c r="AA315" s="22">
        <f t="shared" si="94"/>
        <v>45587</v>
      </c>
      <c r="AB315" s="137">
        <v>45587</v>
      </c>
      <c r="AC315" s="137"/>
      <c r="AD315" s="134"/>
      <c r="AE315" s="134"/>
      <c r="AF315" s="139"/>
      <c r="AG315" s="256"/>
      <c r="AH315" s="256"/>
      <c r="AI315" s="256"/>
      <c r="AJ315" s="256"/>
      <c r="AK315" s="134"/>
      <c r="AL315" s="134"/>
      <c r="AM315" s="134"/>
      <c r="AN315" s="18"/>
      <c r="AO315" s="18"/>
      <c r="AP315" s="18"/>
      <c r="AQ315" s="18"/>
      <c r="AR315" s="17"/>
      <c r="AS315" s="21">
        <f t="shared" si="95"/>
        <v>45587</v>
      </c>
      <c r="AT315" s="17"/>
      <c r="AU315" s="17"/>
      <c r="AV315" s="17"/>
      <c r="AW315" s="17"/>
      <c r="AX315" s="17"/>
      <c r="AY315" s="17"/>
      <c r="AZ315" s="17"/>
    </row>
    <row r="316" spans="1:52" ht="20">
      <c r="A316" s="17"/>
      <c r="B316" s="40"/>
      <c r="C316" s="55">
        <f t="shared" si="91"/>
        <v>297</v>
      </c>
      <c r="D316" s="54">
        <v>1</v>
      </c>
      <c r="E316" s="53" t="str">
        <f t="shared" si="83"/>
        <v>10</v>
      </c>
      <c r="F316" s="52">
        <f t="shared" si="92"/>
        <v>45588</v>
      </c>
      <c r="G316" s="51" t="str">
        <f t="shared" si="84"/>
        <v>Wed</v>
      </c>
      <c r="H316" s="50"/>
      <c r="I316" s="49"/>
      <c r="J316" s="48">
        <v>330800</v>
      </c>
      <c r="K316" s="31"/>
      <c r="L316" s="43">
        <f t="shared" si="96"/>
        <v>308048.53373702423</v>
      </c>
      <c r="M316" s="47">
        <f t="shared" si="85"/>
        <v>22751.466262975766</v>
      </c>
      <c r="N316" s="41">
        <f t="shared" si="86"/>
        <v>1.0738567588261865</v>
      </c>
      <c r="O316" s="46"/>
      <c r="P316" s="45">
        <f>IF(D316=0,0,SUM($L$294:L316))</f>
        <v>5852922.1410034606</v>
      </c>
      <c r="Q316" s="43">
        <f>IF(D316=0,0,SUM($J$294:J316))</f>
        <v>3896500</v>
      </c>
      <c r="R316" s="42">
        <f t="shared" si="87"/>
        <v>-1956422.1410034606</v>
      </c>
      <c r="S316" s="41">
        <f t="shared" si="88"/>
        <v>0.66573583350827903</v>
      </c>
      <c r="T316" s="56"/>
      <c r="U316" s="43">
        <f>IF(D316=0,0,SUM($L$20:L316))</f>
        <v>55448736.072664283</v>
      </c>
      <c r="V316" s="43">
        <f>IF(D316=0,0,SUM($J$20:J316))</f>
        <v>55550191</v>
      </c>
      <c r="W316" s="42">
        <f t="shared" si="89"/>
        <v>101454.92733571678</v>
      </c>
      <c r="X316" s="41">
        <f t="shared" si="90"/>
        <v>1.0018297067619857</v>
      </c>
      <c r="Y316" s="17"/>
      <c r="Z316" s="23">
        <f t="shared" si="93"/>
        <v>45588</v>
      </c>
      <c r="AA316" s="22">
        <f t="shared" si="94"/>
        <v>45588</v>
      </c>
      <c r="AB316" s="137">
        <v>45588</v>
      </c>
      <c r="AC316" s="137"/>
      <c r="AD316" s="134"/>
      <c r="AE316" s="134"/>
      <c r="AF316" s="139"/>
      <c r="AG316" s="256"/>
      <c r="AH316" s="256"/>
      <c r="AI316" s="256"/>
      <c r="AJ316" s="256"/>
      <c r="AK316" s="134"/>
      <c r="AL316" s="134"/>
      <c r="AM316" s="134"/>
      <c r="AN316" s="18"/>
      <c r="AO316" s="18"/>
      <c r="AP316" s="18"/>
      <c r="AQ316" s="18"/>
      <c r="AR316" s="17"/>
      <c r="AS316" s="21">
        <f t="shared" si="95"/>
        <v>45588</v>
      </c>
      <c r="AT316" s="17"/>
      <c r="AU316" s="17"/>
      <c r="AV316" s="17"/>
      <c r="AW316" s="17"/>
      <c r="AX316" s="17"/>
      <c r="AY316" s="17"/>
      <c r="AZ316" s="17"/>
    </row>
    <row r="317" spans="1:52" ht="20">
      <c r="A317" s="17"/>
      <c r="B317" s="40"/>
      <c r="C317" s="55">
        <f t="shared" si="91"/>
        <v>298</v>
      </c>
      <c r="D317" s="54">
        <v>1</v>
      </c>
      <c r="E317" s="53" t="str">
        <f t="shared" si="83"/>
        <v>10</v>
      </c>
      <c r="F317" s="52">
        <f t="shared" si="92"/>
        <v>45589</v>
      </c>
      <c r="G317" s="51" t="str">
        <f t="shared" si="84"/>
        <v>Thu</v>
      </c>
      <c r="H317" s="50"/>
      <c r="I317" s="49"/>
      <c r="J317" s="48">
        <v>279200</v>
      </c>
      <c r="K317" s="31"/>
      <c r="L317" s="43">
        <f t="shared" si="96"/>
        <v>308048.53373702423</v>
      </c>
      <c r="M317" s="47">
        <f t="shared" si="85"/>
        <v>-28848.533737024234</v>
      </c>
      <c r="N317" s="41">
        <f t="shared" si="86"/>
        <v>0.90635068640952621</v>
      </c>
      <c r="O317" s="46"/>
      <c r="P317" s="45">
        <f>IF(D317=0,0,SUM($L$294:L317))</f>
        <v>6160970.6747404849</v>
      </c>
      <c r="Q317" s="43">
        <f>IF(D317=0,0,SUM($J$294:J317))</f>
        <v>4175700</v>
      </c>
      <c r="R317" s="42">
        <f t="shared" si="87"/>
        <v>-1985270.6747404849</v>
      </c>
      <c r="S317" s="41">
        <f t="shared" si="88"/>
        <v>0.67776657615334135</v>
      </c>
      <c r="T317" s="56"/>
      <c r="U317" s="43">
        <f>IF(D317=0,0,SUM($L$20:L317))</f>
        <v>55756784.606401309</v>
      </c>
      <c r="V317" s="43">
        <f>IF(D317=0,0,SUM($J$20:J317))</f>
        <v>55829391</v>
      </c>
      <c r="W317" s="42">
        <f t="shared" si="89"/>
        <v>72606.393598690629</v>
      </c>
      <c r="X317" s="41">
        <f t="shared" si="90"/>
        <v>1.0013021983622483</v>
      </c>
      <c r="Y317" s="17"/>
      <c r="Z317" s="23">
        <f t="shared" si="93"/>
        <v>45589</v>
      </c>
      <c r="AA317" s="22">
        <f t="shared" si="94"/>
        <v>45589</v>
      </c>
      <c r="AB317" s="137">
        <v>45589</v>
      </c>
      <c r="AC317" s="137"/>
      <c r="AD317" s="134"/>
      <c r="AE317" s="134"/>
      <c r="AF317" s="139"/>
      <c r="AG317" s="256"/>
      <c r="AH317" s="256"/>
      <c r="AI317" s="256"/>
      <c r="AJ317" s="256"/>
      <c r="AK317" s="134"/>
      <c r="AL317" s="134"/>
      <c r="AM317" s="134"/>
      <c r="AN317" s="18"/>
      <c r="AO317" s="18"/>
      <c r="AP317" s="18"/>
      <c r="AQ317" s="18"/>
      <c r="AR317" s="17"/>
      <c r="AS317" s="21">
        <f t="shared" si="95"/>
        <v>45589</v>
      </c>
      <c r="AT317" s="17"/>
      <c r="AU317" s="17"/>
      <c r="AV317" s="17"/>
      <c r="AW317" s="17"/>
      <c r="AX317" s="17"/>
      <c r="AY317" s="17"/>
      <c r="AZ317" s="17"/>
    </row>
    <row r="318" spans="1:52" ht="20">
      <c r="A318" s="17"/>
      <c r="B318" s="40"/>
      <c r="C318" s="55">
        <f t="shared" si="91"/>
        <v>299</v>
      </c>
      <c r="D318" s="54">
        <v>1</v>
      </c>
      <c r="E318" s="53" t="str">
        <f t="shared" si="83"/>
        <v>10</v>
      </c>
      <c r="F318" s="52">
        <f t="shared" si="92"/>
        <v>45590</v>
      </c>
      <c r="G318" s="51" t="str">
        <f t="shared" si="84"/>
        <v>Fri</v>
      </c>
      <c r="H318" s="50"/>
      <c r="I318" s="49"/>
      <c r="J318" s="48">
        <v>356530</v>
      </c>
      <c r="K318" s="31"/>
      <c r="L318" s="43">
        <f t="shared" si="96"/>
        <v>308048.53373702423</v>
      </c>
      <c r="M318" s="47">
        <f t="shared" si="85"/>
        <v>48481.466262975766</v>
      </c>
      <c r="N318" s="41">
        <f t="shared" si="86"/>
        <v>1.1573825581145716</v>
      </c>
      <c r="O318" s="46"/>
      <c r="P318" s="45">
        <f>IF(D318=0,0,SUM($L$294:L318))</f>
        <v>6469019.2084775092</v>
      </c>
      <c r="Q318" s="43">
        <f>IF(D318=0,0,SUM($J$294:J318))</f>
        <v>4532230</v>
      </c>
      <c r="R318" s="42">
        <f t="shared" si="87"/>
        <v>-1936789.2084775092</v>
      </c>
      <c r="S318" s="41">
        <f t="shared" si="88"/>
        <v>0.70060543243720952</v>
      </c>
      <c r="T318" s="56"/>
      <c r="U318" s="43">
        <f>IF(D318=0,0,SUM($L$20:L318))</f>
        <v>56064833.140138336</v>
      </c>
      <c r="V318" s="43">
        <f>IF(D318=0,0,SUM($J$20:J318))</f>
        <v>56185921</v>
      </c>
      <c r="W318" s="42">
        <f t="shared" si="89"/>
        <v>121087.85986166447</v>
      </c>
      <c r="X318" s="41">
        <f t="shared" si="90"/>
        <v>1.0021597827564919</v>
      </c>
      <c r="Y318" s="17"/>
      <c r="Z318" s="23">
        <f t="shared" si="93"/>
        <v>45590</v>
      </c>
      <c r="AA318" s="22">
        <f t="shared" si="94"/>
        <v>45590</v>
      </c>
      <c r="AB318" s="137">
        <v>45590</v>
      </c>
      <c r="AC318" s="137"/>
      <c r="AD318" s="134"/>
      <c r="AE318" s="134"/>
      <c r="AF318" s="139"/>
      <c r="AG318" s="256"/>
      <c r="AH318" s="256"/>
      <c r="AI318" s="256"/>
      <c r="AJ318" s="256"/>
      <c r="AK318" s="134"/>
      <c r="AL318" s="134"/>
      <c r="AM318" s="134"/>
      <c r="AN318" s="18"/>
      <c r="AO318" s="18"/>
      <c r="AP318" s="18"/>
      <c r="AQ318" s="18"/>
      <c r="AR318" s="17"/>
      <c r="AS318" s="21">
        <f t="shared" si="95"/>
        <v>45590</v>
      </c>
      <c r="AT318" s="17"/>
      <c r="AU318" s="17"/>
      <c r="AV318" s="17"/>
      <c r="AW318" s="17"/>
      <c r="AX318" s="17"/>
      <c r="AY318" s="17"/>
      <c r="AZ318" s="17"/>
    </row>
    <row r="319" spans="1:52" ht="20">
      <c r="A319" s="17"/>
      <c r="B319" s="40"/>
      <c r="C319" s="55">
        <f t="shared" si="91"/>
        <v>300</v>
      </c>
      <c r="D319" s="54">
        <v>1</v>
      </c>
      <c r="E319" s="53" t="str">
        <f t="shared" si="83"/>
        <v>10</v>
      </c>
      <c r="F319" s="52">
        <f t="shared" si="92"/>
        <v>45591</v>
      </c>
      <c r="G319" s="51" t="str">
        <f t="shared" si="84"/>
        <v>Sat</v>
      </c>
      <c r="H319" s="50"/>
      <c r="I319" s="49"/>
      <c r="J319" s="48">
        <v>187950</v>
      </c>
      <c r="K319" s="31"/>
      <c r="L319" s="43">
        <f t="shared" si="96"/>
        <v>308048.53373702423</v>
      </c>
      <c r="M319" s="47">
        <f t="shared" si="85"/>
        <v>-120098.53373702423</v>
      </c>
      <c r="N319" s="41">
        <f t="shared" si="86"/>
        <v>0.6101311300525446</v>
      </c>
      <c r="O319" s="46"/>
      <c r="P319" s="45">
        <f>IF(D319=0,0,SUM($L$294:L319))</f>
        <v>6777067.7422145335</v>
      </c>
      <c r="Q319" s="43">
        <f>IF(D319=0,0,SUM($J$294:J319))</f>
        <v>4720180</v>
      </c>
      <c r="R319" s="42">
        <f t="shared" si="87"/>
        <v>-2056887.7422145335</v>
      </c>
      <c r="S319" s="41">
        <f t="shared" si="88"/>
        <v>0.69649296414699746</v>
      </c>
      <c r="T319" s="44"/>
      <c r="U319" s="43">
        <f>IF(D319=0,0,SUM($L$20:L319))</f>
        <v>56372881.673875362</v>
      </c>
      <c r="V319" s="43">
        <f>IF(D319=0,0,SUM($J$20:J319))</f>
        <v>56373871</v>
      </c>
      <c r="W319" s="42">
        <f t="shared" si="89"/>
        <v>989.32612463831902</v>
      </c>
      <c r="X319" s="41">
        <f t="shared" si="90"/>
        <v>1.0000175496816068</v>
      </c>
      <c r="Y319" s="17"/>
      <c r="Z319" s="23">
        <f t="shared" si="93"/>
        <v>45591</v>
      </c>
      <c r="AA319" s="22">
        <f t="shared" si="94"/>
        <v>45591</v>
      </c>
      <c r="AB319" s="137">
        <v>45591</v>
      </c>
      <c r="AC319" s="137"/>
      <c r="AD319" s="134"/>
      <c r="AE319" s="134"/>
      <c r="AF319" s="139"/>
      <c r="AG319" s="256"/>
      <c r="AH319" s="256"/>
      <c r="AI319" s="256"/>
      <c r="AJ319" s="256"/>
      <c r="AK319" s="134"/>
      <c r="AL319" s="134"/>
      <c r="AM319" s="134"/>
      <c r="AN319" s="18"/>
      <c r="AO319" s="18"/>
      <c r="AP319" s="18"/>
      <c r="AQ319" s="18"/>
      <c r="AR319" s="17"/>
      <c r="AS319" s="21">
        <f t="shared" si="95"/>
        <v>45591</v>
      </c>
      <c r="AT319" s="17"/>
      <c r="AU319" s="17"/>
      <c r="AV319" s="17"/>
      <c r="AW319" s="17"/>
      <c r="AX319" s="17"/>
      <c r="AY319" s="17"/>
      <c r="AZ319" s="17"/>
    </row>
    <row r="320" spans="1:52" ht="20">
      <c r="A320" s="17"/>
      <c r="B320" s="40"/>
      <c r="C320" s="55">
        <f t="shared" si="91"/>
        <v>301</v>
      </c>
      <c r="D320" s="54">
        <v>0</v>
      </c>
      <c r="E320" s="53" t="str">
        <f t="shared" si="83"/>
        <v>10</v>
      </c>
      <c r="F320" s="52">
        <f t="shared" si="92"/>
        <v>45592</v>
      </c>
      <c r="G320" s="51" t="str">
        <f t="shared" si="84"/>
        <v>Sun</v>
      </c>
      <c r="H320" s="50" t="s">
        <v>46</v>
      </c>
      <c r="I320" s="49"/>
      <c r="J320" s="48">
        <v>0</v>
      </c>
      <c r="K320" s="31"/>
      <c r="L320" s="43">
        <f t="shared" si="96"/>
        <v>0</v>
      </c>
      <c r="M320" s="47">
        <f t="shared" si="85"/>
        <v>0</v>
      </c>
      <c r="N320" s="41" t="str">
        <f t="shared" si="86"/>
        <v>0%</v>
      </c>
      <c r="O320" s="46"/>
      <c r="P320" s="45">
        <f>IF(D320=0,0,SUM($L$294:L320))</f>
        <v>0</v>
      </c>
      <c r="Q320" s="43">
        <f>IF(D320=0,0,SUM($J$294:J320))</f>
        <v>0</v>
      </c>
      <c r="R320" s="42">
        <f t="shared" si="87"/>
        <v>0</v>
      </c>
      <c r="S320" s="41" t="str">
        <f t="shared" si="88"/>
        <v>0%</v>
      </c>
      <c r="T320" s="56"/>
      <c r="U320" s="43">
        <f>IF(D320=0,0,SUM($L$20:L320))</f>
        <v>0</v>
      </c>
      <c r="V320" s="43">
        <f>IF(D320=0,0,SUM($J$20:J320))</f>
        <v>0</v>
      </c>
      <c r="W320" s="42">
        <f t="shared" si="89"/>
        <v>0</v>
      </c>
      <c r="X320" s="41" t="str">
        <f t="shared" si="90"/>
        <v>0%</v>
      </c>
      <c r="Y320" s="17"/>
      <c r="Z320" s="23">
        <f t="shared" si="93"/>
        <v>45592</v>
      </c>
      <c r="AA320" s="22">
        <f t="shared" si="94"/>
        <v>45592</v>
      </c>
      <c r="AB320" s="137">
        <v>45592</v>
      </c>
      <c r="AC320" s="137"/>
      <c r="AD320" s="134"/>
      <c r="AE320" s="134"/>
      <c r="AF320" s="139"/>
      <c r="AG320" s="256"/>
      <c r="AH320" s="256"/>
      <c r="AI320" s="256"/>
      <c r="AJ320" s="256"/>
      <c r="AK320" s="134"/>
      <c r="AL320" s="134"/>
      <c r="AM320" s="134"/>
      <c r="AN320" s="18"/>
      <c r="AO320" s="18"/>
      <c r="AP320" s="18"/>
      <c r="AQ320" s="18"/>
      <c r="AR320" s="17"/>
      <c r="AS320" s="21">
        <f t="shared" si="95"/>
        <v>45592</v>
      </c>
      <c r="AT320" s="17"/>
      <c r="AU320" s="17"/>
      <c r="AV320" s="17"/>
      <c r="AW320" s="17"/>
      <c r="AX320" s="17"/>
      <c r="AY320" s="17"/>
      <c r="AZ320" s="17"/>
    </row>
    <row r="321" spans="1:52" ht="20">
      <c r="A321" s="17"/>
      <c r="B321" s="40"/>
      <c r="C321" s="55">
        <f t="shared" si="91"/>
        <v>302</v>
      </c>
      <c r="D321" s="54">
        <v>1</v>
      </c>
      <c r="E321" s="53" t="str">
        <f t="shared" si="83"/>
        <v>10</v>
      </c>
      <c r="F321" s="52">
        <f t="shared" si="92"/>
        <v>45593</v>
      </c>
      <c r="G321" s="51" t="str">
        <f t="shared" si="84"/>
        <v>Mon</v>
      </c>
      <c r="H321" s="50"/>
      <c r="I321" s="49"/>
      <c r="J321" s="48">
        <v>177200</v>
      </c>
      <c r="K321" s="31"/>
      <c r="L321" s="43">
        <f t="shared" si="96"/>
        <v>308048.53373702423</v>
      </c>
      <c r="M321" s="47">
        <f t="shared" si="85"/>
        <v>-130848.53373702423</v>
      </c>
      <c r="N321" s="41">
        <f t="shared" si="86"/>
        <v>0.57523403163240705</v>
      </c>
      <c r="O321" s="46"/>
      <c r="P321" s="45">
        <f>IF(D321=0,0,SUM($L$294:L321))</f>
        <v>7085116.2759515578</v>
      </c>
      <c r="Q321" s="43">
        <f>IF(D321=0,0,SUM($J$294:J321))</f>
        <v>4897380</v>
      </c>
      <c r="R321" s="42">
        <f t="shared" si="87"/>
        <v>-2187736.2759515578</v>
      </c>
      <c r="S321" s="41">
        <f t="shared" si="88"/>
        <v>0.69122083664636302</v>
      </c>
      <c r="T321" s="56"/>
      <c r="U321" s="43">
        <f>IF(D321=0,0,SUM($L$20:L321))</f>
        <v>56680930.207612388</v>
      </c>
      <c r="V321" s="43">
        <f>IF(D321=0,0,SUM($J$20:J321))</f>
        <v>56551071</v>
      </c>
      <c r="W321" s="42">
        <f t="shared" si="89"/>
        <v>-129859.20761238784</v>
      </c>
      <c r="X321" s="41">
        <f t="shared" si="90"/>
        <v>0.99770894360525253</v>
      </c>
      <c r="Y321" s="17"/>
      <c r="Z321" s="23">
        <f t="shared" si="93"/>
        <v>45593</v>
      </c>
      <c r="AA321" s="22">
        <f t="shared" si="94"/>
        <v>45593</v>
      </c>
      <c r="AB321" s="137">
        <v>45593</v>
      </c>
      <c r="AC321" s="137"/>
      <c r="AD321" s="134"/>
      <c r="AE321" s="134"/>
      <c r="AF321" s="139"/>
      <c r="AG321" s="256"/>
      <c r="AH321" s="256"/>
      <c r="AI321" s="256"/>
      <c r="AJ321" s="256"/>
      <c r="AK321" s="134"/>
      <c r="AL321" s="134"/>
      <c r="AM321" s="134"/>
      <c r="AN321" s="18"/>
      <c r="AO321" s="18"/>
      <c r="AP321" s="18"/>
      <c r="AQ321" s="18"/>
      <c r="AR321" s="17"/>
      <c r="AS321" s="21">
        <f t="shared" si="95"/>
        <v>45593</v>
      </c>
      <c r="AT321" s="17"/>
      <c r="AU321" s="17"/>
      <c r="AV321" s="17"/>
      <c r="AW321" s="17"/>
      <c r="AX321" s="17"/>
      <c r="AY321" s="17"/>
      <c r="AZ321" s="17"/>
    </row>
    <row r="322" spans="1:52" ht="20">
      <c r="A322" s="17"/>
      <c r="B322" s="40"/>
      <c r="C322" s="55">
        <f t="shared" si="91"/>
        <v>303</v>
      </c>
      <c r="D322" s="54">
        <v>1</v>
      </c>
      <c r="E322" s="53" t="str">
        <f t="shared" si="83"/>
        <v>10</v>
      </c>
      <c r="F322" s="52">
        <f t="shared" si="92"/>
        <v>45594</v>
      </c>
      <c r="G322" s="51" t="str">
        <f t="shared" si="84"/>
        <v>Tue</v>
      </c>
      <c r="H322" s="50"/>
      <c r="I322" s="49"/>
      <c r="J322" s="48">
        <v>163850</v>
      </c>
      <c r="K322" s="31"/>
      <c r="L322" s="43">
        <f t="shared" si="96"/>
        <v>308048.53373702423</v>
      </c>
      <c r="M322" s="47">
        <f t="shared" si="85"/>
        <v>-144198.53373702423</v>
      </c>
      <c r="N322" s="41">
        <f t="shared" si="86"/>
        <v>0.53189670475716644</v>
      </c>
      <c r="O322" s="46"/>
      <c r="P322" s="45">
        <f>IF(D322=0,0,SUM($L$294:L322))</f>
        <v>7393164.8096885821</v>
      </c>
      <c r="Q322" s="43">
        <f>IF(D322=0,0,SUM($J$294:J322))</f>
        <v>5061230</v>
      </c>
      <c r="R322" s="42">
        <f t="shared" si="87"/>
        <v>-2331934.8096885821</v>
      </c>
      <c r="S322" s="41">
        <f t="shared" si="88"/>
        <v>0.68458233115097988</v>
      </c>
      <c r="T322" s="56"/>
      <c r="U322" s="43">
        <f>IF(D322=0,0,SUM($L$20:L322))</f>
        <v>56988978.741349414</v>
      </c>
      <c r="V322" s="43">
        <f>IF(D322=0,0,SUM($J$20:J322))</f>
        <v>56714921</v>
      </c>
      <c r="W322" s="42">
        <f t="shared" si="89"/>
        <v>-274057.74134941399</v>
      </c>
      <c r="X322" s="41">
        <f t="shared" si="90"/>
        <v>0.99519103961147903</v>
      </c>
      <c r="Y322" s="17"/>
      <c r="Z322" s="23">
        <f t="shared" si="93"/>
        <v>45594</v>
      </c>
      <c r="AA322" s="22">
        <f t="shared" si="94"/>
        <v>45594</v>
      </c>
      <c r="AB322" s="137">
        <v>45594</v>
      </c>
      <c r="AC322" s="137"/>
      <c r="AD322" s="134"/>
      <c r="AE322" s="134"/>
      <c r="AF322" s="139"/>
      <c r="AG322" s="256"/>
      <c r="AH322" s="256"/>
      <c r="AI322" s="256"/>
      <c r="AJ322" s="256"/>
      <c r="AK322" s="134"/>
      <c r="AL322" s="134"/>
      <c r="AM322" s="134"/>
      <c r="AN322" s="18"/>
      <c r="AO322" s="18"/>
      <c r="AP322" s="18"/>
      <c r="AQ322" s="18"/>
      <c r="AR322" s="17"/>
      <c r="AS322" s="21">
        <f t="shared" si="95"/>
        <v>45594</v>
      </c>
      <c r="AT322" s="17"/>
      <c r="AU322" s="17"/>
      <c r="AV322" s="17"/>
      <c r="AW322" s="17"/>
      <c r="AX322" s="17"/>
      <c r="AY322" s="17"/>
      <c r="AZ322" s="17"/>
    </row>
    <row r="323" spans="1:52" ht="20">
      <c r="A323" s="17"/>
      <c r="B323" s="40"/>
      <c r="C323" s="55">
        <f t="shared" si="91"/>
        <v>304</v>
      </c>
      <c r="D323" s="54">
        <v>1</v>
      </c>
      <c r="E323" s="53" t="str">
        <f t="shared" si="83"/>
        <v>10</v>
      </c>
      <c r="F323" s="52">
        <f t="shared" si="92"/>
        <v>45595</v>
      </c>
      <c r="G323" s="51" t="str">
        <f t="shared" si="84"/>
        <v>Wed</v>
      </c>
      <c r="H323" s="50"/>
      <c r="I323" s="49"/>
      <c r="J323" s="48">
        <v>169200</v>
      </c>
      <c r="K323" s="31"/>
      <c r="L323" s="43">
        <f t="shared" si="96"/>
        <v>308048.53373702423</v>
      </c>
      <c r="M323" s="47">
        <f t="shared" si="85"/>
        <v>-138848.53373702423</v>
      </c>
      <c r="N323" s="41">
        <f t="shared" si="86"/>
        <v>0.54926409792439768</v>
      </c>
      <c r="O323" s="46"/>
      <c r="P323" s="45">
        <f>IF(D323=0,0,SUM($L$294:L323))</f>
        <v>7701213.3434256064</v>
      </c>
      <c r="Q323" s="43">
        <f>IF(D323=0,0,SUM($J$294:J323))</f>
        <v>5230430</v>
      </c>
      <c r="R323" s="42">
        <f t="shared" si="87"/>
        <v>-2470783.3434256064</v>
      </c>
      <c r="S323" s="41">
        <f t="shared" si="88"/>
        <v>0.67916960182191655</v>
      </c>
      <c r="T323" s="56"/>
      <c r="U323" s="43">
        <f>IF(D323=0,0,SUM($L$20:L323))</f>
        <v>57297027.27508644</v>
      </c>
      <c r="V323" s="43">
        <f>IF(D323=0,0,SUM($J$20:J323))</f>
        <v>56884121</v>
      </c>
      <c r="W323" s="42">
        <f t="shared" si="89"/>
        <v>-412906.27508644015</v>
      </c>
      <c r="X323" s="41">
        <f t="shared" si="90"/>
        <v>0.99279358293574194</v>
      </c>
      <c r="Y323" s="17"/>
      <c r="Z323" s="23">
        <f t="shared" si="93"/>
        <v>45595</v>
      </c>
      <c r="AA323" s="22">
        <f t="shared" si="94"/>
        <v>45595</v>
      </c>
      <c r="AB323" s="137">
        <v>45595</v>
      </c>
      <c r="AC323" s="137"/>
      <c r="AD323" s="134"/>
      <c r="AE323" s="134"/>
      <c r="AF323" s="139"/>
      <c r="AG323" s="256"/>
      <c r="AH323" s="256"/>
      <c r="AI323" s="256"/>
      <c r="AJ323" s="256"/>
      <c r="AK323" s="134"/>
      <c r="AL323" s="134"/>
      <c r="AM323" s="134"/>
      <c r="AN323" s="18"/>
      <c r="AO323" s="18"/>
      <c r="AP323" s="18"/>
      <c r="AQ323" s="18"/>
      <c r="AR323" s="17"/>
      <c r="AS323" s="21">
        <f t="shared" si="95"/>
        <v>45595</v>
      </c>
      <c r="AT323" s="17"/>
      <c r="AU323" s="17"/>
      <c r="AV323" s="17"/>
      <c r="AW323" s="17"/>
      <c r="AX323" s="17"/>
      <c r="AY323" s="17"/>
      <c r="AZ323" s="17"/>
    </row>
    <row r="324" spans="1:52" ht="21" thickBot="1">
      <c r="A324" s="17"/>
      <c r="B324" s="40"/>
      <c r="C324" s="39">
        <f t="shared" si="91"/>
        <v>305</v>
      </c>
      <c r="D324" s="38">
        <v>1</v>
      </c>
      <c r="E324" s="37" t="str">
        <f t="shared" si="83"/>
        <v>10</v>
      </c>
      <c r="F324" s="36">
        <f t="shared" si="92"/>
        <v>45596</v>
      </c>
      <c r="G324" s="35" t="str">
        <f t="shared" si="84"/>
        <v>Thu</v>
      </c>
      <c r="H324" s="34"/>
      <c r="I324" s="33"/>
      <c r="J324" s="32">
        <v>325100</v>
      </c>
      <c r="K324" s="31"/>
      <c r="L324" s="26">
        <f t="shared" si="96"/>
        <v>308048.53373702423</v>
      </c>
      <c r="M324" s="30">
        <f t="shared" si="85"/>
        <v>17051.466262975766</v>
      </c>
      <c r="N324" s="24">
        <f t="shared" si="86"/>
        <v>1.0553531810592298</v>
      </c>
      <c r="O324" s="29"/>
      <c r="P324" s="63">
        <f>IF(D324=0,0,SUM($L$294:L324))</f>
        <v>8009261.8771626307</v>
      </c>
      <c r="Q324" s="26">
        <f>IF(D324=0,0,SUM($J$294:J324))</f>
        <v>5555530</v>
      </c>
      <c r="R324" s="25">
        <f t="shared" si="87"/>
        <v>-2453731.8771626307</v>
      </c>
      <c r="S324" s="24">
        <f t="shared" si="88"/>
        <v>0.69363820102335172</v>
      </c>
      <c r="T324" s="64"/>
      <c r="U324" s="26">
        <f>IF(D324=0,0,SUM($L$20:L324))</f>
        <v>57605075.808823466</v>
      </c>
      <c r="V324" s="26">
        <f>IF(D324=0,0,SUM($J$20:J324))</f>
        <v>57209221</v>
      </c>
      <c r="W324" s="25">
        <f t="shared" si="89"/>
        <v>-395854.8088234663</v>
      </c>
      <c r="X324" s="24">
        <f t="shared" si="90"/>
        <v>0.99312812624121516</v>
      </c>
      <c r="Y324" s="17"/>
      <c r="Z324" s="23">
        <f t="shared" si="93"/>
        <v>45596</v>
      </c>
      <c r="AA324" s="22">
        <f t="shared" si="94"/>
        <v>45596</v>
      </c>
      <c r="AB324" s="137">
        <v>45596</v>
      </c>
      <c r="AC324" s="137"/>
      <c r="AD324" s="134"/>
      <c r="AE324" s="134"/>
      <c r="AF324" s="139"/>
      <c r="AG324" s="256"/>
      <c r="AH324" s="256"/>
      <c r="AI324" s="256"/>
      <c r="AJ324" s="256"/>
      <c r="AK324" s="134"/>
      <c r="AL324" s="134"/>
      <c r="AM324" s="134"/>
      <c r="AN324" s="18"/>
      <c r="AO324" s="18"/>
      <c r="AP324" s="18"/>
      <c r="AQ324" s="18"/>
      <c r="AR324" s="17"/>
      <c r="AS324" s="21">
        <f t="shared" si="95"/>
        <v>45596</v>
      </c>
      <c r="AT324" s="17"/>
      <c r="AU324" s="17"/>
      <c r="AV324" s="17"/>
      <c r="AW324" s="17"/>
      <c r="AX324" s="17"/>
      <c r="AY324" s="17"/>
      <c r="AZ324" s="17"/>
    </row>
    <row r="325" spans="1:52" ht="21" thickTop="1">
      <c r="A325" s="17"/>
      <c r="B325" s="40"/>
      <c r="C325" s="55">
        <f t="shared" si="91"/>
        <v>306</v>
      </c>
      <c r="D325" s="62">
        <v>1</v>
      </c>
      <c r="E325" s="53" t="str">
        <f t="shared" si="83"/>
        <v>11</v>
      </c>
      <c r="F325" s="52">
        <f t="shared" si="92"/>
        <v>45597</v>
      </c>
      <c r="G325" s="51" t="str">
        <f t="shared" si="84"/>
        <v>Fri</v>
      </c>
      <c r="H325" s="50"/>
      <c r="I325" s="49"/>
      <c r="J325" s="48">
        <v>288850</v>
      </c>
      <c r="K325" s="31"/>
      <c r="L325" s="43">
        <f t="shared" ref="L325:L354" si="97">IF(D325=0,0,$K$16)</f>
        <v>258760.76833910032</v>
      </c>
      <c r="M325" s="42">
        <f t="shared" si="85"/>
        <v>30089.231660899677</v>
      </c>
      <c r="N325" s="60">
        <f t="shared" si="86"/>
        <v>1.1162820463628722</v>
      </c>
      <c r="O325" s="46"/>
      <c r="P325" s="61">
        <f>IF(D325=0,0,$L$325)</f>
        <v>258760.76833910032</v>
      </c>
      <c r="Q325" s="43">
        <f>IF(D325=0,0,$J$325)</f>
        <v>288850</v>
      </c>
      <c r="R325" s="42">
        <f t="shared" si="87"/>
        <v>30089.231660899677</v>
      </c>
      <c r="S325" s="60">
        <f t="shared" si="88"/>
        <v>1.1162820463628722</v>
      </c>
      <c r="T325" s="56"/>
      <c r="U325" s="43">
        <f>IF(D325=0,0,SUM($L$20:L325))</f>
        <v>57863836.577162564</v>
      </c>
      <c r="V325" s="43">
        <f>IF(D325=0,0,SUM($J$20:J325))</f>
        <v>57498071</v>
      </c>
      <c r="W325" s="42">
        <f t="shared" si="89"/>
        <v>-365765.5771625638</v>
      </c>
      <c r="X325" s="60">
        <f t="shared" si="90"/>
        <v>0.99367885714465531</v>
      </c>
      <c r="Y325" s="17"/>
      <c r="Z325" s="23">
        <f t="shared" si="93"/>
        <v>45597</v>
      </c>
      <c r="AA325" s="22">
        <f t="shared" si="94"/>
        <v>45597</v>
      </c>
      <c r="AB325" s="137">
        <v>45597</v>
      </c>
      <c r="AC325" s="137"/>
      <c r="AD325" s="134"/>
      <c r="AE325" s="134"/>
      <c r="AF325" s="139"/>
      <c r="AG325" s="256"/>
      <c r="AH325" s="256"/>
      <c r="AI325" s="256"/>
      <c r="AJ325" s="256"/>
      <c r="AK325" s="134"/>
      <c r="AL325" s="134"/>
      <c r="AM325" s="134"/>
      <c r="AN325" s="18"/>
      <c r="AO325" s="18"/>
      <c r="AP325" s="18"/>
      <c r="AQ325" s="18"/>
      <c r="AR325" s="17"/>
      <c r="AS325" s="21">
        <f t="shared" si="95"/>
        <v>45597</v>
      </c>
      <c r="AT325" s="17"/>
      <c r="AU325" s="17"/>
      <c r="AV325" s="17"/>
      <c r="AW325" s="17"/>
      <c r="AX325" s="17"/>
      <c r="AY325" s="17"/>
      <c r="AZ325" s="17"/>
    </row>
    <row r="326" spans="1:52" ht="20">
      <c r="A326" s="17"/>
      <c r="B326" s="40"/>
      <c r="C326" s="55">
        <f t="shared" si="91"/>
        <v>307</v>
      </c>
      <c r="D326" s="54">
        <v>1</v>
      </c>
      <c r="E326" s="53" t="str">
        <f t="shared" si="83"/>
        <v>11</v>
      </c>
      <c r="F326" s="52">
        <f t="shared" si="92"/>
        <v>45598</v>
      </c>
      <c r="G326" s="51" t="str">
        <f t="shared" si="84"/>
        <v>Sat</v>
      </c>
      <c r="H326" s="50"/>
      <c r="I326" s="49"/>
      <c r="J326" s="48">
        <v>202450</v>
      </c>
      <c r="K326" s="31"/>
      <c r="L326" s="43">
        <f t="shared" si="97"/>
        <v>258760.76833910032</v>
      </c>
      <c r="M326" s="47">
        <f t="shared" si="85"/>
        <v>-56310.768339100323</v>
      </c>
      <c r="N326" s="41">
        <f t="shared" si="86"/>
        <v>0.78238289868846622</v>
      </c>
      <c r="O326" s="46"/>
      <c r="P326" s="45">
        <f>IF(D326=0,0,SUM($L$325:L326))</f>
        <v>517521.53667820065</v>
      </c>
      <c r="Q326" s="43">
        <f>IF(D326=0,0,SUM($J$325:J326))</f>
        <v>491300</v>
      </c>
      <c r="R326" s="42">
        <f t="shared" si="87"/>
        <v>-26221.536678200646</v>
      </c>
      <c r="S326" s="41">
        <f t="shared" si="88"/>
        <v>0.94933247252566921</v>
      </c>
      <c r="T326" s="44"/>
      <c r="U326" s="43">
        <f>IF(D326=0,0,SUM($L$20:L326))</f>
        <v>58122597.345501661</v>
      </c>
      <c r="V326" s="43">
        <f>IF(D326=0,0,SUM($J$20:J326))</f>
        <v>57700521</v>
      </c>
      <c r="W326" s="42">
        <f t="shared" si="89"/>
        <v>-422076.3455016613</v>
      </c>
      <c r="X326" s="41">
        <f t="shared" si="90"/>
        <v>0.9927381713003518</v>
      </c>
      <c r="Y326" s="17"/>
      <c r="Z326" s="23">
        <f t="shared" si="93"/>
        <v>45598</v>
      </c>
      <c r="AA326" s="22">
        <f t="shared" si="94"/>
        <v>45598</v>
      </c>
      <c r="AB326" s="137">
        <v>45598</v>
      </c>
      <c r="AC326" s="137"/>
      <c r="AD326" s="134"/>
      <c r="AE326" s="134"/>
      <c r="AF326" s="139"/>
      <c r="AG326" s="256"/>
      <c r="AH326" s="256"/>
      <c r="AI326" s="256"/>
      <c r="AJ326" s="256"/>
      <c r="AK326" s="134"/>
      <c r="AL326" s="134"/>
      <c r="AM326" s="134"/>
      <c r="AN326" s="18"/>
      <c r="AO326" s="18"/>
      <c r="AP326" s="18"/>
      <c r="AQ326" s="18"/>
      <c r="AR326" s="17"/>
      <c r="AS326" s="21">
        <f t="shared" si="95"/>
        <v>45598</v>
      </c>
      <c r="AT326" s="17"/>
      <c r="AU326" s="17"/>
      <c r="AV326" s="17"/>
      <c r="AW326" s="17"/>
      <c r="AX326" s="17"/>
      <c r="AY326" s="17"/>
      <c r="AZ326" s="17"/>
    </row>
    <row r="327" spans="1:52" ht="20">
      <c r="A327" s="17"/>
      <c r="B327" s="40"/>
      <c r="C327" s="55">
        <f t="shared" si="91"/>
        <v>308</v>
      </c>
      <c r="D327" s="54">
        <v>0</v>
      </c>
      <c r="E327" s="53" t="str">
        <f t="shared" si="83"/>
        <v>11</v>
      </c>
      <c r="F327" s="52">
        <f t="shared" si="92"/>
        <v>45599</v>
      </c>
      <c r="G327" s="51" t="str">
        <f t="shared" si="84"/>
        <v>Sun</v>
      </c>
      <c r="H327" s="50" t="s">
        <v>46</v>
      </c>
      <c r="I327" s="49"/>
      <c r="J327" s="48">
        <v>0</v>
      </c>
      <c r="K327" s="31"/>
      <c r="L327" s="43">
        <f t="shared" si="97"/>
        <v>0</v>
      </c>
      <c r="M327" s="47">
        <f t="shared" si="85"/>
        <v>0</v>
      </c>
      <c r="N327" s="41" t="str">
        <f t="shared" si="86"/>
        <v>0%</v>
      </c>
      <c r="O327" s="46"/>
      <c r="P327" s="45">
        <f>IF(D327=0,0,SUM($L$325:L327))</f>
        <v>0</v>
      </c>
      <c r="Q327" s="43">
        <f>IF(D327=0,0,SUM($J$325:J327))</f>
        <v>0</v>
      </c>
      <c r="R327" s="42">
        <f t="shared" si="87"/>
        <v>0</v>
      </c>
      <c r="S327" s="41" t="str">
        <f t="shared" si="88"/>
        <v>0%</v>
      </c>
      <c r="T327" s="44"/>
      <c r="U327" s="43">
        <f>IF(D327=0,0,SUM($L$20:L327))</f>
        <v>0</v>
      </c>
      <c r="V327" s="43">
        <f>IF(D327=0,0,SUM($J$20:J327))</f>
        <v>0</v>
      </c>
      <c r="W327" s="42">
        <f t="shared" si="89"/>
        <v>0</v>
      </c>
      <c r="X327" s="41" t="str">
        <f t="shared" si="90"/>
        <v>0%</v>
      </c>
      <c r="Y327" s="17"/>
      <c r="Z327" s="23">
        <f t="shared" si="93"/>
        <v>45599</v>
      </c>
      <c r="AA327" s="22">
        <f t="shared" si="94"/>
        <v>45599</v>
      </c>
      <c r="AB327" s="137">
        <v>45599</v>
      </c>
      <c r="AC327" s="137"/>
      <c r="AD327" s="134"/>
      <c r="AE327" s="134"/>
      <c r="AF327" s="139"/>
      <c r="AG327" s="256"/>
      <c r="AH327" s="256"/>
      <c r="AI327" s="256"/>
      <c r="AJ327" s="256"/>
      <c r="AK327" s="134"/>
      <c r="AL327" s="134"/>
      <c r="AM327" s="134"/>
      <c r="AN327" s="18"/>
      <c r="AO327" s="18"/>
      <c r="AP327" s="18"/>
      <c r="AQ327" s="18"/>
      <c r="AR327" s="17"/>
      <c r="AS327" s="21">
        <f t="shared" si="95"/>
        <v>45599</v>
      </c>
      <c r="AT327" s="17"/>
      <c r="AU327" s="17"/>
      <c r="AV327" s="17"/>
      <c r="AW327" s="17"/>
      <c r="AX327" s="17"/>
      <c r="AY327" s="17"/>
      <c r="AZ327" s="17"/>
    </row>
    <row r="328" spans="1:52" ht="20">
      <c r="A328" s="17"/>
      <c r="B328" s="40"/>
      <c r="C328" s="55">
        <f t="shared" si="91"/>
        <v>309</v>
      </c>
      <c r="D328" s="54">
        <v>0</v>
      </c>
      <c r="E328" s="53" t="str">
        <f t="shared" si="83"/>
        <v>11</v>
      </c>
      <c r="F328" s="52">
        <f t="shared" si="92"/>
        <v>45600</v>
      </c>
      <c r="G328" s="51" t="str">
        <f t="shared" si="84"/>
        <v>Mon</v>
      </c>
      <c r="H328" s="50" t="s">
        <v>47</v>
      </c>
      <c r="I328" s="49"/>
      <c r="J328" s="48">
        <v>0</v>
      </c>
      <c r="K328" s="31"/>
      <c r="L328" s="43">
        <f t="shared" si="97"/>
        <v>0</v>
      </c>
      <c r="M328" s="47">
        <f t="shared" si="85"/>
        <v>0</v>
      </c>
      <c r="N328" s="41" t="str">
        <f t="shared" si="86"/>
        <v>0%</v>
      </c>
      <c r="O328" s="46"/>
      <c r="P328" s="45">
        <f>IF(D328=0,0,SUM($L$325:L328))</f>
        <v>0</v>
      </c>
      <c r="Q328" s="43">
        <f>IF(D328=0,0,SUM($J$325:J328))</f>
        <v>0</v>
      </c>
      <c r="R328" s="42">
        <f t="shared" si="87"/>
        <v>0</v>
      </c>
      <c r="S328" s="41" t="str">
        <f t="shared" si="88"/>
        <v>0%</v>
      </c>
      <c r="T328" s="56"/>
      <c r="U328" s="43">
        <f>IF(D328=0,0,SUM($L$20:L328))</f>
        <v>0</v>
      </c>
      <c r="V328" s="43">
        <f>IF(D328=0,0,SUM($J$20:J328))</f>
        <v>0</v>
      </c>
      <c r="W328" s="42">
        <f t="shared" si="89"/>
        <v>0</v>
      </c>
      <c r="X328" s="41" t="str">
        <f t="shared" si="90"/>
        <v>0%</v>
      </c>
      <c r="Y328" s="17"/>
      <c r="Z328" s="23">
        <f t="shared" si="93"/>
        <v>45600</v>
      </c>
      <c r="AA328" s="22">
        <f t="shared" si="94"/>
        <v>45600</v>
      </c>
      <c r="AB328" s="137">
        <v>45600</v>
      </c>
      <c r="AC328" s="137"/>
      <c r="AD328" s="134"/>
      <c r="AE328" s="134"/>
      <c r="AF328" s="139"/>
      <c r="AG328" s="256"/>
      <c r="AH328" s="256"/>
      <c r="AI328" s="256"/>
      <c r="AJ328" s="256"/>
      <c r="AK328" s="134"/>
      <c r="AL328" s="134"/>
      <c r="AM328" s="134"/>
      <c r="AN328" s="18"/>
      <c r="AO328" s="18"/>
      <c r="AP328" s="18"/>
      <c r="AQ328" s="18"/>
      <c r="AR328" s="17"/>
      <c r="AS328" s="21">
        <f t="shared" si="95"/>
        <v>45600</v>
      </c>
      <c r="AT328" s="17"/>
      <c r="AU328" s="17"/>
      <c r="AV328" s="17"/>
      <c r="AW328" s="17"/>
      <c r="AX328" s="17"/>
      <c r="AY328" s="17"/>
      <c r="AZ328" s="17"/>
    </row>
    <row r="329" spans="1:52" ht="20">
      <c r="A329" s="17"/>
      <c r="B329" s="40"/>
      <c r="C329" s="55">
        <f t="shared" si="91"/>
        <v>310</v>
      </c>
      <c r="D329" s="54">
        <v>1</v>
      </c>
      <c r="E329" s="53" t="str">
        <f t="shared" si="83"/>
        <v>11</v>
      </c>
      <c r="F329" s="52">
        <f t="shared" si="92"/>
        <v>45601</v>
      </c>
      <c r="G329" s="51" t="str">
        <f t="shared" si="84"/>
        <v>Tue</v>
      </c>
      <c r="H329" s="50"/>
      <c r="I329" s="49"/>
      <c r="J329" s="48">
        <v>212150</v>
      </c>
      <c r="K329" s="31"/>
      <c r="L329" s="43">
        <f t="shared" si="97"/>
        <v>258760.76833910032</v>
      </c>
      <c r="M329" s="47">
        <f t="shared" si="85"/>
        <v>-46610.768339100323</v>
      </c>
      <c r="N329" s="41">
        <f t="shared" si="86"/>
        <v>0.81986926133246774</v>
      </c>
      <c r="O329" s="46"/>
      <c r="P329" s="45">
        <f>IF(D329=0,0,SUM($L$325:L329))</f>
        <v>776282.305017301</v>
      </c>
      <c r="Q329" s="43">
        <f>IF(D329=0,0,SUM($J$325:J329))</f>
        <v>703450</v>
      </c>
      <c r="R329" s="42">
        <f t="shared" si="87"/>
        <v>-72832.305017300998</v>
      </c>
      <c r="S329" s="41">
        <f t="shared" si="88"/>
        <v>0.90617806879460205</v>
      </c>
      <c r="T329" s="56"/>
      <c r="U329" s="43">
        <f>IF(D329=0,0,SUM($L$20:L329))</f>
        <v>58381358.113840759</v>
      </c>
      <c r="V329" s="43">
        <f>IF(D329=0,0,SUM($J$20:J329))</f>
        <v>57912671</v>
      </c>
      <c r="W329" s="42">
        <f t="shared" si="89"/>
        <v>-468687.1138407588</v>
      </c>
      <c r="X329" s="41">
        <f t="shared" si="90"/>
        <v>0.99197197309238949</v>
      </c>
      <c r="Y329" s="17"/>
      <c r="Z329" s="23">
        <f t="shared" si="93"/>
        <v>45601</v>
      </c>
      <c r="AA329" s="22">
        <f t="shared" si="94"/>
        <v>45601</v>
      </c>
      <c r="AB329" s="137">
        <v>45601</v>
      </c>
      <c r="AC329" s="137"/>
      <c r="AD329" s="134"/>
      <c r="AE329" s="134"/>
      <c r="AF329" s="139"/>
      <c r="AG329" s="256"/>
      <c r="AH329" s="256"/>
      <c r="AI329" s="256"/>
      <c r="AJ329" s="256"/>
      <c r="AK329" s="134"/>
      <c r="AL329" s="134"/>
      <c r="AM329" s="134"/>
      <c r="AN329" s="18"/>
      <c r="AO329" s="18"/>
      <c r="AP329" s="18"/>
      <c r="AQ329" s="18"/>
      <c r="AR329" s="17"/>
      <c r="AS329" s="21">
        <f t="shared" si="95"/>
        <v>45601</v>
      </c>
      <c r="AT329" s="17"/>
      <c r="AU329" s="17"/>
      <c r="AV329" s="17"/>
      <c r="AW329" s="17"/>
      <c r="AX329" s="17"/>
      <c r="AY329" s="17"/>
      <c r="AZ329" s="17"/>
    </row>
    <row r="330" spans="1:52" ht="20">
      <c r="A330" s="17"/>
      <c r="B330" s="40"/>
      <c r="C330" s="55">
        <f t="shared" si="91"/>
        <v>311</v>
      </c>
      <c r="D330" s="54">
        <v>1</v>
      </c>
      <c r="E330" s="53" t="str">
        <f t="shared" si="83"/>
        <v>11</v>
      </c>
      <c r="F330" s="52">
        <f t="shared" si="92"/>
        <v>45602</v>
      </c>
      <c r="G330" s="51" t="str">
        <f t="shared" si="84"/>
        <v>Wed</v>
      </c>
      <c r="H330" s="50"/>
      <c r="I330" s="49"/>
      <c r="J330" s="48">
        <v>268780</v>
      </c>
      <c r="K330" s="31"/>
      <c r="L330" s="43">
        <f t="shared" si="97"/>
        <v>258760.76833910032</v>
      </c>
      <c r="M330" s="47">
        <f t="shared" si="85"/>
        <v>10019.231660899677</v>
      </c>
      <c r="N330" s="41">
        <f t="shared" si="86"/>
        <v>1.0387200568510049</v>
      </c>
      <c r="O330" s="46"/>
      <c r="P330" s="45">
        <f>IF(D330=0,0,SUM($L$325:L330))</f>
        <v>1035043.0733564013</v>
      </c>
      <c r="Q330" s="43">
        <f>IF(D330=0,0,SUM($J$325:J330))</f>
        <v>972230</v>
      </c>
      <c r="R330" s="42">
        <f t="shared" si="87"/>
        <v>-62813.073356401292</v>
      </c>
      <c r="S330" s="41">
        <f t="shared" si="88"/>
        <v>0.93931356580870273</v>
      </c>
      <c r="T330" s="56"/>
      <c r="U330" s="43">
        <f>IF(D330=0,0,SUM($L$20:L330))</f>
        <v>58640118.882179856</v>
      </c>
      <c r="V330" s="43">
        <f>IF(D330=0,0,SUM($J$20:J330))</f>
        <v>58181451</v>
      </c>
      <c r="W330" s="42">
        <f t="shared" si="89"/>
        <v>-458667.8821798563</v>
      </c>
      <c r="X330" s="41">
        <f t="shared" si="90"/>
        <v>0.99217825797554371</v>
      </c>
      <c r="Y330" s="17"/>
      <c r="Z330" s="23">
        <f t="shared" si="93"/>
        <v>45602</v>
      </c>
      <c r="AA330" s="22">
        <f t="shared" si="94"/>
        <v>45602</v>
      </c>
      <c r="AB330" s="137">
        <v>45602</v>
      </c>
      <c r="AC330" s="137"/>
      <c r="AD330" s="134"/>
      <c r="AE330" s="134"/>
      <c r="AF330" s="139"/>
      <c r="AG330" s="256"/>
      <c r="AH330" s="256"/>
      <c r="AI330" s="256"/>
      <c r="AJ330" s="256"/>
      <c r="AK330" s="134"/>
      <c r="AL330" s="134"/>
      <c r="AM330" s="134"/>
      <c r="AN330" s="18"/>
      <c r="AO330" s="18"/>
      <c r="AP330" s="18"/>
      <c r="AQ330" s="18"/>
      <c r="AR330" s="17"/>
      <c r="AS330" s="21">
        <f t="shared" si="95"/>
        <v>45602</v>
      </c>
      <c r="AT330" s="17"/>
      <c r="AU330" s="17"/>
      <c r="AV330" s="17"/>
      <c r="AW330" s="17"/>
      <c r="AX330" s="17"/>
      <c r="AY330" s="17"/>
      <c r="AZ330" s="17"/>
    </row>
    <row r="331" spans="1:52" ht="20">
      <c r="A331" s="17"/>
      <c r="B331" s="40"/>
      <c r="C331" s="55">
        <f t="shared" si="91"/>
        <v>312</v>
      </c>
      <c r="D331" s="54">
        <v>1</v>
      </c>
      <c r="E331" s="53" t="str">
        <f t="shared" si="83"/>
        <v>11</v>
      </c>
      <c r="F331" s="52">
        <f t="shared" si="92"/>
        <v>45603</v>
      </c>
      <c r="G331" s="51" t="str">
        <f t="shared" si="84"/>
        <v>Thu</v>
      </c>
      <c r="H331" s="50"/>
      <c r="I331" s="49"/>
      <c r="J331" s="48">
        <v>280080</v>
      </c>
      <c r="K331" s="31"/>
      <c r="L331" s="43">
        <f t="shared" si="97"/>
        <v>258760.76833910032</v>
      </c>
      <c r="M331" s="47">
        <f t="shared" si="85"/>
        <v>21319.231660899677</v>
      </c>
      <c r="N331" s="41">
        <f t="shared" si="86"/>
        <v>1.0823897370445326</v>
      </c>
      <c r="O331" s="46"/>
      <c r="P331" s="45">
        <f>IF(D331=0,0,SUM($L$325:L331))</f>
        <v>1293803.8416955017</v>
      </c>
      <c r="Q331" s="43">
        <f>IF(D331=0,0,SUM($J$325:J331))</f>
        <v>1252310</v>
      </c>
      <c r="R331" s="42">
        <f t="shared" si="87"/>
        <v>-41493.841695501702</v>
      </c>
      <c r="S331" s="41">
        <f t="shared" si="88"/>
        <v>0.96792880005586868</v>
      </c>
      <c r="T331" s="56"/>
      <c r="U331" s="43">
        <f>IF(D331=0,0,SUM($L$20:L331))</f>
        <v>58898879.650518954</v>
      </c>
      <c r="V331" s="43">
        <f>IF(D331=0,0,SUM($J$20:J331))</f>
        <v>58461531</v>
      </c>
      <c r="W331" s="42">
        <f t="shared" si="89"/>
        <v>-437348.6505189538</v>
      </c>
      <c r="X331" s="41">
        <f t="shared" si="90"/>
        <v>0.99257458455722769</v>
      </c>
      <c r="Y331" s="17"/>
      <c r="Z331" s="23">
        <f t="shared" si="93"/>
        <v>45603</v>
      </c>
      <c r="AA331" s="22">
        <f t="shared" si="94"/>
        <v>45603</v>
      </c>
      <c r="AB331" s="137">
        <v>45603</v>
      </c>
      <c r="AC331" s="137"/>
      <c r="AD331" s="134"/>
      <c r="AE331" s="134"/>
      <c r="AF331" s="139"/>
      <c r="AG331" s="256"/>
      <c r="AH331" s="256"/>
      <c r="AI331" s="256"/>
      <c r="AJ331" s="256"/>
      <c r="AK331" s="134"/>
      <c r="AL331" s="134"/>
      <c r="AM331" s="134"/>
      <c r="AN331" s="18"/>
      <c r="AO331" s="18"/>
      <c r="AP331" s="18"/>
      <c r="AQ331" s="18"/>
      <c r="AR331" s="17"/>
      <c r="AS331" s="21">
        <f t="shared" si="95"/>
        <v>45603</v>
      </c>
      <c r="AT331" s="17"/>
      <c r="AU331" s="17"/>
      <c r="AV331" s="17"/>
      <c r="AW331" s="17"/>
      <c r="AX331" s="17"/>
      <c r="AY331" s="17"/>
      <c r="AZ331" s="17"/>
    </row>
    <row r="332" spans="1:52" ht="20">
      <c r="A332" s="17"/>
      <c r="B332" s="40"/>
      <c r="C332" s="55">
        <f t="shared" si="91"/>
        <v>313</v>
      </c>
      <c r="D332" s="54">
        <v>1</v>
      </c>
      <c r="E332" s="53" t="str">
        <f t="shared" si="83"/>
        <v>11</v>
      </c>
      <c r="F332" s="52">
        <f t="shared" si="92"/>
        <v>45604</v>
      </c>
      <c r="G332" s="51" t="str">
        <f t="shared" si="84"/>
        <v>Fri</v>
      </c>
      <c r="H332" s="50"/>
      <c r="I332" s="49"/>
      <c r="J332" s="48">
        <v>393950</v>
      </c>
      <c r="K332" s="31"/>
      <c r="L332" s="43">
        <f t="shared" si="97"/>
        <v>258760.76833910032</v>
      </c>
      <c r="M332" s="47">
        <f t="shared" si="85"/>
        <v>135189.23166089968</v>
      </c>
      <c r="N332" s="41">
        <f t="shared" si="86"/>
        <v>1.5224487178973636</v>
      </c>
      <c r="O332" s="46"/>
      <c r="P332" s="45">
        <f>IF(D332=0,0,SUM($L$325:L332))</f>
        <v>1552564.610034602</v>
      </c>
      <c r="Q332" s="43">
        <f>IF(D332=0,0,SUM($J$325:J332))</f>
        <v>1646260</v>
      </c>
      <c r="R332" s="42">
        <f t="shared" si="87"/>
        <v>93695.389965398004</v>
      </c>
      <c r="S332" s="41">
        <f t="shared" si="88"/>
        <v>1.0603487863627845</v>
      </c>
      <c r="T332" s="56"/>
      <c r="U332" s="43">
        <f>IF(D332=0,0,SUM($L$20:L332))</f>
        <v>59157640.418858051</v>
      </c>
      <c r="V332" s="43">
        <f>IF(D332=0,0,SUM($J$20:J332))</f>
        <v>58855481</v>
      </c>
      <c r="W332" s="42">
        <f t="shared" si="89"/>
        <v>-302159.4188580513</v>
      </c>
      <c r="X332" s="41">
        <f t="shared" si="90"/>
        <v>0.99489230103299164</v>
      </c>
      <c r="Y332" s="17"/>
      <c r="Z332" s="23">
        <f t="shared" si="93"/>
        <v>45604</v>
      </c>
      <c r="AA332" s="22">
        <f t="shared" si="94"/>
        <v>45604</v>
      </c>
      <c r="AB332" s="137">
        <v>45604</v>
      </c>
      <c r="AC332" s="137"/>
      <c r="AD332" s="134"/>
      <c r="AE332" s="134"/>
      <c r="AF332" s="139"/>
      <c r="AG332" s="256"/>
      <c r="AH332" s="256"/>
      <c r="AI332" s="256"/>
      <c r="AJ332" s="256"/>
      <c r="AK332" s="134"/>
      <c r="AL332" s="134"/>
      <c r="AM332" s="134"/>
      <c r="AN332" s="18"/>
      <c r="AO332" s="18"/>
      <c r="AP332" s="18"/>
      <c r="AQ332" s="18"/>
      <c r="AR332" s="17"/>
      <c r="AS332" s="21">
        <f t="shared" si="95"/>
        <v>45604</v>
      </c>
      <c r="AT332" s="17"/>
      <c r="AU332" s="17"/>
      <c r="AV332" s="17"/>
      <c r="AW332" s="17"/>
      <c r="AX332" s="17"/>
      <c r="AY332" s="17"/>
      <c r="AZ332" s="17"/>
    </row>
    <row r="333" spans="1:52" ht="20">
      <c r="A333" s="17"/>
      <c r="B333" s="40"/>
      <c r="C333" s="55">
        <f t="shared" si="91"/>
        <v>314</v>
      </c>
      <c r="D333" s="54">
        <v>1</v>
      </c>
      <c r="E333" s="53" t="str">
        <f t="shared" si="83"/>
        <v>11</v>
      </c>
      <c r="F333" s="52">
        <f t="shared" si="92"/>
        <v>45605</v>
      </c>
      <c r="G333" s="51" t="str">
        <f t="shared" si="84"/>
        <v>Sat</v>
      </c>
      <c r="H333" s="50"/>
      <c r="I333" s="49"/>
      <c r="J333" s="48">
        <v>320900</v>
      </c>
      <c r="K333" s="31"/>
      <c r="L333" s="43">
        <f t="shared" si="97"/>
        <v>258760.76833910032</v>
      </c>
      <c r="M333" s="47">
        <f t="shared" si="85"/>
        <v>62139.231660899677</v>
      </c>
      <c r="N333" s="41">
        <f t="shared" si="86"/>
        <v>1.2401416260268154</v>
      </c>
      <c r="O333" s="46"/>
      <c r="P333" s="45">
        <f>IF(D333=0,0,SUM($L$325:L333))</f>
        <v>1811325.3783737023</v>
      </c>
      <c r="Q333" s="43">
        <f>IF(D333=0,0,SUM($J$325:J333))</f>
        <v>1967160</v>
      </c>
      <c r="R333" s="42">
        <f t="shared" si="87"/>
        <v>155834.62162629771</v>
      </c>
      <c r="S333" s="41">
        <f t="shared" si="88"/>
        <v>1.0860334777433605</v>
      </c>
      <c r="T333" s="44"/>
      <c r="U333" s="43">
        <f>IF(D333=0,0,SUM($L$20:L333))</f>
        <v>59416401.187197149</v>
      </c>
      <c r="V333" s="43">
        <f>IF(D333=0,0,SUM($J$20:J333))</f>
        <v>59176381</v>
      </c>
      <c r="W333" s="42">
        <f t="shared" si="89"/>
        <v>-240020.1871971488</v>
      </c>
      <c r="X333" s="41">
        <f t="shared" si="90"/>
        <v>0.99596037150683459</v>
      </c>
      <c r="Y333" s="17"/>
      <c r="Z333" s="23">
        <f t="shared" si="93"/>
        <v>45605</v>
      </c>
      <c r="AA333" s="22">
        <f t="shared" si="94"/>
        <v>45605</v>
      </c>
      <c r="AB333" s="137">
        <v>45605</v>
      </c>
      <c r="AC333" s="137"/>
      <c r="AD333" s="134"/>
      <c r="AE333" s="134"/>
      <c r="AF333" s="139"/>
      <c r="AG333" s="256"/>
      <c r="AH333" s="256"/>
      <c r="AI333" s="256"/>
      <c r="AJ333" s="256"/>
      <c r="AK333" s="134"/>
      <c r="AL333" s="134"/>
      <c r="AM333" s="134"/>
      <c r="AN333" s="18"/>
      <c r="AO333" s="18"/>
      <c r="AP333" s="18"/>
      <c r="AQ333" s="18"/>
      <c r="AR333" s="17"/>
      <c r="AS333" s="21">
        <f t="shared" si="95"/>
        <v>45605</v>
      </c>
      <c r="AT333" s="17"/>
      <c r="AU333" s="17"/>
      <c r="AV333" s="17"/>
      <c r="AW333" s="17"/>
      <c r="AX333" s="17"/>
      <c r="AY333" s="17"/>
      <c r="AZ333" s="17"/>
    </row>
    <row r="334" spans="1:52" ht="20">
      <c r="A334" s="17"/>
      <c r="B334" s="40"/>
      <c r="C334" s="55">
        <f t="shared" si="91"/>
        <v>315</v>
      </c>
      <c r="D334" s="54">
        <v>0</v>
      </c>
      <c r="E334" s="53" t="str">
        <f t="shared" si="83"/>
        <v>11</v>
      </c>
      <c r="F334" s="52">
        <f t="shared" si="92"/>
        <v>45606</v>
      </c>
      <c r="G334" s="51" t="str">
        <f t="shared" si="84"/>
        <v>Sun</v>
      </c>
      <c r="H334" s="50" t="s">
        <v>46</v>
      </c>
      <c r="I334" s="49"/>
      <c r="J334" s="48">
        <v>0</v>
      </c>
      <c r="K334" s="31"/>
      <c r="L334" s="43">
        <f t="shared" si="97"/>
        <v>0</v>
      </c>
      <c r="M334" s="47">
        <f t="shared" si="85"/>
        <v>0</v>
      </c>
      <c r="N334" s="41" t="str">
        <f t="shared" si="86"/>
        <v>0%</v>
      </c>
      <c r="O334" s="46"/>
      <c r="P334" s="45">
        <f>IF(D334=0,0,SUM($L$325:L334))</f>
        <v>0</v>
      </c>
      <c r="Q334" s="43">
        <f>IF(D334=0,0,SUM($J$325:J334))</f>
        <v>0</v>
      </c>
      <c r="R334" s="42">
        <f t="shared" si="87"/>
        <v>0</v>
      </c>
      <c r="S334" s="41" t="str">
        <f t="shared" si="88"/>
        <v>0%</v>
      </c>
      <c r="T334" s="56"/>
      <c r="U334" s="43">
        <f>IF(D334=0,0,SUM($L$20:L334))</f>
        <v>0</v>
      </c>
      <c r="V334" s="43">
        <f>IF(D334=0,0,SUM($J$20:J334))</f>
        <v>0</v>
      </c>
      <c r="W334" s="42">
        <f t="shared" si="89"/>
        <v>0</v>
      </c>
      <c r="X334" s="41" t="str">
        <f t="shared" si="90"/>
        <v>0%</v>
      </c>
      <c r="Y334" s="17"/>
      <c r="Z334" s="23">
        <f t="shared" si="93"/>
        <v>45606</v>
      </c>
      <c r="AA334" s="22">
        <f t="shared" si="94"/>
        <v>45606</v>
      </c>
      <c r="AB334" s="137">
        <v>45606</v>
      </c>
      <c r="AC334" s="137"/>
      <c r="AD334" s="134"/>
      <c r="AE334" s="134"/>
      <c r="AF334" s="139"/>
      <c r="AG334" s="256"/>
      <c r="AH334" s="256"/>
      <c r="AI334" s="256"/>
      <c r="AJ334" s="256"/>
      <c r="AK334" s="134"/>
      <c r="AL334" s="134"/>
      <c r="AM334" s="134"/>
      <c r="AN334" s="18"/>
      <c r="AO334" s="18"/>
      <c r="AP334" s="18"/>
      <c r="AQ334" s="18"/>
      <c r="AR334" s="17"/>
      <c r="AS334" s="21">
        <f t="shared" si="95"/>
        <v>45606</v>
      </c>
      <c r="AT334" s="17"/>
      <c r="AU334" s="17"/>
      <c r="AV334" s="17"/>
      <c r="AW334" s="17"/>
      <c r="AX334" s="17"/>
      <c r="AY334" s="17"/>
      <c r="AZ334" s="17"/>
    </row>
    <row r="335" spans="1:52" ht="20">
      <c r="A335" s="17"/>
      <c r="B335" s="40"/>
      <c r="C335" s="55">
        <f t="shared" si="91"/>
        <v>316</v>
      </c>
      <c r="D335" s="54">
        <v>1</v>
      </c>
      <c r="E335" s="53" t="str">
        <f t="shared" si="83"/>
        <v>11</v>
      </c>
      <c r="F335" s="52">
        <f t="shared" si="92"/>
        <v>45607</v>
      </c>
      <c r="G335" s="51" t="str">
        <f t="shared" si="84"/>
        <v>Mon</v>
      </c>
      <c r="H335" s="50"/>
      <c r="I335" s="49"/>
      <c r="J335" s="48">
        <v>171150</v>
      </c>
      <c r="K335" s="31"/>
      <c r="L335" s="43">
        <f t="shared" si="97"/>
        <v>258760.76833910032</v>
      </c>
      <c r="M335" s="47">
        <f t="shared" si="85"/>
        <v>-87610.768339100323</v>
      </c>
      <c r="N335" s="41">
        <f t="shared" si="86"/>
        <v>0.66142174912586316</v>
      </c>
      <c r="O335" s="46"/>
      <c r="P335" s="45">
        <f>IF(D335=0,0,SUM($L$325:L335))</f>
        <v>2070086.1467128026</v>
      </c>
      <c r="Q335" s="43">
        <f>IF(D335=0,0,SUM($J$325:J335))</f>
        <v>2138310</v>
      </c>
      <c r="R335" s="42">
        <f t="shared" si="87"/>
        <v>68223.853287197417</v>
      </c>
      <c r="S335" s="41">
        <f t="shared" si="88"/>
        <v>1.0329570116661733</v>
      </c>
      <c r="T335" s="56"/>
      <c r="U335" s="43">
        <f>IF(D335=0,0,SUM($L$20:L335))</f>
        <v>59675161.955536246</v>
      </c>
      <c r="V335" s="43">
        <f>IF(D335=0,0,SUM($J$20:J335))</f>
        <v>59347531</v>
      </c>
      <c r="W335" s="42">
        <f t="shared" si="89"/>
        <v>-327630.9555362463</v>
      </c>
      <c r="X335" s="41">
        <f t="shared" si="90"/>
        <v>0.99450976009448688</v>
      </c>
      <c r="Y335" s="17"/>
      <c r="Z335" s="23">
        <f t="shared" si="93"/>
        <v>45607</v>
      </c>
      <c r="AA335" s="22">
        <f t="shared" si="94"/>
        <v>45607</v>
      </c>
      <c r="AB335" s="137">
        <v>45607</v>
      </c>
      <c r="AC335" s="137"/>
      <c r="AD335" s="134"/>
      <c r="AE335" s="134"/>
      <c r="AF335" s="139"/>
      <c r="AG335" s="256"/>
      <c r="AH335" s="256"/>
      <c r="AI335" s="256"/>
      <c r="AJ335" s="256"/>
      <c r="AK335" s="134"/>
      <c r="AL335" s="134"/>
      <c r="AM335" s="134"/>
      <c r="AN335" s="18"/>
      <c r="AO335" s="18"/>
      <c r="AP335" s="18"/>
      <c r="AQ335" s="18"/>
      <c r="AR335" s="17"/>
      <c r="AS335" s="21">
        <f t="shared" si="95"/>
        <v>45607</v>
      </c>
      <c r="AT335" s="17"/>
      <c r="AU335" s="17"/>
      <c r="AV335" s="17"/>
      <c r="AW335" s="17"/>
      <c r="AX335" s="17"/>
      <c r="AY335" s="17"/>
      <c r="AZ335" s="17"/>
    </row>
    <row r="336" spans="1:52" ht="20">
      <c r="A336" s="17"/>
      <c r="B336" s="40"/>
      <c r="C336" s="55">
        <f t="shared" si="91"/>
        <v>317</v>
      </c>
      <c r="D336" s="54">
        <v>1</v>
      </c>
      <c r="E336" s="53" t="str">
        <f t="shared" si="83"/>
        <v>11</v>
      </c>
      <c r="F336" s="52">
        <f t="shared" si="92"/>
        <v>45608</v>
      </c>
      <c r="G336" s="51" t="str">
        <f t="shared" si="84"/>
        <v>Tue</v>
      </c>
      <c r="H336" s="50"/>
      <c r="I336" s="49"/>
      <c r="J336" s="48">
        <v>259350</v>
      </c>
      <c r="K336" s="31"/>
      <c r="L336" s="43">
        <f t="shared" si="97"/>
        <v>258760.76833910032</v>
      </c>
      <c r="M336" s="47">
        <f t="shared" si="85"/>
        <v>589.23166089967708</v>
      </c>
      <c r="N336" s="41">
        <f t="shared" si="86"/>
        <v>1.0022771290434858</v>
      </c>
      <c r="O336" s="46"/>
      <c r="P336" s="45">
        <f>IF(D336=0,0,SUM($L$325:L336))</f>
        <v>2328846.9150519031</v>
      </c>
      <c r="Q336" s="43">
        <f>IF(D336=0,0,SUM($J$325:J336))</f>
        <v>2397660</v>
      </c>
      <c r="R336" s="42">
        <f t="shared" si="87"/>
        <v>68813.08494809689</v>
      </c>
      <c r="S336" s="41">
        <f t="shared" si="88"/>
        <v>1.0295481358192078</v>
      </c>
      <c r="T336" s="56"/>
      <c r="U336" s="43">
        <f>IF(D336=0,0,SUM($L$20:L336))</f>
        <v>59933922.723875344</v>
      </c>
      <c r="V336" s="43">
        <f>IF(D336=0,0,SUM($J$20:J336))</f>
        <v>59606881</v>
      </c>
      <c r="W336" s="42">
        <f t="shared" si="89"/>
        <v>-327041.7238753438</v>
      </c>
      <c r="X336" s="41">
        <f t="shared" si="90"/>
        <v>0.99454329519891305</v>
      </c>
      <c r="Y336" s="17"/>
      <c r="Z336" s="23">
        <f t="shared" si="93"/>
        <v>45608</v>
      </c>
      <c r="AA336" s="22">
        <f t="shared" si="94"/>
        <v>45608</v>
      </c>
      <c r="AB336" s="137">
        <v>45608</v>
      </c>
      <c r="AC336" s="137"/>
      <c r="AD336" s="134"/>
      <c r="AE336" s="134"/>
      <c r="AF336" s="139"/>
      <c r="AG336" s="256"/>
      <c r="AH336" s="256"/>
      <c r="AI336" s="256"/>
      <c r="AJ336" s="256"/>
      <c r="AK336" s="134"/>
      <c r="AL336" s="134"/>
      <c r="AM336" s="134"/>
      <c r="AN336" s="18"/>
      <c r="AO336" s="18"/>
      <c r="AP336" s="18"/>
      <c r="AQ336" s="18"/>
      <c r="AR336" s="17"/>
      <c r="AS336" s="21">
        <f t="shared" si="95"/>
        <v>45608</v>
      </c>
      <c r="AT336" s="17"/>
      <c r="AU336" s="17"/>
      <c r="AV336" s="17"/>
      <c r="AW336" s="17"/>
      <c r="AX336" s="17"/>
      <c r="AY336" s="17"/>
      <c r="AZ336" s="17"/>
    </row>
    <row r="337" spans="1:52" ht="20">
      <c r="A337" s="17"/>
      <c r="B337" s="40"/>
      <c r="C337" s="55">
        <f t="shared" si="91"/>
        <v>318</v>
      </c>
      <c r="D337" s="54">
        <v>1</v>
      </c>
      <c r="E337" s="53" t="str">
        <f t="shared" si="83"/>
        <v>11</v>
      </c>
      <c r="F337" s="52">
        <f t="shared" si="92"/>
        <v>45609</v>
      </c>
      <c r="G337" s="51" t="str">
        <f t="shared" si="84"/>
        <v>Wed</v>
      </c>
      <c r="H337" s="50"/>
      <c r="I337" s="49"/>
      <c r="J337" s="48">
        <v>216530</v>
      </c>
      <c r="K337" s="31"/>
      <c r="L337" s="43">
        <f t="shared" si="97"/>
        <v>258760.76833910032</v>
      </c>
      <c r="M337" s="47">
        <f t="shared" si="85"/>
        <v>-42230.768339100323</v>
      </c>
      <c r="N337" s="41">
        <f t="shared" si="86"/>
        <v>0.83679609312429526</v>
      </c>
      <c r="O337" s="46"/>
      <c r="P337" s="45">
        <f>IF(D337=0,0,SUM($L$325:L337))</f>
        <v>2587607.6833910034</v>
      </c>
      <c r="Q337" s="43">
        <f>IF(D337=0,0,SUM($J$325:J337))</f>
        <v>2614190</v>
      </c>
      <c r="R337" s="42">
        <f t="shared" si="87"/>
        <v>26582.316608996596</v>
      </c>
      <c r="S337" s="41">
        <f t="shared" si="88"/>
        <v>1.0102729315497165</v>
      </c>
      <c r="T337" s="56"/>
      <c r="U337" s="43">
        <f>IF(D337=0,0,SUM($L$20:L337))</f>
        <v>60192683.492214441</v>
      </c>
      <c r="V337" s="43">
        <f>IF(D337=0,0,SUM($J$20:J337))</f>
        <v>59823411</v>
      </c>
      <c r="W337" s="42">
        <f t="shared" si="89"/>
        <v>-369272.4922144413</v>
      </c>
      <c r="X337" s="41">
        <f t="shared" si="90"/>
        <v>0.99386515983687274</v>
      </c>
      <c r="Y337" s="17"/>
      <c r="Z337" s="23">
        <f t="shared" si="93"/>
        <v>45609</v>
      </c>
      <c r="AA337" s="22">
        <f t="shared" si="94"/>
        <v>45609</v>
      </c>
      <c r="AB337" s="137">
        <v>45609</v>
      </c>
      <c r="AC337" s="137"/>
      <c r="AD337" s="134"/>
      <c r="AE337" s="134"/>
      <c r="AF337" s="139"/>
      <c r="AG337" s="256"/>
      <c r="AH337" s="256"/>
      <c r="AI337" s="256"/>
      <c r="AJ337" s="256"/>
      <c r="AK337" s="134"/>
      <c r="AL337" s="134"/>
      <c r="AM337" s="134"/>
      <c r="AN337" s="18"/>
      <c r="AO337" s="18"/>
      <c r="AP337" s="18"/>
      <c r="AQ337" s="18"/>
      <c r="AR337" s="17"/>
      <c r="AS337" s="21">
        <f t="shared" si="95"/>
        <v>45609</v>
      </c>
      <c r="AT337" s="17"/>
      <c r="AU337" s="17"/>
      <c r="AV337" s="17"/>
      <c r="AW337" s="17"/>
      <c r="AX337" s="17"/>
      <c r="AY337" s="17"/>
      <c r="AZ337" s="17"/>
    </row>
    <row r="338" spans="1:52" ht="20">
      <c r="A338" s="17"/>
      <c r="B338" s="40"/>
      <c r="C338" s="55">
        <f t="shared" si="91"/>
        <v>319</v>
      </c>
      <c r="D338" s="54">
        <v>1</v>
      </c>
      <c r="E338" s="53" t="str">
        <f t="shared" si="83"/>
        <v>11</v>
      </c>
      <c r="F338" s="52">
        <f t="shared" si="92"/>
        <v>45610</v>
      </c>
      <c r="G338" s="51" t="str">
        <f t="shared" si="84"/>
        <v>Thu</v>
      </c>
      <c r="H338" s="50"/>
      <c r="I338" s="49"/>
      <c r="J338" s="48">
        <v>187300</v>
      </c>
      <c r="K338" s="31"/>
      <c r="L338" s="43">
        <f t="shared" si="97"/>
        <v>258760.76833910032</v>
      </c>
      <c r="M338" s="47">
        <f t="shared" si="85"/>
        <v>-71460.768339100323</v>
      </c>
      <c r="N338" s="41">
        <f t="shared" si="86"/>
        <v>0.72383461064139154</v>
      </c>
      <c r="O338" s="46"/>
      <c r="P338" s="45">
        <f>IF(D338=0,0,SUM($L$325:L338))</f>
        <v>2846368.4517301037</v>
      </c>
      <c r="Q338" s="43">
        <f>IF(D338=0,0,SUM($J$325:J338))</f>
        <v>2801490</v>
      </c>
      <c r="R338" s="42">
        <f t="shared" si="87"/>
        <v>-44878.451730103698</v>
      </c>
      <c r="S338" s="41">
        <f t="shared" si="88"/>
        <v>0.98423308419441435</v>
      </c>
      <c r="T338" s="56"/>
      <c r="U338" s="43">
        <f>IF(D338=0,0,SUM($L$20:L338))</f>
        <v>60451444.260553539</v>
      </c>
      <c r="V338" s="43">
        <f>IF(D338=0,0,SUM($J$20:J338))</f>
        <v>60010711</v>
      </c>
      <c r="W338" s="42">
        <f t="shared" si="89"/>
        <v>-440733.2605535388</v>
      </c>
      <c r="X338" s="41">
        <f t="shared" si="90"/>
        <v>0.99270930139147839</v>
      </c>
      <c r="Y338" s="17"/>
      <c r="Z338" s="23">
        <f t="shared" si="93"/>
        <v>45610</v>
      </c>
      <c r="AA338" s="22">
        <f t="shared" si="94"/>
        <v>45610</v>
      </c>
      <c r="AB338" s="137">
        <v>45610</v>
      </c>
      <c r="AC338" s="137"/>
      <c r="AD338" s="134"/>
      <c r="AE338" s="134"/>
      <c r="AF338" s="139"/>
      <c r="AG338" s="256"/>
      <c r="AH338" s="256"/>
      <c r="AI338" s="256"/>
      <c r="AJ338" s="256"/>
      <c r="AK338" s="134"/>
      <c r="AL338" s="134"/>
      <c r="AM338" s="134"/>
      <c r="AN338" s="18"/>
      <c r="AO338" s="18"/>
      <c r="AP338" s="18"/>
      <c r="AQ338" s="18"/>
      <c r="AR338" s="17"/>
      <c r="AS338" s="21">
        <f t="shared" si="95"/>
        <v>45610</v>
      </c>
      <c r="AT338" s="17"/>
      <c r="AU338" s="17"/>
      <c r="AV338" s="17"/>
      <c r="AW338" s="17"/>
      <c r="AX338" s="17"/>
      <c r="AY338" s="17"/>
      <c r="AZ338" s="17"/>
    </row>
    <row r="339" spans="1:52" ht="20">
      <c r="A339" s="17"/>
      <c r="B339" s="40"/>
      <c r="C339" s="55">
        <f t="shared" si="91"/>
        <v>320</v>
      </c>
      <c r="D339" s="54">
        <v>1</v>
      </c>
      <c r="E339" s="53" t="str">
        <f t="shared" si="83"/>
        <v>11</v>
      </c>
      <c r="F339" s="52">
        <f t="shared" si="92"/>
        <v>45611</v>
      </c>
      <c r="G339" s="51" t="str">
        <f t="shared" si="84"/>
        <v>Fri</v>
      </c>
      <c r="H339" s="50"/>
      <c r="I339" s="49"/>
      <c r="J339" s="48">
        <v>385100</v>
      </c>
      <c r="K339" s="31"/>
      <c r="L339" s="43">
        <f t="shared" si="97"/>
        <v>258760.76833910032</v>
      </c>
      <c r="M339" s="47">
        <f t="shared" si="85"/>
        <v>126339.23166089968</v>
      </c>
      <c r="N339" s="41">
        <f t="shared" si="86"/>
        <v>1.4882472427015476</v>
      </c>
      <c r="O339" s="46"/>
      <c r="P339" s="45">
        <f>IF(D339=0,0,SUM($L$325:L339))</f>
        <v>3105129.220069204</v>
      </c>
      <c r="Q339" s="43">
        <f>IF(D339=0,0,SUM($J$325:J339))</f>
        <v>3186590</v>
      </c>
      <c r="R339" s="42">
        <f t="shared" si="87"/>
        <v>81460.779930796009</v>
      </c>
      <c r="S339" s="41">
        <f t="shared" si="88"/>
        <v>1.0262342640700088</v>
      </c>
      <c r="T339" s="56"/>
      <c r="U339" s="43">
        <f>IF(D339=0,0,SUM($L$20:L339))</f>
        <v>60710205.028892636</v>
      </c>
      <c r="V339" s="43">
        <f>IF(D339=0,0,SUM($J$20:J339))</f>
        <v>60395811</v>
      </c>
      <c r="W339" s="42">
        <f t="shared" si="89"/>
        <v>-314394.0288926363</v>
      </c>
      <c r="X339" s="41">
        <f t="shared" si="90"/>
        <v>0.99482139734591557</v>
      </c>
      <c r="Y339" s="17"/>
      <c r="Z339" s="23">
        <f t="shared" si="93"/>
        <v>45611</v>
      </c>
      <c r="AA339" s="22">
        <f t="shared" si="94"/>
        <v>45611</v>
      </c>
      <c r="AB339" s="137">
        <v>45611</v>
      </c>
      <c r="AC339" s="137"/>
      <c r="AD339" s="134"/>
      <c r="AE339" s="134"/>
      <c r="AF339" s="139"/>
      <c r="AG339" s="256"/>
      <c r="AH339" s="256"/>
      <c r="AI339" s="256"/>
      <c r="AJ339" s="256"/>
      <c r="AK339" s="134"/>
      <c r="AL339" s="134"/>
      <c r="AM339" s="134"/>
      <c r="AN339" s="18"/>
      <c r="AO339" s="18"/>
      <c r="AP339" s="18"/>
      <c r="AQ339" s="18"/>
      <c r="AR339" s="17"/>
      <c r="AS339" s="21">
        <f t="shared" si="95"/>
        <v>45611</v>
      </c>
      <c r="AT339" s="17"/>
      <c r="AU339" s="17"/>
      <c r="AV339" s="17"/>
      <c r="AW339" s="17"/>
      <c r="AX339" s="17"/>
      <c r="AY339" s="17"/>
      <c r="AZ339" s="17"/>
    </row>
    <row r="340" spans="1:52" ht="20">
      <c r="A340" s="17"/>
      <c r="B340" s="40"/>
      <c r="C340" s="55">
        <f t="shared" si="91"/>
        <v>321</v>
      </c>
      <c r="D340" s="54">
        <v>1</v>
      </c>
      <c r="E340" s="53" t="str">
        <f t="shared" ref="E340:E385" si="98">TEXT(AA340,"m")</f>
        <v>11</v>
      </c>
      <c r="F340" s="52">
        <f t="shared" si="92"/>
        <v>45612</v>
      </c>
      <c r="G340" s="51" t="str">
        <f t="shared" ref="G340:G385" si="99">TEXT(AS340,"ddd")</f>
        <v>Sat</v>
      </c>
      <c r="H340" s="50"/>
      <c r="I340" s="49"/>
      <c r="J340" s="48">
        <v>205350</v>
      </c>
      <c r="K340" s="31"/>
      <c r="L340" s="43">
        <f t="shared" si="97"/>
        <v>258760.76833910032</v>
      </c>
      <c r="M340" s="47">
        <f t="shared" ref="M340:M385" si="100">IF(D340=0,0,J340-L340)</f>
        <v>-53410.768339100323</v>
      </c>
      <c r="N340" s="41">
        <f t="shared" ref="N340:N385" si="101">IFERROR(J340/L340,"0%")</f>
        <v>0.79359016174698216</v>
      </c>
      <c r="O340" s="46"/>
      <c r="P340" s="45">
        <f>IF(D340=0,0,SUM($L$325:L340))</f>
        <v>3363889.9884083043</v>
      </c>
      <c r="Q340" s="43">
        <f>IF(D340=0,0,SUM($J$325:J340))</f>
        <v>3391940</v>
      </c>
      <c r="R340" s="42">
        <f t="shared" ref="R340:R385" si="102">IF(D340=0,0,Q340-P340)</f>
        <v>28050.011591695715</v>
      </c>
      <c r="S340" s="41">
        <f t="shared" ref="S340:S385" si="103">IFERROR(Q340/P340,"0%")</f>
        <v>1.0083385638913145</v>
      </c>
      <c r="T340" s="44"/>
      <c r="U340" s="43">
        <f>IF(D340=0,0,SUM($L$20:L340))</f>
        <v>60968965.797231734</v>
      </c>
      <c r="V340" s="43">
        <f>IF(D340=0,0,SUM($J$20:J340))</f>
        <v>60601161</v>
      </c>
      <c r="W340" s="42">
        <f t="shared" ref="W340:W385" si="104">IF(D340=0,0,V340-U340)</f>
        <v>-367804.7972317338</v>
      </c>
      <c r="X340" s="41">
        <f t="shared" ref="X340:X385" si="105">IFERROR(V340/U340,"0%")</f>
        <v>0.99396734400161935</v>
      </c>
      <c r="Y340" s="17"/>
      <c r="Z340" s="23">
        <f t="shared" si="93"/>
        <v>45612</v>
      </c>
      <c r="AA340" s="22">
        <f t="shared" si="94"/>
        <v>45612</v>
      </c>
      <c r="AB340" s="137">
        <v>45612</v>
      </c>
      <c r="AC340" s="137"/>
      <c r="AD340" s="134"/>
      <c r="AE340" s="134"/>
      <c r="AF340" s="139"/>
      <c r="AG340" s="256"/>
      <c r="AH340" s="256"/>
      <c r="AI340" s="256"/>
      <c r="AJ340" s="256"/>
      <c r="AK340" s="134"/>
      <c r="AL340" s="134"/>
      <c r="AM340" s="134"/>
      <c r="AN340" s="18"/>
      <c r="AO340" s="18"/>
      <c r="AP340" s="18"/>
      <c r="AQ340" s="18"/>
      <c r="AR340" s="17"/>
      <c r="AS340" s="21">
        <f t="shared" si="95"/>
        <v>45612</v>
      </c>
      <c r="AT340" s="17"/>
      <c r="AU340" s="17"/>
      <c r="AV340" s="17"/>
      <c r="AW340" s="17"/>
      <c r="AX340" s="17"/>
      <c r="AY340" s="17"/>
      <c r="AZ340" s="17"/>
    </row>
    <row r="341" spans="1:52" ht="20">
      <c r="A341" s="17"/>
      <c r="B341" s="40"/>
      <c r="C341" s="55">
        <f t="shared" ref="C341:C385" si="106">C340+1</f>
        <v>322</v>
      </c>
      <c r="D341" s="54">
        <v>0</v>
      </c>
      <c r="E341" s="53" t="str">
        <f t="shared" si="98"/>
        <v>11</v>
      </c>
      <c r="F341" s="52">
        <f t="shared" ref="F341:F385" si="107">F340+1</f>
        <v>45613</v>
      </c>
      <c r="G341" s="51" t="str">
        <f t="shared" si="99"/>
        <v>Sun</v>
      </c>
      <c r="H341" s="50" t="s">
        <v>46</v>
      </c>
      <c r="I341" s="49"/>
      <c r="J341" s="48">
        <v>0</v>
      </c>
      <c r="K341" s="31"/>
      <c r="L341" s="43">
        <f t="shared" si="97"/>
        <v>0</v>
      </c>
      <c r="M341" s="47">
        <f t="shared" si="100"/>
        <v>0</v>
      </c>
      <c r="N341" s="41" t="str">
        <f t="shared" si="101"/>
        <v>0%</v>
      </c>
      <c r="O341" s="46"/>
      <c r="P341" s="45">
        <f>IF(D341=0,0,SUM($L$325:L341))</f>
        <v>0</v>
      </c>
      <c r="Q341" s="43">
        <f>IF(D341=0,0,SUM($J$325:J341))</f>
        <v>0</v>
      </c>
      <c r="R341" s="42">
        <f t="shared" si="102"/>
        <v>0</v>
      </c>
      <c r="S341" s="41" t="str">
        <f t="shared" si="103"/>
        <v>0%</v>
      </c>
      <c r="T341" s="56"/>
      <c r="U341" s="43">
        <f>IF(D341=0,0,SUM($L$20:L341))</f>
        <v>0</v>
      </c>
      <c r="V341" s="43">
        <f>IF(D341=0,0,SUM($J$20:J341))</f>
        <v>0</v>
      </c>
      <c r="W341" s="42">
        <f t="shared" si="104"/>
        <v>0</v>
      </c>
      <c r="X341" s="41" t="str">
        <f t="shared" si="105"/>
        <v>0%</v>
      </c>
      <c r="Y341" s="17"/>
      <c r="Z341" s="23">
        <f t="shared" ref="Z341:Z385" si="108">Z340+1</f>
        <v>45613</v>
      </c>
      <c r="AA341" s="22">
        <f t="shared" ref="AA341:AA385" si="109">AA340+1</f>
        <v>45613</v>
      </c>
      <c r="AB341" s="137">
        <v>45613</v>
      </c>
      <c r="AC341" s="137"/>
      <c r="AD341" s="134"/>
      <c r="AE341" s="134"/>
      <c r="AF341" s="139"/>
      <c r="AG341" s="256"/>
      <c r="AH341" s="256"/>
      <c r="AI341" s="256"/>
      <c r="AJ341" s="256"/>
      <c r="AK341" s="134"/>
      <c r="AL341" s="134"/>
      <c r="AM341" s="134"/>
      <c r="AN341" s="18"/>
      <c r="AO341" s="18"/>
      <c r="AP341" s="18"/>
      <c r="AQ341" s="18"/>
      <c r="AR341" s="17"/>
      <c r="AS341" s="21">
        <f t="shared" ref="AS341:AS385" si="110">AS340+1</f>
        <v>45613</v>
      </c>
      <c r="AT341" s="17"/>
      <c r="AU341" s="17"/>
      <c r="AV341" s="17"/>
      <c r="AW341" s="17"/>
      <c r="AX341" s="17"/>
      <c r="AY341" s="17"/>
      <c r="AZ341" s="17"/>
    </row>
    <row r="342" spans="1:52" ht="20">
      <c r="A342" s="17"/>
      <c r="B342" s="40"/>
      <c r="C342" s="55">
        <f t="shared" si="106"/>
        <v>323</v>
      </c>
      <c r="D342" s="54">
        <v>1</v>
      </c>
      <c r="E342" s="53" t="str">
        <f t="shared" si="98"/>
        <v>11</v>
      </c>
      <c r="F342" s="52">
        <f t="shared" si="107"/>
        <v>45614</v>
      </c>
      <c r="G342" s="51" t="str">
        <f t="shared" si="99"/>
        <v>Mon</v>
      </c>
      <c r="H342" s="50"/>
      <c r="I342" s="49"/>
      <c r="J342" s="48">
        <v>193400</v>
      </c>
      <c r="K342" s="31"/>
      <c r="L342" s="43">
        <f t="shared" si="97"/>
        <v>258760.76833910032</v>
      </c>
      <c r="M342" s="47">
        <f t="shared" si="100"/>
        <v>-65360.768339100323</v>
      </c>
      <c r="N342" s="41">
        <f t="shared" si="101"/>
        <v>0.74740850879895959</v>
      </c>
      <c r="O342" s="46"/>
      <c r="P342" s="45">
        <f>IF(D342=0,0,SUM($L$325:L342))</f>
        <v>3622650.7567474046</v>
      </c>
      <c r="Q342" s="43">
        <f>IF(D342=0,0,SUM($J$325:J342))</f>
        <v>3585340</v>
      </c>
      <c r="R342" s="42">
        <f t="shared" si="102"/>
        <v>-37310.756747404579</v>
      </c>
      <c r="S342" s="41">
        <f t="shared" si="103"/>
        <v>0.98970070281328915</v>
      </c>
      <c r="T342" s="56"/>
      <c r="U342" s="43">
        <f>IF(D342=0,0,SUM($L$20:L342))</f>
        <v>61227726.565570831</v>
      </c>
      <c r="V342" s="43">
        <f>IF(D342=0,0,SUM($J$20:J342))</f>
        <v>60794561</v>
      </c>
      <c r="W342" s="42">
        <f t="shared" si="104"/>
        <v>-433165.5655708313</v>
      </c>
      <c r="X342" s="41">
        <f t="shared" si="105"/>
        <v>0.99292533644692915</v>
      </c>
      <c r="Y342" s="17"/>
      <c r="Z342" s="23">
        <f t="shared" si="108"/>
        <v>45614</v>
      </c>
      <c r="AA342" s="22">
        <f t="shared" si="109"/>
        <v>45614</v>
      </c>
      <c r="AB342" s="137">
        <v>45614</v>
      </c>
      <c r="AC342" s="137"/>
      <c r="AD342" s="134"/>
      <c r="AE342" s="134"/>
      <c r="AF342" s="139"/>
      <c r="AG342" s="256"/>
      <c r="AH342" s="256"/>
      <c r="AI342" s="256"/>
      <c r="AJ342" s="256"/>
      <c r="AK342" s="134"/>
      <c r="AL342" s="134"/>
      <c r="AM342" s="134"/>
      <c r="AN342" s="18"/>
      <c r="AO342" s="18"/>
      <c r="AP342" s="18"/>
      <c r="AQ342" s="18"/>
      <c r="AR342" s="17"/>
      <c r="AS342" s="21">
        <f t="shared" si="110"/>
        <v>45614</v>
      </c>
      <c r="AT342" s="17"/>
      <c r="AU342" s="17"/>
      <c r="AV342" s="17"/>
      <c r="AW342" s="17"/>
      <c r="AX342" s="17"/>
      <c r="AY342" s="17"/>
      <c r="AZ342" s="17"/>
    </row>
    <row r="343" spans="1:52" ht="20">
      <c r="A343" s="17"/>
      <c r="B343" s="40"/>
      <c r="C343" s="55">
        <f t="shared" si="106"/>
        <v>324</v>
      </c>
      <c r="D343" s="54">
        <v>1</v>
      </c>
      <c r="E343" s="53" t="str">
        <f t="shared" si="98"/>
        <v>11</v>
      </c>
      <c r="F343" s="52">
        <f t="shared" si="107"/>
        <v>45615</v>
      </c>
      <c r="G343" s="51" t="str">
        <f t="shared" si="99"/>
        <v>Tue</v>
      </c>
      <c r="H343" s="50"/>
      <c r="I343" s="49"/>
      <c r="J343" s="48">
        <v>211410</v>
      </c>
      <c r="K343" s="31"/>
      <c r="L343" s="43">
        <f t="shared" si="97"/>
        <v>258760.76833910032</v>
      </c>
      <c r="M343" s="47">
        <f t="shared" si="100"/>
        <v>-47350.768339100323</v>
      </c>
      <c r="N343" s="41">
        <f t="shared" si="101"/>
        <v>0.81700947696581205</v>
      </c>
      <c r="O343" s="46"/>
      <c r="P343" s="45">
        <f>IF(D343=0,0,SUM($L$325:L343))</f>
        <v>3881411.5250865049</v>
      </c>
      <c r="Q343" s="43">
        <f>IF(D343=0,0,SUM($J$325:J343))</f>
        <v>3796750</v>
      </c>
      <c r="R343" s="42">
        <f t="shared" si="102"/>
        <v>-84661.525086504873</v>
      </c>
      <c r="S343" s="41">
        <f t="shared" si="103"/>
        <v>0.9781879544234573</v>
      </c>
      <c r="T343" s="56"/>
      <c r="U343" s="43">
        <f>IF(D343=0,0,SUM($L$20:L343))</f>
        <v>61486487.333909929</v>
      </c>
      <c r="V343" s="43">
        <f>IF(D343=0,0,SUM($J$20:J343))</f>
        <v>61005971</v>
      </c>
      <c r="W343" s="42">
        <f t="shared" si="104"/>
        <v>-480516.3339099288</v>
      </c>
      <c r="X343" s="41">
        <f t="shared" si="105"/>
        <v>0.99218500918257979</v>
      </c>
      <c r="Y343" s="17"/>
      <c r="Z343" s="23">
        <f t="shared" si="108"/>
        <v>45615</v>
      </c>
      <c r="AA343" s="22">
        <f t="shared" si="109"/>
        <v>45615</v>
      </c>
      <c r="AB343" s="137">
        <v>45615</v>
      </c>
      <c r="AC343" s="137"/>
      <c r="AD343" s="134"/>
      <c r="AE343" s="134"/>
      <c r="AF343" s="139"/>
      <c r="AG343" s="256"/>
      <c r="AH343" s="256"/>
      <c r="AI343" s="256"/>
      <c r="AJ343" s="256"/>
      <c r="AK343" s="134"/>
      <c r="AL343" s="134"/>
      <c r="AM343" s="134"/>
      <c r="AN343" s="18"/>
      <c r="AO343" s="18"/>
      <c r="AP343" s="18"/>
      <c r="AQ343" s="18"/>
      <c r="AR343" s="17"/>
      <c r="AS343" s="21">
        <f t="shared" si="110"/>
        <v>45615</v>
      </c>
      <c r="AT343" s="17"/>
      <c r="AU343" s="17"/>
      <c r="AV343" s="17"/>
      <c r="AW343" s="17"/>
      <c r="AX343" s="17"/>
      <c r="AY343" s="17"/>
      <c r="AZ343" s="17"/>
    </row>
    <row r="344" spans="1:52" ht="20">
      <c r="A344" s="17"/>
      <c r="B344" s="40"/>
      <c r="C344" s="55">
        <f t="shared" si="106"/>
        <v>325</v>
      </c>
      <c r="D344" s="54">
        <v>1</v>
      </c>
      <c r="E344" s="53" t="str">
        <f t="shared" si="98"/>
        <v>11</v>
      </c>
      <c r="F344" s="52">
        <f t="shared" si="107"/>
        <v>45616</v>
      </c>
      <c r="G344" s="51" t="str">
        <f t="shared" si="99"/>
        <v>Wed</v>
      </c>
      <c r="H344" s="50"/>
      <c r="I344" s="49"/>
      <c r="J344" s="48">
        <v>240450</v>
      </c>
      <c r="K344" s="31"/>
      <c r="L344" s="43">
        <f t="shared" si="97"/>
        <v>258760.76833910032</v>
      </c>
      <c r="M344" s="47">
        <f t="shared" si="100"/>
        <v>-18310.768339100323</v>
      </c>
      <c r="N344" s="41">
        <f t="shared" si="101"/>
        <v>0.92923669048970958</v>
      </c>
      <c r="O344" s="46"/>
      <c r="P344" s="45">
        <f>IF(D344=0,0,SUM($L$325:L344))</f>
        <v>4140172.2934256052</v>
      </c>
      <c r="Q344" s="43">
        <f>IF(D344=0,0,SUM($J$325:J344))</f>
        <v>4037200</v>
      </c>
      <c r="R344" s="42">
        <f t="shared" si="102"/>
        <v>-102972.29342560517</v>
      </c>
      <c r="S344" s="41">
        <f t="shared" si="103"/>
        <v>0.97512850042759813</v>
      </c>
      <c r="T344" s="56"/>
      <c r="U344" s="43">
        <f>IF(D344=0,0,SUM($L$20:L344))</f>
        <v>61745248.102249026</v>
      </c>
      <c r="V344" s="43">
        <f>IF(D344=0,0,SUM($J$20:J344))</f>
        <v>61246421</v>
      </c>
      <c r="W344" s="42">
        <f t="shared" si="104"/>
        <v>-498827.1022490263</v>
      </c>
      <c r="X344" s="41">
        <f t="shared" si="105"/>
        <v>0.99192120660973004</v>
      </c>
      <c r="Y344" s="17"/>
      <c r="Z344" s="23">
        <f t="shared" si="108"/>
        <v>45616</v>
      </c>
      <c r="AA344" s="22">
        <f t="shared" si="109"/>
        <v>45616</v>
      </c>
      <c r="AB344" s="137">
        <v>45616</v>
      </c>
      <c r="AC344" s="137"/>
      <c r="AD344" s="134"/>
      <c r="AE344" s="134"/>
      <c r="AF344" s="139"/>
      <c r="AG344" s="256"/>
      <c r="AH344" s="256"/>
      <c r="AI344" s="256"/>
      <c r="AJ344" s="256"/>
      <c r="AK344" s="134"/>
      <c r="AL344" s="134"/>
      <c r="AM344" s="134"/>
      <c r="AN344" s="18"/>
      <c r="AO344" s="18"/>
      <c r="AP344" s="18"/>
      <c r="AQ344" s="18"/>
      <c r="AR344" s="17"/>
      <c r="AS344" s="21">
        <f t="shared" si="110"/>
        <v>45616</v>
      </c>
      <c r="AT344" s="17"/>
      <c r="AU344" s="17"/>
      <c r="AV344" s="17"/>
      <c r="AW344" s="17"/>
      <c r="AX344" s="17"/>
      <c r="AY344" s="17"/>
      <c r="AZ344" s="17"/>
    </row>
    <row r="345" spans="1:52" ht="20">
      <c r="A345" s="17"/>
      <c r="B345" s="40"/>
      <c r="C345" s="55">
        <f t="shared" si="106"/>
        <v>326</v>
      </c>
      <c r="D345" s="54">
        <v>1</v>
      </c>
      <c r="E345" s="53" t="str">
        <f t="shared" si="98"/>
        <v>11</v>
      </c>
      <c r="F345" s="52">
        <f t="shared" si="107"/>
        <v>45617</v>
      </c>
      <c r="G345" s="51" t="str">
        <f t="shared" si="99"/>
        <v>Thu</v>
      </c>
      <c r="H345" s="50"/>
      <c r="I345" s="49"/>
      <c r="J345" s="48">
        <v>354680</v>
      </c>
      <c r="K345" s="31"/>
      <c r="L345" s="43">
        <f t="shared" si="97"/>
        <v>258760.76833910032</v>
      </c>
      <c r="M345" s="47">
        <f t="shared" si="100"/>
        <v>95919.231660899677</v>
      </c>
      <c r="N345" s="41">
        <f t="shared" si="101"/>
        <v>1.370686917791184</v>
      </c>
      <c r="O345" s="46"/>
      <c r="P345" s="45">
        <f>IF(D345=0,0,SUM($L$325:L345))</f>
        <v>4398933.0617647059</v>
      </c>
      <c r="Q345" s="43">
        <f>IF(D345=0,0,SUM($J$325:J345))</f>
        <v>4391880</v>
      </c>
      <c r="R345" s="42">
        <f t="shared" si="102"/>
        <v>-7053.0617647059262</v>
      </c>
      <c r="S345" s="41">
        <f t="shared" si="103"/>
        <v>0.99839664262545602</v>
      </c>
      <c r="T345" s="56"/>
      <c r="U345" s="43">
        <f>IF(D345=0,0,SUM($L$20:L345))</f>
        <v>62004008.870588124</v>
      </c>
      <c r="V345" s="43">
        <f>IF(D345=0,0,SUM($J$20:J345))</f>
        <v>61601101</v>
      </c>
      <c r="W345" s="42">
        <f t="shared" si="104"/>
        <v>-402907.8705881238</v>
      </c>
      <c r="X345" s="41">
        <f t="shared" si="105"/>
        <v>0.99350190611982758</v>
      </c>
      <c r="Y345" s="17"/>
      <c r="Z345" s="23">
        <f t="shared" si="108"/>
        <v>45617</v>
      </c>
      <c r="AA345" s="22">
        <f t="shared" si="109"/>
        <v>45617</v>
      </c>
      <c r="AB345" s="137">
        <v>45617</v>
      </c>
      <c r="AC345" s="137"/>
      <c r="AD345" s="134"/>
      <c r="AE345" s="134"/>
      <c r="AF345" s="139"/>
      <c r="AG345" s="256"/>
      <c r="AH345" s="256"/>
      <c r="AI345" s="256"/>
      <c r="AJ345" s="256"/>
      <c r="AK345" s="134"/>
      <c r="AL345" s="134"/>
      <c r="AM345" s="134"/>
      <c r="AN345" s="18"/>
      <c r="AO345" s="18"/>
      <c r="AP345" s="18"/>
      <c r="AQ345" s="18"/>
      <c r="AR345" s="17"/>
      <c r="AS345" s="21">
        <f t="shared" si="110"/>
        <v>45617</v>
      </c>
      <c r="AT345" s="17"/>
      <c r="AU345" s="17"/>
      <c r="AV345" s="17"/>
      <c r="AW345" s="17"/>
      <c r="AX345" s="17"/>
      <c r="AY345" s="17"/>
      <c r="AZ345" s="17"/>
    </row>
    <row r="346" spans="1:52" ht="20">
      <c r="A346" s="17"/>
      <c r="B346" s="40"/>
      <c r="C346" s="55">
        <f t="shared" si="106"/>
        <v>327</v>
      </c>
      <c r="D346" s="54">
        <v>1</v>
      </c>
      <c r="E346" s="53" t="str">
        <f t="shared" si="98"/>
        <v>11</v>
      </c>
      <c r="F346" s="52">
        <f t="shared" si="107"/>
        <v>45618</v>
      </c>
      <c r="G346" s="51" t="str">
        <f t="shared" si="99"/>
        <v>Fri</v>
      </c>
      <c r="H346" s="50"/>
      <c r="I346" s="49"/>
      <c r="J346" s="48">
        <v>197200</v>
      </c>
      <c r="K346" s="31"/>
      <c r="L346" s="43">
        <f t="shared" si="97"/>
        <v>258760.76833910032</v>
      </c>
      <c r="M346" s="47">
        <f t="shared" si="100"/>
        <v>-61560.768339100323</v>
      </c>
      <c r="N346" s="41">
        <f t="shared" si="101"/>
        <v>0.76209388797908384</v>
      </c>
      <c r="O346" s="46"/>
      <c r="P346" s="45">
        <f>IF(D346=0,0,SUM($L$325:L346))</f>
        <v>4657693.8301038062</v>
      </c>
      <c r="Q346" s="43">
        <f>IF(D346=0,0,SUM($J$325:J346))</f>
        <v>4589080</v>
      </c>
      <c r="R346" s="42">
        <f t="shared" si="102"/>
        <v>-68613.83010380622</v>
      </c>
      <c r="S346" s="41">
        <f t="shared" si="103"/>
        <v>0.98526871181176867</v>
      </c>
      <c r="T346" s="56"/>
      <c r="U346" s="43">
        <f>IF(D346=0,0,SUM($L$20:L346))</f>
        <v>62262769.638927221</v>
      </c>
      <c r="V346" s="43">
        <f>IF(D346=0,0,SUM($J$20:J346))</f>
        <v>61798301</v>
      </c>
      <c r="W346" s="42">
        <f t="shared" si="104"/>
        <v>-464468.6389272213</v>
      </c>
      <c r="X346" s="41">
        <f t="shared" si="105"/>
        <v>0.9925401866698067</v>
      </c>
      <c r="Y346" s="17"/>
      <c r="Z346" s="23">
        <f t="shared" si="108"/>
        <v>45618</v>
      </c>
      <c r="AA346" s="22">
        <f t="shared" si="109"/>
        <v>45618</v>
      </c>
      <c r="AB346" s="137">
        <v>45618</v>
      </c>
      <c r="AC346" s="137"/>
      <c r="AD346" s="134"/>
      <c r="AE346" s="134"/>
      <c r="AF346" s="139"/>
      <c r="AG346" s="256"/>
      <c r="AH346" s="256"/>
      <c r="AI346" s="256"/>
      <c r="AJ346" s="256"/>
      <c r="AK346" s="134"/>
      <c r="AL346" s="134"/>
      <c r="AM346" s="134"/>
      <c r="AN346" s="18"/>
      <c r="AO346" s="18"/>
      <c r="AP346" s="18"/>
      <c r="AQ346" s="18"/>
      <c r="AR346" s="17"/>
      <c r="AS346" s="21">
        <f t="shared" si="110"/>
        <v>45618</v>
      </c>
      <c r="AT346" s="17"/>
      <c r="AU346" s="17"/>
      <c r="AV346" s="17"/>
      <c r="AW346" s="17"/>
      <c r="AX346" s="17"/>
      <c r="AY346" s="17"/>
      <c r="AZ346" s="17"/>
    </row>
    <row r="347" spans="1:52" ht="20">
      <c r="A347" s="17"/>
      <c r="B347" s="40"/>
      <c r="C347" s="55">
        <f t="shared" si="106"/>
        <v>328</v>
      </c>
      <c r="D347" s="54">
        <v>0</v>
      </c>
      <c r="E347" s="53" t="str">
        <f t="shared" si="98"/>
        <v>11</v>
      </c>
      <c r="F347" s="52">
        <f t="shared" si="107"/>
        <v>45619</v>
      </c>
      <c r="G347" s="51" t="str">
        <f t="shared" si="99"/>
        <v>Sat</v>
      </c>
      <c r="H347" s="50" t="s">
        <v>47</v>
      </c>
      <c r="I347" s="49"/>
      <c r="J347" s="48">
        <v>0</v>
      </c>
      <c r="K347" s="31"/>
      <c r="L347" s="43">
        <f t="shared" si="97"/>
        <v>0</v>
      </c>
      <c r="M347" s="47">
        <f t="shared" si="100"/>
        <v>0</v>
      </c>
      <c r="N347" s="41" t="str">
        <f t="shared" si="101"/>
        <v>0%</v>
      </c>
      <c r="O347" s="46"/>
      <c r="P347" s="45">
        <f>IF(D347=0,0,SUM($L$325:L347))</f>
        <v>0</v>
      </c>
      <c r="Q347" s="43">
        <f>IF(D347=0,0,SUM($J$325:J347))</f>
        <v>0</v>
      </c>
      <c r="R347" s="42">
        <f t="shared" si="102"/>
        <v>0</v>
      </c>
      <c r="S347" s="41" t="str">
        <f t="shared" si="103"/>
        <v>0%</v>
      </c>
      <c r="T347" s="44"/>
      <c r="U347" s="43">
        <f>IF(D347=0,0,SUM($L$20:L347))</f>
        <v>0</v>
      </c>
      <c r="V347" s="43">
        <f>IF(D347=0,0,SUM($J$20:J347))</f>
        <v>0</v>
      </c>
      <c r="W347" s="42">
        <f t="shared" si="104"/>
        <v>0</v>
      </c>
      <c r="X347" s="41" t="str">
        <f t="shared" si="105"/>
        <v>0%</v>
      </c>
      <c r="Y347" s="17"/>
      <c r="Z347" s="23">
        <f t="shared" si="108"/>
        <v>45619</v>
      </c>
      <c r="AA347" s="22">
        <f t="shared" si="109"/>
        <v>45619</v>
      </c>
      <c r="AB347" s="137">
        <v>45619</v>
      </c>
      <c r="AC347" s="137"/>
      <c r="AD347" s="134"/>
      <c r="AE347" s="134"/>
      <c r="AF347" s="139"/>
      <c r="AG347" s="256"/>
      <c r="AH347" s="256"/>
      <c r="AI347" s="256"/>
      <c r="AJ347" s="256"/>
      <c r="AK347" s="134"/>
      <c r="AL347" s="134"/>
      <c r="AM347" s="134"/>
      <c r="AN347" s="18"/>
      <c r="AO347" s="18"/>
      <c r="AP347" s="18"/>
      <c r="AQ347" s="18"/>
      <c r="AR347" s="17"/>
      <c r="AS347" s="21">
        <f t="shared" si="110"/>
        <v>45619</v>
      </c>
      <c r="AT347" s="17"/>
      <c r="AU347" s="17"/>
      <c r="AV347" s="17"/>
      <c r="AW347" s="17"/>
      <c r="AX347" s="17"/>
      <c r="AY347" s="17"/>
      <c r="AZ347" s="17"/>
    </row>
    <row r="348" spans="1:52" ht="20">
      <c r="A348" s="17"/>
      <c r="B348" s="40"/>
      <c r="C348" s="55">
        <f t="shared" si="106"/>
        <v>329</v>
      </c>
      <c r="D348" s="54">
        <v>0</v>
      </c>
      <c r="E348" s="53" t="str">
        <f t="shared" si="98"/>
        <v>11</v>
      </c>
      <c r="F348" s="52">
        <f t="shared" si="107"/>
        <v>45620</v>
      </c>
      <c r="G348" s="51" t="str">
        <f t="shared" si="99"/>
        <v>Sun</v>
      </c>
      <c r="H348" s="50" t="s">
        <v>46</v>
      </c>
      <c r="I348" s="49"/>
      <c r="J348" s="48">
        <v>0</v>
      </c>
      <c r="K348" s="31"/>
      <c r="L348" s="43">
        <f t="shared" si="97"/>
        <v>0</v>
      </c>
      <c r="M348" s="47">
        <f t="shared" si="100"/>
        <v>0</v>
      </c>
      <c r="N348" s="41" t="str">
        <f t="shared" si="101"/>
        <v>0%</v>
      </c>
      <c r="O348" s="46"/>
      <c r="P348" s="45">
        <f>IF(D348=0,0,SUM($L$325:L348))</f>
        <v>0</v>
      </c>
      <c r="Q348" s="43">
        <f>IF(D348=0,0,SUM($J$325:J348))</f>
        <v>0</v>
      </c>
      <c r="R348" s="42">
        <f t="shared" si="102"/>
        <v>0</v>
      </c>
      <c r="S348" s="41" t="str">
        <f t="shared" si="103"/>
        <v>0%</v>
      </c>
      <c r="T348" s="44"/>
      <c r="U348" s="43">
        <f>IF(D348=0,0,SUM($L$20:L348))</f>
        <v>0</v>
      </c>
      <c r="V348" s="43">
        <f>IF(D348=0,0,SUM($J$20:J348))</f>
        <v>0</v>
      </c>
      <c r="W348" s="42">
        <f t="shared" si="104"/>
        <v>0</v>
      </c>
      <c r="X348" s="41" t="str">
        <f t="shared" si="105"/>
        <v>0%</v>
      </c>
      <c r="Y348" s="17"/>
      <c r="Z348" s="23">
        <f t="shared" si="108"/>
        <v>45620</v>
      </c>
      <c r="AA348" s="22">
        <f t="shared" si="109"/>
        <v>45620</v>
      </c>
      <c r="AB348" s="137">
        <v>45620</v>
      </c>
      <c r="AC348" s="137"/>
      <c r="AD348" s="134"/>
      <c r="AE348" s="134"/>
      <c r="AF348" s="139"/>
      <c r="AG348" s="256"/>
      <c r="AH348" s="256"/>
      <c r="AI348" s="256"/>
      <c r="AJ348" s="256"/>
      <c r="AK348" s="134"/>
      <c r="AL348" s="134"/>
      <c r="AM348" s="134"/>
      <c r="AN348" s="18"/>
      <c r="AO348" s="18"/>
      <c r="AP348" s="18"/>
      <c r="AQ348" s="18"/>
      <c r="AR348" s="17"/>
      <c r="AS348" s="21">
        <f t="shared" si="110"/>
        <v>45620</v>
      </c>
      <c r="AT348" s="17"/>
      <c r="AU348" s="17"/>
      <c r="AV348" s="17"/>
      <c r="AW348" s="17"/>
      <c r="AX348" s="17"/>
      <c r="AY348" s="17"/>
      <c r="AZ348" s="17"/>
    </row>
    <row r="349" spans="1:52" ht="20">
      <c r="A349" s="17"/>
      <c r="B349" s="40"/>
      <c r="C349" s="55">
        <f t="shared" si="106"/>
        <v>330</v>
      </c>
      <c r="D349" s="54">
        <v>1</v>
      </c>
      <c r="E349" s="53" t="str">
        <f t="shared" si="98"/>
        <v>11</v>
      </c>
      <c r="F349" s="52">
        <f t="shared" si="107"/>
        <v>45621</v>
      </c>
      <c r="G349" s="51" t="str">
        <f t="shared" si="99"/>
        <v>Mon</v>
      </c>
      <c r="H349" s="50"/>
      <c r="I349" s="49"/>
      <c r="J349" s="48">
        <v>164400</v>
      </c>
      <c r="K349" s="31"/>
      <c r="L349" s="43">
        <f t="shared" si="97"/>
        <v>258760.76833910032</v>
      </c>
      <c r="M349" s="47">
        <f t="shared" si="100"/>
        <v>-94360.768339100323</v>
      </c>
      <c r="N349" s="41">
        <f t="shared" si="101"/>
        <v>0.63533587821380011</v>
      </c>
      <c r="O349" s="46"/>
      <c r="P349" s="45">
        <f>IF(D349=0,0,SUM($L$325:L349))</f>
        <v>4916454.5984429065</v>
      </c>
      <c r="Q349" s="43">
        <f>IF(D349=0,0,SUM($J$325:J349))</f>
        <v>4753480</v>
      </c>
      <c r="R349" s="42">
        <f t="shared" si="102"/>
        <v>-162974.59844290651</v>
      </c>
      <c r="S349" s="41">
        <f t="shared" si="103"/>
        <v>0.96685119425398081</v>
      </c>
      <c r="T349" s="56"/>
      <c r="U349" s="43">
        <f>IF(D349=0,0,SUM($L$20:L349))</f>
        <v>62521530.407266319</v>
      </c>
      <c r="V349" s="43">
        <f>IF(D349=0,0,SUM($J$20:J349))</f>
        <v>61962701</v>
      </c>
      <c r="W349" s="42">
        <f t="shared" si="104"/>
        <v>-558829.4072663188</v>
      </c>
      <c r="X349" s="41">
        <f t="shared" si="105"/>
        <v>0.99106180857016624</v>
      </c>
      <c r="Y349" s="17"/>
      <c r="Z349" s="23">
        <f t="shared" si="108"/>
        <v>45621</v>
      </c>
      <c r="AA349" s="22">
        <f t="shared" si="109"/>
        <v>45621</v>
      </c>
      <c r="AB349" s="137">
        <v>45621</v>
      </c>
      <c r="AC349" s="137"/>
      <c r="AD349" s="134"/>
      <c r="AE349" s="134"/>
      <c r="AF349" s="139"/>
      <c r="AG349" s="256"/>
      <c r="AH349" s="256"/>
      <c r="AI349" s="256"/>
      <c r="AJ349" s="256"/>
      <c r="AK349" s="134"/>
      <c r="AL349" s="134"/>
      <c r="AM349" s="134"/>
      <c r="AN349" s="18"/>
      <c r="AO349" s="18"/>
      <c r="AP349" s="18"/>
      <c r="AQ349" s="18"/>
      <c r="AR349" s="17"/>
      <c r="AS349" s="21">
        <f t="shared" si="110"/>
        <v>45621</v>
      </c>
      <c r="AT349" s="17"/>
      <c r="AU349" s="17"/>
      <c r="AV349" s="17"/>
      <c r="AW349" s="17"/>
      <c r="AX349" s="17"/>
      <c r="AY349" s="17"/>
      <c r="AZ349" s="17"/>
    </row>
    <row r="350" spans="1:52" ht="20">
      <c r="A350" s="17"/>
      <c r="B350" s="40"/>
      <c r="C350" s="55">
        <f t="shared" si="106"/>
        <v>331</v>
      </c>
      <c r="D350" s="54">
        <v>1</v>
      </c>
      <c r="E350" s="53" t="str">
        <f t="shared" si="98"/>
        <v>11</v>
      </c>
      <c r="F350" s="52">
        <f t="shared" si="107"/>
        <v>45622</v>
      </c>
      <c r="G350" s="51" t="str">
        <f t="shared" si="99"/>
        <v>Tue</v>
      </c>
      <c r="H350" s="50"/>
      <c r="I350" s="49"/>
      <c r="J350" s="48">
        <v>243350</v>
      </c>
      <c r="K350" s="31"/>
      <c r="L350" s="43">
        <f t="shared" si="97"/>
        <v>258760.76833910032</v>
      </c>
      <c r="M350" s="47">
        <f t="shared" si="100"/>
        <v>-15410.768339100323</v>
      </c>
      <c r="N350" s="41">
        <f t="shared" si="101"/>
        <v>0.94044395354822552</v>
      </c>
      <c r="O350" s="46"/>
      <c r="P350" s="45">
        <f>IF(D350=0,0,SUM($L$325:L350))</f>
        <v>5175215.3667820068</v>
      </c>
      <c r="Q350" s="43">
        <f>IF(D350=0,0,SUM($J$325:J350))</f>
        <v>4996830</v>
      </c>
      <c r="R350" s="42">
        <f t="shared" si="102"/>
        <v>-178385.36678200681</v>
      </c>
      <c r="S350" s="41">
        <f t="shared" si="103"/>
        <v>0.96553083221869307</v>
      </c>
      <c r="T350" s="56"/>
      <c r="U350" s="43">
        <f>IF(D350=0,0,SUM($L$20:L350))</f>
        <v>62780291.175605416</v>
      </c>
      <c r="V350" s="43">
        <f>IF(D350=0,0,SUM($J$20:J350))</f>
        <v>62206051</v>
      </c>
      <c r="W350" s="42">
        <f t="shared" si="104"/>
        <v>-574240.1756054163</v>
      </c>
      <c r="X350" s="41">
        <f t="shared" si="105"/>
        <v>0.99085317756811309</v>
      </c>
      <c r="Y350" s="17"/>
      <c r="Z350" s="23">
        <f t="shared" si="108"/>
        <v>45622</v>
      </c>
      <c r="AA350" s="22">
        <f t="shared" si="109"/>
        <v>45622</v>
      </c>
      <c r="AB350" s="137">
        <v>45622</v>
      </c>
      <c r="AC350" s="137"/>
      <c r="AD350" s="134"/>
      <c r="AE350" s="134"/>
      <c r="AF350" s="139"/>
      <c r="AG350" s="256"/>
      <c r="AH350" s="256"/>
      <c r="AI350" s="256"/>
      <c r="AJ350" s="256"/>
      <c r="AK350" s="134"/>
      <c r="AL350" s="134"/>
      <c r="AM350" s="134"/>
      <c r="AN350" s="18"/>
      <c r="AO350" s="18"/>
      <c r="AP350" s="18"/>
      <c r="AQ350" s="18"/>
      <c r="AR350" s="17"/>
      <c r="AS350" s="21">
        <f t="shared" si="110"/>
        <v>45622</v>
      </c>
      <c r="AT350" s="17"/>
      <c r="AU350" s="17"/>
      <c r="AV350" s="17"/>
      <c r="AW350" s="17"/>
      <c r="AX350" s="17"/>
      <c r="AY350" s="17"/>
      <c r="AZ350" s="17"/>
    </row>
    <row r="351" spans="1:52" ht="20">
      <c r="A351" s="17"/>
      <c r="B351" s="40"/>
      <c r="C351" s="55">
        <f t="shared" si="106"/>
        <v>332</v>
      </c>
      <c r="D351" s="54">
        <v>1</v>
      </c>
      <c r="E351" s="53" t="str">
        <f t="shared" si="98"/>
        <v>11</v>
      </c>
      <c r="F351" s="52">
        <f t="shared" si="107"/>
        <v>45623</v>
      </c>
      <c r="G351" s="51" t="str">
        <f t="shared" si="99"/>
        <v>Wed</v>
      </c>
      <c r="H351" s="50"/>
      <c r="I351" s="49"/>
      <c r="J351" s="48">
        <v>342250</v>
      </c>
      <c r="K351" s="31"/>
      <c r="L351" s="43">
        <f t="shared" si="97"/>
        <v>258760.76833910032</v>
      </c>
      <c r="M351" s="47">
        <f t="shared" si="100"/>
        <v>83489.231660899677</v>
      </c>
      <c r="N351" s="41">
        <f t="shared" si="101"/>
        <v>1.3226502695783036</v>
      </c>
      <c r="O351" s="46"/>
      <c r="P351" s="45">
        <f>IF(D351=0,0,SUM($L$325:L351))</f>
        <v>5433976.1351211071</v>
      </c>
      <c r="Q351" s="43">
        <f>IF(D351=0,0,SUM($J$325:J351))</f>
        <v>5339080</v>
      </c>
      <c r="R351" s="42">
        <f t="shared" si="102"/>
        <v>-94896.135121107101</v>
      </c>
      <c r="S351" s="41">
        <f t="shared" si="103"/>
        <v>0.98253651971200784</v>
      </c>
      <c r="T351" s="56"/>
      <c r="U351" s="43">
        <f>IF(D351=0,0,SUM($L$20:L351))</f>
        <v>63039051.943944514</v>
      </c>
      <c r="V351" s="43">
        <f>IF(D351=0,0,SUM($J$20:J351))</f>
        <v>62548301</v>
      </c>
      <c r="W351" s="42">
        <f t="shared" si="104"/>
        <v>-490750.9439445138</v>
      </c>
      <c r="X351" s="41">
        <f t="shared" si="105"/>
        <v>0.99221512810216594</v>
      </c>
      <c r="Y351" s="17"/>
      <c r="Z351" s="23">
        <f t="shared" si="108"/>
        <v>45623</v>
      </c>
      <c r="AA351" s="22">
        <f t="shared" si="109"/>
        <v>45623</v>
      </c>
      <c r="AB351" s="137">
        <v>45623</v>
      </c>
      <c r="AC351" s="137"/>
      <c r="AD351" s="134"/>
      <c r="AE351" s="134"/>
      <c r="AF351" s="139"/>
      <c r="AG351" s="256"/>
      <c r="AH351" s="256"/>
      <c r="AI351" s="256"/>
      <c r="AJ351" s="256"/>
      <c r="AK351" s="134"/>
      <c r="AL351" s="134"/>
      <c r="AM351" s="134"/>
      <c r="AN351" s="18"/>
      <c r="AO351" s="18"/>
      <c r="AP351" s="18"/>
      <c r="AQ351" s="18"/>
      <c r="AR351" s="17"/>
      <c r="AS351" s="21">
        <f t="shared" si="110"/>
        <v>45623</v>
      </c>
      <c r="AT351" s="17"/>
      <c r="AU351" s="17"/>
      <c r="AV351" s="17"/>
      <c r="AW351" s="17"/>
      <c r="AX351" s="17"/>
      <c r="AY351" s="17"/>
      <c r="AZ351" s="17"/>
    </row>
    <row r="352" spans="1:52" ht="20">
      <c r="A352" s="17"/>
      <c r="B352" s="40"/>
      <c r="C352" s="55">
        <f t="shared" si="106"/>
        <v>333</v>
      </c>
      <c r="D352" s="54">
        <v>1</v>
      </c>
      <c r="E352" s="53" t="str">
        <f t="shared" si="98"/>
        <v>11</v>
      </c>
      <c r="F352" s="52">
        <f t="shared" si="107"/>
        <v>45624</v>
      </c>
      <c r="G352" s="51" t="str">
        <f t="shared" si="99"/>
        <v>Thu</v>
      </c>
      <c r="H352" s="50"/>
      <c r="I352" s="49"/>
      <c r="J352" s="48">
        <v>218350</v>
      </c>
      <c r="K352" s="31"/>
      <c r="L352" s="43">
        <f t="shared" si="97"/>
        <v>258760.76833910032</v>
      </c>
      <c r="M352" s="47">
        <f t="shared" si="100"/>
        <v>-40410.768339100323</v>
      </c>
      <c r="N352" s="41">
        <f t="shared" si="101"/>
        <v>0.84382961683688118</v>
      </c>
      <c r="O352" s="46"/>
      <c r="P352" s="45">
        <f>IF(D352=0,0,SUM($L$325:L352))</f>
        <v>5692736.9034602074</v>
      </c>
      <c r="Q352" s="43">
        <f>IF(D352=0,0,SUM($J$325:J352))</f>
        <v>5557430</v>
      </c>
      <c r="R352" s="42">
        <f t="shared" si="102"/>
        <v>-135306.9034602074</v>
      </c>
      <c r="S352" s="41">
        <f t="shared" si="103"/>
        <v>0.97623166049041121</v>
      </c>
      <c r="T352" s="56"/>
      <c r="U352" s="43">
        <f>IF(D352=0,0,SUM($L$20:L352))</f>
        <v>63297812.712283611</v>
      </c>
      <c r="V352" s="43">
        <f>IF(D352=0,0,SUM($J$20:J352))</f>
        <v>62766651</v>
      </c>
      <c r="W352" s="42">
        <f t="shared" si="104"/>
        <v>-531161.7122836113</v>
      </c>
      <c r="X352" s="41">
        <f t="shared" si="105"/>
        <v>0.99160852974970914</v>
      </c>
      <c r="Y352" s="17"/>
      <c r="Z352" s="23">
        <f t="shared" si="108"/>
        <v>45624</v>
      </c>
      <c r="AA352" s="22">
        <f t="shared" si="109"/>
        <v>45624</v>
      </c>
      <c r="AB352" s="137">
        <v>45624</v>
      </c>
      <c r="AC352" s="137"/>
      <c r="AD352" s="134"/>
      <c r="AE352" s="134"/>
      <c r="AF352" s="139"/>
      <c r="AG352" s="256"/>
      <c r="AH352" s="256"/>
      <c r="AI352" s="256"/>
      <c r="AJ352" s="256"/>
      <c r="AK352" s="134"/>
      <c r="AL352" s="134"/>
      <c r="AM352" s="134"/>
      <c r="AN352" s="18"/>
      <c r="AO352" s="18"/>
      <c r="AP352" s="18"/>
      <c r="AQ352" s="18"/>
      <c r="AR352" s="17"/>
      <c r="AS352" s="21">
        <f t="shared" si="110"/>
        <v>45624</v>
      </c>
      <c r="AT352" s="17"/>
      <c r="AU352" s="17"/>
      <c r="AV352" s="17"/>
      <c r="AW352" s="17"/>
      <c r="AX352" s="17"/>
      <c r="AY352" s="17"/>
      <c r="AZ352" s="17"/>
    </row>
    <row r="353" spans="1:52" ht="20">
      <c r="A353" s="17"/>
      <c r="B353" s="40"/>
      <c r="C353" s="55">
        <f t="shared" si="106"/>
        <v>334</v>
      </c>
      <c r="D353" s="54">
        <v>1</v>
      </c>
      <c r="E353" s="53" t="str">
        <f t="shared" si="98"/>
        <v>11</v>
      </c>
      <c r="F353" s="52">
        <f t="shared" si="107"/>
        <v>45625</v>
      </c>
      <c r="G353" s="51" t="str">
        <f t="shared" si="99"/>
        <v>Fri</v>
      </c>
      <c r="H353" s="50"/>
      <c r="I353" s="49"/>
      <c r="J353" s="48">
        <v>400430</v>
      </c>
      <c r="K353" s="31"/>
      <c r="L353" s="43">
        <f t="shared" si="97"/>
        <v>258760.76833910032</v>
      </c>
      <c r="M353" s="47">
        <f t="shared" si="100"/>
        <v>141669.23166089968</v>
      </c>
      <c r="N353" s="41">
        <f t="shared" si="101"/>
        <v>1.5474911539729441</v>
      </c>
      <c r="O353" s="46"/>
      <c r="P353" s="45">
        <f>IF(D353=0,0,SUM($L$325:L353))</f>
        <v>5951497.6717993077</v>
      </c>
      <c r="Q353" s="43">
        <f>IF(D353=0,0,SUM($J$325:J353))</f>
        <v>5957860</v>
      </c>
      <c r="R353" s="42">
        <f t="shared" si="102"/>
        <v>6362.3282006923109</v>
      </c>
      <c r="S353" s="41">
        <f t="shared" si="103"/>
        <v>1.0010690297722604</v>
      </c>
      <c r="T353" s="56"/>
      <c r="U353" s="43">
        <f>IF(D353=0,0,SUM($L$20:L353))</f>
        <v>63556573.480622709</v>
      </c>
      <c r="V353" s="43">
        <f>IF(D353=0,0,SUM($J$20:J353))</f>
        <v>63167081</v>
      </c>
      <c r="W353" s="42">
        <f t="shared" si="104"/>
        <v>-389492.4806227088</v>
      </c>
      <c r="X353" s="41">
        <f t="shared" si="105"/>
        <v>0.99387171996077706</v>
      </c>
      <c r="Y353" s="17"/>
      <c r="Z353" s="23">
        <f t="shared" si="108"/>
        <v>45625</v>
      </c>
      <c r="AA353" s="22">
        <f t="shared" si="109"/>
        <v>45625</v>
      </c>
      <c r="AB353" s="137">
        <v>45625</v>
      </c>
      <c r="AC353" s="137"/>
      <c r="AD353" s="134"/>
      <c r="AE353" s="134"/>
      <c r="AF353" s="139"/>
      <c r="AG353" s="256"/>
      <c r="AH353" s="256"/>
      <c r="AI353" s="256"/>
      <c r="AJ353" s="256"/>
      <c r="AK353" s="134"/>
      <c r="AL353" s="134"/>
      <c r="AM353" s="134"/>
      <c r="AN353" s="18"/>
      <c r="AO353" s="18"/>
      <c r="AP353" s="18"/>
      <c r="AQ353" s="18"/>
      <c r="AR353" s="17"/>
      <c r="AS353" s="21">
        <f t="shared" si="110"/>
        <v>45625</v>
      </c>
      <c r="AT353" s="17"/>
      <c r="AU353" s="17"/>
      <c r="AV353" s="17"/>
      <c r="AW353" s="17"/>
      <c r="AX353" s="17"/>
      <c r="AY353" s="17"/>
      <c r="AZ353" s="17"/>
    </row>
    <row r="354" spans="1:52" ht="21" thickBot="1">
      <c r="A354" s="17"/>
      <c r="B354" s="40"/>
      <c r="C354" s="39">
        <f t="shared" si="106"/>
        <v>335</v>
      </c>
      <c r="D354" s="38">
        <v>1</v>
      </c>
      <c r="E354" s="37" t="str">
        <f t="shared" si="98"/>
        <v>11</v>
      </c>
      <c r="F354" s="36">
        <f t="shared" si="107"/>
        <v>45626</v>
      </c>
      <c r="G354" s="35" t="str">
        <f t="shared" si="99"/>
        <v>Sat</v>
      </c>
      <c r="H354" s="34"/>
      <c r="I354" s="33"/>
      <c r="J354" s="32">
        <v>154290</v>
      </c>
      <c r="K354" s="31"/>
      <c r="L354" s="26">
        <f t="shared" si="97"/>
        <v>258760.76833910032</v>
      </c>
      <c r="M354" s="30">
        <f t="shared" si="100"/>
        <v>-104470.76833910032</v>
      </c>
      <c r="N354" s="24">
        <f t="shared" si="101"/>
        <v>0.59626504044773254</v>
      </c>
      <c r="O354" s="29"/>
      <c r="P354" s="63">
        <f>IF(D354=0,0,SUM($L$325:L354))</f>
        <v>6210258.440138408</v>
      </c>
      <c r="Q354" s="26">
        <f>IF(D354=0,0,SUM($J$325:J354))</f>
        <v>6112150</v>
      </c>
      <c r="R354" s="25">
        <f t="shared" si="102"/>
        <v>-98108.440138407983</v>
      </c>
      <c r="S354" s="24">
        <f t="shared" si="103"/>
        <v>0.98420219688373844</v>
      </c>
      <c r="T354" s="27"/>
      <c r="U354" s="26">
        <f>IF(D354=0,0,SUM($L$20:L354))</f>
        <v>63815334.248961806</v>
      </c>
      <c r="V354" s="26">
        <f>IF(D354=0,0,SUM($J$20:J354))</f>
        <v>63321371</v>
      </c>
      <c r="W354" s="25">
        <f t="shared" si="104"/>
        <v>-493963.2489618063</v>
      </c>
      <c r="X354" s="24">
        <f t="shared" si="105"/>
        <v>0.99225948974842448</v>
      </c>
      <c r="Y354" s="17"/>
      <c r="Z354" s="23">
        <f t="shared" si="108"/>
        <v>45626</v>
      </c>
      <c r="AA354" s="22">
        <f t="shared" si="109"/>
        <v>45626</v>
      </c>
      <c r="AB354" s="137">
        <v>45626</v>
      </c>
      <c r="AC354" s="137"/>
      <c r="AD354" s="134"/>
      <c r="AE354" s="134"/>
      <c r="AF354" s="139"/>
      <c r="AG354" s="256"/>
      <c r="AH354" s="256"/>
      <c r="AI354" s="256"/>
      <c r="AJ354" s="256"/>
      <c r="AK354" s="134"/>
      <c r="AL354" s="134"/>
      <c r="AM354" s="134"/>
      <c r="AN354" s="18"/>
      <c r="AO354" s="18"/>
      <c r="AP354" s="18"/>
      <c r="AQ354" s="18"/>
      <c r="AR354" s="17"/>
      <c r="AS354" s="21">
        <f t="shared" si="110"/>
        <v>45626</v>
      </c>
      <c r="AT354" s="17"/>
      <c r="AU354" s="17"/>
      <c r="AV354" s="17"/>
      <c r="AW354" s="17"/>
      <c r="AX354" s="17"/>
      <c r="AY354" s="17"/>
      <c r="AZ354" s="17"/>
    </row>
    <row r="355" spans="1:52" ht="21" thickTop="1">
      <c r="A355" s="17"/>
      <c r="B355" s="40"/>
      <c r="C355" s="55">
        <f t="shared" si="106"/>
        <v>336</v>
      </c>
      <c r="D355" s="62">
        <v>0</v>
      </c>
      <c r="E355" s="53" t="str">
        <f t="shared" si="98"/>
        <v>12</v>
      </c>
      <c r="F355" s="52">
        <f t="shared" si="107"/>
        <v>45627</v>
      </c>
      <c r="G355" s="51" t="str">
        <f t="shared" si="99"/>
        <v>Sun</v>
      </c>
      <c r="H355" s="50" t="s">
        <v>46</v>
      </c>
      <c r="I355" s="49"/>
      <c r="J355" s="48">
        <v>0</v>
      </c>
      <c r="K355" s="31"/>
      <c r="L355" s="43">
        <f t="shared" ref="L355:L385" si="111">IF(D355=0,0,$K$17)</f>
        <v>0</v>
      </c>
      <c r="M355" s="42">
        <f t="shared" si="100"/>
        <v>0</v>
      </c>
      <c r="N355" s="60" t="str">
        <f t="shared" si="101"/>
        <v>0%</v>
      </c>
      <c r="O355" s="46"/>
      <c r="P355" s="61">
        <f>IF(D355=0,0,$L$355)</f>
        <v>0</v>
      </c>
      <c r="Q355" s="43">
        <f>IF(D355=0,0,$J$355)</f>
        <v>0</v>
      </c>
      <c r="R355" s="42">
        <f t="shared" si="102"/>
        <v>0</v>
      </c>
      <c r="S355" s="60" t="str">
        <f t="shared" si="103"/>
        <v>0%</v>
      </c>
      <c r="T355" s="56"/>
      <c r="U355" s="43">
        <f>IF(D355=0,0,SUM($L$20:L355))</f>
        <v>0</v>
      </c>
      <c r="V355" s="43">
        <f>IF(D355=0,0,SUM($J$20:J355))</f>
        <v>0</v>
      </c>
      <c r="W355" s="42">
        <f t="shared" si="104"/>
        <v>0</v>
      </c>
      <c r="X355" s="60" t="str">
        <f t="shared" si="105"/>
        <v>0%</v>
      </c>
      <c r="Y355" s="17"/>
      <c r="Z355" s="23">
        <f t="shared" si="108"/>
        <v>45627</v>
      </c>
      <c r="AA355" s="22">
        <f t="shared" si="109"/>
        <v>45627</v>
      </c>
      <c r="AB355" s="137">
        <v>45627</v>
      </c>
      <c r="AC355" s="137"/>
      <c r="AD355" s="134"/>
      <c r="AE355" s="134"/>
      <c r="AF355" s="139"/>
      <c r="AG355" s="256"/>
      <c r="AH355" s="256"/>
      <c r="AI355" s="256"/>
      <c r="AJ355" s="256"/>
      <c r="AK355" s="134"/>
      <c r="AL355" s="134"/>
      <c r="AM355" s="134"/>
      <c r="AN355" s="18"/>
      <c r="AO355" s="18"/>
      <c r="AP355" s="18"/>
      <c r="AQ355" s="18"/>
      <c r="AR355" s="17"/>
      <c r="AS355" s="21">
        <f t="shared" si="110"/>
        <v>45627</v>
      </c>
      <c r="AT355" s="17"/>
      <c r="AU355" s="17"/>
      <c r="AV355" s="17"/>
      <c r="AW355" s="17"/>
      <c r="AX355" s="17"/>
      <c r="AY355" s="17"/>
      <c r="AZ355" s="17"/>
    </row>
    <row r="356" spans="1:52" ht="20">
      <c r="A356" s="17"/>
      <c r="B356" s="40"/>
      <c r="C356" s="55">
        <f t="shared" si="106"/>
        <v>337</v>
      </c>
      <c r="D356" s="54">
        <v>1</v>
      </c>
      <c r="E356" s="53" t="str">
        <f t="shared" si="98"/>
        <v>12</v>
      </c>
      <c r="F356" s="52">
        <f t="shared" si="107"/>
        <v>45628</v>
      </c>
      <c r="G356" s="51" t="str">
        <f t="shared" si="99"/>
        <v>Mon</v>
      </c>
      <c r="H356" s="50"/>
      <c r="I356" s="49"/>
      <c r="J356" s="48">
        <v>262200</v>
      </c>
      <c r="K356" s="31"/>
      <c r="L356" s="43">
        <f t="shared" si="111"/>
        <v>320370.47508650518</v>
      </c>
      <c r="M356" s="47">
        <f t="shared" si="100"/>
        <v>-58170.475086505176</v>
      </c>
      <c r="N356" s="41">
        <f t="shared" si="101"/>
        <v>0.81842747815385231</v>
      </c>
      <c r="O356" s="46"/>
      <c r="P356" s="45">
        <f>IF(D356=0,0,SUM($L$355:L356))</f>
        <v>320370.47508650518</v>
      </c>
      <c r="Q356" s="43">
        <f>IF(D356=0,0,SUM($J$355:J356))</f>
        <v>262200</v>
      </c>
      <c r="R356" s="42">
        <f t="shared" si="102"/>
        <v>-58170.475086505176</v>
      </c>
      <c r="S356" s="41">
        <f t="shared" si="103"/>
        <v>0.81842747815385231</v>
      </c>
      <c r="T356" s="56"/>
      <c r="U356" s="43">
        <f>IF(D356=0,0,SUM($L$20:L356))</f>
        <v>64135704.724048309</v>
      </c>
      <c r="V356" s="43">
        <f>IF(D356=0,0,SUM($J$20:J356))</f>
        <v>63583571</v>
      </c>
      <c r="W356" s="42">
        <f t="shared" si="104"/>
        <v>-552133.72404830903</v>
      </c>
      <c r="X356" s="41">
        <f t="shared" si="105"/>
        <v>0.99139116461846122</v>
      </c>
      <c r="Y356" s="17"/>
      <c r="Z356" s="23">
        <f t="shared" si="108"/>
        <v>45628</v>
      </c>
      <c r="AA356" s="22">
        <f t="shared" si="109"/>
        <v>45628</v>
      </c>
      <c r="AB356" s="137">
        <v>45628</v>
      </c>
      <c r="AC356" s="137"/>
      <c r="AD356" s="134"/>
      <c r="AE356" s="134"/>
      <c r="AF356" s="139"/>
      <c r="AG356" s="256"/>
      <c r="AH356" s="256"/>
      <c r="AI356" s="256"/>
      <c r="AJ356" s="256"/>
      <c r="AK356" s="134"/>
      <c r="AL356" s="134"/>
      <c r="AM356" s="134"/>
      <c r="AN356" s="18"/>
      <c r="AO356" s="18"/>
      <c r="AP356" s="18"/>
      <c r="AQ356" s="18"/>
      <c r="AR356" s="17"/>
      <c r="AS356" s="21">
        <f t="shared" si="110"/>
        <v>45628</v>
      </c>
      <c r="AT356" s="17"/>
      <c r="AU356" s="17"/>
      <c r="AV356" s="17"/>
      <c r="AW356" s="17"/>
      <c r="AX356" s="17"/>
      <c r="AY356" s="17"/>
      <c r="AZ356" s="17"/>
    </row>
    <row r="357" spans="1:52" ht="20">
      <c r="A357" s="17"/>
      <c r="B357" s="40"/>
      <c r="C357" s="55">
        <f t="shared" si="106"/>
        <v>338</v>
      </c>
      <c r="D357" s="54">
        <v>1</v>
      </c>
      <c r="E357" s="53" t="str">
        <f t="shared" si="98"/>
        <v>12</v>
      </c>
      <c r="F357" s="52">
        <f t="shared" si="107"/>
        <v>45629</v>
      </c>
      <c r="G357" s="51" t="str">
        <f t="shared" si="99"/>
        <v>Tue</v>
      </c>
      <c r="H357" s="50"/>
      <c r="I357" s="49"/>
      <c r="J357" s="48">
        <v>227050</v>
      </c>
      <c r="K357" s="31"/>
      <c r="L357" s="43">
        <f t="shared" si="111"/>
        <v>320370.47508650518</v>
      </c>
      <c r="M357" s="47">
        <f t="shared" si="100"/>
        <v>-93320.475086505176</v>
      </c>
      <c r="N357" s="41">
        <f t="shared" si="101"/>
        <v>0.70871075101003878</v>
      </c>
      <c r="O357" s="46"/>
      <c r="P357" s="45">
        <f>IF(D357=0,0,SUM($L$355:L357))</f>
        <v>640740.95017301035</v>
      </c>
      <c r="Q357" s="43">
        <f>IF(D357=0,0,SUM($J$355:J357))</f>
        <v>489250</v>
      </c>
      <c r="R357" s="42">
        <f t="shared" si="102"/>
        <v>-151490.95017301035</v>
      </c>
      <c r="S357" s="41">
        <f t="shared" si="103"/>
        <v>0.76356911458194554</v>
      </c>
      <c r="T357" s="56"/>
      <c r="U357" s="43">
        <f>IF(D357=0,0,SUM($L$20:L357))</f>
        <v>64456075.199134812</v>
      </c>
      <c r="V357" s="43">
        <f>IF(D357=0,0,SUM($J$20:J357))</f>
        <v>63810621</v>
      </c>
      <c r="W357" s="42">
        <f t="shared" si="104"/>
        <v>-645454.19913481176</v>
      </c>
      <c r="X357" s="41">
        <f t="shared" si="105"/>
        <v>0.98998613866667018</v>
      </c>
      <c r="Y357" s="17"/>
      <c r="Z357" s="23">
        <f t="shared" si="108"/>
        <v>45629</v>
      </c>
      <c r="AA357" s="22">
        <f t="shared" si="109"/>
        <v>45629</v>
      </c>
      <c r="AB357" s="137">
        <v>45629</v>
      </c>
      <c r="AC357" s="137"/>
      <c r="AD357" s="134"/>
      <c r="AE357" s="134"/>
      <c r="AF357" s="139"/>
      <c r="AG357" s="256"/>
      <c r="AH357" s="256"/>
      <c r="AI357" s="256"/>
      <c r="AJ357" s="256"/>
      <c r="AK357" s="134"/>
      <c r="AL357" s="134"/>
      <c r="AM357" s="134"/>
      <c r="AN357" s="18"/>
      <c r="AO357" s="18"/>
      <c r="AP357" s="18"/>
      <c r="AQ357" s="18"/>
      <c r="AR357" s="17"/>
      <c r="AS357" s="21">
        <f t="shared" si="110"/>
        <v>45629</v>
      </c>
      <c r="AT357" s="17"/>
      <c r="AU357" s="17"/>
      <c r="AV357" s="17"/>
      <c r="AW357" s="17"/>
      <c r="AX357" s="17"/>
      <c r="AY357" s="17"/>
      <c r="AZ357" s="17"/>
    </row>
    <row r="358" spans="1:52" ht="20">
      <c r="A358" s="17"/>
      <c r="B358" s="40"/>
      <c r="C358" s="55">
        <f t="shared" si="106"/>
        <v>339</v>
      </c>
      <c r="D358" s="54">
        <v>1</v>
      </c>
      <c r="E358" s="53" t="str">
        <f t="shared" si="98"/>
        <v>12</v>
      </c>
      <c r="F358" s="52">
        <f t="shared" si="107"/>
        <v>45630</v>
      </c>
      <c r="G358" s="51" t="str">
        <f t="shared" si="99"/>
        <v>Wed</v>
      </c>
      <c r="H358" s="50"/>
      <c r="I358" s="49"/>
      <c r="J358" s="48">
        <v>339900</v>
      </c>
      <c r="K358" s="31"/>
      <c r="L358" s="43">
        <f t="shared" si="111"/>
        <v>320370.47508650518</v>
      </c>
      <c r="M358" s="47">
        <f t="shared" si="100"/>
        <v>19529.524913494824</v>
      </c>
      <c r="N358" s="41">
        <f t="shared" si="101"/>
        <v>1.0609591907875453</v>
      </c>
      <c r="O358" s="46"/>
      <c r="P358" s="45">
        <f>IF(D358=0,0,SUM($L$355:L358))</f>
        <v>961111.42525951553</v>
      </c>
      <c r="Q358" s="43">
        <f>IF(D358=0,0,SUM($J$355:J358))</f>
        <v>829150</v>
      </c>
      <c r="R358" s="42">
        <f t="shared" si="102"/>
        <v>-131961.42525951553</v>
      </c>
      <c r="S358" s="41">
        <f t="shared" si="103"/>
        <v>0.8626991399838122</v>
      </c>
      <c r="T358" s="56"/>
      <c r="U358" s="43">
        <f>IF(D358=0,0,SUM($L$20:L358))</f>
        <v>64776445.674221314</v>
      </c>
      <c r="V358" s="43">
        <f>IF(D358=0,0,SUM($J$20:J358))</f>
        <v>64150521</v>
      </c>
      <c r="W358" s="42">
        <f t="shared" si="104"/>
        <v>-625924.67422131449</v>
      </c>
      <c r="X358" s="41">
        <f t="shared" si="105"/>
        <v>0.99033715623470198</v>
      </c>
      <c r="Y358" s="17"/>
      <c r="Z358" s="23">
        <f t="shared" si="108"/>
        <v>45630</v>
      </c>
      <c r="AA358" s="22">
        <f t="shared" si="109"/>
        <v>45630</v>
      </c>
      <c r="AB358" s="137">
        <v>45630</v>
      </c>
      <c r="AC358" s="137"/>
      <c r="AD358" s="134"/>
      <c r="AE358" s="134"/>
      <c r="AF358" s="139"/>
      <c r="AG358" s="256"/>
      <c r="AH358" s="256"/>
      <c r="AI358" s="256"/>
      <c r="AJ358" s="256"/>
      <c r="AK358" s="134"/>
      <c r="AL358" s="134"/>
      <c r="AM358" s="134"/>
      <c r="AN358" s="18"/>
      <c r="AO358" s="18"/>
      <c r="AP358" s="18"/>
      <c r="AQ358" s="18"/>
      <c r="AR358" s="17"/>
      <c r="AS358" s="21">
        <f t="shared" si="110"/>
        <v>45630</v>
      </c>
      <c r="AT358" s="17"/>
      <c r="AU358" s="17"/>
      <c r="AV358" s="17"/>
      <c r="AW358" s="17"/>
      <c r="AX358" s="17"/>
      <c r="AY358" s="17"/>
      <c r="AZ358" s="17"/>
    </row>
    <row r="359" spans="1:52" ht="20">
      <c r="A359" s="17"/>
      <c r="B359" s="40"/>
      <c r="C359" s="55">
        <f t="shared" si="106"/>
        <v>340</v>
      </c>
      <c r="D359" s="54">
        <v>1</v>
      </c>
      <c r="E359" s="53" t="str">
        <f t="shared" si="98"/>
        <v>12</v>
      </c>
      <c r="F359" s="52">
        <f t="shared" si="107"/>
        <v>45631</v>
      </c>
      <c r="G359" s="51" t="str">
        <f t="shared" si="99"/>
        <v>Thu</v>
      </c>
      <c r="H359" s="50"/>
      <c r="I359" s="59"/>
      <c r="J359" s="58">
        <v>172750</v>
      </c>
      <c r="K359" s="57"/>
      <c r="L359" s="43">
        <f t="shared" si="111"/>
        <v>320370.47508650518</v>
      </c>
      <c r="M359" s="47">
        <f t="shared" si="100"/>
        <v>-147620.47508650518</v>
      </c>
      <c r="N359" s="41">
        <f t="shared" si="101"/>
        <v>0.53921947693012195</v>
      </c>
      <c r="O359" s="46"/>
      <c r="P359" s="45">
        <f>IF(D359=0,0,SUM($L$355:L359))</f>
        <v>1281481.9003460207</v>
      </c>
      <c r="Q359" s="43">
        <f>IF(D359=0,0,SUM($J$355:J359))</f>
        <v>1001900</v>
      </c>
      <c r="R359" s="42">
        <f t="shared" si="102"/>
        <v>-279581.9003460207</v>
      </c>
      <c r="S359" s="41">
        <f t="shared" si="103"/>
        <v>0.78182922422038958</v>
      </c>
      <c r="T359" s="56"/>
      <c r="U359" s="43">
        <f>IF(D359=0,0,SUM($L$20:L359))</f>
        <v>65096816.149307817</v>
      </c>
      <c r="V359" s="43">
        <f>IF(D359=0,0,SUM($J$20:J359))</f>
        <v>64323271</v>
      </c>
      <c r="W359" s="42">
        <f t="shared" si="104"/>
        <v>-773545.14930781722</v>
      </c>
      <c r="X359" s="41">
        <f t="shared" si="105"/>
        <v>0.98811700486958387</v>
      </c>
      <c r="Y359" s="17"/>
      <c r="Z359" s="23">
        <f t="shared" si="108"/>
        <v>45631</v>
      </c>
      <c r="AA359" s="22">
        <f t="shared" si="109"/>
        <v>45631</v>
      </c>
      <c r="AB359" s="137">
        <v>45631</v>
      </c>
      <c r="AC359" s="137"/>
      <c r="AD359" s="134"/>
      <c r="AE359" s="134"/>
      <c r="AF359" s="139"/>
      <c r="AG359" s="256"/>
      <c r="AH359" s="256"/>
      <c r="AI359" s="256"/>
      <c r="AJ359" s="256"/>
      <c r="AK359" s="134"/>
      <c r="AL359" s="134"/>
      <c r="AM359" s="134"/>
      <c r="AN359" s="18"/>
      <c r="AO359" s="18"/>
      <c r="AP359" s="18"/>
      <c r="AQ359" s="18"/>
      <c r="AR359" s="17"/>
      <c r="AS359" s="21">
        <f t="shared" si="110"/>
        <v>45631</v>
      </c>
      <c r="AT359" s="17"/>
      <c r="AU359" s="17"/>
      <c r="AV359" s="17"/>
      <c r="AW359" s="17"/>
      <c r="AX359" s="17"/>
      <c r="AY359" s="17"/>
      <c r="AZ359" s="17"/>
    </row>
    <row r="360" spans="1:52" ht="20">
      <c r="A360" s="17"/>
      <c r="B360" s="40"/>
      <c r="C360" s="55">
        <f t="shared" si="106"/>
        <v>341</v>
      </c>
      <c r="D360" s="54">
        <v>1</v>
      </c>
      <c r="E360" s="53" t="str">
        <f t="shared" si="98"/>
        <v>12</v>
      </c>
      <c r="F360" s="52">
        <f t="shared" si="107"/>
        <v>45632</v>
      </c>
      <c r="G360" s="51" t="str">
        <f t="shared" si="99"/>
        <v>Fri</v>
      </c>
      <c r="H360" s="50"/>
      <c r="I360" s="59"/>
      <c r="J360" s="58">
        <v>357560</v>
      </c>
      <c r="K360" s="57"/>
      <c r="L360" s="43">
        <f t="shared" si="111"/>
        <v>320370.47508650518</v>
      </c>
      <c r="M360" s="47">
        <f t="shared" si="100"/>
        <v>37189.524913494824</v>
      </c>
      <c r="N360" s="41">
        <f t="shared" si="101"/>
        <v>1.1160828721918057</v>
      </c>
      <c r="O360" s="46"/>
      <c r="P360" s="45">
        <f>IF(D360=0,0,SUM($L$355:L360))</f>
        <v>1601852.3754325258</v>
      </c>
      <c r="Q360" s="43">
        <f>IF(D360=0,0,SUM($J$355:J360))</f>
        <v>1359460</v>
      </c>
      <c r="R360" s="42">
        <f t="shared" si="102"/>
        <v>-242392.37543252576</v>
      </c>
      <c r="S360" s="41">
        <f t="shared" si="103"/>
        <v>0.84867995381467287</v>
      </c>
      <c r="T360" s="56"/>
      <c r="U360" s="43">
        <f>IF(D360=0,0,SUM($L$20:L360))</f>
        <v>65417186.62439432</v>
      </c>
      <c r="V360" s="43">
        <f>IF(D360=0,0,SUM($J$20:J360))</f>
        <v>64680831</v>
      </c>
      <c r="W360" s="42">
        <f t="shared" si="104"/>
        <v>-736355.62439431995</v>
      </c>
      <c r="X360" s="41">
        <f t="shared" si="105"/>
        <v>0.9887436977590881</v>
      </c>
      <c r="Y360" s="17"/>
      <c r="Z360" s="23">
        <f t="shared" si="108"/>
        <v>45632</v>
      </c>
      <c r="AA360" s="22">
        <f t="shared" si="109"/>
        <v>45632</v>
      </c>
      <c r="AB360" s="137">
        <v>45632</v>
      </c>
      <c r="AC360" s="137"/>
      <c r="AD360" s="134"/>
      <c r="AE360" s="134"/>
      <c r="AF360" s="139"/>
      <c r="AG360" s="256"/>
      <c r="AH360" s="256"/>
      <c r="AI360" s="256"/>
      <c r="AJ360" s="256"/>
      <c r="AK360" s="134"/>
      <c r="AL360" s="134"/>
      <c r="AM360" s="134"/>
      <c r="AN360" s="18"/>
      <c r="AO360" s="18"/>
      <c r="AP360" s="18"/>
      <c r="AQ360" s="18"/>
      <c r="AR360" s="17"/>
      <c r="AS360" s="21">
        <f t="shared" si="110"/>
        <v>45632</v>
      </c>
      <c r="AT360" s="17"/>
      <c r="AU360" s="17"/>
      <c r="AV360" s="17"/>
      <c r="AW360" s="17"/>
      <c r="AX360" s="17"/>
      <c r="AY360" s="17"/>
      <c r="AZ360" s="17"/>
    </row>
    <row r="361" spans="1:52" ht="20">
      <c r="A361" s="17"/>
      <c r="B361" s="40"/>
      <c r="C361" s="55">
        <f t="shared" si="106"/>
        <v>342</v>
      </c>
      <c r="D361" s="54">
        <v>1</v>
      </c>
      <c r="E361" s="53" t="str">
        <f t="shared" si="98"/>
        <v>12</v>
      </c>
      <c r="F361" s="52">
        <f t="shared" si="107"/>
        <v>45633</v>
      </c>
      <c r="G361" s="51" t="str">
        <f t="shared" si="99"/>
        <v>Sat</v>
      </c>
      <c r="H361" s="50"/>
      <c r="I361" s="59"/>
      <c r="J361" s="58">
        <v>338550</v>
      </c>
      <c r="K361" s="57"/>
      <c r="L361" s="43">
        <f t="shared" si="111"/>
        <v>320370.47508650518</v>
      </c>
      <c r="M361" s="47">
        <f t="shared" si="100"/>
        <v>18179.524913494824</v>
      </c>
      <c r="N361" s="41">
        <f t="shared" si="101"/>
        <v>1.0567453193325198</v>
      </c>
      <c r="O361" s="46"/>
      <c r="P361" s="45">
        <f>IF(D361=0,0,SUM($L$355:L361))</f>
        <v>1922222.8505190308</v>
      </c>
      <c r="Q361" s="43">
        <f>IF(D361=0,0,SUM($J$355:J361))</f>
        <v>1698010</v>
      </c>
      <c r="R361" s="42">
        <f t="shared" si="102"/>
        <v>-224212.85051903082</v>
      </c>
      <c r="S361" s="41">
        <f t="shared" si="103"/>
        <v>0.88335751473431412</v>
      </c>
      <c r="T361" s="44"/>
      <c r="U361" s="43">
        <f>IF(D361=0,0,SUM($L$20:L361))</f>
        <v>65737557.099480823</v>
      </c>
      <c r="V361" s="43">
        <f>IF(D361=0,0,SUM($J$20:J361))</f>
        <v>65019381</v>
      </c>
      <c r="W361" s="42">
        <f t="shared" si="104"/>
        <v>-718176.09948082268</v>
      </c>
      <c r="X361" s="41">
        <f t="shared" si="105"/>
        <v>0.98907510210040195</v>
      </c>
      <c r="Y361" s="17"/>
      <c r="Z361" s="23">
        <f t="shared" si="108"/>
        <v>45633</v>
      </c>
      <c r="AA361" s="22">
        <f t="shared" si="109"/>
        <v>45633</v>
      </c>
      <c r="AB361" s="137">
        <v>45633</v>
      </c>
      <c r="AC361" s="137"/>
      <c r="AD361" s="134"/>
      <c r="AE361" s="134"/>
      <c r="AF361" s="139"/>
      <c r="AG361" s="256"/>
      <c r="AH361" s="256"/>
      <c r="AI361" s="256"/>
      <c r="AJ361" s="256"/>
      <c r="AK361" s="134"/>
      <c r="AL361" s="134"/>
      <c r="AM361" s="134"/>
      <c r="AN361" s="18"/>
      <c r="AO361" s="18"/>
      <c r="AP361" s="18"/>
      <c r="AQ361" s="18"/>
      <c r="AR361" s="17"/>
      <c r="AS361" s="21">
        <f t="shared" si="110"/>
        <v>45633</v>
      </c>
      <c r="AT361" s="17"/>
      <c r="AU361" s="17"/>
      <c r="AV361" s="17"/>
      <c r="AW361" s="17"/>
      <c r="AX361" s="17"/>
      <c r="AY361" s="17"/>
      <c r="AZ361" s="17"/>
    </row>
    <row r="362" spans="1:52" ht="20">
      <c r="A362" s="17"/>
      <c r="B362" s="40"/>
      <c r="C362" s="55">
        <f t="shared" si="106"/>
        <v>343</v>
      </c>
      <c r="D362" s="54">
        <v>0</v>
      </c>
      <c r="E362" s="53" t="str">
        <f t="shared" si="98"/>
        <v>12</v>
      </c>
      <c r="F362" s="52">
        <f t="shared" si="107"/>
        <v>45634</v>
      </c>
      <c r="G362" s="51" t="str">
        <f t="shared" si="99"/>
        <v>Sun</v>
      </c>
      <c r="H362" s="50" t="s">
        <v>46</v>
      </c>
      <c r="I362" s="49"/>
      <c r="J362" s="48">
        <v>0</v>
      </c>
      <c r="K362" s="31"/>
      <c r="L362" s="43">
        <f t="shared" si="111"/>
        <v>0</v>
      </c>
      <c r="M362" s="47">
        <f t="shared" si="100"/>
        <v>0</v>
      </c>
      <c r="N362" s="41" t="str">
        <f t="shared" si="101"/>
        <v>0%</v>
      </c>
      <c r="O362" s="46"/>
      <c r="P362" s="45">
        <f>IF(D362=0,0,SUM($L$355:L362))</f>
        <v>0</v>
      </c>
      <c r="Q362" s="43">
        <f>IF(D362=0,0,SUM($J$355:J362))</f>
        <v>0</v>
      </c>
      <c r="R362" s="42">
        <f t="shared" si="102"/>
        <v>0</v>
      </c>
      <c r="S362" s="41" t="str">
        <f t="shared" si="103"/>
        <v>0%</v>
      </c>
      <c r="T362" s="56"/>
      <c r="U362" s="43">
        <f>IF(D362=0,0,SUM($L$20:L362))</f>
        <v>0</v>
      </c>
      <c r="V362" s="43">
        <f>IF(D362=0,0,SUM($J$20:J362))</f>
        <v>0</v>
      </c>
      <c r="W362" s="42">
        <f t="shared" si="104"/>
        <v>0</v>
      </c>
      <c r="X362" s="41" t="str">
        <f t="shared" si="105"/>
        <v>0%</v>
      </c>
      <c r="Y362" s="17"/>
      <c r="Z362" s="23">
        <f t="shared" si="108"/>
        <v>45634</v>
      </c>
      <c r="AA362" s="22">
        <f t="shared" si="109"/>
        <v>45634</v>
      </c>
      <c r="AB362" s="137">
        <v>45634</v>
      </c>
      <c r="AC362" s="137"/>
      <c r="AD362" s="134"/>
      <c r="AE362" s="134"/>
      <c r="AF362" s="139"/>
      <c r="AG362" s="256"/>
      <c r="AH362" s="256"/>
      <c r="AI362" s="256"/>
      <c r="AJ362" s="256"/>
      <c r="AK362" s="134"/>
      <c r="AL362" s="134"/>
      <c r="AM362" s="134"/>
      <c r="AN362" s="18"/>
      <c r="AO362" s="18"/>
      <c r="AP362" s="18"/>
      <c r="AQ362" s="18"/>
      <c r="AR362" s="17"/>
      <c r="AS362" s="21">
        <f t="shared" si="110"/>
        <v>45634</v>
      </c>
      <c r="AT362" s="17"/>
      <c r="AU362" s="17"/>
      <c r="AV362" s="17"/>
      <c r="AW362" s="17"/>
      <c r="AX362" s="17"/>
      <c r="AY362" s="17"/>
      <c r="AZ362" s="17"/>
    </row>
    <row r="363" spans="1:52" ht="20">
      <c r="A363" s="17"/>
      <c r="B363" s="40"/>
      <c r="C363" s="55">
        <f t="shared" si="106"/>
        <v>344</v>
      </c>
      <c r="D363" s="54">
        <v>1</v>
      </c>
      <c r="E363" s="53" t="str">
        <f t="shared" si="98"/>
        <v>12</v>
      </c>
      <c r="F363" s="52">
        <f t="shared" si="107"/>
        <v>45635</v>
      </c>
      <c r="G363" s="51" t="str">
        <f t="shared" si="99"/>
        <v>Mon</v>
      </c>
      <c r="H363" s="50"/>
      <c r="I363" s="59"/>
      <c r="J363" s="58">
        <v>312620</v>
      </c>
      <c r="K363" s="57"/>
      <c r="L363" s="43">
        <f t="shared" si="111"/>
        <v>320370.47508650518</v>
      </c>
      <c r="M363" s="47">
        <f t="shared" si="100"/>
        <v>-7750.4750865051756</v>
      </c>
      <c r="N363" s="41">
        <f t="shared" si="101"/>
        <v>0.97580777353339931</v>
      </c>
      <c r="O363" s="46"/>
      <c r="P363" s="45">
        <f>IF(D363=0,0,SUM($L$355:L363))</f>
        <v>2242593.3256055359</v>
      </c>
      <c r="Q363" s="43">
        <f>IF(D363=0,0,SUM($J$355:J363))</f>
        <v>2010630</v>
      </c>
      <c r="R363" s="42">
        <f t="shared" si="102"/>
        <v>-231963.32560553588</v>
      </c>
      <c r="S363" s="41">
        <f t="shared" si="103"/>
        <v>0.89656469456275489</v>
      </c>
      <c r="T363" s="56"/>
      <c r="U363" s="43">
        <f>IF(D363=0,0,SUM($L$20:L363))</f>
        <v>66057927.574567325</v>
      </c>
      <c r="V363" s="43">
        <f>IF(D363=0,0,SUM($J$20:J363))</f>
        <v>65332001</v>
      </c>
      <c r="W363" s="42">
        <f t="shared" si="104"/>
        <v>-725926.57456732541</v>
      </c>
      <c r="X363" s="41">
        <f t="shared" si="105"/>
        <v>0.98901075766042024</v>
      </c>
      <c r="Y363" s="17"/>
      <c r="Z363" s="23">
        <f t="shared" si="108"/>
        <v>45635</v>
      </c>
      <c r="AA363" s="22">
        <f t="shared" si="109"/>
        <v>45635</v>
      </c>
      <c r="AB363" s="137">
        <v>45635</v>
      </c>
      <c r="AC363" s="137"/>
      <c r="AD363" s="134"/>
      <c r="AE363" s="134"/>
      <c r="AF363" s="139"/>
      <c r="AG363" s="256"/>
      <c r="AH363" s="256"/>
      <c r="AI363" s="256"/>
      <c r="AJ363" s="256"/>
      <c r="AK363" s="134"/>
      <c r="AL363" s="134"/>
      <c r="AM363" s="134"/>
      <c r="AN363" s="18"/>
      <c r="AO363" s="18"/>
      <c r="AP363" s="18"/>
      <c r="AQ363" s="18"/>
      <c r="AR363" s="17"/>
      <c r="AS363" s="21">
        <f t="shared" si="110"/>
        <v>45635</v>
      </c>
      <c r="AT363" s="17"/>
      <c r="AU363" s="17"/>
      <c r="AV363" s="17"/>
      <c r="AW363" s="17"/>
      <c r="AX363" s="17"/>
      <c r="AY363" s="17"/>
      <c r="AZ363" s="17"/>
    </row>
    <row r="364" spans="1:52" ht="20">
      <c r="A364" s="17"/>
      <c r="B364" s="40"/>
      <c r="C364" s="55">
        <f t="shared" si="106"/>
        <v>345</v>
      </c>
      <c r="D364" s="54">
        <v>1</v>
      </c>
      <c r="E364" s="53" t="str">
        <f t="shared" si="98"/>
        <v>12</v>
      </c>
      <c r="F364" s="52">
        <f t="shared" si="107"/>
        <v>45636</v>
      </c>
      <c r="G364" s="51" t="str">
        <f t="shared" si="99"/>
        <v>Tue</v>
      </c>
      <c r="H364" s="50"/>
      <c r="I364" s="59"/>
      <c r="J364" s="58">
        <v>382740</v>
      </c>
      <c r="K364" s="57"/>
      <c r="L364" s="43">
        <f t="shared" si="111"/>
        <v>320370.47508650518</v>
      </c>
      <c r="M364" s="47">
        <f t="shared" si="100"/>
        <v>62369.524913494824</v>
      </c>
      <c r="N364" s="41">
        <f t="shared" si="101"/>
        <v>1.1946793782936898</v>
      </c>
      <c r="O364" s="46"/>
      <c r="P364" s="45">
        <f>IF(D364=0,0,SUM($L$355:L364))</f>
        <v>2562963.8006920409</v>
      </c>
      <c r="Q364" s="43">
        <f>IF(D364=0,0,SUM($J$355:J364))</f>
        <v>2393370</v>
      </c>
      <c r="R364" s="42">
        <f t="shared" si="102"/>
        <v>-169593.80069204094</v>
      </c>
      <c r="S364" s="41">
        <f t="shared" si="103"/>
        <v>0.93382903002912176</v>
      </c>
      <c r="T364" s="56"/>
      <c r="U364" s="43">
        <f>IF(D364=0,0,SUM($L$20:L364))</f>
        <v>66378298.049653828</v>
      </c>
      <c r="V364" s="43">
        <f>IF(D364=0,0,SUM($J$20:J364))</f>
        <v>65714741</v>
      </c>
      <c r="W364" s="42">
        <f t="shared" si="104"/>
        <v>-663557.04965382814</v>
      </c>
      <c r="X364" s="41">
        <f t="shared" si="105"/>
        <v>0.99000340368538131</v>
      </c>
      <c r="Y364" s="17"/>
      <c r="Z364" s="23">
        <f t="shared" si="108"/>
        <v>45636</v>
      </c>
      <c r="AA364" s="22">
        <f t="shared" si="109"/>
        <v>45636</v>
      </c>
      <c r="AB364" s="137">
        <v>45636</v>
      </c>
      <c r="AC364" s="137"/>
      <c r="AD364" s="134"/>
      <c r="AE364" s="134"/>
      <c r="AF364" s="139"/>
      <c r="AG364" s="256"/>
      <c r="AH364" s="256"/>
      <c r="AI364" s="256"/>
      <c r="AJ364" s="256"/>
      <c r="AK364" s="134"/>
      <c r="AL364" s="134"/>
      <c r="AM364" s="134"/>
      <c r="AN364" s="18"/>
      <c r="AO364" s="18"/>
      <c r="AP364" s="18"/>
      <c r="AQ364" s="18"/>
      <c r="AR364" s="17"/>
      <c r="AS364" s="21">
        <f t="shared" si="110"/>
        <v>45636</v>
      </c>
      <c r="AT364" s="17"/>
      <c r="AU364" s="17"/>
      <c r="AV364" s="17"/>
      <c r="AW364" s="17"/>
      <c r="AX364" s="17"/>
      <c r="AY364" s="17"/>
      <c r="AZ364" s="17"/>
    </row>
    <row r="365" spans="1:52" ht="20">
      <c r="A365" s="17"/>
      <c r="B365" s="40"/>
      <c r="C365" s="55">
        <f t="shared" si="106"/>
        <v>346</v>
      </c>
      <c r="D365" s="54">
        <v>1</v>
      </c>
      <c r="E365" s="53" t="str">
        <f t="shared" si="98"/>
        <v>12</v>
      </c>
      <c r="F365" s="52">
        <f t="shared" si="107"/>
        <v>45637</v>
      </c>
      <c r="G365" s="51" t="str">
        <f t="shared" si="99"/>
        <v>Wed</v>
      </c>
      <c r="H365" s="50"/>
      <c r="I365" s="59"/>
      <c r="J365" s="58">
        <v>408230</v>
      </c>
      <c r="K365" s="57"/>
      <c r="L365" s="43">
        <f t="shared" si="111"/>
        <v>320370.47508650518</v>
      </c>
      <c r="M365" s="47">
        <f t="shared" si="100"/>
        <v>87859.524913494824</v>
      </c>
      <c r="N365" s="41">
        <f t="shared" si="101"/>
        <v>1.274243514137098</v>
      </c>
      <c r="O365" s="46"/>
      <c r="P365" s="45">
        <f>IF(D365=0,0,SUM($L$355:L365))</f>
        <v>2883334.275778546</v>
      </c>
      <c r="Q365" s="43">
        <f>IF(D365=0,0,SUM($J$355:J365))</f>
        <v>2801600</v>
      </c>
      <c r="R365" s="42">
        <f t="shared" si="102"/>
        <v>-81734.275778545998</v>
      </c>
      <c r="S365" s="41">
        <f t="shared" si="103"/>
        <v>0.97165286159667474</v>
      </c>
      <c r="T365" s="56"/>
      <c r="U365" s="43">
        <f>IF(D365=0,0,SUM($L$20:L365))</f>
        <v>66698668.524740331</v>
      </c>
      <c r="V365" s="43">
        <f>IF(D365=0,0,SUM($J$20:J365))</f>
        <v>66122971</v>
      </c>
      <c r="W365" s="42">
        <f t="shared" si="104"/>
        <v>-575697.52474033087</v>
      </c>
      <c r="X365" s="41">
        <f t="shared" si="105"/>
        <v>0.99136868040286608</v>
      </c>
      <c r="Y365" s="17"/>
      <c r="Z365" s="23">
        <f t="shared" si="108"/>
        <v>45637</v>
      </c>
      <c r="AA365" s="22">
        <f t="shared" si="109"/>
        <v>45637</v>
      </c>
      <c r="AB365" s="137">
        <v>45637</v>
      </c>
      <c r="AC365" s="137"/>
      <c r="AD365" s="134"/>
      <c r="AE365" s="134"/>
      <c r="AF365" s="139"/>
      <c r="AG365" s="256"/>
      <c r="AH365" s="256"/>
      <c r="AI365" s="256"/>
      <c r="AJ365" s="256"/>
      <c r="AK365" s="134"/>
      <c r="AL365" s="134"/>
      <c r="AM365" s="134"/>
      <c r="AN365" s="18"/>
      <c r="AO365" s="18"/>
      <c r="AP365" s="18"/>
      <c r="AQ365" s="18"/>
      <c r="AR365" s="17"/>
      <c r="AS365" s="21">
        <f t="shared" si="110"/>
        <v>45637</v>
      </c>
      <c r="AT365" s="17"/>
      <c r="AU365" s="17"/>
      <c r="AV365" s="17"/>
      <c r="AW365" s="17"/>
      <c r="AX365" s="17"/>
      <c r="AY365" s="17"/>
      <c r="AZ365" s="17"/>
    </row>
    <row r="366" spans="1:52" ht="20">
      <c r="A366" s="17"/>
      <c r="B366" s="40"/>
      <c r="C366" s="55">
        <f t="shared" si="106"/>
        <v>347</v>
      </c>
      <c r="D366" s="54">
        <v>1</v>
      </c>
      <c r="E366" s="53" t="str">
        <f t="shared" si="98"/>
        <v>12</v>
      </c>
      <c r="F366" s="52">
        <f t="shared" si="107"/>
        <v>45638</v>
      </c>
      <c r="G366" s="51" t="str">
        <f t="shared" si="99"/>
        <v>Thu</v>
      </c>
      <c r="H366" s="50"/>
      <c r="I366" s="59"/>
      <c r="J366" s="58">
        <v>368560</v>
      </c>
      <c r="K366" s="57"/>
      <c r="L366" s="43">
        <f t="shared" si="111"/>
        <v>320370.47508650518</v>
      </c>
      <c r="M366" s="47">
        <f t="shared" si="100"/>
        <v>48189.524913494824</v>
      </c>
      <c r="N366" s="41">
        <f t="shared" si="101"/>
        <v>1.1504181210846065</v>
      </c>
      <c r="O366" s="46"/>
      <c r="P366" s="45">
        <f>IF(D366=0,0,SUM($L$355:L366))</f>
        <v>3203704.7508650511</v>
      </c>
      <c r="Q366" s="43">
        <f>IF(D366=0,0,SUM($J$355:J366))</f>
        <v>3170160</v>
      </c>
      <c r="R366" s="42">
        <f t="shared" si="102"/>
        <v>-33544.750865051057</v>
      </c>
      <c r="S366" s="41">
        <f t="shared" si="103"/>
        <v>0.98952938754546793</v>
      </c>
      <c r="T366" s="56"/>
      <c r="U366" s="43">
        <f>IF(D366=0,0,SUM($L$20:L366))</f>
        <v>67019038.999826834</v>
      </c>
      <c r="V366" s="43">
        <f>IF(D366=0,0,SUM($J$20:J366))</f>
        <v>66491531</v>
      </c>
      <c r="W366" s="42">
        <f t="shared" si="104"/>
        <v>-527507.99982683361</v>
      </c>
      <c r="X366" s="41">
        <f t="shared" si="105"/>
        <v>0.99212898293232465</v>
      </c>
      <c r="Y366" s="17"/>
      <c r="Z366" s="23">
        <f t="shared" si="108"/>
        <v>45638</v>
      </c>
      <c r="AA366" s="22">
        <f t="shared" si="109"/>
        <v>45638</v>
      </c>
      <c r="AB366" s="137">
        <v>45638</v>
      </c>
      <c r="AC366" s="137"/>
      <c r="AD366" s="134"/>
      <c r="AE366" s="134"/>
      <c r="AF366" s="139"/>
      <c r="AG366" s="256"/>
      <c r="AH366" s="256"/>
      <c r="AI366" s="256"/>
      <c r="AJ366" s="256"/>
      <c r="AK366" s="134"/>
      <c r="AL366" s="134"/>
      <c r="AM366" s="134"/>
      <c r="AN366" s="18"/>
      <c r="AO366" s="18"/>
      <c r="AP366" s="18"/>
      <c r="AQ366" s="18"/>
      <c r="AR366" s="17"/>
      <c r="AS366" s="21">
        <f t="shared" si="110"/>
        <v>45638</v>
      </c>
      <c r="AT366" s="17"/>
      <c r="AU366" s="17"/>
      <c r="AV366" s="17"/>
      <c r="AW366" s="17"/>
      <c r="AX366" s="17"/>
      <c r="AY366" s="17"/>
      <c r="AZ366" s="17"/>
    </row>
    <row r="367" spans="1:52" ht="20">
      <c r="A367" s="17"/>
      <c r="B367" s="40"/>
      <c r="C367" s="55">
        <f t="shared" si="106"/>
        <v>348</v>
      </c>
      <c r="D367" s="54">
        <v>1</v>
      </c>
      <c r="E367" s="53" t="str">
        <f t="shared" si="98"/>
        <v>12</v>
      </c>
      <c r="F367" s="52">
        <f t="shared" si="107"/>
        <v>45639</v>
      </c>
      <c r="G367" s="51" t="str">
        <f t="shared" si="99"/>
        <v>Fri</v>
      </c>
      <c r="H367" s="50"/>
      <c r="I367" s="59"/>
      <c r="J367" s="58">
        <v>510650</v>
      </c>
      <c r="K367" s="57"/>
      <c r="L367" s="43">
        <f t="shared" si="111"/>
        <v>320370.47508650518</v>
      </c>
      <c r="M367" s="47">
        <f t="shared" si="100"/>
        <v>190279.52491349482</v>
      </c>
      <c r="N367" s="41">
        <f t="shared" si="101"/>
        <v>1.5939358951917035</v>
      </c>
      <c r="O367" s="46"/>
      <c r="P367" s="45">
        <f>IF(D367=0,0,SUM($L$355:L367))</f>
        <v>3524075.2259515561</v>
      </c>
      <c r="Q367" s="43">
        <f>IF(D367=0,0,SUM($J$355:J367))</f>
        <v>3680810</v>
      </c>
      <c r="R367" s="42">
        <f t="shared" si="102"/>
        <v>156734.77404844388</v>
      </c>
      <c r="S367" s="41">
        <f t="shared" si="103"/>
        <v>1.0444754336951259</v>
      </c>
      <c r="T367" s="56"/>
      <c r="U367" s="43">
        <f>IF(D367=0,0,SUM($L$20:L367))</f>
        <v>67339409.474913344</v>
      </c>
      <c r="V367" s="43">
        <f>IF(D367=0,0,SUM($J$20:J367))</f>
        <v>67002181</v>
      </c>
      <c r="W367" s="42">
        <f t="shared" si="104"/>
        <v>-337228.47491334379</v>
      </c>
      <c r="X367" s="41">
        <f t="shared" si="105"/>
        <v>0.99499210822395201</v>
      </c>
      <c r="Y367" s="17"/>
      <c r="Z367" s="23">
        <f t="shared" si="108"/>
        <v>45639</v>
      </c>
      <c r="AA367" s="22">
        <f t="shared" si="109"/>
        <v>45639</v>
      </c>
      <c r="AB367" s="137">
        <v>45639</v>
      </c>
      <c r="AC367" s="137"/>
      <c r="AD367" s="134"/>
      <c r="AE367" s="134"/>
      <c r="AF367" s="139"/>
      <c r="AG367" s="256"/>
      <c r="AH367" s="256"/>
      <c r="AI367" s="256"/>
      <c r="AJ367" s="256"/>
      <c r="AK367" s="134"/>
      <c r="AL367" s="134"/>
      <c r="AM367" s="134"/>
      <c r="AN367" s="18"/>
      <c r="AO367" s="18"/>
      <c r="AP367" s="18"/>
      <c r="AQ367" s="18"/>
      <c r="AR367" s="17"/>
      <c r="AS367" s="21">
        <f t="shared" si="110"/>
        <v>45639</v>
      </c>
      <c r="AT367" s="17"/>
      <c r="AU367" s="17"/>
      <c r="AV367" s="17"/>
      <c r="AW367" s="17"/>
      <c r="AX367" s="17"/>
      <c r="AY367" s="17"/>
      <c r="AZ367" s="17"/>
    </row>
    <row r="368" spans="1:52" ht="20">
      <c r="A368" s="17"/>
      <c r="B368" s="40"/>
      <c r="C368" s="55">
        <f t="shared" si="106"/>
        <v>349</v>
      </c>
      <c r="D368" s="54">
        <v>1</v>
      </c>
      <c r="E368" s="53" t="str">
        <f t="shared" si="98"/>
        <v>12</v>
      </c>
      <c r="F368" s="52">
        <f t="shared" si="107"/>
        <v>45640</v>
      </c>
      <c r="G368" s="51" t="str">
        <f t="shared" si="99"/>
        <v>Sat</v>
      </c>
      <c r="H368" s="50"/>
      <c r="I368" s="59"/>
      <c r="J368" s="58">
        <v>116650</v>
      </c>
      <c r="K368" s="57"/>
      <c r="L368" s="43">
        <f t="shared" si="111"/>
        <v>320370.47508650518</v>
      </c>
      <c r="M368" s="47">
        <f t="shared" si="100"/>
        <v>-203720.47508650518</v>
      </c>
      <c r="N368" s="41">
        <f t="shared" si="101"/>
        <v>0.3641097075768378</v>
      </c>
      <c r="O368" s="46"/>
      <c r="P368" s="45">
        <f>IF(D368=0,0,SUM($L$355:L368))</f>
        <v>3844445.7010380612</v>
      </c>
      <c r="Q368" s="43">
        <f>IF(D368=0,0,SUM($J$355:J368))</f>
        <v>3797460</v>
      </c>
      <c r="R368" s="42">
        <f t="shared" si="102"/>
        <v>-46985.701038061175</v>
      </c>
      <c r="S368" s="41">
        <f t="shared" si="103"/>
        <v>0.98777828985193517</v>
      </c>
      <c r="T368" s="44"/>
      <c r="U368" s="43">
        <f>IF(D368=0,0,SUM($L$20:L368))</f>
        <v>67659779.949999854</v>
      </c>
      <c r="V368" s="43">
        <f>IF(D368=0,0,SUM($J$20:J368))</f>
        <v>67118831</v>
      </c>
      <c r="W368" s="42">
        <f t="shared" si="104"/>
        <v>-540948.94999985397</v>
      </c>
      <c r="X368" s="41">
        <f t="shared" si="105"/>
        <v>0.99200486684408951</v>
      </c>
      <c r="Y368" s="17"/>
      <c r="Z368" s="23">
        <f t="shared" si="108"/>
        <v>45640</v>
      </c>
      <c r="AA368" s="22">
        <f t="shared" si="109"/>
        <v>45640</v>
      </c>
      <c r="AB368" s="137">
        <v>45640</v>
      </c>
      <c r="AC368" s="137"/>
      <c r="AD368" s="134"/>
      <c r="AE368" s="134"/>
      <c r="AF368" s="139"/>
      <c r="AG368" s="256"/>
      <c r="AH368" s="256"/>
      <c r="AI368" s="256"/>
      <c r="AJ368" s="256"/>
      <c r="AK368" s="134"/>
      <c r="AL368" s="134"/>
      <c r="AM368" s="134"/>
      <c r="AN368" s="18"/>
      <c r="AO368" s="18"/>
      <c r="AP368" s="18"/>
      <c r="AQ368" s="18"/>
      <c r="AR368" s="17"/>
      <c r="AS368" s="21">
        <f t="shared" si="110"/>
        <v>45640</v>
      </c>
      <c r="AT368" s="17"/>
      <c r="AU368" s="17"/>
      <c r="AV368" s="17"/>
      <c r="AW368" s="17"/>
      <c r="AX368" s="17"/>
      <c r="AY368" s="17"/>
      <c r="AZ368" s="17"/>
    </row>
    <row r="369" spans="1:52" ht="20">
      <c r="A369" s="17"/>
      <c r="B369" s="40"/>
      <c r="C369" s="55">
        <f t="shared" si="106"/>
        <v>350</v>
      </c>
      <c r="D369" s="54">
        <v>0</v>
      </c>
      <c r="E369" s="53" t="str">
        <f t="shared" si="98"/>
        <v>12</v>
      </c>
      <c r="F369" s="52">
        <f t="shared" si="107"/>
        <v>45641</v>
      </c>
      <c r="G369" s="51" t="str">
        <f t="shared" si="99"/>
        <v>Sun</v>
      </c>
      <c r="H369" s="50" t="s">
        <v>46</v>
      </c>
      <c r="I369" s="49"/>
      <c r="J369" s="48">
        <v>0</v>
      </c>
      <c r="K369" s="31"/>
      <c r="L369" s="43">
        <f t="shared" si="111"/>
        <v>0</v>
      </c>
      <c r="M369" s="47">
        <f t="shared" si="100"/>
        <v>0</v>
      </c>
      <c r="N369" s="41" t="str">
        <f t="shared" si="101"/>
        <v>0%</v>
      </c>
      <c r="O369" s="46"/>
      <c r="P369" s="45">
        <f>IF(D369=0,0,SUM($L$355:L369))</f>
        <v>0</v>
      </c>
      <c r="Q369" s="43">
        <f>IF(D369=0,0,SUM($J$355:J369))</f>
        <v>0</v>
      </c>
      <c r="R369" s="42">
        <f t="shared" si="102"/>
        <v>0</v>
      </c>
      <c r="S369" s="41" t="str">
        <f t="shared" si="103"/>
        <v>0%</v>
      </c>
      <c r="T369" s="56"/>
      <c r="U369" s="43">
        <f>IF(D369=0,0,SUM($L$20:L369))</f>
        <v>0</v>
      </c>
      <c r="V369" s="43">
        <f>IF(D369=0,0,SUM($J$20:J369))</f>
        <v>0</v>
      </c>
      <c r="W369" s="42">
        <f t="shared" si="104"/>
        <v>0</v>
      </c>
      <c r="X369" s="41" t="str">
        <f t="shared" si="105"/>
        <v>0%</v>
      </c>
      <c r="Y369" s="17"/>
      <c r="Z369" s="23">
        <f t="shared" si="108"/>
        <v>45641</v>
      </c>
      <c r="AA369" s="22">
        <f t="shared" si="109"/>
        <v>45641</v>
      </c>
      <c r="AB369" s="137">
        <v>45641</v>
      </c>
      <c r="AC369" s="137"/>
      <c r="AD369" s="134"/>
      <c r="AE369" s="134"/>
      <c r="AF369" s="139"/>
      <c r="AG369" s="256"/>
      <c r="AH369" s="256"/>
      <c r="AI369" s="256"/>
      <c r="AJ369" s="256"/>
      <c r="AK369" s="134"/>
      <c r="AL369" s="134"/>
      <c r="AM369" s="134"/>
      <c r="AN369" s="18"/>
      <c r="AO369" s="18"/>
      <c r="AP369" s="18"/>
      <c r="AQ369" s="18"/>
      <c r="AR369" s="17"/>
      <c r="AS369" s="21">
        <f t="shared" si="110"/>
        <v>45641</v>
      </c>
      <c r="AT369" s="17"/>
      <c r="AU369" s="17"/>
      <c r="AV369" s="17"/>
      <c r="AW369" s="17"/>
      <c r="AX369" s="17"/>
      <c r="AY369" s="17"/>
      <c r="AZ369" s="17"/>
    </row>
    <row r="370" spans="1:52" ht="20">
      <c r="A370" s="17"/>
      <c r="B370" s="40"/>
      <c r="C370" s="55">
        <f t="shared" si="106"/>
        <v>351</v>
      </c>
      <c r="D370" s="54">
        <v>1</v>
      </c>
      <c r="E370" s="53" t="str">
        <f t="shared" si="98"/>
        <v>12</v>
      </c>
      <c r="F370" s="52">
        <f t="shared" si="107"/>
        <v>45642</v>
      </c>
      <c r="G370" s="51" t="str">
        <f t="shared" si="99"/>
        <v>Mon</v>
      </c>
      <c r="H370" s="50"/>
      <c r="I370" s="59"/>
      <c r="J370" s="58">
        <v>390170</v>
      </c>
      <c r="K370" s="57"/>
      <c r="L370" s="43">
        <f t="shared" si="111"/>
        <v>320370.47508650518</v>
      </c>
      <c r="M370" s="47">
        <f t="shared" si="100"/>
        <v>69799.524913494824</v>
      </c>
      <c r="N370" s="41">
        <f t="shared" si="101"/>
        <v>1.2178712782276451</v>
      </c>
      <c r="O370" s="46"/>
      <c r="P370" s="45">
        <f>IF(D370=0,0,SUM($L$355:L370))</f>
        <v>4164816.1761245662</v>
      </c>
      <c r="Q370" s="43">
        <f>IF(D370=0,0,SUM($J$355:J370))</f>
        <v>4187630</v>
      </c>
      <c r="R370" s="42">
        <f t="shared" si="102"/>
        <v>22813.823875433765</v>
      </c>
      <c r="S370" s="41">
        <f t="shared" si="103"/>
        <v>1.0054777504962205</v>
      </c>
      <c r="T370" s="56"/>
      <c r="U370" s="43">
        <f>IF(D370=0,0,SUM($L$20:L370))</f>
        <v>67980150.425086364</v>
      </c>
      <c r="V370" s="43">
        <f>IF(D370=0,0,SUM($J$20:J370))</f>
        <v>67509001</v>
      </c>
      <c r="W370" s="42">
        <f t="shared" si="104"/>
        <v>-471149.42508636415</v>
      </c>
      <c r="X370" s="41">
        <f t="shared" si="105"/>
        <v>0.99306930887707334</v>
      </c>
      <c r="Y370" s="17"/>
      <c r="Z370" s="23">
        <f t="shared" si="108"/>
        <v>45642</v>
      </c>
      <c r="AA370" s="22">
        <f t="shared" si="109"/>
        <v>45642</v>
      </c>
      <c r="AB370" s="137">
        <v>45642</v>
      </c>
      <c r="AC370" s="137"/>
      <c r="AD370" s="134"/>
      <c r="AE370" s="134"/>
      <c r="AF370" s="139"/>
      <c r="AG370" s="256"/>
      <c r="AH370" s="256"/>
      <c r="AI370" s="256"/>
      <c r="AJ370" s="256"/>
      <c r="AK370" s="134"/>
      <c r="AL370" s="134"/>
      <c r="AM370" s="134"/>
      <c r="AN370" s="18"/>
      <c r="AO370" s="18"/>
      <c r="AP370" s="18"/>
      <c r="AQ370" s="18"/>
      <c r="AR370" s="17"/>
      <c r="AS370" s="21">
        <f t="shared" si="110"/>
        <v>45642</v>
      </c>
      <c r="AT370" s="17"/>
      <c r="AU370" s="17"/>
      <c r="AV370" s="17"/>
      <c r="AW370" s="17"/>
      <c r="AX370" s="17"/>
      <c r="AY370" s="17"/>
      <c r="AZ370" s="17"/>
    </row>
    <row r="371" spans="1:52" ht="20">
      <c r="A371" s="17"/>
      <c r="B371" s="40"/>
      <c r="C371" s="55">
        <f t="shared" si="106"/>
        <v>352</v>
      </c>
      <c r="D371" s="54">
        <v>1</v>
      </c>
      <c r="E371" s="53" t="str">
        <f t="shared" si="98"/>
        <v>12</v>
      </c>
      <c r="F371" s="52">
        <f t="shared" si="107"/>
        <v>45643</v>
      </c>
      <c r="G371" s="51" t="str">
        <f t="shared" si="99"/>
        <v>Tue</v>
      </c>
      <c r="H371" s="50"/>
      <c r="I371" s="59"/>
      <c r="J371" s="58">
        <v>336680</v>
      </c>
      <c r="K371" s="57"/>
      <c r="L371" s="43">
        <f t="shared" si="111"/>
        <v>320370.47508650518</v>
      </c>
      <c r="M371" s="47">
        <f t="shared" si="100"/>
        <v>16309.524913494824</v>
      </c>
      <c r="N371" s="41">
        <f t="shared" si="101"/>
        <v>1.0509083270207438</v>
      </c>
      <c r="O371" s="46"/>
      <c r="P371" s="45">
        <f>IF(D371=0,0,SUM($L$355:L371))</f>
        <v>4485186.6512110718</v>
      </c>
      <c r="Q371" s="43">
        <f>IF(D371=0,0,SUM($J$355:J371))</f>
        <v>4524310</v>
      </c>
      <c r="R371" s="42">
        <f t="shared" si="102"/>
        <v>39123.348788928241</v>
      </c>
      <c r="S371" s="41">
        <f t="shared" si="103"/>
        <v>1.0087227916765436</v>
      </c>
      <c r="T371" s="56"/>
      <c r="U371" s="43">
        <f>IF(D371=0,0,SUM($L$20:L371))</f>
        <v>68300520.900172874</v>
      </c>
      <c r="V371" s="43">
        <f>IF(D371=0,0,SUM($J$20:J371))</f>
        <v>67845681</v>
      </c>
      <c r="W371" s="42">
        <f t="shared" si="104"/>
        <v>-454839.90017287433</v>
      </c>
      <c r="X371" s="41">
        <f t="shared" si="105"/>
        <v>0.99334060861940332</v>
      </c>
      <c r="Y371" s="17"/>
      <c r="Z371" s="23">
        <f t="shared" si="108"/>
        <v>45643</v>
      </c>
      <c r="AA371" s="22">
        <f t="shared" si="109"/>
        <v>45643</v>
      </c>
      <c r="AB371" s="137">
        <v>45643</v>
      </c>
      <c r="AC371" s="137"/>
      <c r="AD371" s="134"/>
      <c r="AE371" s="134"/>
      <c r="AF371" s="139"/>
      <c r="AG371" s="256"/>
      <c r="AH371" s="256"/>
      <c r="AI371" s="256"/>
      <c r="AJ371" s="256"/>
      <c r="AK371" s="134"/>
      <c r="AL371" s="134"/>
      <c r="AM371" s="134"/>
      <c r="AN371" s="18"/>
      <c r="AO371" s="18"/>
      <c r="AP371" s="18"/>
      <c r="AQ371" s="18"/>
      <c r="AR371" s="17"/>
      <c r="AS371" s="21">
        <f t="shared" si="110"/>
        <v>45643</v>
      </c>
      <c r="AT371" s="17"/>
      <c r="AU371" s="17"/>
      <c r="AV371" s="17"/>
      <c r="AW371" s="17"/>
      <c r="AX371" s="17"/>
      <c r="AY371" s="17"/>
      <c r="AZ371" s="17"/>
    </row>
    <row r="372" spans="1:52" ht="20">
      <c r="A372" s="17"/>
      <c r="B372" s="40"/>
      <c r="C372" s="55">
        <f t="shared" si="106"/>
        <v>353</v>
      </c>
      <c r="D372" s="54">
        <v>1</v>
      </c>
      <c r="E372" s="53" t="str">
        <f t="shared" si="98"/>
        <v>12</v>
      </c>
      <c r="F372" s="52">
        <f t="shared" si="107"/>
        <v>45644</v>
      </c>
      <c r="G372" s="51" t="str">
        <f t="shared" si="99"/>
        <v>Wed</v>
      </c>
      <c r="H372" s="50"/>
      <c r="I372" s="59"/>
      <c r="J372" s="58">
        <v>457010</v>
      </c>
      <c r="K372" s="57"/>
      <c r="L372" s="43">
        <f t="shared" si="111"/>
        <v>320370.47508650518</v>
      </c>
      <c r="M372" s="47">
        <f t="shared" si="100"/>
        <v>136639.52491349482</v>
      </c>
      <c r="N372" s="41">
        <f t="shared" si="101"/>
        <v>1.4265047360453549</v>
      </c>
      <c r="O372" s="46"/>
      <c r="P372" s="45">
        <f>IF(D372=0,0,SUM($L$355:L372))</f>
        <v>4805557.1262975773</v>
      </c>
      <c r="Q372" s="43">
        <f>IF(D372=0,0,SUM($J$355:J372))</f>
        <v>4981320</v>
      </c>
      <c r="R372" s="42">
        <f t="shared" si="102"/>
        <v>175762.87370242272</v>
      </c>
      <c r="S372" s="41">
        <f t="shared" si="103"/>
        <v>1.0365749213011308</v>
      </c>
      <c r="T372" s="56"/>
      <c r="U372" s="43">
        <f>IF(D372=0,0,SUM($L$20:L372))</f>
        <v>68620891.375259385</v>
      </c>
      <c r="V372" s="43">
        <f>IF(D372=0,0,SUM($J$20:J372))</f>
        <v>68302691</v>
      </c>
      <c r="W372" s="42">
        <f t="shared" si="104"/>
        <v>-318200.37525938451</v>
      </c>
      <c r="X372" s="41">
        <f t="shared" si="105"/>
        <v>0.99536292273559557</v>
      </c>
      <c r="Y372" s="17"/>
      <c r="Z372" s="23">
        <f t="shared" si="108"/>
        <v>45644</v>
      </c>
      <c r="AA372" s="22">
        <f t="shared" si="109"/>
        <v>45644</v>
      </c>
      <c r="AB372" s="137">
        <v>45644</v>
      </c>
      <c r="AC372" s="137"/>
      <c r="AD372" s="134"/>
      <c r="AE372" s="134"/>
      <c r="AF372" s="139"/>
      <c r="AG372" s="256"/>
      <c r="AH372" s="256"/>
      <c r="AI372" s="256"/>
      <c r="AJ372" s="256"/>
      <c r="AK372" s="134"/>
      <c r="AL372" s="134"/>
      <c r="AM372" s="134"/>
      <c r="AN372" s="18"/>
      <c r="AO372" s="18"/>
      <c r="AP372" s="18"/>
      <c r="AQ372" s="18"/>
      <c r="AR372" s="17"/>
      <c r="AS372" s="21">
        <f t="shared" si="110"/>
        <v>45644</v>
      </c>
      <c r="AT372" s="17"/>
      <c r="AU372" s="17"/>
      <c r="AV372" s="17"/>
      <c r="AW372" s="17"/>
      <c r="AX372" s="17"/>
      <c r="AY372" s="17"/>
      <c r="AZ372" s="17"/>
    </row>
    <row r="373" spans="1:52" ht="20">
      <c r="A373" s="17"/>
      <c r="B373" s="40"/>
      <c r="C373" s="55">
        <f t="shared" si="106"/>
        <v>354</v>
      </c>
      <c r="D373" s="54">
        <v>1</v>
      </c>
      <c r="E373" s="53" t="str">
        <f t="shared" si="98"/>
        <v>12</v>
      </c>
      <c r="F373" s="52">
        <f t="shared" si="107"/>
        <v>45645</v>
      </c>
      <c r="G373" s="51" t="str">
        <f t="shared" si="99"/>
        <v>Thu</v>
      </c>
      <c r="H373" s="50"/>
      <c r="I373" s="59"/>
      <c r="J373" s="58">
        <v>340270</v>
      </c>
      <c r="K373" s="57"/>
      <c r="L373" s="43">
        <f t="shared" si="111"/>
        <v>320370.47508650518</v>
      </c>
      <c r="M373" s="47">
        <f t="shared" si="100"/>
        <v>19899.524913494824</v>
      </c>
      <c r="N373" s="41">
        <f t="shared" si="101"/>
        <v>1.0621141037048487</v>
      </c>
      <c r="O373" s="46"/>
      <c r="P373" s="45">
        <f>IF(D373=0,0,SUM($L$355:L373))</f>
        <v>5125927.6013840828</v>
      </c>
      <c r="Q373" s="43">
        <f>IF(D373=0,0,SUM($J$355:J373))</f>
        <v>5321590</v>
      </c>
      <c r="R373" s="42">
        <f t="shared" si="102"/>
        <v>195662.39861591719</v>
      </c>
      <c r="S373" s="41">
        <f t="shared" si="103"/>
        <v>1.0381711202013633</v>
      </c>
      <c r="T373" s="56"/>
      <c r="U373" s="43">
        <f>IF(D373=0,0,SUM($L$20:L373))</f>
        <v>68941261.850345895</v>
      </c>
      <c r="V373" s="43">
        <f>IF(D373=0,0,SUM($J$20:J373))</f>
        <v>68642961</v>
      </c>
      <c r="W373" s="42">
        <f t="shared" si="104"/>
        <v>-298300.85034589469</v>
      </c>
      <c r="X373" s="41">
        <f t="shared" si="105"/>
        <v>0.99567311589112728</v>
      </c>
      <c r="Y373" s="17"/>
      <c r="Z373" s="23">
        <f t="shared" si="108"/>
        <v>45645</v>
      </c>
      <c r="AA373" s="22">
        <f t="shared" si="109"/>
        <v>45645</v>
      </c>
      <c r="AB373" s="137">
        <v>45645</v>
      </c>
      <c r="AC373" s="137"/>
      <c r="AD373" s="134"/>
      <c r="AE373" s="134"/>
      <c r="AF373" s="139"/>
      <c r="AG373" s="256"/>
      <c r="AH373" s="256"/>
      <c r="AI373" s="256"/>
      <c r="AJ373" s="256"/>
      <c r="AK373" s="134"/>
      <c r="AL373" s="134"/>
      <c r="AM373" s="134"/>
      <c r="AN373" s="18"/>
      <c r="AO373" s="18"/>
      <c r="AP373" s="18"/>
      <c r="AQ373" s="18"/>
      <c r="AR373" s="17"/>
      <c r="AS373" s="21">
        <f t="shared" si="110"/>
        <v>45645</v>
      </c>
      <c r="AT373" s="17"/>
      <c r="AU373" s="17"/>
      <c r="AV373" s="17"/>
      <c r="AW373" s="17"/>
      <c r="AX373" s="17"/>
      <c r="AY373" s="17"/>
      <c r="AZ373" s="17"/>
    </row>
    <row r="374" spans="1:52" ht="20">
      <c r="A374" s="17"/>
      <c r="B374" s="40"/>
      <c r="C374" s="55">
        <f t="shared" si="106"/>
        <v>355</v>
      </c>
      <c r="D374" s="54">
        <v>1</v>
      </c>
      <c r="E374" s="53" t="str">
        <f t="shared" si="98"/>
        <v>12</v>
      </c>
      <c r="F374" s="52">
        <f t="shared" si="107"/>
        <v>45646</v>
      </c>
      <c r="G374" s="51" t="str">
        <f t="shared" si="99"/>
        <v>Fri</v>
      </c>
      <c r="H374" s="50"/>
      <c r="I374" s="59"/>
      <c r="J374" s="58">
        <v>433210</v>
      </c>
      <c r="K374" s="57"/>
      <c r="L374" s="43">
        <f t="shared" si="111"/>
        <v>320370.47508650518</v>
      </c>
      <c r="M374" s="47">
        <f t="shared" si="100"/>
        <v>112839.52491349482</v>
      </c>
      <c r="N374" s="41">
        <f t="shared" si="101"/>
        <v>1.3522157429863859</v>
      </c>
      <c r="O374" s="46"/>
      <c r="P374" s="45">
        <f>IF(D374=0,0,SUM($L$355:L374))</f>
        <v>5446298.0764705883</v>
      </c>
      <c r="Q374" s="43">
        <f>IF(D374=0,0,SUM($J$355:J374))</f>
        <v>5754800</v>
      </c>
      <c r="R374" s="42">
        <f t="shared" si="102"/>
        <v>308501.92352941167</v>
      </c>
      <c r="S374" s="41">
        <f t="shared" si="103"/>
        <v>1.0566443333063644</v>
      </c>
      <c r="T374" s="56"/>
      <c r="U374" s="43">
        <f>IF(D374=0,0,SUM($L$20:L374))</f>
        <v>69261632.325432405</v>
      </c>
      <c r="V374" s="43">
        <f>IF(D374=0,0,SUM($J$20:J374))</f>
        <v>69076171</v>
      </c>
      <c r="W374" s="42">
        <f t="shared" si="104"/>
        <v>-185461.32543240488</v>
      </c>
      <c r="X374" s="41">
        <f t="shared" si="105"/>
        <v>0.9973223079040211</v>
      </c>
      <c r="Y374" s="17"/>
      <c r="Z374" s="23">
        <f t="shared" si="108"/>
        <v>45646</v>
      </c>
      <c r="AA374" s="22">
        <f t="shared" si="109"/>
        <v>45646</v>
      </c>
      <c r="AB374" s="137">
        <v>45646</v>
      </c>
      <c r="AC374" s="137"/>
      <c r="AD374" s="134"/>
      <c r="AE374" s="134"/>
      <c r="AF374" s="139"/>
      <c r="AG374" s="256"/>
      <c r="AH374" s="256"/>
      <c r="AI374" s="256"/>
      <c r="AJ374" s="256"/>
      <c r="AK374" s="134"/>
      <c r="AL374" s="134"/>
      <c r="AM374" s="134"/>
      <c r="AN374" s="18"/>
      <c r="AO374" s="18"/>
      <c r="AP374" s="18"/>
      <c r="AQ374" s="18"/>
      <c r="AR374" s="17"/>
      <c r="AS374" s="21">
        <f t="shared" si="110"/>
        <v>45646</v>
      </c>
      <c r="AT374" s="17"/>
      <c r="AU374" s="17"/>
      <c r="AV374" s="17"/>
      <c r="AW374" s="17"/>
      <c r="AX374" s="17"/>
      <c r="AY374" s="17"/>
      <c r="AZ374" s="17"/>
    </row>
    <row r="375" spans="1:52" ht="20">
      <c r="A375" s="17"/>
      <c r="B375" s="40"/>
      <c r="C375" s="55">
        <f t="shared" si="106"/>
        <v>356</v>
      </c>
      <c r="D375" s="54">
        <v>1</v>
      </c>
      <c r="E375" s="53" t="str">
        <f t="shared" si="98"/>
        <v>12</v>
      </c>
      <c r="F375" s="52">
        <f t="shared" si="107"/>
        <v>45647</v>
      </c>
      <c r="G375" s="51" t="str">
        <f t="shared" si="99"/>
        <v>Sat</v>
      </c>
      <c r="H375" s="50"/>
      <c r="I375" s="59"/>
      <c r="J375" s="58">
        <v>357950</v>
      </c>
      <c r="K375" s="57"/>
      <c r="L375" s="43">
        <f t="shared" si="111"/>
        <v>320370.47508650518</v>
      </c>
      <c r="M375" s="47">
        <f t="shared" si="100"/>
        <v>37579.524913494824</v>
      </c>
      <c r="N375" s="41">
        <f t="shared" si="101"/>
        <v>1.1173002128343685</v>
      </c>
      <c r="O375" s="46"/>
      <c r="P375" s="45">
        <f>IF(D375=0,0,SUM($L$355:L375))</f>
        <v>5766668.5515570939</v>
      </c>
      <c r="Q375" s="43">
        <f>IF(D375=0,0,SUM($J$355:J375))</f>
        <v>6112750</v>
      </c>
      <c r="R375" s="42">
        <f t="shared" si="102"/>
        <v>346081.44844290614</v>
      </c>
      <c r="S375" s="41">
        <f t="shared" si="103"/>
        <v>1.0600141043912534</v>
      </c>
      <c r="T375" s="44"/>
      <c r="U375" s="43">
        <f>IF(D375=0,0,SUM($L$20:L375))</f>
        <v>69582002.800518915</v>
      </c>
      <c r="V375" s="43">
        <f>IF(D375=0,0,SUM($J$20:J375))</f>
        <v>69434121</v>
      </c>
      <c r="W375" s="42">
        <f t="shared" si="104"/>
        <v>-147881.80051891506</v>
      </c>
      <c r="X375" s="41">
        <f t="shared" si="105"/>
        <v>0.99787471192884647</v>
      </c>
      <c r="Y375" s="17"/>
      <c r="Z375" s="23">
        <f t="shared" si="108"/>
        <v>45647</v>
      </c>
      <c r="AA375" s="22">
        <f t="shared" si="109"/>
        <v>45647</v>
      </c>
      <c r="AB375" s="137">
        <v>45647</v>
      </c>
      <c r="AC375" s="137"/>
      <c r="AD375" s="134"/>
      <c r="AE375" s="134"/>
      <c r="AF375" s="139"/>
      <c r="AG375" s="256"/>
      <c r="AH375" s="256"/>
      <c r="AI375" s="256"/>
      <c r="AJ375" s="256"/>
      <c r="AK375" s="134"/>
      <c r="AL375" s="134"/>
      <c r="AM375" s="134"/>
      <c r="AN375" s="18"/>
      <c r="AO375" s="18"/>
      <c r="AP375" s="18"/>
      <c r="AQ375" s="18"/>
      <c r="AR375" s="17"/>
      <c r="AS375" s="21">
        <f t="shared" si="110"/>
        <v>45647</v>
      </c>
      <c r="AT375" s="17"/>
      <c r="AU375" s="17"/>
      <c r="AV375" s="17"/>
      <c r="AW375" s="17"/>
      <c r="AX375" s="17"/>
      <c r="AY375" s="17"/>
      <c r="AZ375" s="17"/>
    </row>
    <row r="376" spans="1:52" ht="20">
      <c r="A376" s="17"/>
      <c r="B376" s="40"/>
      <c r="C376" s="55">
        <f t="shared" si="106"/>
        <v>357</v>
      </c>
      <c r="D376" s="54">
        <v>0</v>
      </c>
      <c r="E376" s="53" t="str">
        <f t="shared" si="98"/>
        <v>12</v>
      </c>
      <c r="F376" s="52">
        <f t="shared" si="107"/>
        <v>45648</v>
      </c>
      <c r="G376" s="51" t="str">
        <f t="shared" si="99"/>
        <v>Sun</v>
      </c>
      <c r="H376" s="50" t="s">
        <v>46</v>
      </c>
      <c r="I376" s="49"/>
      <c r="J376" s="48">
        <v>0</v>
      </c>
      <c r="K376" s="31"/>
      <c r="L376" s="43">
        <f t="shared" si="111"/>
        <v>0</v>
      </c>
      <c r="M376" s="47">
        <f t="shared" si="100"/>
        <v>0</v>
      </c>
      <c r="N376" s="41" t="str">
        <f t="shared" si="101"/>
        <v>0%</v>
      </c>
      <c r="O376" s="46"/>
      <c r="P376" s="45">
        <f>IF(D376=0,0,SUM($L$355:L376))</f>
        <v>0</v>
      </c>
      <c r="Q376" s="43">
        <f>IF(D376=0,0,SUM($J$355:J376))</f>
        <v>0</v>
      </c>
      <c r="R376" s="42">
        <f t="shared" si="102"/>
        <v>0</v>
      </c>
      <c r="S376" s="41" t="str">
        <f t="shared" si="103"/>
        <v>0%</v>
      </c>
      <c r="T376" s="56"/>
      <c r="U376" s="43">
        <f>IF(D376=0,0,SUM($L$20:L376))</f>
        <v>0</v>
      </c>
      <c r="V376" s="43">
        <f>IF(D376=0,0,SUM($J$20:J376))</f>
        <v>0</v>
      </c>
      <c r="W376" s="42">
        <f t="shared" si="104"/>
        <v>0</v>
      </c>
      <c r="X376" s="41" t="str">
        <f t="shared" si="105"/>
        <v>0%</v>
      </c>
      <c r="Y376" s="17"/>
      <c r="Z376" s="23">
        <f t="shared" si="108"/>
        <v>45648</v>
      </c>
      <c r="AA376" s="22">
        <f t="shared" si="109"/>
        <v>45648</v>
      </c>
      <c r="AB376" s="137">
        <v>45648</v>
      </c>
      <c r="AC376" s="137"/>
      <c r="AD376" s="134"/>
      <c r="AE376" s="134"/>
      <c r="AF376" s="139"/>
      <c r="AG376" s="256"/>
      <c r="AH376" s="256"/>
      <c r="AI376" s="256"/>
      <c r="AJ376" s="256"/>
      <c r="AK376" s="134"/>
      <c r="AL376" s="134"/>
      <c r="AM376" s="134"/>
      <c r="AN376" s="18"/>
      <c r="AO376" s="18"/>
      <c r="AP376" s="18"/>
      <c r="AQ376" s="18"/>
      <c r="AR376" s="17"/>
      <c r="AS376" s="21">
        <f t="shared" si="110"/>
        <v>45648</v>
      </c>
      <c r="AT376" s="17"/>
      <c r="AU376" s="17"/>
      <c r="AV376" s="17"/>
      <c r="AW376" s="17"/>
      <c r="AX376" s="17"/>
      <c r="AY376" s="17"/>
      <c r="AZ376" s="17"/>
    </row>
    <row r="377" spans="1:52" ht="20">
      <c r="A377" s="17"/>
      <c r="B377" s="40"/>
      <c r="C377" s="55">
        <f t="shared" si="106"/>
        <v>358</v>
      </c>
      <c r="D377" s="54">
        <v>1</v>
      </c>
      <c r="E377" s="53" t="str">
        <f t="shared" si="98"/>
        <v>12</v>
      </c>
      <c r="F377" s="52">
        <f t="shared" si="107"/>
        <v>45649</v>
      </c>
      <c r="G377" s="51" t="str">
        <f t="shared" si="99"/>
        <v>Mon</v>
      </c>
      <c r="H377" s="50"/>
      <c r="I377" s="49"/>
      <c r="J377" s="48">
        <v>170350</v>
      </c>
      <c r="K377" s="31"/>
      <c r="L377" s="43">
        <f t="shared" si="111"/>
        <v>320370.47508650518</v>
      </c>
      <c r="M377" s="47">
        <f t="shared" si="100"/>
        <v>-150020.47508650518</v>
      </c>
      <c r="N377" s="41">
        <f t="shared" si="101"/>
        <v>0.53172814989896544</v>
      </c>
      <c r="O377" s="46"/>
      <c r="P377" s="45">
        <f>IF(D377=0,0,SUM($L$355:L377))</f>
        <v>6087039.0266435994</v>
      </c>
      <c r="Q377" s="43">
        <f>IF(D377=0,0,SUM($J$355:J377))</f>
        <v>6283100</v>
      </c>
      <c r="R377" s="42">
        <f t="shared" si="102"/>
        <v>196060.97335640062</v>
      </c>
      <c r="S377" s="41">
        <f t="shared" si="103"/>
        <v>1.0322095804706066</v>
      </c>
      <c r="T377" s="56"/>
      <c r="U377" s="43">
        <f>IF(D377=0,0,SUM($L$20:L377))</f>
        <v>69902373.275605425</v>
      </c>
      <c r="V377" s="43">
        <f>IF(D377=0,0,SUM($J$20:J377))</f>
        <v>69604471</v>
      </c>
      <c r="W377" s="42">
        <f t="shared" si="104"/>
        <v>-297902.27560542524</v>
      </c>
      <c r="X377" s="41">
        <f t="shared" si="105"/>
        <v>0.99573830956452825</v>
      </c>
      <c r="Y377" s="17"/>
      <c r="Z377" s="23">
        <f t="shared" si="108"/>
        <v>45649</v>
      </c>
      <c r="AA377" s="22">
        <f t="shared" si="109"/>
        <v>45649</v>
      </c>
      <c r="AB377" s="137">
        <v>45649</v>
      </c>
      <c r="AC377" s="137"/>
      <c r="AD377" s="134"/>
      <c r="AE377" s="134"/>
      <c r="AF377" s="139"/>
      <c r="AG377" s="256"/>
      <c r="AH377" s="256"/>
      <c r="AI377" s="256"/>
      <c r="AJ377" s="256"/>
      <c r="AK377" s="134"/>
      <c r="AL377" s="134"/>
      <c r="AM377" s="134"/>
      <c r="AN377" s="18"/>
      <c r="AO377" s="18"/>
      <c r="AP377" s="18"/>
      <c r="AQ377" s="18"/>
      <c r="AR377" s="17"/>
      <c r="AS377" s="21">
        <f t="shared" si="110"/>
        <v>45649</v>
      </c>
      <c r="AT377" s="17"/>
      <c r="AU377" s="17"/>
      <c r="AV377" s="17"/>
      <c r="AW377" s="17"/>
      <c r="AX377" s="17"/>
      <c r="AY377" s="17"/>
      <c r="AZ377" s="17"/>
    </row>
    <row r="378" spans="1:52" ht="20">
      <c r="A378" s="17"/>
      <c r="B378" s="40"/>
      <c r="C378" s="55">
        <f t="shared" si="106"/>
        <v>359</v>
      </c>
      <c r="D378" s="54">
        <v>1</v>
      </c>
      <c r="E378" s="53" t="str">
        <f t="shared" si="98"/>
        <v>12</v>
      </c>
      <c r="F378" s="52">
        <f t="shared" si="107"/>
        <v>45650</v>
      </c>
      <c r="G378" s="51" t="str">
        <f t="shared" si="99"/>
        <v>Tue</v>
      </c>
      <c r="H378" s="50"/>
      <c r="I378" s="49"/>
      <c r="J378" s="48">
        <v>303010</v>
      </c>
      <c r="K378" s="31"/>
      <c r="L378" s="43">
        <f t="shared" si="111"/>
        <v>320370.47508650518</v>
      </c>
      <c r="M378" s="47">
        <f t="shared" si="100"/>
        <v>-17360.475086505176</v>
      </c>
      <c r="N378" s="41">
        <f t="shared" si="101"/>
        <v>0.94581125154614332</v>
      </c>
      <c r="O378" s="46"/>
      <c r="P378" s="45">
        <f>IF(D378=0,0,SUM($L$355:L378))</f>
        <v>6407409.5017301049</v>
      </c>
      <c r="Q378" s="43">
        <f>IF(D378=0,0,SUM($J$355:J378))</f>
        <v>6586110</v>
      </c>
      <c r="R378" s="42">
        <f t="shared" si="102"/>
        <v>178700.49826989509</v>
      </c>
      <c r="S378" s="41">
        <f t="shared" si="103"/>
        <v>1.0278896640243835</v>
      </c>
      <c r="T378" s="56"/>
      <c r="U378" s="43">
        <f>IF(D378=0,0,SUM($L$20:L378))</f>
        <v>70222743.750691935</v>
      </c>
      <c r="V378" s="43">
        <f>IF(D378=0,0,SUM($J$20:J378))</f>
        <v>69907481</v>
      </c>
      <c r="W378" s="42">
        <f t="shared" si="104"/>
        <v>-315262.75069193542</v>
      </c>
      <c r="X378" s="41">
        <f t="shared" si="105"/>
        <v>0.99551053214594976</v>
      </c>
      <c r="Y378" s="17"/>
      <c r="Z378" s="23">
        <f t="shared" si="108"/>
        <v>45650</v>
      </c>
      <c r="AA378" s="22">
        <f t="shared" si="109"/>
        <v>45650</v>
      </c>
      <c r="AB378" s="137">
        <v>45650</v>
      </c>
      <c r="AC378" s="137"/>
      <c r="AD378" s="134"/>
      <c r="AE378" s="134"/>
      <c r="AF378" s="139"/>
      <c r="AG378" s="256"/>
      <c r="AH378" s="256"/>
      <c r="AI378" s="256"/>
      <c r="AJ378" s="256"/>
      <c r="AK378" s="134"/>
      <c r="AL378" s="134"/>
      <c r="AM378" s="134"/>
      <c r="AN378" s="18"/>
      <c r="AO378" s="18"/>
      <c r="AP378" s="18"/>
      <c r="AQ378" s="18"/>
      <c r="AR378" s="17"/>
      <c r="AS378" s="21">
        <f t="shared" si="110"/>
        <v>45650</v>
      </c>
      <c r="AT378" s="17"/>
      <c r="AU378" s="17"/>
      <c r="AV378" s="17"/>
      <c r="AW378" s="17"/>
      <c r="AX378" s="17"/>
      <c r="AY378" s="17"/>
      <c r="AZ378" s="17"/>
    </row>
    <row r="379" spans="1:52" ht="20">
      <c r="A379" s="17"/>
      <c r="B379" s="40"/>
      <c r="C379" s="55">
        <f t="shared" si="106"/>
        <v>360</v>
      </c>
      <c r="D379" s="54">
        <v>1</v>
      </c>
      <c r="E379" s="53" t="str">
        <f t="shared" si="98"/>
        <v>12</v>
      </c>
      <c r="F379" s="52">
        <f t="shared" si="107"/>
        <v>45651</v>
      </c>
      <c r="G379" s="51" t="str">
        <f t="shared" si="99"/>
        <v>Wed</v>
      </c>
      <c r="H379" s="50"/>
      <c r="I379" s="49"/>
      <c r="J379" s="48">
        <v>348090</v>
      </c>
      <c r="K379" s="31"/>
      <c r="L379" s="43">
        <f t="shared" si="111"/>
        <v>320370.47508650518</v>
      </c>
      <c r="M379" s="47">
        <f t="shared" si="100"/>
        <v>27719.524913494824</v>
      </c>
      <c r="N379" s="41">
        <f t="shared" si="101"/>
        <v>1.0865233442813671</v>
      </c>
      <c r="O379" s="46"/>
      <c r="P379" s="45">
        <f>IF(D379=0,0,SUM($L$355:L379))</f>
        <v>6727779.9768166104</v>
      </c>
      <c r="Q379" s="43">
        <f>IF(D379=0,0,SUM($J$355:J379))</f>
        <v>6934200</v>
      </c>
      <c r="R379" s="42">
        <f t="shared" si="102"/>
        <v>206420.02318338957</v>
      </c>
      <c r="S379" s="41">
        <f t="shared" si="103"/>
        <v>1.0306817440366207</v>
      </c>
      <c r="T379" s="56"/>
      <c r="U379" s="43">
        <f>IF(D379=0,0,SUM($L$20:L379))</f>
        <v>70543114.225778446</v>
      </c>
      <c r="V379" s="43">
        <f>IF(D379=0,0,SUM($J$20:J379))</f>
        <v>70255571</v>
      </c>
      <c r="W379" s="42">
        <f t="shared" si="104"/>
        <v>-287543.2257784456</v>
      </c>
      <c r="X379" s="41">
        <f t="shared" si="105"/>
        <v>0.99592386544123723</v>
      </c>
      <c r="Y379" s="17"/>
      <c r="Z379" s="23">
        <f t="shared" si="108"/>
        <v>45651</v>
      </c>
      <c r="AA379" s="22">
        <f t="shared" si="109"/>
        <v>45651</v>
      </c>
      <c r="AB379" s="137">
        <v>45651</v>
      </c>
      <c r="AC379" s="137"/>
      <c r="AD379" s="134"/>
      <c r="AE379" s="134"/>
      <c r="AF379" s="139"/>
      <c r="AG379" s="256"/>
      <c r="AH379" s="256"/>
      <c r="AI379" s="256"/>
      <c r="AJ379" s="256"/>
      <c r="AK379" s="134"/>
      <c r="AL379" s="134"/>
      <c r="AM379" s="134"/>
      <c r="AN379" s="18"/>
      <c r="AO379" s="18"/>
      <c r="AP379" s="18"/>
      <c r="AQ379" s="18"/>
      <c r="AR379" s="17"/>
      <c r="AS379" s="21">
        <f t="shared" si="110"/>
        <v>45651</v>
      </c>
      <c r="AT379" s="17"/>
      <c r="AU379" s="17"/>
      <c r="AV379" s="17"/>
      <c r="AW379" s="17"/>
      <c r="AX379" s="17"/>
      <c r="AY379" s="17"/>
      <c r="AZ379" s="17"/>
    </row>
    <row r="380" spans="1:52" ht="20">
      <c r="A380" s="17"/>
      <c r="B380" s="40"/>
      <c r="C380" s="55">
        <f t="shared" si="106"/>
        <v>361</v>
      </c>
      <c r="D380" s="54">
        <v>1</v>
      </c>
      <c r="E380" s="53" t="str">
        <f t="shared" si="98"/>
        <v>12</v>
      </c>
      <c r="F380" s="52">
        <f t="shared" si="107"/>
        <v>45652</v>
      </c>
      <c r="G380" s="51" t="str">
        <f t="shared" si="99"/>
        <v>Thu</v>
      </c>
      <c r="H380" s="50"/>
      <c r="I380" s="49"/>
      <c r="J380" s="48">
        <v>463050</v>
      </c>
      <c r="K380" s="31"/>
      <c r="L380" s="43">
        <f t="shared" si="111"/>
        <v>320370.47508650518</v>
      </c>
      <c r="M380" s="47">
        <f t="shared" si="100"/>
        <v>142679.52491349482</v>
      </c>
      <c r="N380" s="41">
        <f t="shared" si="101"/>
        <v>1.4453579090737656</v>
      </c>
      <c r="O380" s="46"/>
      <c r="P380" s="45">
        <f>IF(D380=0,0,SUM($L$355:L380))</f>
        <v>7048150.451903116</v>
      </c>
      <c r="Q380" s="43">
        <f>IF(D380=0,0,SUM($J$355:J380))</f>
        <v>7397250</v>
      </c>
      <c r="R380" s="42">
        <f t="shared" si="102"/>
        <v>349099.54809688404</v>
      </c>
      <c r="S380" s="41">
        <f t="shared" si="103"/>
        <v>1.0495306606292183</v>
      </c>
      <c r="T380" s="56"/>
      <c r="U380" s="43">
        <f>IF(D380=0,0,SUM($L$20:L380))</f>
        <v>70863484.700864956</v>
      </c>
      <c r="V380" s="43">
        <f>IF(D380=0,0,SUM($J$20:J380))</f>
        <v>70718621</v>
      </c>
      <c r="W380" s="42">
        <f t="shared" si="104"/>
        <v>-144863.70086495578</v>
      </c>
      <c r="X380" s="41">
        <f t="shared" si="105"/>
        <v>0.99795573557416117</v>
      </c>
      <c r="Y380" s="17"/>
      <c r="Z380" s="23">
        <f t="shared" si="108"/>
        <v>45652</v>
      </c>
      <c r="AA380" s="22">
        <f t="shared" si="109"/>
        <v>45652</v>
      </c>
      <c r="AB380" s="137">
        <v>45652</v>
      </c>
      <c r="AC380" s="137"/>
      <c r="AD380" s="134"/>
      <c r="AE380" s="134"/>
      <c r="AF380" s="139"/>
      <c r="AG380" s="256"/>
      <c r="AH380" s="256"/>
      <c r="AI380" s="256"/>
      <c r="AJ380" s="256"/>
      <c r="AK380" s="134"/>
      <c r="AL380" s="134"/>
      <c r="AM380" s="134"/>
      <c r="AN380" s="18"/>
      <c r="AO380" s="18"/>
      <c r="AP380" s="18"/>
      <c r="AQ380" s="18"/>
      <c r="AR380" s="17"/>
      <c r="AS380" s="21">
        <f t="shared" si="110"/>
        <v>45652</v>
      </c>
      <c r="AT380" s="17"/>
      <c r="AU380" s="17"/>
      <c r="AV380" s="17"/>
      <c r="AW380" s="17"/>
      <c r="AX380" s="17"/>
      <c r="AY380" s="17"/>
      <c r="AZ380" s="17"/>
    </row>
    <row r="381" spans="1:52" ht="20">
      <c r="A381" s="17"/>
      <c r="B381" s="40"/>
      <c r="C381" s="55">
        <f t="shared" si="106"/>
        <v>362</v>
      </c>
      <c r="D381" s="54">
        <v>1</v>
      </c>
      <c r="E381" s="53" t="str">
        <f t="shared" si="98"/>
        <v>12</v>
      </c>
      <c r="F381" s="52">
        <f t="shared" si="107"/>
        <v>45653</v>
      </c>
      <c r="G381" s="51" t="str">
        <f t="shared" si="99"/>
        <v>Fri</v>
      </c>
      <c r="H381" s="50"/>
      <c r="I381" s="49"/>
      <c r="J381" s="48">
        <v>372700</v>
      </c>
      <c r="K381" s="31"/>
      <c r="L381" s="43">
        <f t="shared" si="111"/>
        <v>320370.47508650518</v>
      </c>
      <c r="M381" s="47">
        <f t="shared" si="100"/>
        <v>52329.524913494824</v>
      </c>
      <c r="N381" s="41">
        <f t="shared" si="101"/>
        <v>1.1633406602133514</v>
      </c>
      <c r="O381" s="46"/>
      <c r="P381" s="45">
        <f>IF(D381=0,0,SUM($L$355:L381))</f>
        <v>7368520.9269896215</v>
      </c>
      <c r="Q381" s="43">
        <f>IF(D381=0,0,SUM($J$355:J381))</f>
        <v>7769950</v>
      </c>
      <c r="R381" s="42">
        <f t="shared" si="102"/>
        <v>401429.07301037852</v>
      </c>
      <c r="S381" s="41">
        <f t="shared" si="103"/>
        <v>1.0544789214807022</v>
      </c>
      <c r="T381" s="56"/>
      <c r="U381" s="43">
        <f>IF(D381=0,0,SUM($L$20:L381))</f>
        <v>71183855.175951466</v>
      </c>
      <c r="V381" s="43">
        <f>IF(D381=0,0,SUM($J$20:J381))</f>
        <v>71091321</v>
      </c>
      <c r="W381" s="42">
        <f t="shared" si="104"/>
        <v>-92534.175951465964</v>
      </c>
      <c r="X381" s="41">
        <f t="shared" si="105"/>
        <v>0.99870006793362431</v>
      </c>
      <c r="Y381" s="17"/>
      <c r="Z381" s="23">
        <f t="shared" si="108"/>
        <v>45653</v>
      </c>
      <c r="AA381" s="22">
        <f t="shared" si="109"/>
        <v>45653</v>
      </c>
      <c r="AB381" s="137">
        <v>45653</v>
      </c>
      <c r="AC381" s="137"/>
      <c r="AD381" s="134"/>
      <c r="AE381" s="134"/>
      <c r="AF381" s="139"/>
      <c r="AG381" s="256"/>
      <c r="AH381" s="256"/>
      <c r="AI381" s="256"/>
      <c r="AJ381" s="256"/>
      <c r="AK381" s="134"/>
      <c r="AL381" s="134"/>
      <c r="AM381" s="134"/>
      <c r="AN381" s="18"/>
      <c r="AO381" s="18"/>
      <c r="AP381" s="18"/>
      <c r="AQ381" s="18"/>
      <c r="AR381" s="17"/>
      <c r="AS381" s="21">
        <f t="shared" si="110"/>
        <v>45653</v>
      </c>
      <c r="AT381" s="17"/>
      <c r="AU381" s="17"/>
      <c r="AV381" s="17"/>
      <c r="AW381" s="17"/>
      <c r="AX381" s="17"/>
      <c r="AY381" s="17"/>
      <c r="AZ381" s="17"/>
    </row>
    <row r="382" spans="1:52" ht="20">
      <c r="A382" s="17"/>
      <c r="B382" s="40"/>
      <c r="C382" s="55">
        <f t="shared" si="106"/>
        <v>363</v>
      </c>
      <c r="D382" s="54">
        <v>1</v>
      </c>
      <c r="E382" s="53" t="str">
        <f t="shared" si="98"/>
        <v>12</v>
      </c>
      <c r="F382" s="52">
        <f t="shared" si="107"/>
        <v>45654</v>
      </c>
      <c r="G382" s="51" t="str">
        <f t="shared" si="99"/>
        <v>Sat</v>
      </c>
      <c r="H382" s="50"/>
      <c r="I382" s="49"/>
      <c r="J382" s="48">
        <v>129500</v>
      </c>
      <c r="K382" s="31"/>
      <c r="L382" s="43">
        <f t="shared" si="111"/>
        <v>320370.47508650518</v>
      </c>
      <c r="M382" s="47">
        <f t="shared" si="100"/>
        <v>-190870.47508650518</v>
      </c>
      <c r="N382" s="41">
        <f t="shared" si="101"/>
        <v>0.40421952105615511</v>
      </c>
      <c r="O382" s="46"/>
      <c r="P382" s="45">
        <f>IF(D382=0,0,SUM($L$355:L382))</f>
        <v>7688891.402076127</v>
      </c>
      <c r="Q382" s="43">
        <f>IF(D382=0,0,SUM($J$355:J382))</f>
        <v>7899450</v>
      </c>
      <c r="R382" s="42">
        <f t="shared" si="102"/>
        <v>210558.59792387299</v>
      </c>
      <c r="S382" s="41">
        <f t="shared" si="103"/>
        <v>1.027384779796346</v>
      </c>
      <c r="T382" s="44"/>
      <c r="U382" s="43">
        <f>IF(D382=0,0,SUM($L$20:L382))</f>
        <v>71504225.651037976</v>
      </c>
      <c r="V382" s="43">
        <f>IF(D382=0,0,SUM($J$20:J382))</f>
        <v>71220821</v>
      </c>
      <c r="W382" s="42">
        <f t="shared" si="104"/>
        <v>-283404.65103797615</v>
      </c>
      <c r="X382" s="41">
        <f t="shared" si="105"/>
        <v>0.99603653282784888</v>
      </c>
      <c r="Y382" s="17"/>
      <c r="Z382" s="23">
        <f t="shared" si="108"/>
        <v>45654</v>
      </c>
      <c r="AA382" s="22">
        <f t="shared" si="109"/>
        <v>45654</v>
      </c>
      <c r="AB382" s="137">
        <v>45654</v>
      </c>
      <c r="AC382" s="137"/>
      <c r="AD382" s="134"/>
      <c r="AE382" s="134"/>
      <c r="AF382" s="139"/>
      <c r="AG382" s="256"/>
      <c r="AH382" s="256"/>
      <c r="AI382" s="256"/>
      <c r="AJ382" s="256"/>
      <c r="AK382" s="134"/>
      <c r="AL382" s="134"/>
      <c r="AM382" s="134"/>
      <c r="AN382" s="18"/>
      <c r="AO382" s="18"/>
      <c r="AP382" s="18"/>
      <c r="AQ382" s="18"/>
      <c r="AR382" s="17"/>
      <c r="AS382" s="21">
        <f t="shared" si="110"/>
        <v>45654</v>
      </c>
      <c r="AT382" s="17"/>
      <c r="AU382" s="17"/>
      <c r="AV382" s="17"/>
      <c r="AW382" s="17"/>
      <c r="AX382" s="17"/>
      <c r="AY382" s="17"/>
      <c r="AZ382" s="17"/>
    </row>
    <row r="383" spans="1:52" ht="20">
      <c r="A383" s="17"/>
      <c r="B383" s="40"/>
      <c r="C383" s="55">
        <f t="shared" si="106"/>
        <v>364</v>
      </c>
      <c r="D383" s="54">
        <v>0</v>
      </c>
      <c r="E383" s="53" t="str">
        <f t="shared" si="98"/>
        <v>12</v>
      </c>
      <c r="F383" s="52">
        <f t="shared" si="107"/>
        <v>45655</v>
      </c>
      <c r="G383" s="51" t="str">
        <f t="shared" si="99"/>
        <v>Sun</v>
      </c>
      <c r="H383" s="50" t="s">
        <v>46</v>
      </c>
      <c r="I383" s="49"/>
      <c r="J383" s="48">
        <v>0</v>
      </c>
      <c r="K383" s="31"/>
      <c r="L383" s="43">
        <f t="shared" si="111"/>
        <v>0</v>
      </c>
      <c r="M383" s="47">
        <f t="shared" si="100"/>
        <v>0</v>
      </c>
      <c r="N383" s="41" t="str">
        <f t="shared" si="101"/>
        <v>0%</v>
      </c>
      <c r="O383" s="46"/>
      <c r="P383" s="45">
        <f>IF(D383=0,0,SUM($L$355:L383))</f>
        <v>0</v>
      </c>
      <c r="Q383" s="43">
        <f>IF(D383=0,0,SUM($J$355:J383))</f>
        <v>0</v>
      </c>
      <c r="R383" s="42">
        <f t="shared" si="102"/>
        <v>0</v>
      </c>
      <c r="S383" s="41" t="str">
        <f t="shared" si="103"/>
        <v>0%</v>
      </c>
      <c r="T383" s="56"/>
      <c r="U383" s="43">
        <f>IF(D383=0,0,SUM($L$20:L383))</f>
        <v>0</v>
      </c>
      <c r="V383" s="43">
        <f>IF(D383=0,0,SUM($J$20:J383))</f>
        <v>0</v>
      </c>
      <c r="W383" s="42">
        <f t="shared" si="104"/>
        <v>0</v>
      </c>
      <c r="X383" s="41" t="str">
        <f t="shared" si="105"/>
        <v>0%</v>
      </c>
      <c r="Y383" s="17"/>
      <c r="Z383" s="23">
        <f t="shared" si="108"/>
        <v>45655</v>
      </c>
      <c r="AA383" s="22">
        <f t="shared" si="109"/>
        <v>45655</v>
      </c>
      <c r="AB383" s="137">
        <v>45655</v>
      </c>
      <c r="AC383" s="137"/>
      <c r="AD383" s="134"/>
      <c r="AE383" s="134"/>
      <c r="AF383" s="139"/>
      <c r="AG383" s="256"/>
      <c r="AH383" s="256"/>
      <c r="AI383" s="256"/>
      <c r="AJ383" s="256"/>
      <c r="AK383" s="134"/>
      <c r="AL383" s="134"/>
      <c r="AM383" s="134"/>
      <c r="AN383" s="18"/>
      <c r="AO383" s="18"/>
      <c r="AP383" s="18"/>
      <c r="AQ383" s="18"/>
      <c r="AR383" s="17"/>
      <c r="AS383" s="21">
        <f t="shared" si="110"/>
        <v>45655</v>
      </c>
      <c r="AT383" s="17"/>
      <c r="AU383" s="17"/>
      <c r="AV383" s="17"/>
      <c r="AW383" s="17"/>
      <c r="AX383" s="17"/>
      <c r="AY383" s="17"/>
      <c r="AZ383" s="17"/>
    </row>
    <row r="384" spans="1:52" ht="20">
      <c r="A384" s="17"/>
      <c r="B384" s="40"/>
      <c r="C384" s="55">
        <f t="shared" si="106"/>
        <v>365</v>
      </c>
      <c r="D384" s="54">
        <v>0</v>
      </c>
      <c r="E384" s="53" t="str">
        <f t="shared" si="98"/>
        <v>12</v>
      </c>
      <c r="F384" s="52">
        <f t="shared" si="107"/>
        <v>45656</v>
      </c>
      <c r="G384" s="51" t="str">
        <f t="shared" si="99"/>
        <v>Mon</v>
      </c>
      <c r="H384" s="50" t="s">
        <v>45</v>
      </c>
      <c r="I384" s="49"/>
      <c r="J384" s="48">
        <v>0</v>
      </c>
      <c r="K384" s="31"/>
      <c r="L384" s="43">
        <f t="shared" si="111"/>
        <v>0</v>
      </c>
      <c r="M384" s="47">
        <f t="shared" si="100"/>
        <v>0</v>
      </c>
      <c r="N384" s="41" t="str">
        <f t="shared" si="101"/>
        <v>0%</v>
      </c>
      <c r="O384" s="46"/>
      <c r="P384" s="45">
        <f>IF(D384=0,0,SUM($L$355:L384))</f>
        <v>0</v>
      </c>
      <c r="Q384" s="43">
        <f>IF(D384=0,0,SUM($J$355:J384))</f>
        <v>0</v>
      </c>
      <c r="R384" s="42">
        <f t="shared" si="102"/>
        <v>0</v>
      </c>
      <c r="S384" s="41" t="str">
        <f t="shared" si="103"/>
        <v>0%</v>
      </c>
      <c r="T384" s="44"/>
      <c r="U384" s="43">
        <f>IF(D384=0,0,SUM($L$20:L384))</f>
        <v>0</v>
      </c>
      <c r="V384" s="43">
        <f>IF(D384=0,0,SUM($J$20:J384))</f>
        <v>0</v>
      </c>
      <c r="W384" s="42">
        <f t="shared" si="104"/>
        <v>0</v>
      </c>
      <c r="X384" s="41" t="str">
        <f t="shared" si="105"/>
        <v>0%</v>
      </c>
      <c r="Y384" s="17"/>
      <c r="Z384" s="23">
        <f t="shared" si="108"/>
        <v>45656</v>
      </c>
      <c r="AA384" s="22">
        <f t="shared" si="109"/>
        <v>45656</v>
      </c>
      <c r="AB384" s="137">
        <v>45656</v>
      </c>
      <c r="AC384" s="137"/>
      <c r="AD384" s="134"/>
      <c r="AE384" s="134"/>
      <c r="AF384" s="139"/>
      <c r="AG384" s="256"/>
      <c r="AH384" s="256"/>
      <c r="AI384" s="256"/>
      <c r="AJ384" s="256"/>
      <c r="AK384" s="134"/>
      <c r="AL384" s="134"/>
      <c r="AM384" s="134"/>
      <c r="AN384" s="18"/>
      <c r="AO384" s="18"/>
      <c r="AP384" s="18"/>
      <c r="AQ384" s="18"/>
      <c r="AR384" s="17"/>
      <c r="AS384" s="21">
        <f t="shared" si="110"/>
        <v>45656</v>
      </c>
      <c r="AT384" s="17"/>
      <c r="AU384" s="17"/>
      <c r="AV384" s="17"/>
      <c r="AW384" s="17"/>
      <c r="AX384" s="17"/>
      <c r="AY384" s="17"/>
      <c r="AZ384" s="17"/>
    </row>
    <row r="385" spans="1:52" ht="21" thickBot="1">
      <c r="A385" s="17"/>
      <c r="B385" s="40"/>
      <c r="C385" s="39">
        <f t="shared" si="106"/>
        <v>366</v>
      </c>
      <c r="D385" s="38">
        <v>0</v>
      </c>
      <c r="E385" s="37" t="str">
        <f t="shared" si="98"/>
        <v>12</v>
      </c>
      <c r="F385" s="36">
        <f t="shared" si="107"/>
        <v>45657</v>
      </c>
      <c r="G385" s="35" t="str">
        <f t="shared" si="99"/>
        <v>Tue</v>
      </c>
      <c r="H385" s="34" t="s">
        <v>44</v>
      </c>
      <c r="I385" s="33"/>
      <c r="J385" s="32">
        <v>0</v>
      </c>
      <c r="K385" s="31"/>
      <c r="L385" s="26">
        <f t="shared" si="111"/>
        <v>0</v>
      </c>
      <c r="M385" s="30">
        <f t="shared" si="100"/>
        <v>0</v>
      </c>
      <c r="N385" s="24" t="str">
        <f t="shared" si="101"/>
        <v>0%</v>
      </c>
      <c r="O385" s="29"/>
      <c r="P385" s="28">
        <f>IF(D385=0,0,SUM($L$355:L385))</f>
        <v>0</v>
      </c>
      <c r="Q385" s="26">
        <f>IF(D385=0,0,SUM($J$355:J385))</f>
        <v>0</v>
      </c>
      <c r="R385" s="25">
        <f t="shared" si="102"/>
        <v>0</v>
      </c>
      <c r="S385" s="24" t="str">
        <f t="shared" si="103"/>
        <v>0%</v>
      </c>
      <c r="T385" s="27"/>
      <c r="U385" s="26">
        <f>IF(D385=0,0,SUM($L$20:L385))</f>
        <v>0</v>
      </c>
      <c r="V385" s="26">
        <f>IF(D385=0,0,SUM($J$20:J385))</f>
        <v>0</v>
      </c>
      <c r="W385" s="25">
        <f t="shared" si="104"/>
        <v>0</v>
      </c>
      <c r="X385" s="24" t="str">
        <f t="shared" si="105"/>
        <v>0%</v>
      </c>
      <c r="Y385" s="17"/>
      <c r="Z385" s="23">
        <f t="shared" si="108"/>
        <v>45657</v>
      </c>
      <c r="AA385" s="22">
        <f t="shared" si="109"/>
        <v>45657</v>
      </c>
      <c r="AB385" s="137">
        <v>45657</v>
      </c>
      <c r="AC385" s="137"/>
      <c r="AD385" s="134"/>
      <c r="AE385" s="134"/>
      <c r="AF385" s="139"/>
      <c r="AG385" s="256"/>
      <c r="AH385" s="256"/>
      <c r="AI385" s="256"/>
      <c r="AJ385" s="256"/>
      <c r="AK385" s="134"/>
      <c r="AL385" s="134"/>
      <c r="AM385" s="134"/>
      <c r="AN385" s="18"/>
      <c r="AO385" s="18"/>
      <c r="AP385" s="18"/>
      <c r="AQ385" s="18"/>
      <c r="AR385" s="17"/>
      <c r="AS385" s="21">
        <f t="shared" si="110"/>
        <v>45657</v>
      </c>
      <c r="AT385" s="17"/>
      <c r="AU385" s="17"/>
      <c r="AV385" s="17"/>
      <c r="AW385" s="17"/>
      <c r="AX385" s="17"/>
      <c r="AY385" s="17"/>
      <c r="AZ385" s="17"/>
    </row>
    <row r="386" spans="1:52" ht="18" thickTop="1">
      <c r="A386" s="17"/>
      <c r="B386" s="17"/>
      <c r="C386" s="17"/>
      <c r="D386" s="20"/>
      <c r="E386" s="17"/>
      <c r="F386" s="17"/>
      <c r="G386" s="17"/>
      <c r="H386" s="17"/>
      <c r="I386" s="17"/>
      <c r="J386" s="17"/>
      <c r="K386" s="19"/>
      <c r="L386" s="17"/>
      <c r="M386" s="17"/>
      <c r="N386" s="17"/>
      <c r="O386" s="17"/>
      <c r="P386" s="17"/>
      <c r="Q386" s="17"/>
      <c r="R386" s="17"/>
      <c r="S386" s="17"/>
      <c r="T386" s="17"/>
      <c r="U386" s="17"/>
      <c r="V386" s="17"/>
      <c r="W386" s="17"/>
      <c r="X386" s="17"/>
      <c r="Y386" s="17"/>
      <c r="Z386" s="17"/>
      <c r="AA386" s="17"/>
      <c r="AB386" s="17"/>
      <c r="AC386" s="17"/>
      <c r="AD386" s="17"/>
      <c r="AE386" s="17"/>
      <c r="AF386" s="139"/>
      <c r="AG386" s="256"/>
      <c r="AH386" s="256"/>
      <c r="AI386" s="256"/>
      <c r="AJ386" s="256"/>
      <c r="AK386" s="17"/>
      <c r="AL386" s="17"/>
      <c r="AM386" s="17"/>
      <c r="AN386" s="18"/>
      <c r="AO386" s="18"/>
      <c r="AP386" s="18"/>
      <c r="AQ386" s="18"/>
      <c r="AR386" s="17"/>
      <c r="AS386" s="17"/>
      <c r="AT386" s="17"/>
      <c r="AU386" s="17"/>
      <c r="AV386" s="17"/>
      <c r="AW386" s="17"/>
      <c r="AX386" s="17"/>
      <c r="AY386" s="17"/>
      <c r="AZ386" s="17"/>
    </row>
  </sheetData>
  <mergeCells count="82">
    <mergeCell ref="H17:I17"/>
    <mergeCell ref="K17:L17"/>
    <mergeCell ref="N17:O17"/>
    <mergeCell ref="H15:I15"/>
    <mergeCell ref="K15:L15"/>
    <mergeCell ref="N15:O15"/>
    <mergeCell ref="T15:U15"/>
    <mergeCell ref="H16:I16"/>
    <mergeCell ref="K16:L16"/>
    <mergeCell ref="N16:O16"/>
    <mergeCell ref="T16:U16"/>
    <mergeCell ref="K14:L14"/>
    <mergeCell ref="N14:O14"/>
    <mergeCell ref="T14:U14"/>
    <mergeCell ref="H11:I11"/>
    <mergeCell ref="K11:L11"/>
    <mergeCell ref="N11:O11"/>
    <mergeCell ref="T11:U11"/>
    <mergeCell ref="H12:I12"/>
    <mergeCell ref="K12:L12"/>
    <mergeCell ref="N12:O12"/>
    <mergeCell ref="H13:I13"/>
    <mergeCell ref="K13:L13"/>
    <mergeCell ref="N13:O13"/>
    <mergeCell ref="T13:U13"/>
    <mergeCell ref="H14:I14"/>
    <mergeCell ref="T12:U12"/>
    <mergeCell ref="H10:I10"/>
    <mergeCell ref="K10:L10"/>
    <mergeCell ref="N10:O10"/>
    <mergeCell ref="T10:U10"/>
    <mergeCell ref="R8:S8"/>
    <mergeCell ref="T8:V8"/>
    <mergeCell ref="H9:I9"/>
    <mergeCell ref="K9:L9"/>
    <mergeCell ref="N9:O9"/>
    <mergeCell ref="R9:S9"/>
    <mergeCell ref="T9:V9"/>
    <mergeCell ref="H8:I8"/>
    <mergeCell ref="K8:L8"/>
    <mergeCell ref="N8:O8"/>
    <mergeCell ref="R5:V5"/>
    <mergeCell ref="B6:C6"/>
    <mergeCell ref="H6:I6"/>
    <mergeCell ref="K6:L6"/>
    <mergeCell ref="N6:O6"/>
    <mergeCell ref="R6:S7"/>
    <mergeCell ref="T6:U6"/>
    <mergeCell ref="B7:C7"/>
    <mergeCell ref="H7:I7"/>
    <mergeCell ref="K7:L7"/>
    <mergeCell ref="N7:O7"/>
    <mergeCell ref="T7:V7"/>
    <mergeCell ref="B5:C5"/>
    <mergeCell ref="H5:I5"/>
    <mergeCell ref="K5:L5"/>
    <mergeCell ref="N5:O5"/>
    <mergeCell ref="B2:D3"/>
    <mergeCell ref="E2:F2"/>
    <mergeCell ref="G2:H2"/>
    <mergeCell ref="I2:L2"/>
    <mergeCell ref="M2:N2"/>
    <mergeCell ref="O2:P2"/>
    <mergeCell ref="E3:F3"/>
    <mergeCell ref="G3:H3"/>
    <mergeCell ref="I3:J3"/>
    <mergeCell ref="K3:L3"/>
    <mergeCell ref="M3:N3"/>
    <mergeCell ref="O3:P3"/>
    <mergeCell ref="AJ90:AJ96"/>
    <mergeCell ref="AJ97:AJ103"/>
    <mergeCell ref="AI19:AJ19"/>
    <mergeCell ref="AJ55:AJ61"/>
    <mergeCell ref="AJ62:AJ68"/>
    <mergeCell ref="AJ69:AJ75"/>
    <mergeCell ref="AJ76:AJ82"/>
    <mergeCell ref="AJ83:AJ89"/>
    <mergeCell ref="AJ20:AJ26"/>
    <mergeCell ref="AJ27:AJ33"/>
    <mergeCell ref="AJ34:AJ40"/>
    <mergeCell ref="AJ41:AJ47"/>
    <mergeCell ref="AJ48:AJ54"/>
  </mergeCells>
  <phoneticPr fontId="2"/>
  <conditionalFormatting sqref="D20:X385">
    <cfRule type="expression" dxfId="29" priority="2">
      <formula>$D20=0</formula>
    </cfRule>
  </conditionalFormatting>
  <conditionalFormatting sqref="E20:X385">
    <cfRule type="expression" dxfId="28" priority="3">
      <formula>WEEKDAY($G20)=1</formula>
    </cfRule>
    <cfRule type="expression" dxfId="27" priority="4">
      <formula>WEEKDAY($G20)=7</formula>
    </cfRule>
  </conditionalFormatting>
  <conditionalFormatting sqref="N6:O17">
    <cfRule type="cellIs" dxfId="26" priority="5" operator="lessThan">
      <formula>0</formula>
    </cfRule>
    <cfRule type="cellIs" dxfId="25" priority="6" operator="greaterThan">
      <formula>"¥0"</formula>
    </cfRule>
  </conditionalFormatting>
  <conditionalFormatting sqref="T8:V8">
    <cfRule type="cellIs" dxfId="24" priority="1" operator="lessThanOrEqual">
      <formula>0</formula>
    </cfRule>
  </conditionalFormatting>
  <dataValidations count="2">
    <dataValidation type="list" allowBlank="1" showErrorMessage="1" sqref="B2:D3" xr:uid="{82740A91-AA0A-EE4B-BD87-817172944E78}">
      <formula1>"2024/1/1,2028/1/1,2032/1/1,2036/1/1,2040/1/1,2044/1/1"</formula1>
    </dataValidation>
    <dataValidation type="list" allowBlank="1" showInputMessage="1" showErrorMessage="1" sqref="T6" xr:uid="{18CF4BDB-ABEA-A34F-ADD3-6E211B2898A4}">
      <formula1>$AO$5:$AO$16</formula1>
    </dataValidation>
  </dataValidations>
  <pageMargins left="0.7" right="0.7" top="0.75" bottom="0.75" header="0.3" footer="0.3"/>
  <pageSetup paperSize="9" orientation="portrait" horizontalDpi="0" verticalDpi="0" copies="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B3E0-D136-FC40-A431-3FFB314CA352}">
  <dimension ref="A1:AZ386"/>
  <sheetViews>
    <sheetView topLeftCell="B1" zoomScaleNormal="100" workbookViewId="0">
      <pane xSplit="5" ySplit="19" topLeftCell="G20" activePane="bottomRight" state="frozen"/>
      <selection activeCell="B1" sqref="B1"/>
      <selection pane="topRight" activeCell="G1" sqref="G1"/>
      <selection pane="bottomLeft" activeCell="B20" sqref="B20"/>
      <selection pane="bottomRight" activeCell="J20" sqref="J20:J385"/>
    </sheetView>
  </sheetViews>
  <sheetFormatPr baseColWidth="10" defaultColWidth="9.5703125" defaultRowHeight="17" outlineLevelRow="1" outlineLevelCol="2"/>
  <cols>
    <col min="1" max="1" width="2.28515625" style="13" customWidth="1"/>
    <col min="2" max="2" width="9.140625" style="13" customWidth="1"/>
    <col min="3" max="3" width="4.28515625" style="13" customWidth="1"/>
    <col min="4" max="4" width="4.28515625" style="16" customWidth="1"/>
    <col min="5" max="5" width="5.7109375" style="13" customWidth="1"/>
    <col min="6" max="6" width="7.28515625" style="13" customWidth="1"/>
    <col min="7" max="7" width="13.28515625" style="13" customWidth="1"/>
    <col min="8" max="8" width="10.28515625" style="13" customWidth="1"/>
    <col min="9" max="9" width="1.28515625" style="13" customWidth="1"/>
    <col min="10" max="10" width="14.5703125" style="13" customWidth="1"/>
    <col min="11" max="11" width="1.28515625" style="15" customWidth="1"/>
    <col min="12" max="12" width="14.140625" style="13" customWidth="1"/>
    <col min="13" max="13" width="16.85546875" style="13" customWidth="1"/>
    <col min="14" max="14" width="12.42578125" style="13" customWidth="1"/>
    <col min="15" max="15" width="1.28515625" style="13" customWidth="1"/>
    <col min="16" max="16" width="13.28515625" style="13" customWidth="1"/>
    <col min="17" max="17" width="15.28515625" style="13" customWidth="1"/>
    <col min="18" max="18" width="16.5703125" style="13" customWidth="1"/>
    <col min="19" max="19" width="11.28515625" style="13" customWidth="1"/>
    <col min="20" max="20" width="1.28515625" style="13" customWidth="1"/>
    <col min="21" max="21" width="15.140625" style="13" customWidth="1"/>
    <col min="22" max="22" width="13.28515625" style="13" customWidth="1"/>
    <col min="23" max="23" width="13.140625" style="13" customWidth="1"/>
    <col min="24" max="24" width="10.5703125" style="13" customWidth="1"/>
    <col min="25" max="25" width="4.5703125" style="13" customWidth="1"/>
    <col min="26" max="26" width="0" style="13" hidden="1" customWidth="1"/>
    <col min="27" max="27" width="6.5703125" style="13" hidden="1" customWidth="1"/>
    <col min="28" max="29" width="6.5703125" style="13" customWidth="1" outlineLevel="1"/>
    <col min="30" max="30" width="11.5703125" style="13" customWidth="1" outlineLevel="1"/>
    <col min="31" max="31" width="13.140625" style="13" customWidth="1" outlineLevel="1"/>
    <col min="32" max="32" width="11.5703125" style="140" customWidth="1" outlineLevel="1"/>
    <col min="33" max="33" width="11.5703125" style="257" hidden="1" customWidth="1" outlineLevel="2"/>
    <col min="34" max="34" width="11.5703125" style="257" customWidth="1" outlineLevel="1" collapsed="1"/>
    <col min="35" max="36" width="11.5703125" style="257" customWidth="1" outlineLevel="1"/>
    <col min="37" max="39" width="11.5703125" style="13" customWidth="1"/>
    <col min="40" max="40" width="9.5703125" style="14" collapsed="1"/>
    <col min="41" max="41" width="6.85546875" style="14" customWidth="1" outlineLevel="1"/>
    <col min="42" max="43" width="5.28515625" style="14" customWidth="1" outlineLevel="1"/>
    <col min="44" max="44" width="9.5703125" style="13"/>
    <col min="45" max="45" width="0" style="13" hidden="1" customWidth="1"/>
    <col min="46" max="16384" width="9.5703125" style="13"/>
  </cols>
  <sheetData>
    <row r="1" spans="1:52" ht="10.5" customHeight="1">
      <c r="A1" s="17"/>
      <c r="B1" s="17"/>
      <c r="C1" s="17"/>
      <c r="D1" s="20"/>
      <c r="E1" s="17"/>
      <c r="F1" s="17"/>
      <c r="G1" s="17"/>
      <c r="H1" s="17"/>
      <c r="I1" s="17"/>
      <c r="J1" s="17"/>
      <c r="K1" s="19"/>
      <c r="L1" s="17"/>
      <c r="M1" s="17"/>
      <c r="N1" s="17"/>
      <c r="O1" s="17"/>
      <c r="P1" s="17"/>
      <c r="Q1" s="17"/>
      <c r="R1" s="17"/>
      <c r="S1" s="17"/>
      <c r="T1" s="17"/>
      <c r="U1" s="17"/>
      <c r="V1" s="17"/>
      <c r="W1" s="17"/>
      <c r="X1" s="17"/>
      <c r="Y1" s="17"/>
      <c r="Z1" s="17"/>
      <c r="AA1" s="17"/>
      <c r="AB1" s="17"/>
      <c r="AC1" s="17"/>
      <c r="AD1" s="17"/>
      <c r="AE1" s="17"/>
      <c r="AF1" s="139"/>
      <c r="AG1" s="256"/>
      <c r="AH1" s="256"/>
      <c r="AI1" s="256"/>
      <c r="AJ1" s="256"/>
      <c r="AK1" s="17"/>
      <c r="AL1" s="17"/>
      <c r="AM1" s="17"/>
      <c r="AN1" s="18"/>
      <c r="AO1" s="18"/>
      <c r="AP1" s="18"/>
      <c r="AQ1" s="18"/>
      <c r="AR1" s="17"/>
      <c r="AS1" s="17"/>
      <c r="AT1" s="17"/>
      <c r="AU1" s="17"/>
      <c r="AV1" s="17"/>
      <c r="AW1" s="17"/>
      <c r="AX1" s="17"/>
      <c r="AY1" s="17"/>
      <c r="AZ1" s="17"/>
    </row>
    <row r="2" spans="1:52" ht="23">
      <c r="A2" s="17"/>
      <c r="B2" s="403">
        <v>45292</v>
      </c>
      <c r="C2" s="404"/>
      <c r="D2" s="405"/>
      <c r="E2" s="376" t="s">
        <v>94</v>
      </c>
      <c r="F2" s="370"/>
      <c r="G2" s="409" t="s">
        <v>93</v>
      </c>
      <c r="H2" s="410"/>
      <c r="I2" s="411" t="s">
        <v>92</v>
      </c>
      <c r="J2" s="411"/>
      <c r="K2" s="411"/>
      <c r="L2" s="411"/>
      <c r="M2" s="379" t="s">
        <v>91</v>
      </c>
      <c r="N2" s="379"/>
      <c r="O2" s="379" t="s">
        <v>90</v>
      </c>
      <c r="P2" s="379"/>
      <c r="Q2" s="111" t="s">
        <v>89</v>
      </c>
      <c r="R2" s="111" t="s">
        <v>88</v>
      </c>
      <c r="S2" s="17"/>
      <c r="AP2" s="18"/>
      <c r="AQ2" s="18"/>
      <c r="AR2" s="17"/>
      <c r="AS2" s="17"/>
      <c r="AT2" s="17"/>
      <c r="AU2" s="17"/>
      <c r="AV2" s="17"/>
      <c r="AW2" s="17"/>
      <c r="AX2" s="17"/>
      <c r="AY2" s="17"/>
      <c r="AZ2" s="17"/>
    </row>
    <row r="3" spans="1:52" ht="22">
      <c r="A3" s="17"/>
      <c r="B3" s="406"/>
      <c r="C3" s="407"/>
      <c r="D3" s="408"/>
      <c r="E3" s="395">
        <f>SUM(F6:F17)</f>
        <v>289</v>
      </c>
      <c r="F3" s="370"/>
      <c r="G3" s="437">
        <f>71220821/B13</f>
        <v>645466.92949066521</v>
      </c>
      <c r="H3" s="438"/>
      <c r="I3" s="398">
        <f>SUM(AP6:AP17)*100</f>
        <v>0.9999996000000001</v>
      </c>
      <c r="J3" s="399"/>
      <c r="K3" s="439">
        <f>G3*I3</f>
        <v>645466.67130389344</v>
      </c>
      <c r="L3" s="439"/>
      <c r="M3" s="435">
        <f>SUM(J20:J385)</f>
        <v>645466.92949066532</v>
      </c>
      <c r="N3" s="435"/>
      <c r="O3" s="436">
        <f>M3-G3</f>
        <v>0</v>
      </c>
      <c r="P3" s="436"/>
      <c r="Q3" s="110">
        <v>0.21</v>
      </c>
      <c r="R3" s="346">
        <f>M3*Q3</f>
        <v>135548.05519303971</v>
      </c>
      <c r="S3" s="17"/>
      <c r="AP3" s="18"/>
      <c r="AQ3" s="18"/>
      <c r="AR3" s="17"/>
      <c r="AS3" s="17"/>
      <c r="AT3" s="17"/>
      <c r="AU3" s="17"/>
      <c r="AV3" s="17"/>
      <c r="AW3" s="17"/>
      <c r="AX3" s="17"/>
      <c r="AY3" s="17"/>
      <c r="AZ3" s="17"/>
    </row>
    <row r="4" spans="1:52" ht="20">
      <c r="A4" s="17"/>
      <c r="B4" s="40"/>
      <c r="C4" s="40"/>
      <c r="D4" s="86"/>
      <c r="E4" s="40"/>
      <c r="F4" s="40"/>
      <c r="G4" s="108"/>
      <c r="L4" s="40"/>
      <c r="N4" s="17"/>
      <c r="P4" s="40"/>
      <c r="AP4" s="18"/>
      <c r="AQ4" s="18"/>
      <c r="AR4" s="17"/>
      <c r="AS4" s="17"/>
      <c r="AT4" s="17"/>
      <c r="AY4" s="17"/>
      <c r="AZ4" s="17"/>
    </row>
    <row r="5" spans="1:52" ht="22" hidden="1" outlineLevel="1">
      <c r="A5" s="17"/>
      <c r="B5" s="424" t="s">
        <v>87</v>
      </c>
      <c r="C5" s="425"/>
      <c r="D5" s="86"/>
      <c r="E5" s="105" t="s">
        <v>17</v>
      </c>
      <c r="F5" s="105" t="s">
        <v>86</v>
      </c>
      <c r="G5" s="107" t="s">
        <v>85</v>
      </c>
      <c r="H5" s="426" t="s">
        <v>84</v>
      </c>
      <c r="I5" s="370"/>
      <c r="J5" s="105" t="s">
        <v>83</v>
      </c>
      <c r="K5" s="427" t="s">
        <v>82</v>
      </c>
      <c r="L5" s="428"/>
      <c r="M5" s="106" t="s">
        <v>81</v>
      </c>
      <c r="N5" s="426" t="s">
        <v>80</v>
      </c>
      <c r="O5" s="370"/>
      <c r="P5" s="105" t="s">
        <v>52</v>
      </c>
      <c r="Q5" s="104"/>
      <c r="R5" s="412" t="s">
        <v>79</v>
      </c>
      <c r="S5" s="412"/>
      <c r="T5" s="412"/>
      <c r="U5" s="412"/>
      <c r="V5" s="412"/>
      <c r="AO5" s="14" t="str">
        <f t="shared" ref="AO5:AO16" si="0">TEXT(K6,"¥0")</f>
        <v>¥2010</v>
      </c>
      <c r="AP5" s="18"/>
      <c r="AQ5" s="18"/>
      <c r="AR5" s="17"/>
      <c r="AS5" s="17"/>
      <c r="AT5" s="17"/>
    </row>
    <row r="6" spans="1:52" ht="23" hidden="1" outlineLevel="1">
      <c r="A6" s="17"/>
      <c r="B6" s="413" t="s">
        <v>78</v>
      </c>
      <c r="C6" s="372"/>
      <c r="D6" s="86"/>
      <c r="E6" s="95" t="s">
        <v>19</v>
      </c>
      <c r="F6" s="94">
        <f>COUNTIF(D20:D50,1)</f>
        <v>22</v>
      </c>
      <c r="G6" s="339">
        <f t="shared" ref="G6:G17" si="1">$B$7*F6</f>
        <v>49135.890826279014</v>
      </c>
      <c r="H6" s="414">
        <v>0.9</v>
      </c>
      <c r="I6" s="415"/>
      <c r="J6" s="342">
        <f t="shared" ref="J6:J17" si="2">G6*H6</f>
        <v>44222.301743651115</v>
      </c>
      <c r="K6" s="358">
        <f t="shared" ref="K6:K17" si="3">J6/F6</f>
        <v>2010.1046247114143</v>
      </c>
      <c r="L6" s="359"/>
      <c r="M6" s="341">
        <f>SUM(J20:J50)</f>
        <v>45154.739894870392</v>
      </c>
      <c r="N6" s="360">
        <f t="shared" ref="N6:N17" si="4">M6-J6</f>
        <v>932.43815121927764</v>
      </c>
      <c r="O6" s="361"/>
      <c r="P6" s="90">
        <f t="shared" ref="P6:P17" si="5">M6/G6</f>
        <v>0.91897672221952653</v>
      </c>
      <c r="R6" s="419" t="s">
        <v>2</v>
      </c>
      <c r="S6" s="419"/>
      <c r="T6" s="420" t="s">
        <v>77</v>
      </c>
      <c r="U6" s="421"/>
      <c r="V6" s="102">
        <v>0.76</v>
      </c>
      <c r="Z6" s="101"/>
      <c r="AO6" s="14" t="str">
        <f t="shared" si="0"/>
        <v>¥1898</v>
      </c>
      <c r="AP6" s="89">
        <f t="shared" ref="AP6:AP17" si="6">(H6/100)*AQ6</f>
        <v>7.4999970000000013E-4</v>
      </c>
      <c r="AQ6" s="88">
        <v>8.3333299999999999E-2</v>
      </c>
      <c r="AR6" s="17"/>
      <c r="AS6" s="17"/>
      <c r="AT6" s="17"/>
    </row>
    <row r="7" spans="1:52" ht="23" hidden="1" outlineLevel="1">
      <c r="A7" s="17"/>
      <c r="B7" s="422">
        <f>G3/E3</f>
        <v>2233.4495830126825</v>
      </c>
      <c r="C7" s="372"/>
      <c r="D7" s="86"/>
      <c r="E7" s="95" t="s">
        <v>21</v>
      </c>
      <c r="F7" s="94">
        <f>COUNTIF(D51:D79,1)</f>
        <v>23</v>
      </c>
      <c r="G7" s="339">
        <f t="shared" si="1"/>
        <v>51369.340409291697</v>
      </c>
      <c r="H7" s="414">
        <v>0.85</v>
      </c>
      <c r="I7" s="415"/>
      <c r="J7" s="342">
        <f t="shared" si="2"/>
        <v>43663.93934789794</v>
      </c>
      <c r="K7" s="358">
        <f t="shared" si="3"/>
        <v>1898.4321455607801</v>
      </c>
      <c r="L7" s="359"/>
      <c r="M7" s="341">
        <f>SUM(J51:J79)</f>
        <v>45331.067609207887</v>
      </c>
      <c r="N7" s="360">
        <f t="shared" si="4"/>
        <v>1667.1282613099465</v>
      </c>
      <c r="O7" s="361"/>
      <c r="P7" s="90">
        <f t="shared" si="5"/>
        <v>0.88245376031747513</v>
      </c>
      <c r="R7" s="419"/>
      <c r="S7" s="419"/>
      <c r="T7" s="423">
        <f>T6*V6</f>
        <v>177508.64</v>
      </c>
      <c r="U7" s="423"/>
      <c r="V7" s="423"/>
      <c r="AO7" s="14" t="str">
        <f t="shared" si="0"/>
        <v>¥2233</v>
      </c>
      <c r="AP7" s="89">
        <f t="shared" si="6"/>
        <v>7.0833305000000003E-4</v>
      </c>
      <c r="AQ7" s="88">
        <v>8.3333299999999999E-2</v>
      </c>
      <c r="AR7" s="17"/>
      <c r="AS7" s="17"/>
      <c r="AT7" s="17"/>
    </row>
    <row r="8" spans="1:52" ht="23" hidden="1" outlineLevel="1">
      <c r="A8" s="17"/>
      <c r="D8" s="86"/>
      <c r="E8" s="95" t="s">
        <v>23</v>
      </c>
      <c r="F8" s="94">
        <f>COUNTIF(D80:D110,1)</f>
        <v>25</v>
      </c>
      <c r="G8" s="339">
        <f t="shared" si="1"/>
        <v>55836.239575317064</v>
      </c>
      <c r="H8" s="414">
        <v>1</v>
      </c>
      <c r="I8" s="415"/>
      <c r="J8" s="342">
        <f t="shared" si="2"/>
        <v>55836.239575317064</v>
      </c>
      <c r="K8" s="358">
        <f t="shared" si="3"/>
        <v>2233.4495830126825</v>
      </c>
      <c r="L8" s="359"/>
      <c r="M8" s="341">
        <f>SUM(J80:J110)</f>
        <v>58551.821642196854</v>
      </c>
      <c r="N8" s="360">
        <f t="shared" si="4"/>
        <v>2715.5820668797896</v>
      </c>
      <c r="O8" s="361"/>
      <c r="P8" s="90">
        <f t="shared" si="5"/>
        <v>1.048634759208968</v>
      </c>
      <c r="R8" s="419" t="s">
        <v>76</v>
      </c>
      <c r="S8" s="419"/>
      <c r="T8" s="430">
        <f>T9-T6</f>
        <v>87436</v>
      </c>
      <c r="U8" s="430"/>
      <c r="V8" s="430"/>
      <c r="AO8" s="14" t="str">
        <f t="shared" si="0"/>
        <v>¥2345</v>
      </c>
      <c r="AP8" s="89">
        <f t="shared" si="6"/>
        <v>8.3333300000000001E-4</v>
      </c>
      <c r="AQ8" s="88">
        <v>8.3333299999999999E-2</v>
      </c>
      <c r="AR8" s="17"/>
      <c r="AS8" s="17"/>
      <c r="AT8" s="17"/>
    </row>
    <row r="9" spans="1:52" ht="23" hidden="1" outlineLevel="1">
      <c r="A9" s="17"/>
      <c r="B9" s="99"/>
      <c r="C9" s="40"/>
      <c r="D9" s="86"/>
      <c r="E9" s="95" t="s">
        <v>25</v>
      </c>
      <c r="F9" s="94">
        <f>COUNTIF(D111:D140,1)</f>
        <v>25</v>
      </c>
      <c r="G9" s="339">
        <f t="shared" si="1"/>
        <v>55836.239575317064</v>
      </c>
      <c r="H9" s="414">
        <v>1.05</v>
      </c>
      <c r="I9" s="415"/>
      <c r="J9" s="342">
        <f t="shared" si="2"/>
        <v>58628.051554082922</v>
      </c>
      <c r="K9" s="358">
        <f t="shared" si="3"/>
        <v>2345.122062163317</v>
      </c>
      <c r="L9" s="359"/>
      <c r="M9" s="341">
        <f>SUM(J111:J140)</f>
        <v>60509.85136849738</v>
      </c>
      <c r="N9" s="360">
        <f t="shared" si="4"/>
        <v>1881.7998144144585</v>
      </c>
      <c r="O9" s="361"/>
      <c r="P9" s="90">
        <f t="shared" si="5"/>
        <v>1.0837021230069785</v>
      </c>
      <c r="R9" s="431" t="s">
        <v>75</v>
      </c>
      <c r="S9" s="431"/>
      <c r="T9" s="432">
        <f>SUM(V11:V16)</f>
        <v>321000</v>
      </c>
      <c r="U9" s="432"/>
      <c r="V9" s="432"/>
      <c r="AO9" s="14" t="str">
        <f t="shared" si="0"/>
        <v>¥2233</v>
      </c>
      <c r="AP9" s="89">
        <f t="shared" si="6"/>
        <v>8.7499965000000001E-4</v>
      </c>
      <c r="AQ9" s="88">
        <v>8.3333299999999999E-2</v>
      </c>
      <c r="AR9" s="17"/>
      <c r="AS9" s="17"/>
      <c r="AT9" s="17"/>
    </row>
    <row r="10" spans="1:52" ht="20" hidden="1" outlineLevel="1">
      <c r="A10" s="17"/>
      <c r="B10" s="99"/>
      <c r="C10" s="40"/>
      <c r="D10" s="86"/>
      <c r="E10" s="95" t="s">
        <v>27</v>
      </c>
      <c r="F10" s="94">
        <f>COUNTIF(D141:D171,1)</f>
        <v>24</v>
      </c>
      <c r="G10" s="339">
        <f t="shared" si="1"/>
        <v>53602.789992304381</v>
      </c>
      <c r="H10" s="414">
        <v>1</v>
      </c>
      <c r="I10" s="415"/>
      <c r="J10" s="342">
        <f t="shared" si="2"/>
        <v>53602.789992304381</v>
      </c>
      <c r="K10" s="358">
        <f t="shared" si="3"/>
        <v>2233.4495830126825</v>
      </c>
      <c r="L10" s="359"/>
      <c r="M10" s="341">
        <f>SUM(J141:J171)</f>
        <v>55872.847562080831</v>
      </c>
      <c r="N10" s="360">
        <f t="shared" si="4"/>
        <v>2270.0575697764507</v>
      </c>
      <c r="O10" s="361"/>
      <c r="P10" s="90">
        <f t="shared" si="5"/>
        <v>1.042349615945408</v>
      </c>
      <c r="R10" s="100" t="s">
        <v>74</v>
      </c>
      <c r="S10" s="100" t="s">
        <v>73</v>
      </c>
      <c r="T10" s="429" t="s">
        <v>72</v>
      </c>
      <c r="U10" s="429"/>
      <c r="V10" s="100" t="s">
        <v>71</v>
      </c>
      <c r="AO10" s="14" t="str">
        <f t="shared" si="0"/>
        <v>¥2010</v>
      </c>
      <c r="AP10" s="89">
        <f t="shared" si="6"/>
        <v>8.3333300000000001E-4</v>
      </c>
      <c r="AQ10" s="88">
        <v>8.3333299999999999E-2</v>
      </c>
      <c r="AR10" s="17"/>
      <c r="AS10" s="17"/>
      <c r="AT10" s="17"/>
    </row>
    <row r="11" spans="1:52" ht="20" hidden="1" outlineLevel="1">
      <c r="A11" s="17"/>
      <c r="B11" s="99"/>
      <c r="C11" s="40"/>
      <c r="D11" s="86"/>
      <c r="E11" s="95" t="s">
        <v>70</v>
      </c>
      <c r="F11" s="94">
        <f>COUNTIF(D172:D201,1)</f>
        <v>25</v>
      </c>
      <c r="G11" s="339">
        <f t="shared" si="1"/>
        <v>55836.239575317064</v>
      </c>
      <c r="H11" s="414">
        <v>0.9</v>
      </c>
      <c r="I11" s="415"/>
      <c r="J11" s="342">
        <f t="shared" si="2"/>
        <v>50252.615617785355</v>
      </c>
      <c r="K11" s="358">
        <f t="shared" si="3"/>
        <v>2010.1046247114143</v>
      </c>
      <c r="L11" s="359"/>
      <c r="M11" s="341">
        <f>SUM(J172:J201)</f>
        <v>53543.139387348194</v>
      </c>
      <c r="N11" s="360">
        <f t="shared" si="4"/>
        <v>3290.5237695628384</v>
      </c>
      <c r="O11" s="361"/>
      <c r="P11" s="90">
        <f t="shared" si="5"/>
        <v>0.95893168656396133</v>
      </c>
      <c r="R11" s="98" t="s">
        <v>69</v>
      </c>
      <c r="S11" s="97">
        <v>1100</v>
      </c>
      <c r="T11" s="433">
        <v>60</v>
      </c>
      <c r="U11" s="433"/>
      <c r="V11" s="96">
        <f t="shared" ref="V11:V16" si="7">S11*T11</f>
        <v>66000</v>
      </c>
      <c r="AO11" s="14" t="str">
        <f t="shared" si="0"/>
        <v>¥2122</v>
      </c>
      <c r="AP11" s="89">
        <f t="shared" si="6"/>
        <v>7.4999970000000013E-4</v>
      </c>
      <c r="AQ11" s="88">
        <v>8.3333299999999999E-2</v>
      </c>
      <c r="AR11" s="17"/>
      <c r="AS11" s="17"/>
      <c r="AT11" s="17"/>
    </row>
    <row r="12" spans="1:52" ht="20" hidden="1" outlineLevel="1">
      <c r="A12" s="17"/>
      <c r="B12" s="40"/>
      <c r="C12" s="40"/>
      <c r="D12" s="86"/>
      <c r="E12" s="95" t="s">
        <v>68</v>
      </c>
      <c r="F12" s="94">
        <f>COUNTIF(D202:D232,1)</f>
        <v>26</v>
      </c>
      <c r="G12" s="339">
        <f t="shared" si="1"/>
        <v>58069.689158329747</v>
      </c>
      <c r="H12" s="414">
        <v>0.95</v>
      </c>
      <c r="I12" s="415"/>
      <c r="J12" s="342">
        <f t="shared" si="2"/>
        <v>55166.204700413255</v>
      </c>
      <c r="K12" s="358">
        <f t="shared" si="3"/>
        <v>2121.7771038620481</v>
      </c>
      <c r="L12" s="359"/>
      <c r="M12" s="341">
        <f>SUM(J202:J232)</f>
        <v>59109.887620083384</v>
      </c>
      <c r="N12" s="360">
        <f t="shared" si="4"/>
        <v>3943.6829196701292</v>
      </c>
      <c r="O12" s="361"/>
      <c r="P12" s="90">
        <f t="shared" si="5"/>
        <v>1.0179129331813277</v>
      </c>
      <c r="R12" s="98" t="s">
        <v>67</v>
      </c>
      <c r="S12" s="97">
        <v>4500</v>
      </c>
      <c r="T12" s="433">
        <v>20</v>
      </c>
      <c r="U12" s="433"/>
      <c r="V12" s="96">
        <f t="shared" si="7"/>
        <v>90000</v>
      </c>
      <c r="AO12" s="14" t="str">
        <f t="shared" si="0"/>
        <v>¥1787</v>
      </c>
      <c r="AP12" s="89">
        <f t="shared" si="6"/>
        <v>7.9166635000000002E-4</v>
      </c>
      <c r="AQ12" s="88">
        <v>8.3333299999999999E-2</v>
      </c>
      <c r="AR12" s="17"/>
      <c r="AS12" s="17"/>
      <c r="AT12" s="17"/>
    </row>
    <row r="13" spans="1:52" ht="20" hidden="1" outlineLevel="1">
      <c r="A13" s="17"/>
      <c r="B13" s="151">
        <v>110.34</v>
      </c>
      <c r="C13" s="40"/>
      <c r="D13" s="86"/>
      <c r="E13" s="95" t="s">
        <v>66</v>
      </c>
      <c r="F13" s="94">
        <f>COUNTIF(D233:D263,1)</f>
        <v>22</v>
      </c>
      <c r="G13" s="339">
        <f t="shared" si="1"/>
        <v>49135.890826279014</v>
      </c>
      <c r="H13" s="414">
        <v>0.8</v>
      </c>
      <c r="I13" s="415"/>
      <c r="J13" s="342">
        <f t="shared" si="2"/>
        <v>39308.712661023215</v>
      </c>
      <c r="K13" s="358">
        <f t="shared" si="3"/>
        <v>1786.7596664101461</v>
      </c>
      <c r="L13" s="359"/>
      <c r="M13" s="341">
        <f>SUM(J233:J263)</f>
        <v>40891.807141562436</v>
      </c>
      <c r="N13" s="360">
        <f t="shared" si="4"/>
        <v>1583.094480539221</v>
      </c>
      <c r="O13" s="361"/>
      <c r="P13" s="90">
        <f t="shared" si="5"/>
        <v>0.83221869907958501</v>
      </c>
      <c r="R13" s="98" t="s">
        <v>65</v>
      </c>
      <c r="S13" s="97">
        <v>5500</v>
      </c>
      <c r="T13" s="433">
        <v>30</v>
      </c>
      <c r="U13" s="433"/>
      <c r="V13" s="96">
        <f t="shared" si="7"/>
        <v>165000</v>
      </c>
      <c r="Z13" s="17"/>
      <c r="AA13" s="17"/>
      <c r="AB13" s="17"/>
      <c r="AC13" s="17"/>
      <c r="AD13" s="17"/>
      <c r="AE13" s="17"/>
      <c r="AF13" s="139"/>
      <c r="AG13" s="256"/>
      <c r="AH13" s="256"/>
      <c r="AI13" s="256"/>
      <c r="AJ13" s="256"/>
      <c r="AK13" s="17"/>
      <c r="AL13" s="17"/>
      <c r="AM13" s="17"/>
      <c r="AN13" s="18"/>
      <c r="AO13" s="14" t="str">
        <f t="shared" si="0"/>
        <v>¥2122</v>
      </c>
      <c r="AP13" s="89">
        <f t="shared" si="6"/>
        <v>6.6666640000000003E-4</v>
      </c>
      <c r="AQ13" s="88">
        <v>8.3333299999999999E-2</v>
      </c>
      <c r="AR13" s="17"/>
      <c r="AS13" s="87"/>
      <c r="AT13" s="87"/>
    </row>
    <row r="14" spans="1:52" ht="20" hidden="1" customHeight="1" outlineLevel="1">
      <c r="A14" s="17"/>
      <c r="B14" s="40"/>
      <c r="C14" s="40"/>
      <c r="D14" s="86"/>
      <c r="E14" s="95" t="s">
        <v>64</v>
      </c>
      <c r="F14" s="94">
        <f>COUNTIF(D264:D293,1)</f>
        <v>23</v>
      </c>
      <c r="G14" s="339">
        <f t="shared" si="1"/>
        <v>51369.340409291697</v>
      </c>
      <c r="H14" s="414">
        <v>0.95</v>
      </c>
      <c r="I14" s="415"/>
      <c r="J14" s="342">
        <f t="shared" si="2"/>
        <v>48800.873388827109</v>
      </c>
      <c r="K14" s="358">
        <f t="shared" si="3"/>
        <v>2121.7771038620481</v>
      </c>
      <c r="L14" s="359"/>
      <c r="M14" s="341">
        <f>SUM(J264:J293)</f>
        <v>49166.893239079196</v>
      </c>
      <c r="N14" s="360">
        <f t="shared" si="4"/>
        <v>366.01985025208705</v>
      </c>
      <c r="O14" s="361"/>
      <c r="P14" s="90">
        <f t="shared" si="5"/>
        <v>0.95712525890610578</v>
      </c>
      <c r="R14" s="98"/>
      <c r="S14" s="97"/>
      <c r="T14" s="433">
        <v>0</v>
      </c>
      <c r="U14" s="433"/>
      <c r="V14" s="96">
        <f t="shared" si="7"/>
        <v>0</v>
      </c>
      <c r="Z14" s="17"/>
      <c r="AA14" s="17"/>
      <c r="AB14" s="17"/>
      <c r="AC14" s="17"/>
      <c r="AD14" s="17"/>
      <c r="AE14" s="17"/>
      <c r="AF14" s="139"/>
      <c r="AG14" s="256"/>
      <c r="AH14" s="256"/>
      <c r="AI14" s="256"/>
      <c r="AJ14" s="256"/>
      <c r="AK14" s="17"/>
      <c r="AL14" s="17"/>
      <c r="AM14" s="17"/>
      <c r="AN14" s="18"/>
      <c r="AO14" s="14" t="str">
        <f t="shared" si="0"/>
        <v>¥2792</v>
      </c>
      <c r="AP14" s="89">
        <f t="shared" si="6"/>
        <v>7.9166635000000002E-4</v>
      </c>
      <c r="AQ14" s="88">
        <v>8.3333299999999999E-2</v>
      </c>
      <c r="AR14" s="17"/>
      <c r="AS14" s="87"/>
      <c r="AT14" s="87"/>
    </row>
    <row r="15" spans="1:52" ht="20" hidden="1" customHeight="1" outlineLevel="1">
      <c r="A15" s="17"/>
      <c r="B15" s="40"/>
      <c r="C15" s="40"/>
      <c r="D15" s="86"/>
      <c r="E15" s="95" t="s">
        <v>63</v>
      </c>
      <c r="F15" s="94">
        <f>COUNTIF(D294:D324,1)</f>
        <v>26</v>
      </c>
      <c r="G15" s="339">
        <f t="shared" si="1"/>
        <v>58069.689158329747</v>
      </c>
      <c r="H15" s="414">
        <v>1.25</v>
      </c>
      <c r="I15" s="415"/>
      <c r="J15" s="342">
        <f t="shared" si="2"/>
        <v>72587.11144791219</v>
      </c>
      <c r="K15" s="358">
        <f t="shared" si="3"/>
        <v>2791.8119787658534</v>
      </c>
      <c r="L15" s="359"/>
      <c r="M15" s="341">
        <f>SUM(J294:J324)</f>
        <v>50349.193402211342</v>
      </c>
      <c r="N15" s="360">
        <f t="shared" si="4"/>
        <v>-22237.918045700848</v>
      </c>
      <c r="O15" s="361"/>
      <c r="P15" s="90">
        <f t="shared" si="5"/>
        <v>0.86704775127918954</v>
      </c>
      <c r="R15" s="98"/>
      <c r="S15" s="97"/>
      <c r="T15" s="434">
        <v>0</v>
      </c>
      <c r="U15" s="434"/>
      <c r="V15" s="96">
        <f t="shared" si="7"/>
        <v>0</v>
      </c>
      <c r="Z15" s="17"/>
      <c r="AA15" s="17"/>
      <c r="AB15" s="17"/>
      <c r="AC15" s="17"/>
      <c r="AD15" s="17"/>
      <c r="AE15" s="17"/>
      <c r="AF15" s="139"/>
      <c r="AG15" s="256"/>
      <c r="AH15" s="256"/>
      <c r="AI15" s="256"/>
      <c r="AJ15" s="256"/>
      <c r="AK15" s="17"/>
      <c r="AL15" s="17"/>
      <c r="AM15" s="17"/>
      <c r="AN15" s="18"/>
      <c r="AO15" s="14" t="str">
        <f t="shared" si="0"/>
        <v>¥2345</v>
      </c>
      <c r="AP15" s="89">
        <f t="shared" si="6"/>
        <v>1.04166625E-3</v>
      </c>
      <c r="AQ15" s="88">
        <v>8.3333299999999999E-2</v>
      </c>
      <c r="AR15" s="17"/>
      <c r="AS15" s="87"/>
      <c r="AT15" s="87"/>
      <c r="AU15" s="87"/>
    </row>
    <row r="16" spans="1:52" ht="22" hidden="1" outlineLevel="1">
      <c r="A16" s="17"/>
      <c r="B16" s="40"/>
      <c r="C16" s="40"/>
      <c r="D16" s="86"/>
      <c r="E16" s="95" t="s">
        <v>62</v>
      </c>
      <c r="F16" s="94">
        <f>COUNTIF(D325:D354,1)</f>
        <v>24</v>
      </c>
      <c r="G16" s="339">
        <f t="shared" si="1"/>
        <v>53602.789992304381</v>
      </c>
      <c r="H16" s="414">
        <v>1.05</v>
      </c>
      <c r="I16" s="415"/>
      <c r="J16" s="342">
        <f t="shared" si="2"/>
        <v>56282.929491919604</v>
      </c>
      <c r="K16" s="358">
        <f t="shared" si="3"/>
        <v>2345.122062163317</v>
      </c>
      <c r="L16" s="359"/>
      <c r="M16" s="341">
        <f>SUM(J325:J354)</f>
        <v>55393.782852999808</v>
      </c>
      <c r="N16" s="360">
        <f t="shared" si="4"/>
        <v>-889.14663891979581</v>
      </c>
      <c r="O16" s="361"/>
      <c r="P16" s="90">
        <f t="shared" si="5"/>
        <v>1.0334123067279251</v>
      </c>
      <c r="R16" s="98"/>
      <c r="S16" s="97"/>
      <c r="T16" s="434">
        <v>0</v>
      </c>
      <c r="U16" s="434"/>
      <c r="V16" s="96">
        <f t="shared" si="7"/>
        <v>0</v>
      </c>
      <c r="W16" s="17"/>
      <c r="X16" s="17"/>
      <c r="Y16" s="17"/>
      <c r="Z16" s="17"/>
      <c r="AA16" s="17"/>
      <c r="AB16" s="17"/>
      <c r="AC16" s="17"/>
      <c r="AD16" s="17"/>
      <c r="AE16" s="17"/>
      <c r="AF16" s="139"/>
      <c r="AG16" s="256"/>
      <c r="AH16" s="256"/>
      <c r="AI16" s="256"/>
      <c r="AJ16" s="256"/>
      <c r="AK16" s="17"/>
      <c r="AL16" s="17"/>
      <c r="AM16" s="17"/>
      <c r="AN16" s="18"/>
      <c r="AO16" s="14" t="str">
        <f t="shared" si="0"/>
        <v>¥2903</v>
      </c>
      <c r="AP16" s="89">
        <f t="shared" si="6"/>
        <v>8.7499965000000001E-4</v>
      </c>
      <c r="AQ16" s="88">
        <v>8.3333299999999999E-2</v>
      </c>
      <c r="AR16" s="17"/>
      <c r="AS16" s="87"/>
      <c r="AT16" s="87"/>
      <c r="AU16" s="87"/>
    </row>
    <row r="17" spans="1:52" ht="20" hidden="1" outlineLevel="1">
      <c r="A17" s="17"/>
      <c r="B17" s="40"/>
      <c r="C17" s="40"/>
      <c r="D17" s="86"/>
      <c r="E17" s="95" t="s">
        <v>61</v>
      </c>
      <c r="F17" s="94">
        <f>COUNTIF(D355:D385,1)</f>
        <v>24</v>
      </c>
      <c r="G17" s="339">
        <f t="shared" si="1"/>
        <v>53602.789992304381</v>
      </c>
      <c r="H17" s="414">
        <v>1.3</v>
      </c>
      <c r="I17" s="415"/>
      <c r="J17" s="342">
        <f t="shared" si="2"/>
        <v>69683.626989995697</v>
      </c>
      <c r="K17" s="358">
        <f t="shared" si="3"/>
        <v>2903.4844579164874</v>
      </c>
      <c r="L17" s="359"/>
      <c r="M17" s="341">
        <f>SUM(J355:J385)</f>
        <v>71591.897770527474</v>
      </c>
      <c r="N17" s="360">
        <f t="shared" si="4"/>
        <v>1908.2707805317768</v>
      </c>
      <c r="O17" s="361"/>
      <c r="P17" s="90">
        <f t="shared" si="5"/>
        <v>1.3356002137352505</v>
      </c>
      <c r="R17" s="17"/>
      <c r="S17" s="17"/>
      <c r="U17" s="40"/>
      <c r="V17" s="40"/>
      <c r="W17" s="17"/>
      <c r="X17" s="17"/>
      <c r="Y17" s="17"/>
      <c r="Z17" s="17"/>
      <c r="AA17" s="17"/>
      <c r="AB17" s="17"/>
      <c r="AC17" s="17"/>
      <c r="AD17" s="17"/>
      <c r="AE17" s="17"/>
      <c r="AF17" s="139"/>
      <c r="AG17" s="256"/>
      <c r="AH17" s="256"/>
      <c r="AI17" s="256"/>
      <c r="AJ17" s="256"/>
      <c r="AK17" s="17"/>
      <c r="AL17" s="17"/>
      <c r="AM17" s="17"/>
      <c r="AN17" s="18"/>
      <c r="AO17" s="18"/>
      <c r="AP17" s="89">
        <f t="shared" si="6"/>
        <v>1.0833329000000001E-3</v>
      </c>
      <c r="AQ17" s="88">
        <v>8.3333299999999999E-2</v>
      </c>
      <c r="AR17" s="17"/>
      <c r="AS17" s="87"/>
      <c r="AT17" s="87"/>
      <c r="AU17" s="87"/>
      <c r="AV17" s="87"/>
      <c r="AW17" s="87"/>
      <c r="AX17" s="87"/>
      <c r="AY17" s="87"/>
      <c r="AZ17" s="87"/>
    </row>
    <row r="18" spans="1:52" ht="15" customHeight="1" collapsed="1">
      <c r="A18" s="17"/>
      <c r="B18" s="40"/>
      <c r="C18" s="40"/>
      <c r="D18" s="86"/>
      <c r="E18" s="40"/>
      <c r="F18" s="85"/>
      <c r="G18" s="40"/>
      <c r="H18" s="40"/>
      <c r="I18" s="40"/>
      <c r="J18" s="40"/>
      <c r="K18" s="84"/>
      <c r="L18" s="40"/>
      <c r="M18" s="40"/>
      <c r="N18" s="40"/>
      <c r="O18" s="40"/>
      <c r="P18" s="40"/>
      <c r="Q18" s="40"/>
      <c r="R18" s="40"/>
      <c r="S18" s="40"/>
      <c r="T18" s="40"/>
      <c r="U18" s="40"/>
      <c r="V18" s="40"/>
      <c r="W18" s="17"/>
      <c r="X18" s="17"/>
      <c r="Y18" s="17"/>
      <c r="Z18" s="17"/>
      <c r="AA18" s="17"/>
      <c r="AB18" s="17"/>
      <c r="AC18" s="17"/>
      <c r="AD18" s="17"/>
      <c r="AE18" s="17"/>
      <c r="AF18" s="139"/>
      <c r="AG18" s="256"/>
      <c r="AH18" s="256"/>
      <c r="AI18" s="256"/>
      <c r="AJ18" s="256"/>
      <c r="AK18" s="17"/>
      <c r="AL18" s="17"/>
      <c r="AM18" s="17"/>
      <c r="AN18" s="18"/>
      <c r="AO18" s="18"/>
      <c r="AP18" s="18"/>
      <c r="AQ18" s="18"/>
      <c r="AR18" s="17"/>
      <c r="AS18" s="17"/>
      <c r="AT18" s="17"/>
      <c r="AU18" s="17"/>
      <c r="AV18" s="17"/>
      <c r="AW18" s="17"/>
      <c r="AX18" s="17"/>
      <c r="AY18" s="17"/>
      <c r="AZ18" s="17"/>
    </row>
    <row r="19" spans="1:52" ht="20">
      <c r="A19" s="17"/>
      <c r="B19" s="40"/>
      <c r="C19" s="71"/>
      <c r="D19" s="83"/>
      <c r="E19" s="72" t="s">
        <v>17</v>
      </c>
      <c r="F19" s="72" t="s">
        <v>60</v>
      </c>
      <c r="G19" s="82" t="s">
        <v>36</v>
      </c>
      <c r="H19" s="76" t="s">
        <v>59</v>
      </c>
      <c r="I19" s="74"/>
      <c r="J19" s="76" t="s">
        <v>58</v>
      </c>
      <c r="K19" s="81"/>
      <c r="L19" s="80" t="s">
        <v>57</v>
      </c>
      <c r="M19" s="79" t="s">
        <v>56</v>
      </c>
      <c r="N19" s="78" t="s">
        <v>55</v>
      </c>
      <c r="O19" s="77"/>
      <c r="P19" s="73" t="s">
        <v>11</v>
      </c>
      <c r="Q19" s="72" t="s">
        <v>54</v>
      </c>
      <c r="R19" s="76" t="s">
        <v>53</v>
      </c>
      <c r="S19" s="75" t="s">
        <v>52</v>
      </c>
      <c r="T19" s="74"/>
      <c r="U19" s="73" t="s">
        <v>12</v>
      </c>
      <c r="V19" s="72" t="s">
        <v>51</v>
      </c>
      <c r="W19" s="72" t="s">
        <v>50</v>
      </c>
      <c r="X19" s="71" t="s">
        <v>49</v>
      </c>
      <c r="Y19" s="17"/>
      <c r="Z19" s="17"/>
      <c r="AA19" s="17"/>
      <c r="AB19" s="17"/>
      <c r="AC19" s="266" t="s">
        <v>188</v>
      </c>
      <c r="AD19" s="266" t="s">
        <v>96</v>
      </c>
      <c r="AE19" s="266" t="s">
        <v>187</v>
      </c>
      <c r="AF19" s="267" t="s">
        <v>186</v>
      </c>
      <c r="AG19" s="269"/>
      <c r="AH19" s="269" t="s">
        <v>185</v>
      </c>
      <c r="AI19" s="394" t="s">
        <v>184</v>
      </c>
      <c r="AJ19" s="394"/>
      <c r="AK19" s="17"/>
      <c r="AL19" s="17"/>
      <c r="AM19" s="17"/>
      <c r="AN19" s="18"/>
      <c r="AO19" s="18"/>
      <c r="AP19" s="18"/>
      <c r="AQ19" s="18"/>
      <c r="AR19" s="17"/>
      <c r="AS19" s="17"/>
      <c r="AT19" s="17"/>
      <c r="AU19" s="17"/>
      <c r="AV19" s="17"/>
      <c r="AW19" s="17"/>
      <c r="AX19" s="17"/>
      <c r="AY19" s="17"/>
      <c r="AZ19" s="17"/>
    </row>
    <row r="20" spans="1:52" ht="20">
      <c r="A20" s="17"/>
      <c r="B20" s="40"/>
      <c r="C20" s="55">
        <v>1</v>
      </c>
      <c r="D20" s="54">
        <v>0</v>
      </c>
      <c r="E20" s="53" t="str">
        <f t="shared" ref="E20:E83" si="8">TEXT(AA20,"m")</f>
        <v>1</v>
      </c>
      <c r="F20" s="52">
        <f>B2</f>
        <v>45292</v>
      </c>
      <c r="G20" s="51" t="str">
        <f>TEXT(AS20,"ddd")</f>
        <v>Mon</v>
      </c>
      <c r="H20" s="50" t="s">
        <v>48</v>
      </c>
      <c r="I20" s="67"/>
      <c r="J20" s="343"/>
      <c r="K20" s="65"/>
      <c r="L20" s="43">
        <f t="shared" ref="L20:L50" si="9">IF(D20=0,0,$K$6)</f>
        <v>0</v>
      </c>
      <c r="M20" s="47">
        <f t="shared" ref="M20:M83" si="10">IF(D20=0,0,J20-L20)</f>
        <v>0</v>
      </c>
      <c r="N20" s="60" t="str">
        <f t="shared" ref="N20:N83" si="11">IFERROR(J20/L20,"0%")</f>
        <v>0%</v>
      </c>
      <c r="O20" s="46"/>
      <c r="P20" s="45">
        <f>IF(D20=0,0,$K$6)</f>
        <v>0</v>
      </c>
      <c r="Q20" s="43">
        <f>IF(D20=0,0,$J$20)</f>
        <v>0</v>
      </c>
      <c r="R20" s="42">
        <f t="shared" ref="R20:R83" si="12">IF(D20=0,0,Q20-P20)</f>
        <v>0</v>
      </c>
      <c r="S20" s="41" t="str">
        <f t="shared" ref="S20:S83" si="13">IFERROR(Q20/P20,"0%")</f>
        <v>0%</v>
      </c>
      <c r="T20" s="69"/>
      <c r="U20" s="348">
        <f>IF(D20=0,0,$L$20)</f>
        <v>0</v>
      </c>
      <c r="V20" s="348">
        <f>IF(D20=0,0,$J$20)</f>
        <v>0</v>
      </c>
      <c r="W20" s="349">
        <f t="shared" ref="W20:W83" si="14">IF(D20=0,0,V20-U20)</f>
        <v>0</v>
      </c>
      <c r="X20" s="41" t="str">
        <f t="shared" ref="X20:X83" si="15">IFERROR(V20/U20,"0%")</f>
        <v>0%</v>
      </c>
      <c r="Y20" s="17"/>
      <c r="Z20" s="23">
        <f>B2</f>
        <v>45292</v>
      </c>
      <c r="AA20" s="22">
        <f>B2</f>
        <v>45292</v>
      </c>
      <c r="AB20" s="137">
        <v>45292</v>
      </c>
      <c r="AC20" s="141">
        <v>1</v>
      </c>
      <c r="AD20" s="136" t="s">
        <v>122</v>
      </c>
      <c r="AE20" s="138">
        <f>IFERROR(AVERAGEIFS(J20:J50,D20:D50,1,G20:G50,"mon"),0)</f>
        <v>2293.1393873481966</v>
      </c>
      <c r="AF20" s="141">
        <f>COUNTIFS(D20:D50,1,G20:G50,"Mon")</f>
        <v>4</v>
      </c>
      <c r="AG20" s="138">
        <f>SUMIFS(J20:J50,D20:D50,1,G20:G50,"mon")</f>
        <v>9172.5575493927863</v>
      </c>
      <c r="AH20" s="138">
        <f>AE20*AF20</f>
        <v>9172.5575493927863</v>
      </c>
      <c r="AI20" s="264">
        <f>AH20/$M$6</f>
        <v>0.20313609536337501</v>
      </c>
      <c r="AJ20" s="393">
        <f>SUM(AI20:AI26)</f>
        <v>1.0000000000000002</v>
      </c>
      <c r="AK20" s="15"/>
      <c r="AL20" s="134"/>
      <c r="AM20" s="134"/>
      <c r="AN20" s="18"/>
      <c r="AO20" s="18"/>
      <c r="AP20" s="18"/>
      <c r="AQ20" s="18"/>
      <c r="AR20" s="17"/>
      <c r="AS20" s="21">
        <f>B2</f>
        <v>45292</v>
      </c>
      <c r="AT20" s="17"/>
      <c r="AU20" s="17"/>
      <c r="AV20" s="17"/>
      <c r="AW20" s="17"/>
      <c r="AX20" s="17"/>
      <c r="AY20" s="17"/>
      <c r="AZ20" s="17"/>
    </row>
    <row r="21" spans="1:52" ht="20">
      <c r="A21" s="17"/>
      <c r="B21" s="40"/>
      <c r="C21" s="55">
        <f t="shared" ref="C21:C84" si="16">C20+1</f>
        <v>2</v>
      </c>
      <c r="D21" s="54">
        <v>0</v>
      </c>
      <c r="E21" s="53" t="str">
        <f t="shared" si="8"/>
        <v>1</v>
      </c>
      <c r="F21" s="52">
        <f t="shared" ref="F21:F84" si="17">F20+1</f>
        <v>45293</v>
      </c>
      <c r="G21" s="51" t="str">
        <f t="shared" ref="G21:G84" si="18">TEXT(AS21,"ddd")</f>
        <v>Tue</v>
      </c>
      <c r="H21" s="50" t="s">
        <v>45</v>
      </c>
      <c r="I21" s="67"/>
      <c r="J21" s="343"/>
      <c r="K21" s="65"/>
      <c r="L21" s="317">
        <f t="shared" si="9"/>
        <v>0</v>
      </c>
      <c r="M21" s="318">
        <f t="shared" si="10"/>
        <v>0</v>
      </c>
      <c r="N21" s="41" t="str">
        <f t="shared" si="11"/>
        <v>0%</v>
      </c>
      <c r="O21" s="46"/>
      <c r="P21" s="328">
        <f>IF(D21=0,0,SUM($L$20:L21))</f>
        <v>0</v>
      </c>
      <c r="Q21" s="317">
        <f>IF(D21=0,0,SUM($J$20:J21))</f>
        <v>0</v>
      </c>
      <c r="R21" s="321">
        <f t="shared" si="12"/>
        <v>0</v>
      </c>
      <c r="S21" s="41" t="str">
        <f t="shared" si="13"/>
        <v>0%</v>
      </c>
      <c r="T21" s="69"/>
      <c r="U21" s="348">
        <f>IF(D21=0,0,SUM($L$20:L21))</f>
        <v>0</v>
      </c>
      <c r="V21" s="348">
        <f>IF(D21=0,0,SUM($J$20:J21))</f>
        <v>0</v>
      </c>
      <c r="W21" s="349">
        <f t="shared" si="14"/>
        <v>0</v>
      </c>
      <c r="X21" s="41" t="str">
        <f t="shared" si="15"/>
        <v>0%</v>
      </c>
      <c r="Y21" s="17"/>
      <c r="Z21" s="23">
        <f t="shared" ref="Z21:AA36" si="19">Z20+1</f>
        <v>45293</v>
      </c>
      <c r="AA21" s="135">
        <f t="shared" si="19"/>
        <v>45293</v>
      </c>
      <c r="AB21" s="137">
        <v>45293</v>
      </c>
      <c r="AC21" s="141">
        <v>1</v>
      </c>
      <c r="AD21" s="136" t="s">
        <v>123</v>
      </c>
      <c r="AE21" s="138">
        <f>IFERROR(AVERAGEIFS(J20:J50,D20:D50,1,G20:G50,"tue"),0)</f>
        <v>1943.1847018307049</v>
      </c>
      <c r="AF21" s="141">
        <f>COUNTIFS(D20:D50,1,G20:G50,"Tue")</f>
        <v>4</v>
      </c>
      <c r="AG21" s="138"/>
      <c r="AH21" s="138">
        <f t="shared" ref="AH21:AH84" si="20">AE21*AF21</f>
        <v>7772.7388073228194</v>
      </c>
      <c r="AI21" s="264">
        <f t="shared" ref="AI21:AI26" si="21">AH21/$M$6</f>
        <v>0.17213561246104769</v>
      </c>
      <c r="AJ21" s="393"/>
      <c r="AK21" s="15"/>
      <c r="AL21" s="134"/>
      <c r="AM21" s="134"/>
      <c r="AN21" s="18"/>
      <c r="AO21" s="18"/>
      <c r="AP21" s="18"/>
      <c r="AQ21" s="18"/>
      <c r="AR21" s="17"/>
      <c r="AS21" s="21">
        <f t="shared" ref="AS21:AS84" si="22">AS20+1</f>
        <v>45293</v>
      </c>
      <c r="AT21" s="17"/>
      <c r="AU21" s="17"/>
      <c r="AV21" s="17"/>
      <c r="AW21" s="17"/>
      <c r="AX21" s="17"/>
      <c r="AY21" s="17"/>
      <c r="AZ21" s="17"/>
    </row>
    <row r="22" spans="1:52" ht="20">
      <c r="A22" s="17"/>
      <c r="B22" s="40"/>
      <c r="C22" s="55">
        <f t="shared" si="16"/>
        <v>3</v>
      </c>
      <c r="D22" s="54">
        <v>0</v>
      </c>
      <c r="E22" s="53" t="str">
        <f t="shared" si="8"/>
        <v>1</v>
      </c>
      <c r="F22" s="52">
        <f t="shared" si="17"/>
        <v>45294</v>
      </c>
      <c r="G22" s="51" t="str">
        <f t="shared" si="18"/>
        <v>Wed</v>
      </c>
      <c r="H22" s="50" t="s">
        <v>45</v>
      </c>
      <c r="I22" s="67"/>
      <c r="J22" s="343"/>
      <c r="K22" s="65"/>
      <c r="L22" s="317">
        <f t="shared" si="9"/>
        <v>0</v>
      </c>
      <c r="M22" s="318">
        <f t="shared" si="10"/>
        <v>0</v>
      </c>
      <c r="N22" s="41" t="str">
        <f t="shared" si="11"/>
        <v>0%</v>
      </c>
      <c r="O22" s="46"/>
      <c r="P22" s="328">
        <f>IF(D22=0,0,SUM($L$20:L22))</f>
        <v>0</v>
      </c>
      <c r="Q22" s="317">
        <f>IF(D22=0,0,SUM($J$20:J22))</f>
        <v>0</v>
      </c>
      <c r="R22" s="321">
        <f t="shared" si="12"/>
        <v>0</v>
      </c>
      <c r="S22" s="41" t="str">
        <f t="shared" si="13"/>
        <v>0%</v>
      </c>
      <c r="T22" s="69"/>
      <c r="U22" s="348">
        <f>IF(D22=0,0,SUM($L$20:L22))</f>
        <v>0</v>
      </c>
      <c r="V22" s="348">
        <f>IF(D22=0,0,SUM($J$20:J22))</f>
        <v>0</v>
      </c>
      <c r="W22" s="349">
        <f t="shared" si="14"/>
        <v>0</v>
      </c>
      <c r="X22" s="41" t="str">
        <f t="shared" si="15"/>
        <v>0%</v>
      </c>
      <c r="Y22" s="17"/>
      <c r="Z22" s="23">
        <f t="shared" si="19"/>
        <v>45294</v>
      </c>
      <c r="AA22" s="135">
        <f t="shared" si="19"/>
        <v>45294</v>
      </c>
      <c r="AB22" s="137">
        <v>45294</v>
      </c>
      <c r="AC22" s="141">
        <v>1</v>
      </c>
      <c r="AD22" s="136" t="s">
        <v>124</v>
      </c>
      <c r="AE22" s="138">
        <f>IFERROR(AVERAGEIFS(J20:J50,D20:D50,1,G20:G50,"wed"),0)</f>
        <v>2188.6895051658512</v>
      </c>
      <c r="AF22" s="141">
        <f>COUNTIFS(D20:D50,1,G20:G50,"wed")</f>
        <v>4</v>
      </c>
      <c r="AG22" s="138"/>
      <c r="AH22" s="138">
        <f t="shared" si="20"/>
        <v>8754.7580206634047</v>
      </c>
      <c r="AI22" s="264">
        <f t="shared" si="21"/>
        <v>0.1938834780367753</v>
      </c>
      <c r="AJ22" s="393"/>
      <c r="AK22" s="15"/>
      <c r="AL22" s="134"/>
      <c r="AM22" s="134"/>
      <c r="AN22" s="18"/>
      <c r="AO22" s="18"/>
      <c r="AP22" s="18"/>
      <c r="AQ22" s="18"/>
      <c r="AR22" s="17"/>
      <c r="AS22" s="21">
        <f t="shared" si="22"/>
        <v>45294</v>
      </c>
      <c r="AT22" s="17"/>
      <c r="AU22" s="17"/>
      <c r="AV22" s="17"/>
      <c r="AW22" s="17"/>
      <c r="AX22" s="17"/>
      <c r="AY22" s="17"/>
      <c r="AZ22" s="17"/>
    </row>
    <row r="23" spans="1:52" ht="20">
      <c r="A23" s="17"/>
      <c r="B23" s="40"/>
      <c r="C23" s="55">
        <f t="shared" si="16"/>
        <v>4</v>
      </c>
      <c r="D23" s="54">
        <v>0</v>
      </c>
      <c r="E23" s="53" t="str">
        <f t="shared" si="8"/>
        <v>1</v>
      </c>
      <c r="F23" s="52">
        <f t="shared" si="17"/>
        <v>45295</v>
      </c>
      <c r="G23" s="51" t="str">
        <f t="shared" si="18"/>
        <v>Thu</v>
      </c>
      <c r="H23" s="50" t="s">
        <v>47</v>
      </c>
      <c r="I23" s="67"/>
      <c r="J23" s="343"/>
      <c r="K23" s="65"/>
      <c r="L23" s="317">
        <f t="shared" si="9"/>
        <v>0</v>
      </c>
      <c r="M23" s="318">
        <f t="shared" si="10"/>
        <v>0</v>
      </c>
      <c r="N23" s="41" t="str">
        <f t="shared" si="11"/>
        <v>0%</v>
      </c>
      <c r="O23" s="46"/>
      <c r="P23" s="328">
        <f>IF(D23=0,0,SUM($L$20:L23))</f>
        <v>0</v>
      </c>
      <c r="Q23" s="317">
        <f>IF(D23=0,0,SUM($J$20:J23))</f>
        <v>0</v>
      </c>
      <c r="R23" s="321">
        <f t="shared" si="12"/>
        <v>0</v>
      </c>
      <c r="S23" s="41" t="str">
        <f t="shared" si="13"/>
        <v>0%</v>
      </c>
      <c r="T23" s="70"/>
      <c r="U23" s="348">
        <f>IF(D23=0,0,SUM($L$20:L23))</f>
        <v>0</v>
      </c>
      <c r="V23" s="348">
        <f>IF(D23=0,0,SUM($J$20:J23))</f>
        <v>0</v>
      </c>
      <c r="W23" s="349">
        <f t="shared" si="14"/>
        <v>0</v>
      </c>
      <c r="X23" s="41" t="str">
        <f t="shared" si="15"/>
        <v>0%</v>
      </c>
      <c r="Y23" s="17"/>
      <c r="Z23" s="23">
        <f t="shared" si="19"/>
        <v>45295</v>
      </c>
      <c r="AA23" s="135">
        <f t="shared" si="19"/>
        <v>45295</v>
      </c>
      <c r="AB23" s="137">
        <v>45295</v>
      </c>
      <c r="AC23" s="141">
        <v>1</v>
      </c>
      <c r="AD23" s="136" t="s">
        <v>125</v>
      </c>
      <c r="AE23" s="138">
        <f>IFERROR(AVERAGEIFS(J20:J50,D20:D50,1,G20:G50,"thu"),0)</f>
        <v>2027.4303667452116</v>
      </c>
      <c r="AF23" s="141">
        <f>COUNTIFS(D20:D50,1,G20:G50,"thu")</f>
        <v>3</v>
      </c>
      <c r="AG23" s="138"/>
      <c r="AH23" s="138">
        <f t="shared" si="20"/>
        <v>6082.291100235635</v>
      </c>
      <c r="AI23" s="264">
        <f t="shared" si="21"/>
        <v>0.13469884035200891</v>
      </c>
      <c r="AJ23" s="393"/>
      <c r="AK23" s="15"/>
      <c r="AL23" s="134"/>
      <c r="AM23" s="134"/>
      <c r="AN23" s="18"/>
      <c r="AO23" s="18"/>
      <c r="AP23" s="18"/>
      <c r="AQ23" s="18"/>
      <c r="AR23" s="17"/>
      <c r="AS23" s="21">
        <f t="shared" si="22"/>
        <v>45295</v>
      </c>
      <c r="AT23" s="17"/>
      <c r="AU23" s="17"/>
      <c r="AV23" s="17"/>
      <c r="AW23" s="17"/>
      <c r="AX23" s="17"/>
      <c r="AY23" s="17"/>
      <c r="AZ23" s="17"/>
    </row>
    <row r="24" spans="1:52" ht="20">
      <c r="A24" s="17"/>
      <c r="B24" s="40"/>
      <c r="C24" s="55">
        <f t="shared" si="16"/>
        <v>5</v>
      </c>
      <c r="D24" s="54">
        <v>1</v>
      </c>
      <c r="E24" s="53" t="str">
        <f t="shared" si="8"/>
        <v>1</v>
      </c>
      <c r="F24" s="52">
        <f t="shared" si="17"/>
        <v>45296</v>
      </c>
      <c r="G24" s="51" t="str">
        <f t="shared" si="18"/>
        <v>Fri</v>
      </c>
      <c r="H24" s="50"/>
      <c r="I24" s="67"/>
      <c r="J24" s="343">
        <f>365950/$B$13</f>
        <v>3316.5669748051478</v>
      </c>
      <c r="K24" s="65"/>
      <c r="L24" s="317">
        <f t="shared" si="9"/>
        <v>2010.1046247114143</v>
      </c>
      <c r="M24" s="318">
        <f t="shared" si="10"/>
        <v>1306.4623500937334</v>
      </c>
      <c r="N24" s="41">
        <f t="shared" si="11"/>
        <v>1.6499474375774341</v>
      </c>
      <c r="O24" s="46"/>
      <c r="P24" s="328">
        <f>IF(D24=0,0,SUM($L$20:L24))</f>
        <v>2010.1046247114143</v>
      </c>
      <c r="Q24" s="317">
        <f>IF(D24=0,0,SUM($J$20:J24))</f>
        <v>3316.5669748051478</v>
      </c>
      <c r="R24" s="321">
        <f t="shared" si="12"/>
        <v>1306.4623500937334</v>
      </c>
      <c r="S24" s="41">
        <f t="shared" si="13"/>
        <v>1.6499474375774341</v>
      </c>
      <c r="T24" s="69"/>
      <c r="U24" s="348">
        <f>IF(D24=0,0,SUM($L$20:L24))</f>
        <v>2010.1046247114143</v>
      </c>
      <c r="V24" s="348">
        <f>IF(D24=0,0,SUM($J$20:J24))</f>
        <v>3316.5669748051478</v>
      </c>
      <c r="W24" s="349">
        <f t="shared" si="14"/>
        <v>1306.4623500937334</v>
      </c>
      <c r="X24" s="41">
        <f t="shared" si="15"/>
        <v>1.6499474375774341</v>
      </c>
      <c r="Y24" s="17"/>
      <c r="Z24" s="23">
        <f t="shared" si="19"/>
        <v>45296</v>
      </c>
      <c r="AA24" s="135">
        <f t="shared" si="19"/>
        <v>45296</v>
      </c>
      <c r="AB24" s="137">
        <v>45296</v>
      </c>
      <c r="AC24" s="141">
        <v>1</v>
      </c>
      <c r="AD24" s="136" t="s">
        <v>126</v>
      </c>
      <c r="AE24" s="138">
        <f>IFERROR(AVERAGEIFS(J20:J50,D20:D50,1,G20:G50,"fri"),0)</f>
        <v>2654.7716150081565</v>
      </c>
      <c r="AF24" s="141">
        <f>COUNTIFS(D20:D50,1,G20:G50,"fri")</f>
        <v>4</v>
      </c>
      <c r="AG24" s="138"/>
      <c r="AH24" s="138">
        <f t="shared" si="20"/>
        <v>10619.086460032626</v>
      </c>
      <c r="AI24" s="264">
        <f t="shared" si="21"/>
        <v>0.23517102489696681</v>
      </c>
      <c r="AJ24" s="393"/>
      <c r="AK24" s="15"/>
      <c r="AL24" s="134"/>
      <c r="AM24" s="134"/>
      <c r="AN24" s="18"/>
      <c r="AO24" s="18"/>
      <c r="AP24" s="18"/>
      <c r="AQ24" s="18"/>
      <c r="AR24" s="17"/>
      <c r="AS24" s="21">
        <f t="shared" si="22"/>
        <v>45296</v>
      </c>
      <c r="AT24" s="17"/>
      <c r="AU24" s="17"/>
      <c r="AV24" s="17"/>
      <c r="AW24" s="17"/>
      <c r="AX24" s="17"/>
      <c r="AY24" s="17"/>
      <c r="AZ24" s="17"/>
    </row>
    <row r="25" spans="1:52" ht="20">
      <c r="A25" s="17"/>
      <c r="B25" s="40"/>
      <c r="C25" s="55">
        <f t="shared" si="16"/>
        <v>6</v>
      </c>
      <c r="D25" s="54">
        <v>0</v>
      </c>
      <c r="E25" s="53" t="str">
        <f t="shared" si="8"/>
        <v>1</v>
      </c>
      <c r="F25" s="52">
        <f t="shared" si="17"/>
        <v>45297</v>
      </c>
      <c r="G25" s="51" t="str">
        <f t="shared" si="18"/>
        <v>Sat</v>
      </c>
      <c r="H25" s="50"/>
      <c r="I25" s="67"/>
      <c r="J25" s="343"/>
      <c r="K25" s="65"/>
      <c r="L25" s="317">
        <f t="shared" si="9"/>
        <v>0</v>
      </c>
      <c r="M25" s="318">
        <f t="shared" si="10"/>
        <v>0</v>
      </c>
      <c r="N25" s="41" t="str">
        <f t="shared" si="11"/>
        <v>0%</v>
      </c>
      <c r="O25" s="46"/>
      <c r="P25" s="328">
        <f>IF(D25=0,0,SUM($L$20:L25))</f>
        <v>0</v>
      </c>
      <c r="Q25" s="317">
        <f>IF(D25=0,0,SUM($J$20:J25))</f>
        <v>0</v>
      </c>
      <c r="R25" s="321">
        <f t="shared" si="12"/>
        <v>0</v>
      </c>
      <c r="S25" s="41" t="str">
        <f t="shared" si="13"/>
        <v>0%</v>
      </c>
      <c r="T25" s="56"/>
      <c r="U25" s="348">
        <f>IF(D25=0,0,SUM($L$20:L25))</f>
        <v>0</v>
      </c>
      <c r="V25" s="348">
        <f>IF(D25=0,0,SUM($J$20:J25))</f>
        <v>0</v>
      </c>
      <c r="W25" s="349">
        <f t="shared" si="14"/>
        <v>0</v>
      </c>
      <c r="X25" s="41" t="str">
        <f t="shared" si="15"/>
        <v>0%</v>
      </c>
      <c r="Y25" s="17"/>
      <c r="Z25" s="23">
        <f t="shared" si="19"/>
        <v>45297</v>
      </c>
      <c r="AA25" s="135">
        <f t="shared" si="19"/>
        <v>45297</v>
      </c>
      <c r="AB25" s="137">
        <v>45297</v>
      </c>
      <c r="AC25" s="141">
        <v>1</v>
      </c>
      <c r="AD25" s="136" t="s">
        <v>127</v>
      </c>
      <c r="AE25" s="138">
        <f>IFERROR(AVERAGEIFS(J20:J50,D20:D50,1,G20:G50,"sat"),0)</f>
        <v>917.76931907437609</v>
      </c>
      <c r="AF25" s="141">
        <f>COUNTIFS(D20:D50,1,G20:G50,"sat")</f>
        <v>3</v>
      </c>
      <c r="AG25" s="138"/>
      <c r="AH25" s="138">
        <f t="shared" si="20"/>
        <v>2753.3079572231281</v>
      </c>
      <c r="AI25" s="264">
        <f t="shared" si="21"/>
        <v>6.0974948889826422E-2</v>
      </c>
      <c r="AJ25" s="393"/>
      <c r="AK25" s="15"/>
      <c r="AL25" s="134"/>
      <c r="AM25" s="134"/>
      <c r="AN25" s="18"/>
      <c r="AO25" s="18"/>
      <c r="AP25" s="18"/>
      <c r="AQ25" s="18"/>
      <c r="AR25" s="17"/>
      <c r="AS25" s="21">
        <f t="shared" si="22"/>
        <v>45297</v>
      </c>
      <c r="AT25" s="17"/>
      <c r="AU25" s="17"/>
      <c r="AV25" s="17"/>
      <c r="AW25" s="17"/>
      <c r="AX25" s="17"/>
      <c r="AY25" s="17"/>
      <c r="AZ25" s="17"/>
    </row>
    <row r="26" spans="1:52" ht="20">
      <c r="A26" s="17"/>
      <c r="B26" s="40"/>
      <c r="C26" s="55">
        <f t="shared" si="16"/>
        <v>7</v>
      </c>
      <c r="D26" s="54">
        <v>0</v>
      </c>
      <c r="E26" s="53" t="str">
        <f t="shared" si="8"/>
        <v>1</v>
      </c>
      <c r="F26" s="52">
        <f t="shared" si="17"/>
        <v>45298</v>
      </c>
      <c r="G26" s="51" t="str">
        <f t="shared" si="18"/>
        <v>Sun</v>
      </c>
      <c r="H26" s="50" t="s">
        <v>46</v>
      </c>
      <c r="I26" s="67"/>
      <c r="J26" s="343"/>
      <c r="K26" s="65"/>
      <c r="L26" s="317">
        <f t="shared" si="9"/>
        <v>0</v>
      </c>
      <c r="M26" s="318">
        <f t="shared" si="10"/>
        <v>0</v>
      </c>
      <c r="N26" s="41" t="str">
        <f t="shared" si="11"/>
        <v>0%</v>
      </c>
      <c r="O26" s="46"/>
      <c r="P26" s="328">
        <f>IF(D26=0,0,SUM($L$20:L26))</f>
        <v>0</v>
      </c>
      <c r="Q26" s="317">
        <f>IF(D26=0,0,SUM($J$20:J26))</f>
        <v>0</v>
      </c>
      <c r="R26" s="321">
        <f t="shared" si="12"/>
        <v>0</v>
      </c>
      <c r="S26" s="41" t="str">
        <f t="shared" si="13"/>
        <v>0%</v>
      </c>
      <c r="T26" s="56"/>
      <c r="U26" s="348">
        <f>IF(D26=0,0,SUM($L$20:L26))</f>
        <v>0</v>
      </c>
      <c r="V26" s="348">
        <f>IF(D26=0,0,SUM($J$20:J26))</f>
        <v>0</v>
      </c>
      <c r="W26" s="349">
        <f t="shared" si="14"/>
        <v>0</v>
      </c>
      <c r="X26" s="41" t="str">
        <f t="shared" si="15"/>
        <v>0%</v>
      </c>
      <c r="Y26" s="17"/>
      <c r="Z26" s="23">
        <f t="shared" si="19"/>
        <v>45298</v>
      </c>
      <c r="AA26" s="135">
        <f t="shared" si="19"/>
        <v>45298</v>
      </c>
      <c r="AB26" s="137">
        <v>45298</v>
      </c>
      <c r="AC26" s="141">
        <v>1</v>
      </c>
      <c r="AD26" s="136" t="s">
        <v>128</v>
      </c>
      <c r="AE26" s="138">
        <f>IFERROR(AVERAGEIFS(J20:J50,D20:D50,1,G20:G50,"sun"),0)</f>
        <v>0</v>
      </c>
      <c r="AF26" s="141">
        <f>IFERROR(COUNTIFS(D20:D50,1,G20:G50,"sun"),0)</f>
        <v>0</v>
      </c>
      <c r="AG26" s="138"/>
      <c r="AH26" s="138">
        <f t="shared" si="20"/>
        <v>0</v>
      </c>
      <c r="AI26" s="264">
        <f t="shared" si="21"/>
        <v>0</v>
      </c>
      <c r="AJ26" s="393"/>
      <c r="AL26" s="134"/>
      <c r="AM26" s="134"/>
      <c r="AN26" s="18"/>
      <c r="AO26" s="18"/>
      <c r="AP26" s="18"/>
      <c r="AQ26" s="18"/>
      <c r="AR26" s="17"/>
      <c r="AS26" s="21">
        <f t="shared" si="22"/>
        <v>45298</v>
      </c>
      <c r="AT26" s="17"/>
      <c r="AU26" s="17"/>
      <c r="AV26" s="17"/>
      <c r="AW26" s="17"/>
      <c r="AX26" s="17"/>
      <c r="AY26" s="17"/>
      <c r="AZ26" s="17"/>
    </row>
    <row r="27" spans="1:52" ht="20">
      <c r="A27" s="17"/>
      <c r="B27" s="40"/>
      <c r="C27" s="55">
        <f t="shared" si="16"/>
        <v>8</v>
      </c>
      <c r="D27" s="54">
        <v>1</v>
      </c>
      <c r="E27" s="53" t="str">
        <f t="shared" si="8"/>
        <v>1</v>
      </c>
      <c r="F27" s="52">
        <f t="shared" si="17"/>
        <v>45299</v>
      </c>
      <c r="G27" s="51" t="str">
        <f t="shared" si="18"/>
        <v>Mon</v>
      </c>
      <c r="H27" s="50"/>
      <c r="I27" s="49"/>
      <c r="J27" s="343">
        <f>250000/$B$13</f>
        <v>2265.7241254304877</v>
      </c>
      <c r="K27" s="31"/>
      <c r="L27" s="317">
        <f t="shared" si="9"/>
        <v>2010.1046247114143</v>
      </c>
      <c r="M27" s="318">
        <f t="shared" si="10"/>
        <v>255.61950071907336</v>
      </c>
      <c r="N27" s="41">
        <f t="shared" si="11"/>
        <v>1.12716726163235</v>
      </c>
      <c r="O27" s="46"/>
      <c r="P27" s="328">
        <f>IF(D27=0,0,SUM($L$20:L27))</f>
        <v>4020.2092494228286</v>
      </c>
      <c r="Q27" s="317">
        <f>IF(D27=0,0,SUM($J$20:J27))</f>
        <v>5582.2911002356359</v>
      </c>
      <c r="R27" s="321">
        <f t="shared" si="12"/>
        <v>1562.0818508128073</v>
      </c>
      <c r="S27" s="41">
        <f t="shared" si="13"/>
        <v>1.3885573496048922</v>
      </c>
      <c r="T27" s="56"/>
      <c r="U27" s="348">
        <f>IF(D27=0,0,SUM($L$20:L27))</f>
        <v>4020.2092494228286</v>
      </c>
      <c r="V27" s="348">
        <f>IF(D27=0,0,SUM($J$20:J27))</f>
        <v>5582.2911002356359</v>
      </c>
      <c r="W27" s="349">
        <f t="shared" si="14"/>
        <v>1562.0818508128073</v>
      </c>
      <c r="X27" s="41">
        <f t="shared" si="15"/>
        <v>1.3885573496048922</v>
      </c>
      <c r="Y27" s="17"/>
      <c r="Z27" s="23">
        <f t="shared" si="19"/>
        <v>45299</v>
      </c>
      <c r="AA27" s="135">
        <f t="shared" si="19"/>
        <v>45299</v>
      </c>
      <c r="AB27" s="137">
        <v>45299</v>
      </c>
      <c r="AC27" s="141">
        <v>2</v>
      </c>
      <c r="AD27" s="136" t="s">
        <v>122</v>
      </c>
      <c r="AE27" s="138">
        <f>AVERAGEIFS(J51:J79,D51:D79,1,G51:G79,"mon")</f>
        <v>2095.7948160232008</v>
      </c>
      <c r="AF27" s="141">
        <f>COUNTIFS(D51:D79,1,G51:G79,"Mon")</f>
        <v>3</v>
      </c>
      <c r="AG27" s="138"/>
      <c r="AH27" s="138">
        <f t="shared" si="20"/>
        <v>6287.3844480696025</v>
      </c>
      <c r="AI27" s="264">
        <f>AH27/$M$7</f>
        <v>0.13869923607959492</v>
      </c>
      <c r="AJ27" s="393">
        <f>SUM(AI27:AI33)</f>
        <v>1.0000000000000002</v>
      </c>
      <c r="AK27" s="134" t="s">
        <v>129</v>
      </c>
      <c r="AL27" s="134"/>
      <c r="AM27" s="134"/>
      <c r="AN27" s="18"/>
      <c r="AO27" s="18"/>
      <c r="AP27" s="18"/>
      <c r="AQ27" s="18"/>
      <c r="AR27" s="17"/>
      <c r="AS27" s="21">
        <f t="shared" si="22"/>
        <v>45299</v>
      </c>
      <c r="AT27" s="17"/>
      <c r="AU27" s="17"/>
      <c r="AV27" s="17"/>
      <c r="AW27" s="17"/>
      <c r="AX27" s="17"/>
      <c r="AY27" s="17"/>
      <c r="AZ27" s="17"/>
    </row>
    <row r="28" spans="1:52" ht="20">
      <c r="A28" s="17"/>
      <c r="B28" s="40"/>
      <c r="C28" s="55">
        <f t="shared" si="16"/>
        <v>9</v>
      </c>
      <c r="D28" s="54">
        <v>1</v>
      </c>
      <c r="E28" s="53" t="str">
        <f t="shared" si="8"/>
        <v>1</v>
      </c>
      <c r="F28" s="52">
        <f t="shared" si="17"/>
        <v>45300</v>
      </c>
      <c r="G28" s="51" t="str">
        <f t="shared" si="18"/>
        <v>Tue</v>
      </c>
      <c r="H28" s="50"/>
      <c r="I28" s="49"/>
      <c r="J28" s="343">
        <f>143850/$B$13</f>
        <v>1303.6976617727025</v>
      </c>
      <c r="K28" s="31"/>
      <c r="L28" s="317">
        <f t="shared" si="9"/>
        <v>2010.1046247114143</v>
      </c>
      <c r="M28" s="318">
        <f t="shared" si="10"/>
        <v>-706.40696293871179</v>
      </c>
      <c r="N28" s="41">
        <f t="shared" si="11"/>
        <v>0.64857204234325416</v>
      </c>
      <c r="O28" s="46"/>
      <c r="P28" s="328">
        <f>IF(D28=0,0,SUM($L$20:L28))</f>
        <v>6030.3138741342427</v>
      </c>
      <c r="Q28" s="317">
        <f>IF(D28=0,0,SUM($J$20:J28))</f>
        <v>6885.9887620083382</v>
      </c>
      <c r="R28" s="321">
        <f t="shared" si="12"/>
        <v>855.67488787409548</v>
      </c>
      <c r="S28" s="41">
        <f t="shared" si="13"/>
        <v>1.1418955805176796</v>
      </c>
      <c r="T28" s="56"/>
      <c r="U28" s="348">
        <f>IF(D28=0,0,SUM($L$20:L28))</f>
        <v>6030.3138741342427</v>
      </c>
      <c r="V28" s="348">
        <f>IF(D28=0,0,SUM($J$20:J28))</f>
        <v>6885.9887620083382</v>
      </c>
      <c r="W28" s="349">
        <f t="shared" si="14"/>
        <v>855.67488787409548</v>
      </c>
      <c r="X28" s="41">
        <f t="shared" si="15"/>
        <v>1.1418955805176796</v>
      </c>
      <c r="Y28" s="17"/>
      <c r="Z28" s="23">
        <f t="shared" si="19"/>
        <v>45300</v>
      </c>
      <c r="AA28" s="22">
        <f t="shared" si="19"/>
        <v>45300</v>
      </c>
      <c r="AB28" s="137">
        <v>45300</v>
      </c>
      <c r="AC28" s="141">
        <v>2</v>
      </c>
      <c r="AD28" s="136" t="s">
        <v>123</v>
      </c>
      <c r="AE28" s="138">
        <f>AVERAGEIFS(J51:J79,D51:D79,1,G51:G79,"tue")</f>
        <v>1941.6802610114191</v>
      </c>
      <c r="AF28" s="141">
        <f>COUNTIFS(D51:D79,1,G51:G79,"tue")</f>
        <v>4</v>
      </c>
      <c r="AG28" s="138"/>
      <c r="AH28" s="138">
        <f t="shared" si="20"/>
        <v>7766.7210440456765</v>
      </c>
      <c r="AI28" s="264">
        <f t="shared" ref="AI28:AI33" si="23">AH28/$M$7</f>
        <v>0.17133329201512251</v>
      </c>
      <c r="AJ28" s="393"/>
      <c r="AK28" s="134"/>
      <c r="AL28" s="134"/>
      <c r="AM28" s="134"/>
      <c r="AN28" s="18"/>
      <c r="AO28" s="18"/>
      <c r="AP28" s="18"/>
      <c r="AQ28" s="18"/>
      <c r="AR28" s="17"/>
      <c r="AS28" s="21">
        <f t="shared" si="22"/>
        <v>45300</v>
      </c>
      <c r="AT28" s="17"/>
      <c r="AU28" s="17"/>
      <c r="AV28" s="17"/>
      <c r="AW28" s="17"/>
      <c r="AX28" s="17"/>
      <c r="AY28" s="17"/>
      <c r="AZ28" s="17"/>
    </row>
    <row r="29" spans="1:52" ht="20">
      <c r="A29" s="17"/>
      <c r="B29" s="40"/>
      <c r="C29" s="55">
        <f t="shared" si="16"/>
        <v>10</v>
      </c>
      <c r="D29" s="54">
        <v>1</v>
      </c>
      <c r="E29" s="53" t="str">
        <f t="shared" si="8"/>
        <v>1</v>
      </c>
      <c r="F29" s="52">
        <f t="shared" si="17"/>
        <v>45301</v>
      </c>
      <c r="G29" s="51" t="str">
        <f t="shared" si="18"/>
        <v>Wed</v>
      </c>
      <c r="H29" s="50"/>
      <c r="I29" s="49"/>
      <c r="J29" s="343">
        <f>331400/$B$13</f>
        <v>3003.4439006706543</v>
      </c>
      <c r="K29" s="31"/>
      <c r="L29" s="317">
        <f t="shared" si="9"/>
        <v>2010.1046247114143</v>
      </c>
      <c r="M29" s="318">
        <f t="shared" si="10"/>
        <v>993.33927595924001</v>
      </c>
      <c r="N29" s="41">
        <f t="shared" si="11"/>
        <v>1.4941729220198432</v>
      </c>
      <c r="O29" s="46"/>
      <c r="P29" s="328">
        <f>IF(D29=0,0,SUM($L$20:L29))</f>
        <v>8040.4184988456573</v>
      </c>
      <c r="Q29" s="317">
        <f>IF(D29=0,0,SUM($J$20:J29))</f>
        <v>9889.4326626789916</v>
      </c>
      <c r="R29" s="321">
        <f t="shared" si="12"/>
        <v>1849.0141638333344</v>
      </c>
      <c r="S29" s="41">
        <f t="shared" si="13"/>
        <v>1.2299649158932202</v>
      </c>
      <c r="T29" s="56"/>
      <c r="U29" s="348">
        <f>IF(D29=0,0,SUM($L$20:L29))</f>
        <v>8040.4184988456573</v>
      </c>
      <c r="V29" s="348">
        <f>IF(D29=0,0,SUM($J$20:J29))</f>
        <v>9889.4326626789916</v>
      </c>
      <c r="W29" s="349">
        <f t="shared" si="14"/>
        <v>1849.0141638333344</v>
      </c>
      <c r="X29" s="41">
        <f t="shared" si="15"/>
        <v>1.2299649158932202</v>
      </c>
      <c r="Y29" s="17"/>
      <c r="Z29" s="23">
        <f t="shared" si="19"/>
        <v>45301</v>
      </c>
      <c r="AA29" s="22">
        <f t="shared" si="19"/>
        <v>45301</v>
      </c>
      <c r="AB29" s="137">
        <v>45301</v>
      </c>
      <c r="AC29" s="141">
        <v>2</v>
      </c>
      <c r="AD29" s="136" t="s">
        <v>124</v>
      </c>
      <c r="AE29" s="138">
        <f>AVERAGEIFS(J51:J79,D51:D79,1,G51:G79,"wed")</f>
        <v>2009.4027551205363</v>
      </c>
      <c r="AF29" s="141">
        <f>COUNTIFS(D51:D79,1,G51:G79,"wed")</f>
        <v>4</v>
      </c>
      <c r="AG29" s="138"/>
      <c r="AH29" s="138">
        <f t="shared" si="20"/>
        <v>8037.6110204821452</v>
      </c>
      <c r="AI29" s="264">
        <f t="shared" si="23"/>
        <v>0.1773091048676185</v>
      </c>
      <c r="AJ29" s="393"/>
      <c r="AK29" s="134"/>
      <c r="AL29" s="134"/>
      <c r="AM29" s="134"/>
      <c r="AN29" s="18"/>
      <c r="AO29" s="18"/>
      <c r="AP29" s="18"/>
      <c r="AQ29" s="18"/>
      <c r="AR29" s="17"/>
      <c r="AS29" s="21">
        <f t="shared" si="22"/>
        <v>45301</v>
      </c>
      <c r="AT29" s="17"/>
      <c r="AU29" s="17"/>
      <c r="AV29" s="17"/>
      <c r="AW29" s="17"/>
      <c r="AX29" s="17"/>
      <c r="AY29" s="17"/>
      <c r="AZ29" s="17"/>
    </row>
    <row r="30" spans="1:52" ht="20">
      <c r="A30" s="17"/>
      <c r="B30" s="40"/>
      <c r="C30" s="55">
        <f t="shared" si="16"/>
        <v>11</v>
      </c>
      <c r="D30" s="54">
        <v>1</v>
      </c>
      <c r="E30" s="53" t="str">
        <f t="shared" si="8"/>
        <v>1</v>
      </c>
      <c r="F30" s="52">
        <f t="shared" si="17"/>
        <v>45302</v>
      </c>
      <c r="G30" s="51" t="str">
        <f t="shared" si="18"/>
        <v>Thu</v>
      </c>
      <c r="H30" s="50"/>
      <c r="I30" s="49"/>
      <c r="J30" s="343">
        <f>263220/$B$13</f>
        <v>2385.5356171832518</v>
      </c>
      <c r="K30" s="31"/>
      <c r="L30" s="317">
        <f t="shared" si="9"/>
        <v>2010.1046247114143</v>
      </c>
      <c r="M30" s="318">
        <f t="shared" si="10"/>
        <v>375.4309924718375</v>
      </c>
      <c r="N30" s="41">
        <f t="shared" si="11"/>
        <v>1.1867718664274687</v>
      </c>
      <c r="O30" s="46"/>
      <c r="P30" s="328">
        <f>IF(D30=0,0,SUM($L$20:L30))</f>
        <v>10050.523123557072</v>
      </c>
      <c r="Q30" s="317">
        <f>IF(D30=0,0,SUM($J$20:J30))</f>
        <v>12274.968279862243</v>
      </c>
      <c r="R30" s="321">
        <f t="shared" si="12"/>
        <v>2224.4451563051716</v>
      </c>
      <c r="S30" s="41">
        <f t="shared" si="13"/>
        <v>1.2213263060000701</v>
      </c>
      <c r="T30" s="56"/>
      <c r="U30" s="348">
        <f>IF(D30=0,0,SUM($L$20:L30))</f>
        <v>10050.523123557072</v>
      </c>
      <c r="V30" s="348">
        <f>IF(D30=0,0,SUM($J$20:J30))</f>
        <v>12274.968279862243</v>
      </c>
      <c r="W30" s="349">
        <f t="shared" si="14"/>
        <v>2224.4451563051716</v>
      </c>
      <c r="X30" s="41">
        <f t="shared" si="15"/>
        <v>1.2213263060000701</v>
      </c>
      <c r="Y30" s="17"/>
      <c r="Z30" s="23">
        <f t="shared" si="19"/>
        <v>45302</v>
      </c>
      <c r="AA30" s="22">
        <f t="shared" si="19"/>
        <v>45302</v>
      </c>
      <c r="AB30" s="137">
        <v>45302</v>
      </c>
      <c r="AC30" s="141">
        <v>2</v>
      </c>
      <c r="AD30" s="136" t="s">
        <v>125</v>
      </c>
      <c r="AE30" s="138">
        <f>AVERAGEIFS(J51:J79,D51:D79,1,G51:G79,"thu")</f>
        <v>2115.2437919158965</v>
      </c>
      <c r="AF30" s="141">
        <f>COUNTIFS(D51:D79,1,G51:G79,"thu")</f>
        <v>5</v>
      </c>
      <c r="AG30" s="138"/>
      <c r="AH30" s="138">
        <f t="shared" si="20"/>
        <v>10576.218959579483</v>
      </c>
      <c r="AI30" s="264">
        <f t="shared" si="23"/>
        <v>0.23331060831735595</v>
      </c>
      <c r="AJ30" s="393"/>
      <c r="AK30" s="134"/>
      <c r="AL30" s="134"/>
      <c r="AM30" s="134"/>
      <c r="AN30" s="18"/>
      <c r="AO30" s="18"/>
      <c r="AP30" s="18"/>
      <c r="AQ30" s="18"/>
      <c r="AR30" s="17"/>
      <c r="AS30" s="21">
        <f t="shared" si="22"/>
        <v>45302</v>
      </c>
      <c r="AT30" s="17"/>
      <c r="AU30" s="17"/>
      <c r="AV30" s="17"/>
      <c r="AW30" s="17"/>
      <c r="AX30" s="17"/>
      <c r="AY30" s="17"/>
      <c r="AZ30" s="17"/>
    </row>
    <row r="31" spans="1:52" ht="20">
      <c r="A31" s="17"/>
      <c r="B31" s="40"/>
      <c r="C31" s="55">
        <f t="shared" si="16"/>
        <v>12</v>
      </c>
      <c r="D31" s="54">
        <v>1</v>
      </c>
      <c r="E31" s="53" t="str">
        <f t="shared" si="8"/>
        <v>1</v>
      </c>
      <c r="F31" s="52">
        <f t="shared" si="17"/>
        <v>45303</v>
      </c>
      <c r="G31" s="51" t="str">
        <f t="shared" si="18"/>
        <v>Fri</v>
      </c>
      <c r="H31" s="50"/>
      <c r="I31" s="49"/>
      <c r="J31" s="343">
        <f>230860/$B$13</f>
        <v>2092.2602863875295</v>
      </c>
      <c r="K31" s="31"/>
      <c r="L31" s="317">
        <f t="shared" si="9"/>
        <v>2010.1046247114143</v>
      </c>
      <c r="M31" s="318">
        <f t="shared" si="10"/>
        <v>82.155661676115187</v>
      </c>
      <c r="N31" s="41">
        <f t="shared" si="11"/>
        <v>1.0408713360817774</v>
      </c>
      <c r="O31" s="46"/>
      <c r="P31" s="328">
        <f>IF(D31=0,0,SUM($L$20:L31))</f>
        <v>12060.627748268485</v>
      </c>
      <c r="Q31" s="317">
        <f>IF(D31=0,0,SUM($J$20:J31))</f>
        <v>14367.228566249772</v>
      </c>
      <c r="R31" s="321">
        <f t="shared" si="12"/>
        <v>2306.600817981287</v>
      </c>
      <c r="S31" s="41">
        <f t="shared" si="13"/>
        <v>1.1912504776803545</v>
      </c>
      <c r="T31" s="44"/>
      <c r="U31" s="348">
        <f>IF(D31=0,0,SUM($L$20:L31))</f>
        <v>12060.627748268485</v>
      </c>
      <c r="V31" s="348">
        <f>IF(D31=0,0,SUM($J$20:J31))</f>
        <v>14367.228566249772</v>
      </c>
      <c r="W31" s="349">
        <f t="shared" si="14"/>
        <v>2306.600817981287</v>
      </c>
      <c r="X31" s="41">
        <f t="shared" si="15"/>
        <v>1.1912504776803545</v>
      </c>
      <c r="Y31" s="17"/>
      <c r="Z31" s="23">
        <f t="shared" si="19"/>
        <v>45303</v>
      </c>
      <c r="AA31" s="22">
        <f t="shared" si="19"/>
        <v>45303</v>
      </c>
      <c r="AB31" s="137">
        <v>45303</v>
      </c>
      <c r="AC31" s="141">
        <v>2</v>
      </c>
      <c r="AD31" s="136" t="s">
        <v>126</v>
      </c>
      <c r="AE31" s="138">
        <f>AVERAGEIFS(J51:J79,D51:D79,1,G51:G79,"fri")</f>
        <v>2572.8958975288501</v>
      </c>
      <c r="AF31" s="141">
        <f>COUNTIFS(D51:D79,1,G51:G79,"fri")</f>
        <v>3</v>
      </c>
      <c r="AG31" s="138"/>
      <c r="AH31" s="138">
        <f t="shared" si="20"/>
        <v>7718.6876925865508</v>
      </c>
      <c r="AI31" s="264">
        <f t="shared" si="23"/>
        <v>0.17027367983318112</v>
      </c>
      <c r="AJ31" s="393"/>
      <c r="AK31" s="134"/>
      <c r="AL31" s="134"/>
      <c r="AM31" s="134"/>
      <c r="AN31" s="18"/>
      <c r="AO31" s="18"/>
      <c r="AP31" s="18"/>
      <c r="AQ31" s="18"/>
      <c r="AR31" s="17"/>
      <c r="AS31" s="21">
        <f t="shared" si="22"/>
        <v>45303</v>
      </c>
      <c r="AT31" s="17"/>
      <c r="AU31" s="17"/>
      <c r="AV31" s="17"/>
      <c r="AW31" s="17"/>
      <c r="AX31" s="17"/>
      <c r="AY31" s="17"/>
      <c r="AZ31" s="17"/>
    </row>
    <row r="32" spans="1:52" ht="20">
      <c r="A32" s="17"/>
      <c r="B32" s="40"/>
      <c r="C32" s="55">
        <f t="shared" si="16"/>
        <v>13</v>
      </c>
      <c r="D32" s="54">
        <v>1</v>
      </c>
      <c r="E32" s="53" t="str">
        <f t="shared" si="8"/>
        <v>1</v>
      </c>
      <c r="F32" s="52">
        <f t="shared" si="17"/>
        <v>45304</v>
      </c>
      <c r="G32" s="51" t="str">
        <f t="shared" si="18"/>
        <v>Sat</v>
      </c>
      <c r="H32" s="50"/>
      <c r="I32" s="49"/>
      <c r="J32" s="343">
        <f>50050/$B$13</f>
        <v>453.59796991118361</v>
      </c>
      <c r="K32" s="31"/>
      <c r="L32" s="317">
        <f t="shared" si="9"/>
        <v>2010.1046247114143</v>
      </c>
      <c r="M32" s="318">
        <f t="shared" si="10"/>
        <v>-1556.5066548002308</v>
      </c>
      <c r="N32" s="41">
        <f t="shared" si="11"/>
        <v>0.22565888577879648</v>
      </c>
      <c r="O32" s="46"/>
      <c r="P32" s="328">
        <f>IF(D32=0,0,SUM($L$20:L32))</f>
        <v>14070.732372979899</v>
      </c>
      <c r="Q32" s="317">
        <f>IF(D32=0,0,SUM($J$20:J32))</f>
        <v>14820.826536160956</v>
      </c>
      <c r="R32" s="321">
        <f t="shared" si="12"/>
        <v>750.0941631810565</v>
      </c>
      <c r="S32" s="41">
        <f t="shared" si="13"/>
        <v>1.0533088216944178</v>
      </c>
      <c r="T32" s="44"/>
      <c r="U32" s="348">
        <f>IF(D32=0,0,SUM($L$20:L32))</f>
        <v>14070.732372979899</v>
      </c>
      <c r="V32" s="348">
        <f>IF(D32=0,0,SUM($J$20:J32))</f>
        <v>14820.826536160956</v>
      </c>
      <c r="W32" s="349">
        <f t="shared" si="14"/>
        <v>750.0941631810565</v>
      </c>
      <c r="X32" s="41">
        <f t="shared" si="15"/>
        <v>1.0533088216944178</v>
      </c>
      <c r="Y32" s="17"/>
      <c r="Z32" s="23">
        <f t="shared" si="19"/>
        <v>45304</v>
      </c>
      <c r="AA32" s="22">
        <f t="shared" si="19"/>
        <v>45304</v>
      </c>
      <c r="AB32" s="137">
        <v>45304</v>
      </c>
      <c r="AC32" s="141">
        <v>2</v>
      </c>
      <c r="AD32" s="136" t="s">
        <v>127</v>
      </c>
      <c r="AE32" s="138">
        <f>AVERAGEIFS(J51:J79,D51:D79,1,G51:G79,"sat")</f>
        <v>1236.1111111111111</v>
      </c>
      <c r="AF32" s="141">
        <f>COUNTIFS(D51:D79,1,G51:G79,"sat")</f>
        <v>4</v>
      </c>
      <c r="AG32" s="138"/>
      <c r="AH32" s="138">
        <f t="shared" si="20"/>
        <v>4944.4444444444443</v>
      </c>
      <c r="AI32" s="264">
        <f t="shared" si="23"/>
        <v>0.10907407888712735</v>
      </c>
      <c r="AJ32" s="393"/>
      <c r="AK32" s="134"/>
      <c r="AL32" s="134"/>
      <c r="AM32" s="134"/>
      <c r="AN32" s="18"/>
      <c r="AO32" s="18"/>
      <c r="AP32" s="18"/>
      <c r="AQ32" s="18"/>
      <c r="AR32" s="17"/>
      <c r="AS32" s="21">
        <f t="shared" si="22"/>
        <v>45304</v>
      </c>
      <c r="AT32" s="17"/>
      <c r="AU32" s="17"/>
      <c r="AV32" s="17"/>
      <c r="AW32" s="17"/>
      <c r="AX32" s="17"/>
      <c r="AY32" s="17"/>
      <c r="AZ32" s="17"/>
    </row>
    <row r="33" spans="1:52" ht="20">
      <c r="A33" s="17"/>
      <c r="B33" s="40"/>
      <c r="C33" s="55">
        <f t="shared" si="16"/>
        <v>14</v>
      </c>
      <c r="D33" s="54">
        <v>0</v>
      </c>
      <c r="E33" s="53" t="str">
        <f t="shared" si="8"/>
        <v>1</v>
      </c>
      <c r="F33" s="52">
        <f t="shared" si="17"/>
        <v>45305</v>
      </c>
      <c r="G33" s="51" t="str">
        <f t="shared" si="18"/>
        <v>Sun</v>
      </c>
      <c r="H33" s="50"/>
      <c r="I33" s="67"/>
      <c r="J33" s="343"/>
      <c r="K33" s="65"/>
      <c r="L33" s="317">
        <f t="shared" si="9"/>
        <v>0</v>
      </c>
      <c r="M33" s="318">
        <f t="shared" si="10"/>
        <v>0</v>
      </c>
      <c r="N33" s="41" t="str">
        <f t="shared" si="11"/>
        <v>0%</v>
      </c>
      <c r="O33" s="46"/>
      <c r="P33" s="328">
        <f>IF(D33=0,0,SUM($L$20:L33))</f>
        <v>0</v>
      </c>
      <c r="Q33" s="317">
        <f>IF(D33=0,0,SUM($J$20:J33))</f>
        <v>0</v>
      </c>
      <c r="R33" s="321">
        <f t="shared" si="12"/>
        <v>0</v>
      </c>
      <c r="S33" s="41" t="str">
        <f t="shared" si="13"/>
        <v>0%</v>
      </c>
      <c r="T33" s="56"/>
      <c r="U33" s="348">
        <f>IF(D33=0,0,SUM($L$20:L33))</f>
        <v>0</v>
      </c>
      <c r="V33" s="348">
        <f>IF(D33=0,0,SUM($J$20:J33))</f>
        <v>0</v>
      </c>
      <c r="W33" s="349">
        <f t="shared" si="14"/>
        <v>0</v>
      </c>
      <c r="X33" s="41" t="str">
        <f t="shared" si="15"/>
        <v>0%</v>
      </c>
      <c r="Y33" s="17"/>
      <c r="Z33" s="23">
        <f t="shared" si="19"/>
        <v>45305</v>
      </c>
      <c r="AA33" s="22">
        <f t="shared" si="19"/>
        <v>45305</v>
      </c>
      <c r="AB33" s="137">
        <v>45305</v>
      </c>
      <c r="AC33" s="141">
        <v>2</v>
      </c>
      <c r="AD33" s="136" t="s">
        <v>128</v>
      </c>
      <c r="AE33" s="138">
        <f>IFERROR(AVERAGEIFS(J51:J79,D51:D79,1,G51:G79,"sun"),0)</f>
        <v>0</v>
      </c>
      <c r="AF33" s="141">
        <f>IFERROR(COUNTIFS(D51:D79,1,G51:G79,"sun"),0)</f>
        <v>0</v>
      </c>
      <c r="AG33" s="138"/>
      <c r="AH33" s="138">
        <f t="shared" si="20"/>
        <v>0</v>
      </c>
      <c r="AI33" s="264">
        <f t="shared" si="23"/>
        <v>0</v>
      </c>
      <c r="AJ33" s="393"/>
      <c r="AK33" s="134"/>
      <c r="AL33" s="134"/>
      <c r="AM33" s="134"/>
      <c r="AN33" s="18"/>
      <c r="AO33" s="18"/>
      <c r="AP33" s="18"/>
      <c r="AQ33" s="18"/>
      <c r="AR33" s="17"/>
      <c r="AS33" s="21">
        <f t="shared" si="22"/>
        <v>45305</v>
      </c>
      <c r="AT33" s="17"/>
      <c r="AU33" s="17"/>
      <c r="AV33" s="17"/>
      <c r="AW33" s="17"/>
      <c r="AX33" s="17"/>
      <c r="AY33" s="17"/>
      <c r="AZ33" s="17"/>
    </row>
    <row r="34" spans="1:52" ht="20">
      <c r="A34" s="17"/>
      <c r="B34" s="40"/>
      <c r="C34" s="55">
        <f t="shared" si="16"/>
        <v>15</v>
      </c>
      <c r="D34" s="54">
        <v>1</v>
      </c>
      <c r="E34" s="53" t="str">
        <f t="shared" si="8"/>
        <v>1</v>
      </c>
      <c r="F34" s="52">
        <f t="shared" si="17"/>
        <v>45306</v>
      </c>
      <c r="G34" s="51" t="str">
        <f t="shared" si="18"/>
        <v>Mon</v>
      </c>
      <c r="H34" s="50"/>
      <c r="I34" s="49"/>
      <c r="J34" s="343">
        <f>189100/$B$13</f>
        <v>1713.7937284756208</v>
      </c>
      <c r="K34" s="31"/>
      <c r="L34" s="317">
        <f t="shared" si="9"/>
        <v>2010.1046247114143</v>
      </c>
      <c r="M34" s="318">
        <f t="shared" si="10"/>
        <v>-296.31089623579351</v>
      </c>
      <c r="N34" s="41">
        <f t="shared" si="11"/>
        <v>0.85258931669870963</v>
      </c>
      <c r="O34" s="46"/>
      <c r="P34" s="328">
        <f>IF(D34=0,0,SUM($L$20:L34))</f>
        <v>16080.836997691313</v>
      </c>
      <c r="Q34" s="317">
        <f>IF(D34=0,0,SUM($J$20:J34))</f>
        <v>16534.620264636578</v>
      </c>
      <c r="R34" s="321">
        <f t="shared" si="12"/>
        <v>453.7832669452655</v>
      </c>
      <c r="S34" s="41">
        <f t="shared" si="13"/>
        <v>1.0282188835699544</v>
      </c>
      <c r="T34" s="56"/>
      <c r="U34" s="348">
        <f>IF(D34=0,0,SUM($L$20:L34))</f>
        <v>16080.836997691313</v>
      </c>
      <c r="V34" s="348">
        <f>IF(D34=0,0,SUM($J$20:J34))</f>
        <v>16534.620264636578</v>
      </c>
      <c r="W34" s="349">
        <f t="shared" si="14"/>
        <v>453.7832669452655</v>
      </c>
      <c r="X34" s="41">
        <f t="shared" si="15"/>
        <v>1.0282188835699544</v>
      </c>
      <c r="Y34" s="17"/>
      <c r="Z34" s="23">
        <f t="shared" si="19"/>
        <v>45306</v>
      </c>
      <c r="AA34" s="22">
        <f t="shared" si="19"/>
        <v>45306</v>
      </c>
      <c r="AB34" s="137">
        <v>45306</v>
      </c>
      <c r="AC34" s="141">
        <v>3</v>
      </c>
      <c r="AD34" s="136" t="s">
        <v>122</v>
      </c>
      <c r="AE34" s="138">
        <f>AVERAGEIFS(J80:J110,D80:D110,1,G80:G110,"mon")</f>
        <v>2075.0634402755118</v>
      </c>
      <c r="AF34" s="141">
        <f>COUNTIFS( D80:D110,1,G80:G110,"Mon")</f>
        <v>4</v>
      </c>
      <c r="AG34" s="138"/>
      <c r="AH34" s="138">
        <f t="shared" si="20"/>
        <v>8300.2537611020471</v>
      </c>
      <c r="AI34" s="264">
        <f>AH34/$M$8</f>
        <v>0.1417591037871358</v>
      </c>
      <c r="AJ34" s="393">
        <f>SUM(AI34:AI40)</f>
        <v>0.99999999999999978</v>
      </c>
      <c r="AK34" s="134" t="s">
        <v>130</v>
      </c>
      <c r="AL34" s="134"/>
      <c r="AM34" s="134"/>
      <c r="AN34" s="18"/>
      <c r="AO34" s="18"/>
      <c r="AP34" s="18"/>
      <c r="AQ34" s="18"/>
      <c r="AR34" s="17"/>
      <c r="AS34" s="21">
        <f t="shared" si="22"/>
        <v>45306</v>
      </c>
      <c r="AT34" s="17"/>
      <c r="AU34" s="17"/>
      <c r="AV34" s="17"/>
      <c r="AW34" s="17"/>
      <c r="AX34" s="17"/>
      <c r="AY34" s="17"/>
      <c r="AZ34" s="17"/>
    </row>
    <row r="35" spans="1:52" ht="20">
      <c r="A35" s="17"/>
      <c r="B35" s="40"/>
      <c r="C35" s="55">
        <f t="shared" si="16"/>
        <v>16</v>
      </c>
      <c r="D35" s="54">
        <v>1</v>
      </c>
      <c r="E35" s="53" t="str">
        <f t="shared" si="8"/>
        <v>1</v>
      </c>
      <c r="F35" s="52">
        <f t="shared" si="17"/>
        <v>45307</v>
      </c>
      <c r="G35" s="51" t="str">
        <f t="shared" si="18"/>
        <v>Tue</v>
      </c>
      <c r="H35" s="50"/>
      <c r="I35" s="49"/>
      <c r="J35" s="343">
        <f>212700/$B$13</f>
        <v>1927.6780859162589</v>
      </c>
      <c r="K35" s="31"/>
      <c r="L35" s="317">
        <f t="shared" si="9"/>
        <v>2010.1046247114143</v>
      </c>
      <c r="M35" s="318">
        <f t="shared" si="10"/>
        <v>-82.426538795155466</v>
      </c>
      <c r="N35" s="41">
        <f t="shared" si="11"/>
        <v>0.95899390619680347</v>
      </c>
      <c r="O35" s="46"/>
      <c r="P35" s="328">
        <f>IF(D35=0,0,SUM($L$20:L35))</f>
        <v>18090.941622402726</v>
      </c>
      <c r="Q35" s="317">
        <f>IF(D35=0,0,SUM($J$20:J35))</f>
        <v>18462.298350552835</v>
      </c>
      <c r="R35" s="321">
        <f t="shared" si="12"/>
        <v>371.35672815010912</v>
      </c>
      <c r="S35" s="41">
        <f t="shared" si="13"/>
        <v>1.020527219417382</v>
      </c>
      <c r="T35" s="56"/>
      <c r="U35" s="348">
        <f>IF(D35=0,0,SUM($L$20:L35))</f>
        <v>18090.941622402726</v>
      </c>
      <c r="V35" s="348">
        <f>IF(D35=0,0,SUM($J$20:J35))</f>
        <v>18462.298350552835</v>
      </c>
      <c r="W35" s="349">
        <f t="shared" si="14"/>
        <v>371.35672815010912</v>
      </c>
      <c r="X35" s="41">
        <f t="shared" si="15"/>
        <v>1.020527219417382</v>
      </c>
      <c r="Y35" s="17"/>
      <c r="Z35" s="23">
        <f t="shared" si="19"/>
        <v>45307</v>
      </c>
      <c r="AA35" s="22">
        <f t="shared" si="19"/>
        <v>45307</v>
      </c>
      <c r="AB35" s="137">
        <v>45307</v>
      </c>
      <c r="AC35" s="141">
        <v>3</v>
      </c>
      <c r="AD35" s="136" t="s">
        <v>123</v>
      </c>
      <c r="AE35" s="138">
        <f>AVERAGEIFS(J80:J110,D80:D110,1,G80:G110,"tue")</f>
        <v>2392.3101323182891</v>
      </c>
      <c r="AF35" s="141">
        <f>COUNTIFS( D80:D110,1,G80:G110,"tue")</f>
        <v>4</v>
      </c>
      <c r="AG35" s="138"/>
      <c r="AH35" s="138">
        <f t="shared" si="20"/>
        <v>9569.2405292731564</v>
      </c>
      <c r="AI35" s="264">
        <f t="shared" ref="AI35:AI40" si="24">AH35/$M$8</f>
        <v>0.16343198658702091</v>
      </c>
      <c r="AJ35" s="393"/>
      <c r="AK35" s="134"/>
      <c r="AL35" s="134"/>
      <c r="AM35" s="134"/>
      <c r="AN35" s="18"/>
      <c r="AO35" s="18"/>
      <c r="AP35" s="18"/>
      <c r="AQ35" s="18"/>
      <c r="AR35" s="17"/>
      <c r="AS35" s="21">
        <f t="shared" si="22"/>
        <v>45307</v>
      </c>
      <c r="AT35" s="17"/>
      <c r="AU35" s="17"/>
      <c r="AV35" s="17"/>
      <c r="AW35" s="17"/>
      <c r="AX35" s="17"/>
      <c r="AY35" s="17"/>
      <c r="AZ35" s="17"/>
    </row>
    <row r="36" spans="1:52" ht="20">
      <c r="A36" s="17"/>
      <c r="B36" s="40"/>
      <c r="C36" s="55">
        <f t="shared" si="16"/>
        <v>17</v>
      </c>
      <c r="D36" s="54">
        <v>1</v>
      </c>
      <c r="E36" s="53" t="str">
        <f t="shared" si="8"/>
        <v>1</v>
      </c>
      <c r="F36" s="52">
        <f t="shared" si="17"/>
        <v>45308</v>
      </c>
      <c r="G36" s="51" t="str">
        <f t="shared" si="18"/>
        <v>Wed</v>
      </c>
      <c r="H36" s="50"/>
      <c r="I36" s="49"/>
      <c r="J36" s="343">
        <f>172600/$B$13</f>
        <v>1564.2559361972085</v>
      </c>
      <c r="K36" s="31"/>
      <c r="L36" s="317">
        <f t="shared" si="9"/>
        <v>2010.1046247114143</v>
      </c>
      <c r="M36" s="318">
        <f t="shared" si="10"/>
        <v>-445.84868851420583</v>
      </c>
      <c r="N36" s="41">
        <f t="shared" si="11"/>
        <v>0.77819627743097441</v>
      </c>
      <c r="O36" s="46"/>
      <c r="P36" s="328">
        <f>IF(D36=0,0,SUM($L$20:L36))</f>
        <v>20101.04624711414</v>
      </c>
      <c r="Q36" s="317">
        <f>IF(D36=0,0,SUM($J$20:J36))</f>
        <v>20026.554286750044</v>
      </c>
      <c r="R36" s="321">
        <f t="shared" si="12"/>
        <v>-74.491960364095576</v>
      </c>
      <c r="S36" s="41">
        <f t="shared" si="13"/>
        <v>0.99629412521874128</v>
      </c>
      <c r="T36" s="56"/>
      <c r="U36" s="348">
        <f>IF(D36=0,0,SUM($L$20:L36))</f>
        <v>20101.04624711414</v>
      </c>
      <c r="V36" s="348">
        <f>IF(D36=0,0,SUM($J$20:J36))</f>
        <v>20026.554286750044</v>
      </c>
      <c r="W36" s="349">
        <f t="shared" si="14"/>
        <v>-74.491960364095576</v>
      </c>
      <c r="X36" s="41">
        <f t="shared" si="15"/>
        <v>0.99629412521874128</v>
      </c>
      <c r="Y36" s="17"/>
      <c r="Z36" s="23">
        <f t="shared" si="19"/>
        <v>45308</v>
      </c>
      <c r="AA36" s="22">
        <f t="shared" si="19"/>
        <v>45308</v>
      </c>
      <c r="AB36" s="137">
        <v>45308</v>
      </c>
      <c r="AC36" s="141">
        <v>3</v>
      </c>
      <c r="AD36" s="136" t="s">
        <v>124</v>
      </c>
      <c r="AE36" s="138">
        <f>AVERAGEIFS(J80:J110,D80:D110,1,G80:G110,"wed")</f>
        <v>2664.0384266811675</v>
      </c>
      <c r="AF36" s="141">
        <f>COUNTIFS( D80:D110,1,G80:G110,"wed")</f>
        <v>3</v>
      </c>
      <c r="AG36" s="138"/>
      <c r="AH36" s="138">
        <f t="shared" si="20"/>
        <v>7992.1152800435029</v>
      </c>
      <c r="AI36" s="264">
        <f t="shared" si="24"/>
        <v>0.13649644120181878</v>
      </c>
      <c r="AJ36" s="393"/>
      <c r="AK36" s="134"/>
      <c r="AL36" s="134"/>
      <c r="AM36" s="134"/>
      <c r="AN36" s="18"/>
      <c r="AO36" s="18"/>
      <c r="AP36" s="18"/>
      <c r="AQ36" s="18"/>
      <c r="AR36" s="17"/>
      <c r="AS36" s="21">
        <f t="shared" si="22"/>
        <v>45308</v>
      </c>
      <c r="AT36" s="17"/>
      <c r="AU36" s="17"/>
      <c r="AV36" s="17"/>
      <c r="AW36" s="17"/>
      <c r="AX36" s="17"/>
      <c r="AY36" s="17"/>
      <c r="AZ36" s="17"/>
    </row>
    <row r="37" spans="1:52" ht="20">
      <c r="A37" s="17"/>
      <c r="B37" s="40"/>
      <c r="C37" s="55">
        <f t="shared" si="16"/>
        <v>18</v>
      </c>
      <c r="D37" s="54">
        <v>1</v>
      </c>
      <c r="E37" s="53" t="str">
        <f t="shared" si="8"/>
        <v>1</v>
      </c>
      <c r="F37" s="52">
        <f t="shared" si="17"/>
        <v>45309</v>
      </c>
      <c r="G37" s="51" t="str">
        <f t="shared" si="18"/>
        <v>Thu</v>
      </c>
      <c r="H37" s="50"/>
      <c r="I37" s="49"/>
      <c r="J37" s="343">
        <f>155450/$B$13</f>
        <v>1408.827261192677</v>
      </c>
      <c r="K37" s="31"/>
      <c r="L37" s="317">
        <f t="shared" si="9"/>
        <v>2010.1046247114143</v>
      </c>
      <c r="M37" s="318">
        <f t="shared" si="10"/>
        <v>-601.27736351873727</v>
      </c>
      <c r="N37" s="41">
        <f t="shared" si="11"/>
        <v>0.70087260328299517</v>
      </c>
      <c r="O37" s="46"/>
      <c r="P37" s="328">
        <f>IF(D37=0,0,SUM($L$20:L37))</f>
        <v>22111.150871825554</v>
      </c>
      <c r="Q37" s="317">
        <f>IF(D37=0,0,SUM($J$20:J37))</f>
        <v>21435.381547942721</v>
      </c>
      <c r="R37" s="321">
        <f t="shared" si="12"/>
        <v>-675.7693238828324</v>
      </c>
      <c r="S37" s="41">
        <f t="shared" si="13"/>
        <v>0.9694376232245826</v>
      </c>
      <c r="T37" s="56"/>
      <c r="U37" s="348">
        <f>IF(D37=0,0,SUM($L$20:L37))</f>
        <v>22111.150871825554</v>
      </c>
      <c r="V37" s="348">
        <f>IF(D37=0,0,SUM($J$20:J37))</f>
        <v>21435.381547942721</v>
      </c>
      <c r="W37" s="349">
        <f t="shared" si="14"/>
        <v>-675.7693238828324</v>
      </c>
      <c r="X37" s="41">
        <f t="shared" si="15"/>
        <v>0.9694376232245826</v>
      </c>
      <c r="Y37" s="17"/>
      <c r="Z37" s="23">
        <f t="shared" ref="Z37:AA52" si="25">Z36+1</f>
        <v>45309</v>
      </c>
      <c r="AA37" s="22">
        <f t="shared" si="25"/>
        <v>45309</v>
      </c>
      <c r="AB37" s="137">
        <v>45309</v>
      </c>
      <c r="AC37" s="141">
        <v>3</v>
      </c>
      <c r="AD37" s="136" t="s">
        <v>125</v>
      </c>
      <c r="AE37" s="138">
        <f>AVERAGEIFS(J80:J110,D80:D110,1,G80:G110,"thu")</f>
        <v>2796.8778321551567</v>
      </c>
      <c r="AF37" s="141">
        <f>COUNTIFS( D80:D110,1,G80:G110,"thu")</f>
        <v>4</v>
      </c>
      <c r="AG37" s="138"/>
      <c r="AH37" s="138">
        <f t="shared" si="20"/>
        <v>11187.511328620627</v>
      </c>
      <c r="AI37" s="264">
        <f t="shared" si="24"/>
        <v>0.19107025221155652</v>
      </c>
      <c r="AJ37" s="393"/>
      <c r="AK37" s="134"/>
      <c r="AL37" s="134"/>
      <c r="AM37" s="134"/>
      <c r="AN37" s="18"/>
      <c r="AO37" s="18"/>
      <c r="AP37" s="18"/>
      <c r="AQ37" s="18"/>
      <c r="AR37" s="17"/>
      <c r="AS37" s="21">
        <f t="shared" si="22"/>
        <v>45309</v>
      </c>
      <c r="AT37" s="17"/>
      <c r="AU37" s="17"/>
      <c r="AV37" s="17"/>
      <c r="AW37" s="17"/>
      <c r="AX37" s="17"/>
      <c r="AY37" s="17"/>
      <c r="AZ37" s="17"/>
    </row>
    <row r="38" spans="1:52" ht="20">
      <c r="A38" s="17"/>
      <c r="B38" s="40"/>
      <c r="C38" s="55">
        <f t="shared" si="16"/>
        <v>19</v>
      </c>
      <c r="D38" s="54">
        <v>1</v>
      </c>
      <c r="E38" s="53" t="str">
        <f t="shared" si="8"/>
        <v>1</v>
      </c>
      <c r="F38" s="52">
        <f t="shared" si="17"/>
        <v>45310</v>
      </c>
      <c r="G38" s="51" t="str">
        <f t="shared" si="18"/>
        <v>Fri</v>
      </c>
      <c r="H38" s="50"/>
      <c r="I38" s="49"/>
      <c r="J38" s="343">
        <f>286750/$B$13</f>
        <v>2598.7855718687692</v>
      </c>
      <c r="K38" s="31"/>
      <c r="L38" s="317">
        <f t="shared" si="9"/>
        <v>2010.1046247114143</v>
      </c>
      <c r="M38" s="318">
        <f t="shared" si="10"/>
        <v>588.68094715735492</v>
      </c>
      <c r="N38" s="41">
        <f t="shared" si="11"/>
        <v>1.2928608490923055</v>
      </c>
      <c r="O38" s="46"/>
      <c r="P38" s="328">
        <f>IF(D38=0,0,SUM($L$20:L38))</f>
        <v>24121.255496536967</v>
      </c>
      <c r="Q38" s="317">
        <f>IF(D38=0,0,SUM($J$20:J38))</f>
        <v>24034.167119811489</v>
      </c>
      <c r="R38" s="321">
        <f t="shared" si="12"/>
        <v>-87.088376725478156</v>
      </c>
      <c r="S38" s="41">
        <f t="shared" si="13"/>
        <v>0.9963895587135595</v>
      </c>
      <c r="T38" s="44"/>
      <c r="U38" s="348">
        <f>IF(D38=0,0,SUM($L$20:L38))</f>
        <v>24121.255496536967</v>
      </c>
      <c r="V38" s="348">
        <f>IF(D38=0,0,SUM($J$20:J38))</f>
        <v>24034.167119811489</v>
      </c>
      <c r="W38" s="349">
        <f t="shared" si="14"/>
        <v>-87.088376725478156</v>
      </c>
      <c r="X38" s="41">
        <f t="shared" si="15"/>
        <v>0.9963895587135595</v>
      </c>
      <c r="Y38" s="17"/>
      <c r="Z38" s="23">
        <f t="shared" si="25"/>
        <v>45310</v>
      </c>
      <c r="AA38" s="22">
        <f t="shared" si="25"/>
        <v>45310</v>
      </c>
      <c r="AB38" s="137">
        <v>45310</v>
      </c>
      <c r="AC38" s="141">
        <v>3</v>
      </c>
      <c r="AD38" s="136" t="s">
        <v>126</v>
      </c>
      <c r="AE38" s="138">
        <f>AVERAGEIFS(J80:J110,D80:D110,1,G80:G110,"fri")</f>
        <v>2923.9260467645458</v>
      </c>
      <c r="AF38" s="141">
        <f>COUNTIFS( D80:D110,1,G80:G110,"fri")</f>
        <v>5</v>
      </c>
      <c r="AG38" s="138"/>
      <c r="AH38" s="138">
        <f t="shared" si="20"/>
        <v>14619.630233822729</v>
      </c>
      <c r="AI38" s="264">
        <f t="shared" si="24"/>
        <v>0.24968702636036727</v>
      </c>
      <c r="AJ38" s="393"/>
      <c r="AK38" s="134"/>
      <c r="AL38" s="134"/>
      <c r="AM38" s="134"/>
      <c r="AN38" s="18"/>
      <c r="AO38" s="18"/>
      <c r="AP38" s="18"/>
      <c r="AQ38" s="18"/>
      <c r="AR38" s="17"/>
      <c r="AS38" s="21">
        <f t="shared" si="22"/>
        <v>45310</v>
      </c>
      <c r="AT38" s="17"/>
      <c r="AU38" s="17"/>
      <c r="AV38" s="17"/>
      <c r="AW38" s="17"/>
      <c r="AX38" s="17"/>
      <c r="AY38" s="17"/>
      <c r="AZ38" s="17"/>
    </row>
    <row r="39" spans="1:52" ht="20">
      <c r="A39" s="17"/>
      <c r="B39" s="40"/>
      <c r="C39" s="55">
        <f t="shared" si="16"/>
        <v>20</v>
      </c>
      <c r="D39" s="54">
        <v>1</v>
      </c>
      <c r="E39" s="53" t="str">
        <f t="shared" si="8"/>
        <v>1</v>
      </c>
      <c r="F39" s="52">
        <f t="shared" si="17"/>
        <v>45311</v>
      </c>
      <c r="G39" s="51" t="str">
        <f t="shared" si="18"/>
        <v>Sat</v>
      </c>
      <c r="H39" s="50"/>
      <c r="I39" s="49"/>
      <c r="J39" s="343">
        <f>139100/$B$13</f>
        <v>1260.6489033895232</v>
      </c>
      <c r="K39" s="31"/>
      <c r="L39" s="317">
        <f t="shared" si="9"/>
        <v>2010.1046247114143</v>
      </c>
      <c r="M39" s="318">
        <f t="shared" si="10"/>
        <v>-749.45572132189113</v>
      </c>
      <c r="N39" s="41">
        <f t="shared" si="11"/>
        <v>0.62715586437223947</v>
      </c>
      <c r="O39" s="46"/>
      <c r="P39" s="328">
        <f>IF(D39=0,0,SUM($L$20:L39))</f>
        <v>26131.360121248381</v>
      </c>
      <c r="Q39" s="317">
        <f>IF(D39=0,0,SUM($J$20:J39))</f>
        <v>25294.816023201012</v>
      </c>
      <c r="R39" s="321">
        <f t="shared" si="12"/>
        <v>-836.54409804736861</v>
      </c>
      <c r="S39" s="41">
        <f t="shared" si="13"/>
        <v>0.96798696684115026</v>
      </c>
      <c r="T39" s="56"/>
      <c r="U39" s="348">
        <f>IF(D39=0,0,SUM($L$20:L39))</f>
        <v>26131.360121248381</v>
      </c>
      <c r="V39" s="348">
        <f>IF(D39=0,0,SUM($J$20:J39))</f>
        <v>25294.816023201012</v>
      </c>
      <c r="W39" s="349">
        <f t="shared" si="14"/>
        <v>-836.54409804736861</v>
      </c>
      <c r="X39" s="41">
        <f t="shared" si="15"/>
        <v>0.96798696684115026</v>
      </c>
      <c r="Y39" s="17"/>
      <c r="Z39" s="23">
        <f t="shared" si="25"/>
        <v>45311</v>
      </c>
      <c r="AA39" s="22">
        <f t="shared" si="25"/>
        <v>45311</v>
      </c>
      <c r="AB39" s="137">
        <v>45311</v>
      </c>
      <c r="AC39" s="141">
        <v>3</v>
      </c>
      <c r="AD39" s="136" t="s">
        <v>127</v>
      </c>
      <c r="AE39" s="138">
        <f>AVERAGEIFS(J80:J110,D80:D110,1,G80:G110,"sat")</f>
        <v>1376.6141018669564</v>
      </c>
      <c r="AF39" s="141">
        <f>COUNTIFS( D80:D110,1,G80:G110,"sat")</f>
        <v>5</v>
      </c>
      <c r="AG39" s="138"/>
      <c r="AH39" s="138">
        <f t="shared" si="20"/>
        <v>6883.0705093347824</v>
      </c>
      <c r="AI39" s="264">
        <f t="shared" si="24"/>
        <v>0.11755518985210058</v>
      </c>
      <c r="AJ39" s="393"/>
      <c r="AK39" s="134"/>
      <c r="AL39" s="134"/>
      <c r="AM39" s="134"/>
      <c r="AN39" s="18"/>
      <c r="AO39" s="18"/>
      <c r="AP39" s="18"/>
      <c r="AQ39" s="18"/>
      <c r="AR39" s="17"/>
      <c r="AS39" s="21">
        <f t="shared" si="22"/>
        <v>45311</v>
      </c>
      <c r="AT39" s="17"/>
      <c r="AU39" s="17"/>
      <c r="AV39" s="17"/>
      <c r="AW39" s="17"/>
      <c r="AX39" s="17"/>
      <c r="AY39" s="17"/>
      <c r="AZ39" s="17"/>
    </row>
    <row r="40" spans="1:52" ht="20">
      <c r="A40" s="17"/>
      <c r="B40" s="40"/>
      <c r="C40" s="55">
        <f t="shared" si="16"/>
        <v>21</v>
      </c>
      <c r="D40" s="54">
        <v>0</v>
      </c>
      <c r="E40" s="53" t="str">
        <f t="shared" si="8"/>
        <v>1</v>
      </c>
      <c r="F40" s="52">
        <f t="shared" si="17"/>
        <v>45312</v>
      </c>
      <c r="G40" s="51" t="str">
        <f t="shared" si="18"/>
        <v>Sun</v>
      </c>
      <c r="H40" s="50" t="s">
        <v>46</v>
      </c>
      <c r="I40" s="67"/>
      <c r="J40" s="343"/>
      <c r="K40" s="65"/>
      <c r="L40" s="317">
        <f t="shared" si="9"/>
        <v>0</v>
      </c>
      <c r="M40" s="318">
        <f t="shared" si="10"/>
        <v>0</v>
      </c>
      <c r="N40" s="41" t="str">
        <f t="shared" si="11"/>
        <v>0%</v>
      </c>
      <c r="O40" s="46"/>
      <c r="P40" s="328">
        <f>IF(D40=0,0,SUM($L$20:L40))</f>
        <v>0</v>
      </c>
      <c r="Q40" s="317">
        <f>IF(D40=0,0,SUM($J$20:J40))</f>
        <v>0</v>
      </c>
      <c r="R40" s="321">
        <f t="shared" si="12"/>
        <v>0</v>
      </c>
      <c r="S40" s="41" t="str">
        <f t="shared" si="13"/>
        <v>0%</v>
      </c>
      <c r="T40" s="56"/>
      <c r="U40" s="348">
        <f>IF(D40=0,0,SUM($L$20:L40))</f>
        <v>0</v>
      </c>
      <c r="V40" s="348">
        <f>IF(D40=0,0,SUM($J$20:J40))</f>
        <v>0</v>
      </c>
      <c r="W40" s="349">
        <f t="shared" si="14"/>
        <v>0</v>
      </c>
      <c r="X40" s="41" t="str">
        <f t="shared" si="15"/>
        <v>0%</v>
      </c>
      <c r="Y40" s="17"/>
      <c r="Z40" s="23">
        <f t="shared" si="25"/>
        <v>45312</v>
      </c>
      <c r="AA40" s="22">
        <f t="shared" si="25"/>
        <v>45312</v>
      </c>
      <c r="AB40" s="137">
        <v>45312</v>
      </c>
      <c r="AC40" s="141">
        <v>3</v>
      </c>
      <c r="AD40" s="136" t="s">
        <v>128</v>
      </c>
      <c r="AE40" s="138">
        <f>IFERROR(AVERAGEIFS(J80:J110,D80:D110,3,G80:G110,"sun"),0)</f>
        <v>0</v>
      </c>
      <c r="AF40" s="141">
        <f>IFERROR(COUNTIFS( D80:D110,1,G80:G110,"sun"),0)</f>
        <v>0</v>
      </c>
      <c r="AG40" s="138"/>
      <c r="AH40" s="138">
        <f t="shared" si="20"/>
        <v>0</v>
      </c>
      <c r="AI40" s="264">
        <f t="shared" si="24"/>
        <v>0</v>
      </c>
      <c r="AJ40" s="393"/>
      <c r="AK40" s="134"/>
      <c r="AL40" s="134"/>
      <c r="AM40" s="134"/>
      <c r="AN40" s="18"/>
      <c r="AO40" s="18"/>
      <c r="AP40" s="18"/>
      <c r="AQ40" s="18"/>
      <c r="AR40" s="17"/>
      <c r="AS40" s="21">
        <f t="shared" si="22"/>
        <v>45312</v>
      </c>
      <c r="AT40" s="17"/>
      <c r="AU40" s="17"/>
      <c r="AV40" s="17"/>
      <c r="AW40" s="17"/>
      <c r="AX40" s="17"/>
      <c r="AY40" s="17"/>
      <c r="AZ40" s="17"/>
    </row>
    <row r="41" spans="1:52" ht="20">
      <c r="A41" s="17"/>
      <c r="B41" s="40"/>
      <c r="C41" s="55">
        <f t="shared" si="16"/>
        <v>22</v>
      </c>
      <c r="D41" s="54">
        <v>1</v>
      </c>
      <c r="E41" s="53" t="str">
        <f t="shared" si="8"/>
        <v>1</v>
      </c>
      <c r="F41" s="52">
        <f t="shared" si="17"/>
        <v>45313</v>
      </c>
      <c r="G41" s="51" t="str">
        <f t="shared" si="18"/>
        <v>Mon</v>
      </c>
      <c r="H41" s="50"/>
      <c r="I41" s="49"/>
      <c r="J41" s="343">
        <f>250550/$B$13</f>
        <v>2270.7087185064347</v>
      </c>
      <c r="K41" s="31"/>
      <c r="L41" s="317">
        <f t="shared" si="9"/>
        <v>2010.1046247114143</v>
      </c>
      <c r="M41" s="318">
        <f t="shared" si="10"/>
        <v>260.60409379502039</v>
      </c>
      <c r="N41" s="41">
        <f t="shared" si="11"/>
        <v>1.1296470296079413</v>
      </c>
      <c r="O41" s="46"/>
      <c r="P41" s="328">
        <f>IF(D41=0,0,SUM($L$20:L41))</f>
        <v>28141.464745959795</v>
      </c>
      <c r="Q41" s="317">
        <f>IF(D41=0,0,SUM($J$20:J41))</f>
        <v>27565.524741707446</v>
      </c>
      <c r="R41" s="321">
        <f t="shared" si="12"/>
        <v>-575.94000425234844</v>
      </c>
      <c r="S41" s="41">
        <f t="shared" si="13"/>
        <v>0.97953411418163527</v>
      </c>
      <c r="T41" s="56"/>
      <c r="U41" s="348">
        <f>IF(D41=0,0,SUM($L$20:L41))</f>
        <v>28141.464745959795</v>
      </c>
      <c r="V41" s="348">
        <f>IF(D41=0,0,SUM($J$20:J41))</f>
        <v>27565.524741707446</v>
      </c>
      <c r="W41" s="349">
        <f t="shared" si="14"/>
        <v>-575.94000425234844</v>
      </c>
      <c r="X41" s="41">
        <f t="shared" si="15"/>
        <v>0.97953411418163527</v>
      </c>
      <c r="Y41" s="17"/>
      <c r="Z41" s="23">
        <f t="shared" si="25"/>
        <v>45313</v>
      </c>
      <c r="AA41" s="22">
        <f t="shared" si="25"/>
        <v>45313</v>
      </c>
      <c r="AB41" s="137">
        <v>45313</v>
      </c>
      <c r="AC41" s="141">
        <v>4</v>
      </c>
      <c r="AD41" s="136" t="s">
        <v>122</v>
      </c>
      <c r="AE41" s="138">
        <f>AVERAGEIFS(J111:J140,D111:D140,1,G111:G140,"mon")</f>
        <v>2069.6483596157332</v>
      </c>
      <c r="AF41" s="141">
        <f>COUNTIFS(D111:D140,1,G111:G140,"Mon")</f>
        <v>4</v>
      </c>
      <c r="AG41" s="138"/>
      <c r="AH41" s="138">
        <f t="shared" si="20"/>
        <v>8278.5934384629327</v>
      </c>
      <c r="AI41" s="264">
        <f>AH41/$M$9</f>
        <v>0.136813977414146</v>
      </c>
      <c r="AJ41" s="393">
        <f>SUM(AI41:AI47)</f>
        <v>0.99999999999999978</v>
      </c>
      <c r="AK41" s="134" t="s">
        <v>131</v>
      </c>
      <c r="AL41" s="134"/>
      <c r="AM41" s="134"/>
      <c r="AN41" s="18"/>
      <c r="AO41" s="18"/>
      <c r="AP41" s="18"/>
      <c r="AQ41" s="18"/>
      <c r="AR41" s="17"/>
      <c r="AS41" s="21">
        <f t="shared" si="22"/>
        <v>45313</v>
      </c>
      <c r="AT41" s="17"/>
      <c r="AU41" s="17"/>
      <c r="AV41" s="17"/>
      <c r="AW41" s="17"/>
      <c r="AX41" s="17"/>
      <c r="AY41" s="17"/>
      <c r="AZ41" s="17"/>
    </row>
    <row r="42" spans="1:52" ht="20">
      <c r="A42" s="17"/>
      <c r="B42" s="40"/>
      <c r="C42" s="55">
        <f t="shared" si="16"/>
        <v>23</v>
      </c>
      <c r="D42" s="54">
        <v>1</v>
      </c>
      <c r="E42" s="53" t="str">
        <f t="shared" si="8"/>
        <v>1</v>
      </c>
      <c r="F42" s="52">
        <f t="shared" si="17"/>
        <v>45314</v>
      </c>
      <c r="G42" s="51" t="str">
        <f t="shared" si="18"/>
        <v>Tue</v>
      </c>
      <c r="H42" s="50"/>
      <c r="I42" s="49"/>
      <c r="J42" s="343">
        <f>312544/$B$13</f>
        <v>2832.5539242341852</v>
      </c>
      <c r="K42" s="31"/>
      <c r="L42" s="317">
        <f t="shared" si="9"/>
        <v>2010.1046247114143</v>
      </c>
      <c r="M42" s="318">
        <f t="shared" si="10"/>
        <v>822.44929952277084</v>
      </c>
      <c r="N42" s="41">
        <f t="shared" si="11"/>
        <v>1.4091574584784847</v>
      </c>
      <c r="O42" s="46"/>
      <c r="P42" s="328">
        <f>IF(D42=0,0,SUM($L$20:L42))</f>
        <v>30151.569370671208</v>
      </c>
      <c r="Q42" s="317">
        <f>IF(D42=0,0,SUM($J$20:J42))</f>
        <v>30398.07866594163</v>
      </c>
      <c r="R42" s="321">
        <f t="shared" si="12"/>
        <v>246.50929527042172</v>
      </c>
      <c r="S42" s="41">
        <f t="shared" si="13"/>
        <v>1.008175670468092</v>
      </c>
      <c r="T42" s="56"/>
      <c r="U42" s="348">
        <f>IF(D42=0,0,SUM($L$20:L42))</f>
        <v>30151.569370671208</v>
      </c>
      <c r="V42" s="348">
        <f>IF(D42=0,0,SUM($J$20:J42))</f>
        <v>30398.07866594163</v>
      </c>
      <c r="W42" s="349">
        <f t="shared" si="14"/>
        <v>246.50929527042172</v>
      </c>
      <c r="X42" s="41">
        <f t="shared" si="15"/>
        <v>1.008175670468092</v>
      </c>
      <c r="Y42" s="17"/>
      <c r="Z42" s="23">
        <f t="shared" si="25"/>
        <v>45314</v>
      </c>
      <c r="AA42" s="22">
        <f t="shared" si="25"/>
        <v>45314</v>
      </c>
      <c r="AB42" s="137">
        <v>45314</v>
      </c>
      <c r="AC42" s="141">
        <v>4</v>
      </c>
      <c r="AD42" s="136" t="s">
        <v>123</v>
      </c>
      <c r="AE42" s="138">
        <f>AVERAGEIFS(J111:J140,D111:D140,1,G111:G140,"tue")</f>
        <v>2445.2365415986947</v>
      </c>
      <c r="AF42" s="141">
        <f>COUNTIFS(D111:D140,1,G111:G140,"tue")</f>
        <v>5</v>
      </c>
      <c r="AG42" s="138"/>
      <c r="AH42" s="138">
        <f t="shared" si="20"/>
        <v>12226.182707993474</v>
      </c>
      <c r="AI42" s="264">
        <f t="shared" ref="AI42:AI47" si="26">AH42/$M$9</f>
        <v>0.20205276383076137</v>
      </c>
      <c r="AJ42" s="393"/>
      <c r="AK42" s="134"/>
      <c r="AL42" s="134"/>
      <c r="AM42" s="134"/>
      <c r="AN42" s="18"/>
      <c r="AO42" s="18"/>
      <c r="AP42" s="18"/>
      <c r="AQ42" s="18"/>
      <c r="AR42" s="17"/>
      <c r="AS42" s="21">
        <f t="shared" si="22"/>
        <v>45314</v>
      </c>
      <c r="AT42" s="17"/>
      <c r="AU42" s="17"/>
      <c r="AV42" s="17"/>
      <c r="AW42" s="17"/>
      <c r="AX42" s="17"/>
      <c r="AY42" s="17"/>
      <c r="AZ42" s="17"/>
    </row>
    <row r="43" spans="1:52" ht="20">
      <c r="A43" s="17"/>
      <c r="B43" s="40"/>
      <c r="C43" s="55">
        <f t="shared" si="16"/>
        <v>24</v>
      </c>
      <c r="D43" s="54">
        <v>1</v>
      </c>
      <c r="E43" s="53" t="str">
        <f t="shared" si="8"/>
        <v>1</v>
      </c>
      <c r="F43" s="52">
        <f t="shared" si="17"/>
        <v>45315</v>
      </c>
      <c r="G43" s="51" t="str">
        <f t="shared" si="18"/>
        <v>Wed</v>
      </c>
      <c r="H43" s="50"/>
      <c r="I43" s="49"/>
      <c r="J43" s="343">
        <f>255500/$B$13</f>
        <v>2315.5700561899584</v>
      </c>
      <c r="K43" s="31"/>
      <c r="L43" s="317">
        <f t="shared" si="9"/>
        <v>2010.1046247114143</v>
      </c>
      <c r="M43" s="318">
        <f t="shared" si="10"/>
        <v>305.46543147854413</v>
      </c>
      <c r="N43" s="41">
        <f t="shared" si="11"/>
        <v>1.1519649413882618</v>
      </c>
      <c r="O43" s="46"/>
      <c r="P43" s="328">
        <f>IF(D43=0,0,SUM($L$20:L43))</f>
        <v>32161.673995382622</v>
      </c>
      <c r="Q43" s="317">
        <f>IF(D43=0,0,SUM($J$20:J43))</f>
        <v>32713.648722131587</v>
      </c>
      <c r="R43" s="321">
        <f t="shared" si="12"/>
        <v>551.97472674896562</v>
      </c>
      <c r="S43" s="41">
        <f t="shared" si="13"/>
        <v>1.0171624999006026</v>
      </c>
      <c r="T43" s="56"/>
      <c r="U43" s="348">
        <f>IF(D43=0,0,SUM($L$20:L43))</f>
        <v>32161.673995382622</v>
      </c>
      <c r="V43" s="348">
        <f>IF(D43=0,0,SUM($J$20:J43))</f>
        <v>32713.648722131587</v>
      </c>
      <c r="W43" s="349">
        <f t="shared" si="14"/>
        <v>551.97472674896562</v>
      </c>
      <c r="X43" s="41">
        <f t="shared" si="15"/>
        <v>1.0171624999006026</v>
      </c>
      <c r="Y43" s="17"/>
      <c r="Z43" s="23">
        <f t="shared" si="25"/>
        <v>45315</v>
      </c>
      <c r="AA43" s="22">
        <f t="shared" si="25"/>
        <v>45315</v>
      </c>
      <c r="AB43" s="137">
        <v>45315</v>
      </c>
      <c r="AC43" s="141">
        <v>4</v>
      </c>
      <c r="AD43" s="136" t="s">
        <v>124</v>
      </c>
      <c r="AE43" s="138">
        <f>AVERAGEIFS(J111:J140,D111:D140,1,G111:G140,"wed")</f>
        <v>2652.8004350190317</v>
      </c>
      <c r="AF43" s="141">
        <f>COUNTIFS(D111:D140,1,G111:G140,"wed")</f>
        <v>4</v>
      </c>
      <c r="AG43" s="138"/>
      <c r="AH43" s="138">
        <f t="shared" si="20"/>
        <v>10611.201740076127</v>
      </c>
      <c r="AI43" s="264">
        <f t="shared" si="26"/>
        <v>0.17536320946245998</v>
      </c>
      <c r="AJ43" s="393"/>
      <c r="AK43" s="134"/>
      <c r="AL43" s="134"/>
      <c r="AM43" s="134"/>
      <c r="AN43" s="18"/>
      <c r="AO43" s="18"/>
      <c r="AP43" s="18"/>
      <c r="AQ43" s="18"/>
      <c r="AR43" s="17"/>
      <c r="AS43" s="21">
        <f t="shared" si="22"/>
        <v>45315</v>
      </c>
      <c r="AT43" s="17"/>
      <c r="AU43" s="17"/>
      <c r="AV43" s="17"/>
      <c r="AW43" s="17"/>
      <c r="AX43" s="17"/>
      <c r="AY43" s="17"/>
      <c r="AZ43" s="17"/>
    </row>
    <row r="44" spans="1:52" ht="20">
      <c r="A44" s="17"/>
      <c r="B44" s="40"/>
      <c r="C44" s="55">
        <f t="shared" si="16"/>
        <v>25</v>
      </c>
      <c r="D44" s="54">
        <v>1</v>
      </c>
      <c r="E44" s="53" t="str">
        <f t="shared" si="8"/>
        <v>1</v>
      </c>
      <c r="F44" s="52">
        <f t="shared" si="17"/>
        <v>45316</v>
      </c>
      <c r="G44" s="51" t="str">
        <f t="shared" si="18"/>
        <v>Thu</v>
      </c>
      <c r="H44" s="50"/>
      <c r="I44" s="49"/>
      <c r="J44" s="343">
        <f>252450/$B$13</f>
        <v>2287.9282218597064</v>
      </c>
      <c r="K44" s="31"/>
      <c r="L44" s="317">
        <f t="shared" si="9"/>
        <v>2010.1046247114143</v>
      </c>
      <c r="M44" s="318">
        <f t="shared" si="10"/>
        <v>277.82359714829204</v>
      </c>
      <c r="N44" s="41">
        <f t="shared" si="11"/>
        <v>1.1382135007963472</v>
      </c>
      <c r="O44" s="46"/>
      <c r="P44" s="328">
        <f>IF(D44=0,0,SUM($L$20:L44))</f>
        <v>34171.778620094039</v>
      </c>
      <c r="Q44" s="317">
        <f>IF(D44=0,0,SUM($J$20:J44))</f>
        <v>35001.576943991291</v>
      </c>
      <c r="R44" s="321">
        <f t="shared" si="12"/>
        <v>829.79832389725198</v>
      </c>
      <c r="S44" s="41">
        <f t="shared" si="13"/>
        <v>1.0242831470121168</v>
      </c>
      <c r="T44" s="56"/>
      <c r="U44" s="348">
        <f>IF(D44=0,0,SUM($L$20:L44))</f>
        <v>34171.778620094039</v>
      </c>
      <c r="V44" s="348">
        <f>IF(D44=0,0,SUM($J$20:J44))</f>
        <v>35001.576943991291</v>
      </c>
      <c r="W44" s="349">
        <f t="shared" si="14"/>
        <v>829.79832389725198</v>
      </c>
      <c r="X44" s="41">
        <f t="shared" si="15"/>
        <v>1.0242831470121168</v>
      </c>
      <c r="Y44" s="17"/>
      <c r="Z44" s="23">
        <f t="shared" si="25"/>
        <v>45316</v>
      </c>
      <c r="AA44" s="22">
        <f t="shared" si="25"/>
        <v>45316</v>
      </c>
      <c r="AB44" s="137">
        <v>45316</v>
      </c>
      <c r="AC44" s="141">
        <v>4</v>
      </c>
      <c r="AD44" s="136" t="s">
        <v>125</v>
      </c>
      <c r="AE44" s="138">
        <f>AVERAGEIFS(J111:J140,D111:D140,1,G111:G140,"thu")</f>
        <v>2519.870400580025</v>
      </c>
      <c r="AF44" s="141">
        <f>COUNTIFS(D111:D140,1,G111:G140,"thu")</f>
        <v>4</v>
      </c>
      <c r="AG44" s="138"/>
      <c r="AH44" s="138">
        <f t="shared" si="20"/>
        <v>10079.4816023201</v>
      </c>
      <c r="AI44" s="264">
        <f t="shared" si="26"/>
        <v>0.16657587771844498</v>
      </c>
      <c r="AJ44" s="393"/>
      <c r="AK44" s="134"/>
      <c r="AL44" s="134"/>
      <c r="AM44" s="134"/>
      <c r="AN44" s="18"/>
      <c r="AO44" s="18"/>
      <c r="AP44" s="18"/>
      <c r="AQ44" s="18"/>
      <c r="AR44" s="17"/>
      <c r="AS44" s="21">
        <f t="shared" si="22"/>
        <v>45316</v>
      </c>
      <c r="AT44" s="17"/>
      <c r="AU44" s="17"/>
      <c r="AV44" s="17"/>
      <c r="AW44" s="17"/>
      <c r="AX44" s="17"/>
      <c r="AY44" s="17"/>
      <c r="AZ44" s="17"/>
    </row>
    <row r="45" spans="1:52" ht="20">
      <c r="A45" s="17"/>
      <c r="B45" s="40"/>
      <c r="C45" s="55">
        <f t="shared" si="16"/>
        <v>26</v>
      </c>
      <c r="D45" s="54">
        <v>1</v>
      </c>
      <c r="E45" s="53" t="str">
        <f t="shared" si="8"/>
        <v>1</v>
      </c>
      <c r="F45" s="52">
        <f t="shared" si="17"/>
        <v>45317</v>
      </c>
      <c r="G45" s="51" t="str">
        <f t="shared" si="18"/>
        <v>Fri</v>
      </c>
      <c r="H45" s="50"/>
      <c r="I45" s="49"/>
      <c r="J45" s="343">
        <f>288150/$B$13</f>
        <v>2611.4736269711798</v>
      </c>
      <c r="K45" s="31"/>
      <c r="L45" s="317">
        <f t="shared" si="9"/>
        <v>2010.1046247114143</v>
      </c>
      <c r="M45" s="318">
        <f t="shared" si="10"/>
        <v>601.36900225976547</v>
      </c>
      <c r="N45" s="41">
        <f t="shared" si="11"/>
        <v>1.2991729857574466</v>
      </c>
      <c r="O45" s="46"/>
      <c r="P45" s="328">
        <f>IF(D45=0,0,SUM($L$20:L45))</f>
        <v>36181.883244805453</v>
      </c>
      <c r="Q45" s="317">
        <f>IF(D45=0,0,SUM($J$20:J45))</f>
        <v>37613.05057096247</v>
      </c>
      <c r="R45" s="321">
        <f t="shared" si="12"/>
        <v>1431.1673261570177</v>
      </c>
      <c r="S45" s="41">
        <f t="shared" si="13"/>
        <v>1.0395548047201906</v>
      </c>
      <c r="T45" s="44"/>
      <c r="U45" s="348">
        <f>IF(D45=0,0,SUM($L$20:L45))</f>
        <v>36181.883244805453</v>
      </c>
      <c r="V45" s="348">
        <f>IF(D45=0,0,SUM($J$20:J45))</f>
        <v>37613.05057096247</v>
      </c>
      <c r="W45" s="349">
        <f t="shared" si="14"/>
        <v>1431.1673261570177</v>
      </c>
      <c r="X45" s="41">
        <f t="shared" si="15"/>
        <v>1.0395548047201906</v>
      </c>
      <c r="Y45" s="17"/>
      <c r="Z45" s="23">
        <f t="shared" si="25"/>
        <v>45317</v>
      </c>
      <c r="AA45" s="22">
        <f t="shared" si="25"/>
        <v>45317</v>
      </c>
      <c r="AB45" s="137">
        <v>45317</v>
      </c>
      <c r="AC45" s="141">
        <v>4</v>
      </c>
      <c r="AD45" s="136" t="s">
        <v>126</v>
      </c>
      <c r="AE45" s="138">
        <f>AVERAGEIFS(J111:J140,D111:D140,1,G111:G140,"fri")</f>
        <v>3000.9969186151893</v>
      </c>
      <c r="AF45" s="141">
        <f>COUNTIFS(D111:D140,1,G111:G140,"fri")</f>
        <v>4</v>
      </c>
      <c r="AG45" s="138"/>
      <c r="AH45" s="138">
        <f t="shared" si="20"/>
        <v>12003.987674460757</v>
      </c>
      <c r="AI45" s="264">
        <f t="shared" si="26"/>
        <v>0.19838071657717324</v>
      </c>
      <c r="AJ45" s="393"/>
      <c r="AK45" s="134"/>
      <c r="AL45" s="134"/>
      <c r="AM45" s="134"/>
      <c r="AN45" s="18"/>
      <c r="AO45" s="18"/>
      <c r="AP45" s="18"/>
      <c r="AQ45" s="18"/>
      <c r="AR45" s="17"/>
      <c r="AS45" s="21">
        <f t="shared" si="22"/>
        <v>45317</v>
      </c>
      <c r="AT45" s="17"/>
      <c r="AU45" s="17"/>
      <c r="AV45" s="17"/>
      <c r="AW45" s="17"/>
      <c r="AX45" s="17"/>
      <c r="AY45" s="17"/>
      <c r="AZ45" s="17"/>
    </row>
    <row r="46" spans="1:52" ht="20">
      <c r="A46" s="17"/>
      <c r="B46" s="40"/>
      <c r="C46" s="55">
        <f t="shared" si="16"/>
        <v>27</v>
      </c>
      <c r="D46" s="54">
        <v>1</v>
      </c>
      <c r="E46" s="53" t="str">
        <f t="shared" si="8"/>
        <v>1</v>
      </c>
      <c r="F46" s="52">
        <f t="shared" si="17"/>
        <v>45318</v>
      </c>
      <c r="G46" s="51" t="str">
        <f t="shared" si="18"/>
        <v>Sat</v>
      </c>
      <c r="H46" s="50"/>
      <c r="I46" s="49"/>
      <c r="J46" s="343">
        <f>114650/$B$13</f>
        <v>1039.0610839224216</v>
      </c>
      <c r="K46" s="31"/>
      <c r="L46" s="317">
        <f t="shared" si="9"/>
        <v>2010.1046247114143</v>
      </c>
      <c r="M46" s="318">
        <f t="shared" si="10"/>
        <v>-971.04354078899269</v>
      </c>
      <c r="N46" s="41">
        <f t="shared" si="11"/>
        <v>0.51691890618459579</v>
      </c>
      <c r="O46" s="46"/>
      <c r="P46" s="328">
        <f>IF(D46=0,0,SUM($L$20:L46))</f>
        <v>38191.987869516866</v>
      </c>
      <c r="Q46" s="317">
        <f>IF(D46=0,0,SUM($J$20:J46))</f>
        <v>38652.111654884895</v>
      </c>
      <c r="R46" s="321">
        <f t="shared" si="12"/>
        <v>460.12378536802862</v>
      </c>
      <c r="S46" s="41">
        <f t="shared" si="13"/>
        <v>1.0120476521656858</v>
      </c>
      <c r="T46" s="56"/>
      <c r="U46" s="348">
        <f>IF(D46=0,0,SUM($L$20:L46))</f>
        <v>38191.987869516866</v>
      </c>
      <c r="V46" s="348">
        <f>IF(D46=0,0,SUM($J$20:J46))</f>
        <v>38652.111654884895</v>
      </c>
      <c r="W46" s="349">
        <f t="shared" si="14"/>
        <v>460.12378536802862</v>
      </c>
      <c r="X46" s="41">
        <f t="shared" si="15"/>
        <v>1.0120476521656858</v>
      </c>
      <c r="Y46" s="17"/>
      <c r="Z46" s="23">
        <f t="shared" si="25"/>
        <v>45318</v>
      </c>
      <c r="AA46" s="22">
        <f t="shared" si="25"/>
        <v>45318</v>
      </c>
      <c r="AB46" s="137">
        <v>45318</v>
      </c>
      <c r="AC46" s="141">
        <v>4</v>
      </c>
      <c r="AD46" s="136" t="s">
        <v>127</v>
      </c>
      <c r="AE46" s="138">
        <f>AVERAGEIFS(J111:J140,D111:D140,1,G111:G140,"sat")</f>
        <v>1827.601051295994</v>
      </c>
      <c r="AF46" s="141">
        <f>COUNTIFS(D111:D140,1,G111:G140,"sat")</f>
        <v>4</v>
      </c>
      <c r="AG46" s="138"/>
      <c r="AH46" s="138">
        <f t="shared" si="20"/>
        <v>7310.404205183976</v>
      </c>
      <c r="AI46" s="264">
        <f t="shared" si="26"/>
        <v>0.12081345499701419</v>
      </c>
      <c r="AJ46" s="393"/>
      <c r="AK46" s="134"/>
      <c r="AL46" s="134"/>
      <c r="AM46" s="134"/>
      <c r="AN46" s="18"/>
      <c r="AO46" s="18"/>
      <c r="AP46" s="18"/>
      <c r="AQ46" s="18"/>
      <c r="AR46" s="17"/>
      <c r="AS46" s="21">
        <f t="shared" si="22"/>
        <v>45318</v>
      </c>
      <c r="AT46" s="17"/>
      <c r="AU46" s="17"/>
      <c r="AV46" s="17"/>
      <c r="AW46" s="17"/>
      <c r="AX46" s="17"/>
      <c r="AY46" s="17"/>
      <c r="AZ46" s="17"/>
    </row>
    <row r="47" spans="1:52" ht="20">
      <c r="A47" s="17"/>
      <c r="B47" s="40"/>
      <c r="C47" s="55">
        <f t="shared" si="16"/>
        <v>28</v>
      </c>
      <c r="D47" s="54">
        <v>0</v>
      </c>
      <c r="E47" s="53" t="str">
        <f t="shared" si="8"/>
        <v>1</v>
      </c>
      <c r="F47" s="52">
        <f t="shared" si="17"/>
        <v>45319</v>
      </c>
      <c r="G47" s="51" t="str">
        <f t="shared" si="18"/>
        <v>Sun</v>
      </c>
      <c r="H47" s="50" t="s">
        <v>46</v>
      </c>
      <c r="I47" s="67"/>
      <c r="J47" s="343"/>
      <c r="K47" s="65"/>
      <c r="L47" s="317">
        <f t="shared" si="9"/>
        <v>0</v>
      </c>
      <c r="M47" s="318">
        <f t="shared" si="10"/>
        <v>0</v>
      </c>
      <c r="N47" s="41" t="str">
        <f t="shared" si="11"/>
        <v>0%</v>
      </c>
      <c r="O47" s="46"/>
      <c r="P47" s="328">
        <f>IF(D47=0,0,SUM($L$20:L47))</f>
        <v>0</v>
      </c>
      <c r="Q47" s="317">
        <f>IF(D47=0,0,SUM($J$20:J47))</f>
        <v>0</v>
      </c>
      <c r="R47" s="321">
        <f t="shared" si="12"/>
        <v>0</v>
      </c>
      <c r="S47" s="41" t="str">
        <f t="shared" si="13"/>
        <v>0%</v>
      </c>
      <c r="T47" s="56"/>
      <c r="U47" s="348">
        <f>IF(D47=0,0,SUM($L$20:L47))</f>
        <v>0</v>
      </c>
      <c r="V47" s="348">
        <f>IF(D47=0,0,SUM($J$20:J47))</f>
        <v>0</v>
      </c>
      <c r="W47" s="349">
        <f t="shared" si="14"/>
        <v>0</v>
      </c>
      <c r="X47" s="41" t="str">
        <f t="shared" si="15"/>
        <v>0%</v>
      </c>
      <c r="Y47" s="17"/>
      <c r="Z47" s="23">
        <f t="shared" si="25"/>
        <v>45319</v>
      </c>
      <c r="AA47" s="22">
        <f t="shared" si="25"/>
        <v>45319</v>
      </c>
      <c r="AB47" s="137">
        <v>45319</v>
      </c>
      <c r="AC47" s="141">
        <v>4</v>
      </c>
      <c r="AD47" s="136" t="s">
        <v>128</v>
      </c>
      <c r="AE47" s="138">
        <f>IFERROR(AVERAGEIFS(J111:J140,D111:D140,1,G111:G140,"sun"),0)</f>
        <v>0</v>
      </c>
      <c r="AF47" s="141">
        <f>IFERROR(COUNTIFS(D111:D140,1,G111:G140,"sun"),0)</f>
        <v>0</v>
      </c>
      <c r="AG47" s="138"/>
      <c r="AH47" s="138">
        <f t="shared" si="20"/>
        <v>0</v>
      </c>
      <c r="AI47" s="264">
        <f t="shared" si="26"/>
        <v>0</v>
      </c>
      <c r="AJ47" s="393"/>
      <c r="AK47" s="134"/>
      <c r="AL47" s="134"/>
      <c r="AM47" s="134"/>
      <c r="AN47" s="18"/>
      <c r="AO47" s="18"/>
      <c r="AP47" s="18"/>
      <c r="AQ47" s="18"/>
      <c r="AR47" s="17"/>
      <c r="AS47" s="21">
        <f t="shared" si="22"/>
        <v>45319</v>
      </c>
      <c r="AT47" s="17"/>
      <c r="AU47" s="17"/>
      <c r="AV47" s="17"/>
      <c r="AW47" s="17"/>
      <c r="AX47" s="17"/>
      <c r="AY47" s="17"/>
      <c r="AZ47" s="17"/>
    </row>
    <row r="48" spans="1:52" ht="20">
      <c r="A48" s="17"/>
      <c r="B48" s="40"/>
      <c r="C48" s="55">
        <f t="shared" si="16"/>
        <v>29</v>
      </c>
      <c r="D48" s="54">
        <v>1</v>
      </c>
      <c r="E48" s="53" t="str">
        <f t="shared" si="8"/>
        <v>1</v>
      </c>
      <c r="F48" s="52">
        <f t="shared" si="17"/>
        <v>45320</v>
      </c>
      <c r="G48" s="51" t="str">
        <f t="shared" si="18"/>
        <v>Mon</v>
      </c>
      <c r="H48" s="50"/>
      <c r="I48" s="49"/>
      <c r="J48" s="343">
        <f>322450/$B$13</f>
        <v>2922.3309769802427</v>
      </c>
      <c r="K48" s="31"/>
      <c r="L48" s="317">
        <f t="shared" si="9"/>
        <v>2010.1046247114143</v>
      </c>
      <c r="M48" s="318">
        <f t="shared" si="10"/>
        <v>912.22635226882835</v>
      </c>
      <c r="N48" s="41">
        <f t="shared" si="11"/>
        <v>1.4538203340534051</v>
      </c>
      <c r="O48" s="46"/>
      <c r="P48" s="328">
        <f>IF(D48=0,0,SUM($L$20:L48))</f>
        <v>40202.09249422828</v>
      </c>
      <c r="Q48" s="317">
        <f>IF(D48=0,0,SUM($J$20:J48))</f>
        <v>41574.442631865139</v>
      </c>
      <c r="R48" s="321">
        <f t="shared" si="12"/>
        <v>1372.3501376368586</v>
      </c>
      <c r="S48" s="41">
        <f t="shared" si="13"/>
        <v>1.0341362862600718</v>
      </c>
      <c r="T48" s="56"/>
      <c r="U48" s="348">
        <f>IF(D48=0,0,SUM($L$20:L48))</f>
        <v>40202.09249422828</v>
      </c>
      <c r="V48" s="348">
        <f>IF(D48=0,0,SUM($J$20:J48))</f>
        <v>41574.442631865139</v>
      </c>
      <c r="W48" s="349">
        <f t="shared" si="14"/>
        <v>1372.3501376368586</v>
      </c>
      <c r="X48" s="41">
        <f t="shared" si="15"/>
        <v>1.0341362862600718</v>
      </c>
      <c r="Y48" s="17"/>
      <c r="Z48" s="23">
        <f t="shared" si="25"/>
        <v>45320</v>
      </c>
      <c r="AA48" s="22">
        <f t="shared" si="25"/>
        <v>45320</v>
      </c>
      <c r="AB48" s="137">
        <v>45320</v>
      </c>
      <c r="AC48" s="141">
        <v>5</v>
      </c>
      <c r="AD48" s="136" t="s">
        <v>122</v>
      </c>
      <c r="AE48" s="138">
        <f>AVERAGEIFS(J141:J171,D141:D171,1,G141:G171,"mon")</f>
        <v>2162.4977342758743</v>
      </c>
      <c r="AF48" s="141">
        <f>COUNTIFS(D141:D171,1,G141:G171,"Mon")</f>
        <v>3</v>
      </c>
      <c r="AG48" s="138"/>
      <c r="AH48" s="138">
        <f t="shared" si="20"/>
        <v>6487.4932028276235</v>
      </c>
      <c r="AI48" s="264">
        <f>AH48/$M$10</f>
        <v>0.11611173380091842</v>
      </c>
      <c r="AJ48" s="393">
        <f>SUM(AI48:AI54)</f>
        <v>1</v>
      </c>
      <c r="AK48" s="134" t="s">
        <v>132</v>
      </c>
      <c r="AL48" s="134"/>
      <c r="AM48" s="134"/>
      <c r="AN48" s="18"/>
      <c r="AO48" s="18"/>
      <c r="AP48" s="18"/>
      <c r="AQ48" s="18"/>
      <c r="AR48" s="17"/>
      <c r="AS48" s="21">
        <f t="shared" si="22"/>
        <v>45320</v>
      </c>
      <c r="AT48" s="17"/>
      <c r="AU48" s="17"/>
      <c r="AV48" s="17"/>
      <c r="AW48" s="17"/>
      <c r="AX48" s="17"/>
      <c r="AY48" s="17"/>
      <c r="AZ48" s="17"/>
    </row>
    <row r="49" spans="1:52" ht="20">
      <c r="A49" s="17"/>
      <c r="B49" s="40"/>
      <c r="C49" s="55">
        <f t="shared" si="16"/>
        <v>30</v>
      </c>
      <c r="D49" s="54">
        <v>1</v>
      </c>
      <c r="E49" s="53" t="str">
        <f t="shared" si="8"/>
        <v>1</v>
      </c>
      <c r="F49" s="52">
        <f t="shared" si="17"/>
        <v>45321</v>
      </c>
      <c r="G49" s="51" t="str">
        <f t="shared" si="18"/>
        <v>Tue</v>
      </c>
      <c r="H49" s="50"/>
      <c r="I49" s="49"/>
      <c r="J49" s="343">
        <f>188550/$B$13</f>
        <v>1708.8091353996738</v>
      </c>
      <c r="K49" s="31"/>
      <c r="L49" s="317">
        <f t="shared" si="9"/>
        <v>2010.1046247114143</v>
      </c>
      <c r="M49" s="318">
        <f t="shared" si="10"/>
        <v>-301.29548931174054</v>
      </c>
      <c r="N49" s="41">
        <f t="shared" si="11"/>
        <v>0.85010954872311839</v>
      </c>
      <c r="O49" s="46"/>
      <c r="P49" s="328">
        <f>IF(D49=0,0,SUM($L$20:L49))</f>
        <v>42212.197118939694</v>
      </c>
      <c r="Q49" s="317">
        <f>IF(D49=0,0,SUM($J$20:J49))</f>
        <v>43283.25176726481</v>
      </c>
      <c r="R49" s="321">
        <f t="shared" si="12"/>
        <v>1071.0546483251164</v>
      </c>
      <c r="S49" s="41">
        <f t="shared" si="13"/>
        <v>1.0253731082821216</v>
      </c>
      <c r="T49" s="56"/>
      <c r="U49" s="348">
        <f>IF(D49=0,0,SUM($L$20:L49))</f>
        <v>42212.197118939694</v>
      </c>
      <c r="V49" s="348">
        <f>IF(D49=0,0,SUM($J$20:J49))</f>
        <v>43283.25176726481</v>
      </c>
      <c r="W49" s="349">
        <f t="shared" si="14"/>
        <v>1071.0546483251164</v>
      </c>
      <c r="X49" s="41">
        <f t="shared" si="15"/>
        <v>1.0253731082821216</v>
      </c>
      <c r="Y49" s="17"/>
      <c r="Z49" s="23">
        <f t="shared" si="25"/>
        <v>45321</v>
      </c>
      <c r="AA49" s="22">
        <f t="shared" si="25"/>
        <v>45321</v>
      </c>
      <c r="AB49" s="137">
        <v>45321</v>
      </c>
      <c r="AC49" s="141">
        <v>5</v>
      </c>
      <c r="AD49" s="136" t="s">
        <v>123</v>
      </c>
      <c r="AE49" s="138">
        <f>AVERAGEIFS(J141:J171,D141:D171,1,G141:G171,"tue")</f>
        <v>2102.6939459851369</v>
      </c>
      <c r="AF49" s="141">
        <f>COUNTIFS(D141:D171,1,G141:G171,"tue")</f>
        <v>4</v>
      </c>
      <c r="AG49" s="138"/>
      <c r="AH49" s="138">
        <f t="shared" si="20"/>
        <v>8410.7757839405476</v>
      </c>
      <c r="AI49" s="264">
        <f t="shared" ref="AI49:AI54" si="27">AH49/$M$10</f>
        <v>0.15053422459979793</v>
      </c>
      <c r="AJ49" s="393"/>
      <c r="AK49" s="134"/>
      <c r="AL49" s="134"/>
      <c r="AM49" s="134"/>
      <c r="AN49" s="18"/>
      <c r="AO49" s="18"/>
      <c r="AP49" s="18"/>
      <c r="AQ49" s="18"/>
      <c r="AR49" s="17"/>
      <c r="AS49" s="21">
        <f t="shared" si="22"/>
        <v>45321</v>
      </c>
      <c r="AT49" s="17"/>
      <c r="AU49" s="17"/>
      <c r="AV49" s="17"/>
      <c r="AW49" s="17"/>
      <c r="AX49" s="17"/>
      <c r="AY49" s="17"/>
      <c r="AZ49" s="17"/>
    </row>
    <row r="50" spans="1:52" ht="21" thickBot="1">
      <c r="A50" s="17"/>
      <c r="B50" s="40"/>
      <c r="C50" s="39">
        <f t="shared" si="16"/>
        <v>31</v>
      </c>
      <c r="D50" s="38">
        <v>1</v>
      </c>
      <c r="E50" s="37" t="str">
        <f t="shared" si="8"/>
        <v>1</v>
      </c>
      <c r="F50" s="36">
        <f t="shared" si="17"/>
        <v>45322</v>
      </c>
      <c r="G50" s="35" t="str">
        <f t="shared" si="18"/>
        <v>Wed</v>
      </c>
      <c r="H50" s="34"/>
      <c r="I50" s="33"/>
      <c r="J50" s="344">
        <f>206500/$B$13</f>
        <v>1871.4881276055826</v>
      </c>
      <c r="K50" s="31"/>
      <c r="L50" s="326">
        <f t="shared" si="9"/>
        <v>2010.1046247114143</v>
      </c>
      <c r="M50" s="320">
        <f t="shared" si="10"/>
        <v>-138.61649710583174</v>
      </c>
      <c r="N50" s="24">
        <f t="shared" si="11"/>
        <v>0.93104015810832108</v>
      </c>
      <c r="O50" s="29"/>
      <c r="P50" s="347">
        <f>IF(D50=0,0,SUM($L$20:L50))</f>
        <v>44222.301743651107</v>
      </c>
      <c r="Q50" s="326">
        <f>IF(D50=0,0,SUM($J$20:J50))</f>
        <v>45154.739894870392</v>
      </c>
      <c r="R50" s="327">
        <f t="shared" si="12"/>
        <v>932.43815121928492</v>
      </c>
      <c r="S50" s="24">
        <f t="shared" si="13"/>
        <v>1.0210852469105851</v>
      </c>
      <c r="T50" s="64"/>
      <c r="U50" s="350">
        <f>IF(D50=0,0,SUM($L$20:L50))</f>
        <v>44222.301743651107</v>
      </c>
      <c r="V50" s="350">
        <f>IF(D50=0,0,SUM($J$20:J50))</f>
        <v>45154.739894870392</v>
      </c>
      <c r="W50" s="351">
        <f t="shared" si="14"/>
        <v>932.43815121928492</v>
      </c>
      <c r="X50" s="24">
        <f t="shared" si="15"/>
        <v>1.0210852469105851</v>
      </c>
      <c r="Y50" s="17"/>
      <c r="Z50" s="23">
        <f t="shared" si="25"/>
        <v>45322</v>
      </c>
      <c r="AA50" s="22">
        <f t="shared" si="25"/>
        <v>45322</v>
      </c>
      <c r="AB50" s="137">
        <v>45322</v>
      </c>
      <c r="AC50" s="141">
        <v>5</v>
      </c>
      <c r="AD50" s="136" t="s">
        <v>124</v>
      </c>
      <c r="AE50" s="138">
        <f>AVERAGEIFS(J141:J171,D141:D171,1,G141:G171,"wed")</f>
        <v>2907.0781221678449</v>
      </c>
      <c r="AF50" s="141">
        <f>COUNTIFS(D141:D171,1,G141:G171,"wed")</f>
        <v>5</v>
      </c>
      <c r="AG50" s="138"/>
      <c r="AH50" s="138">
        <f t="shared" si="20"/>
        <v>14535.390610839224</v>
      </c>
      <c r="AI50" s="264">
        <f t="shared" si="27"/>
        <v>0.26015124063059109</v>
      </c>
      <c r="AJ50" s="393"/>
      <c r="AK50" s="134"/>
      <c r="AL50" s="134"/>
      <c r="AM50" s="134"/>
      <c r="AN50" s="18"/>
      <c r="AO50" s="18"/>
      <c r="AP50" s="18"/>
      <c r="AQ50" s="18"/>
      <c r="AR50" s="17"/>
      <c r="AS50" s="21">
        <f t="shared" si="22"/>
        <v>45322</v>
      </c>
      <c r="AT50" s="17"/>
      <c r="AU50" s="17"/>
      <c r="AV50" s="17"/>
      <c r="AW50" s="17"/>
      <c r="AX50" s="17"/>
      <c r="AY50" s="17"/>
      <c r="AZ50" s="17"/>
    </row>
    <row r="51" spans="1:52" ht="21" thickTop="1">
      <c r="A51" s="17"/>
      <c r="B51" s="40"/>
      <c r="C51" s="55">
        <f t="shared" si="16"/>
        <v>32</v>
      </c>
      <c r="D51" s="62">
        <v>1</v>
      </c>
      <c r="E51" s="53" t="str">
        <f t="shared" si="8"/>
        <v>2</v>
      </c>
      <c r="F51" s="52">
        <f t="shared" si="17"/>
        <v>45323</v>
      </c>
      <c r="G51" s="51" t="str">
        <f t="shared" si="18"/>
        <v>Thu</v>
      </c>
      <c r="H51" s="50"/>
      <c r="I51" s="49"/>
      <c r="J51" s="343">
        <f>218090/$B$13</f>
        <v>1976.5270980605401</v>
      </c>
      <c r="K51" s="31"/>
      <c r="L51" s="317">
        <f t="shared" ref="L51:L79" si="28">IF(D51=0,0,$K$7)</f>
        <v>1898.4321455607801</v>
      </c>
      <c r="M51" s="321">
        <f t="shared" si="10"/>
        <v>78.094952499759984</v>
      </c>
      <c r="N51" s="60">
        <f t="shared" si="11"/>
        <v>1.0411365519080438</v>
      </c>
      <c r="O51" s="46"/>
      <c r="P51" s="329">
        <f>IF(D51=0,0,$L$51)</f>
        <v>1898.4321455607801</v>
      </c>
      <c r="Q51" s="317">
        <f>IF(D51=0,0,$J$51)</f>
        <v>1976.5270980605401</v>
      </c>
      <c r="R51" s="321">
        <f t="shared" si="12"/>
        <v>78.094952499759984</v>
      </c>
      <c r="S51" s="60">
        <f t="shared" si="13"/>
        <v>1.0411365519080438</v>
      </c>
      <c r="T51" s="56"/>
      <c r="U51" s="348">
        <f>IF(D51=0,0,SUM($L$20:L51))</f>
        <v>46120.733889211886</v>
      </c>
      <c r="V51" s="348">
        <f>IF(D51=0,0,SUM($J$20:J51))</f>
        <v>47131.266992930934</v>
      </c>
      <c r="W51" s="349">
        <f t="shared" si="14"/>
        <v>1010.5331037190481</v>
      </c>
      <c r="X51" s="60">
        <f t="shared" si="15"/>
        <v>1.021910603290626</v>
      </c>
      <c r="Y51" s="17"/>
      <c r="Z51" s="23">
        <f t="shared" si="25"/>
        <v>45323</v>
      </c>
      <c r="AA51" s="22">
        <f t="shared" si="25"/>
        <v>45323</v>
      </c>
      <c r="AB51" s="137">
        <v>45323</v>
      </c>
      <c r="AC51" s="141">
        <v>5</v>
      </c>
      <c r="AD51" s="136" t="s">
        <v>125</v>
      </c>
      <c r="AE51" s="138">
        <f>AVERAGEIFS(J141:J171,D141:D171,1,G141:G171,"thu")</f>
        <v>1997.6255211165487</v>
      </c>
      <c r="AF51" s="141">
        <f>COUNTIFS(D141:D171,1,G141:G171,"thu")</f>
        <v>5</v>
      </c>
      <c r="AG51" s="138"/>
      <c r="AH51" s="138">
        <f t="shared" si="20"/>
        <v>9988.1276055827439</v>
      </c>
      <c r="AI51" s="264">
        <f t="shared" si="27"/>
        <v>0.17876532235957446</v>
      </c>
      <c r="AJ51" s="393"/>
      <c r="AK51" s="134"/>
      <c r="AL51" s="134"/>
      <c r="AM51" s="134"/>
      <c r="AN51" s="18"/>
      <c r="AO51" s="18"/>
      <c r="AP51" s="18"/>
      <c r="AQ51" s="18"/>
      <c r="AR51" s="17"/>
      <c r="AS51" s="21">
        <f t="shared" si="22"/>
        <v>45323</v>
      </c>
      <c r="AT51" s="17"/>
      <c r="AU51" s="17"/>
      <c r="AV51" s="17"/>
      <c r="AW51" s="17"/>
      <c r="AX51" s="17"/>
      <c r="AY51" s="17"/>
      <c r="AZ51" s="17"/>
    </row>
    <row r="52" spans="1:52" ht="20">
      <c r="A52" s="17"/>
      <c r="B52" s="40"/>
      <c r="C52" s="55">
        <f t="shared" si="16"/>
        <v>33</v>
      </c>
      <c r="D52" s="54">
        <v>1</v>
      </c>
      <c r="E52" s="53" t="str">
        <f t="shared" si="8"/>
        <v>2</v>
      </c>
      <c r="F52" s="52">
        <f t="shared" si="17"/>
        <v>45324</v>
      </c>
      <c r="G52" s="51" t="str">
        <f t="shared" si="18"/>
        <v>Fri</v>
      </c>
      <c r="H52" s="50"/>
      <c r="I52" s="49"/>
      <c r="J52" s="343">
        <f>236480/$B$13</f>
        <v>2143.1937647272066</v>
      </c>
      <c r="K52" s="31"/>
      <c r="L52" s="317">
        <f t="shared" si="28"/>
        <v>1898.4321455607801</v>
      </c>
      <c r="M52" s="318">
        <f t="shared" si="10"/>
        <v>244.7616191664265</v>
      </c>
      <c r="N52" s="41">
        <f t="shared" si="11"/>
        <v>1.1289282947187591</v>
      </c>
      <c r="O52" s="46"/>
      <c r="P52" s="328">
        <f>IF(D52=0,0,SUM($L$51:L52))</f>
        <v>3796.8642911215602</v>
      </c>
      <c r="Q52" s="317">
        <f>IF(D52=0,0,SUM($J$51:J52))</f>
        <v>4119.7208627877462</v>
      </c>
      <c r="R52" s="321">
        <f t="shared" si="12"/>
        <v>322.85657166618603</v>
      </c>
      <c r="S52" s="41">
        <f t="shared" si="13"/>
        <v>1.0850324233134014</v>
      </c>
      <c r="T52" s="44"/>
      <c r="U52" s="348">
        <f>IF(D52=0,0,SUM($L$20:L52))</f>
        <v>48019.166034772665</v>
      </c>
      <c r="V52" s="348">
        <f>IF(D52=0,0,SUM($J$20:J52))</f>
        <v>49274.46075765814</v>
      </c>
      <c r="W52" s="349">
        <f t="shared" si="14"/>
        <v>1255.2947228854755</v>
      </c>
      <c r="X52" s="41">
        <f t="shared" si="15"/>
        <v>1.0261415352773195</v>
      </c>
      <c r="Y52" s="17"/>
      <c r="Z52" s="23">
        <f t="shared" si="25"/>
        <v>45324</v>
      </c>
      <c r="AA52" s="22">
        <f t="shared" si="25"/>
        <v>45324</v>
      </c>
      <c r="AB52" s="137">
        <v>45324</v>
      </c>
      <c r="AC52" s="141">
        <v>5</v>
      </c>
      <c r="AD52" s="136" t="s">
        <v>126</v>
      </c>
      <c r="AE52" s="138">
        <f>AVERAGEIFS(J141:J171,D141:D171,1,G141:G171,"fri")</f>
        <v>3172.1270618089543</v>
      </c>
      <c r="AF52" s="141">
        <f>COUNTIFS(D141:D171,1,G141:G171,"fri")</f>
        <v>4</v>
      </c>
      <c r="AG52" s="138"/>
      <c r="AH52" s="138">
        <f t="shared" si="20"/>
        <v>12688.508247235817</v>
      </c>
      <c r="AI52" s="264">
        <f t="shared" si="27"/>
        <v>0.22709614420738983</v>
      </c>
      <c r="AJ52" s="393"/>
      <c r="AK52" s="134"/>
      <c r="AL52" s="134"/>
      <c r="AM52" s="134"/>
      <c r="AN52" s="18"/>
      <c r="AO52" s="18"/>
      <c r="AP52" s="18"/>
      <c r="AQ52" s="18"/>
      <c r="AR52" s="17"/>
      <c r="AS52" s="21">
        <f t="shared" si="22"/>
        <v>45324</v>
      </c>
      <c r="AT52" s="17"/>
      <c r="AU52" s="17"/>
      <c r="AV52" s="17"/>
      <c r="AW52" s="17"/>
      <c r="AX52" s="17"/>
      <c r="AY52" s="17"/>
      <c r="AZ52" s="17"/>
    </row>
    <row r="53" spans="1:52" ht="20">
      <c r="A53" s="17"/>
      <c r="B53" s="40"/>
      <c r="C53" s="55">
        <f t="shared" si="16"/>
        <v>34</v>
      </c>
      <c r="D53" s="54">
        <v>1</v>
      </c>
      <c r="E53" s="53" t="str">
        <f t="shared" si="8"/>
        <v>2</v>
      </c>
      <c r="F53" s="52">
        <f t="shared" si="17"/>
        <v>45325</v>
      </c>
      <c r="G53" s="51" t="str">
        <f t="shared" si="18"/>
        <v>Sat</v>
      </c>
      <c r="H53" s="50"/>
      <c r="I53" s="49"/>
      <c r="J53" s="343">
        <f>113750/$B$13</f>
        <v>1030.9044770708717</v>
      </c>
      <c r="K53" s="31"/>
      <c r="L53" s="317">
        <f t="shared" si="28"/>
        <v>1898.4321455607801</v>
      </c>
      <c r="M53" s="318">
        <f t="shared" si="10"/>
        <v>-867.52766848990836</v>
      </c>
      <c r="N53" s="41">
        <f t="shared" si="11"/>
        <v>0.54302940428052626</v>
      </c>
      <c r="O53" s="46"/>
      <c r="P53" s="328">
        <f>IF(D53=0,0,SUM($L$51:L53))</f>
        <v>5695.2964366823398</v>
      </c>
      <c r="Q53" s="317">
        <f>IF(D53=0,0,SUM($J$51:J53))</f>
        <v>5150.6253398586177</v>
      </c>
      <c r="R53" s="321">
        <f t="shared" si="12"/>
        <v>-544.67109682372211</v>
      </c>
      <c r="S53" s="41">
        <f t="shared" si="13"/>
        <v>0.90436475030244301</v>
      </c>
      <c r="T53" s="56"/>
      <c r="U53" s="348">
        <f>IF(D53=0,0,SUM($L$20:L53))</f>
        <v>49917.598180333443</v>
      </c>
      <c r="V53" s="348">
        <f>IF(D53=0,0,SUM($J$20:J53))</f>
        <v>50305.365234729012</v>
      </c>
      <c r="W53" s="349">
        <f t="shared" si="14"/>
        <v>387.76705439556827</v>
      </c>
      <c r="X53" s="41">
        <f t="shared" si="15"/>
        <v>1.0077681432707302</v>
      </c>
      <c r="Y53" s="17"/>
      <c r="Z53" s="23">
        <f t="shared" ref="Z53:AA68" si="29">Z52+1</f>
        <v>45325</v>
      </c>
      <c r="AA53" s="22">
        <f t="shared" si="29"/>
        <v>45325</v>
      </c>
      <c r="AB53" s="137">
        <v>45325</v>
      </c>
      <c r="AC53" s="141">
        <v>5</v>
      </c>
      <c r="AD53" s="136" t="s">
        <v>127</v>
      </c>
      <c r="AE53" s="138">
        <f>AVERAGEIFS(J141:J171,D141:D171,1,G141:G171,"sat")</f>
        <v>1254.1840372182949</v>
      </c>
      <c r="AF53" s="141">
        <f>COUNTIFS(D141:D171,1,G141:G171,"sat")</f>
        <v>3</v>
      </c>
      <c r="AG53" s="138"/>
      <c r="AH53" s="138">
        <f t="shared" si="20"/>
        <v>3762.5521116548844</v>
      </c>
      <c r="AI53" s="264">
        <f t="shared" si="27"/>
        <v>6.7341334401728473E-2</v>
      </c>
      <c r="AJ53" s="393"/>
      <c r="AK53" s="134"/>
      <c r="AL53" s="134"/>
      <c r="AM53" s="134"/>
      <c r="AN53" s="18"/>
      <c r="AO53" s="18"/>
      <c r="AP53" s="18"/>
      <c r="AQ53" s="18"/>
      <c r="AR53" s="17"/>
      <c r="AS53" s="21">
        <f t="shared" si="22"/>
        <v>45325</v>
      </c>
      <c r="AT53" s="17"/>
      <c r="AU53" s="17"/>
      <c r="AV53" s="17"/>
      <c r="AW53" s="17"/>
      <c r="AX53" s="17"/>
      <c r="AY53" s="17"/>
      <c r="AZ53" s="17"/>
    </row>
    <row r="54" spans="1:52" ht="20">
      <c r="A54" s="17"/>
      <c r="B54" s="40"/>
      <c r="C54" s="55">
        <f t="shared" si="16"/>
        <v>35</v>
      </c>
      <c r="D54" s="54">
        <v>0</v>
      </c>
      <c r="E54" s="53" t="str">
        <f t="shared" si="8"/>
        <v>2</v>
      </c>
      <c r="F54" s="52">
        <f t="shared" si="17"/>
        <v>45326</v>
      </c>
      <c r="G54" s="51" t="str">
        <f t="shared" si="18"/>
        <v>Sun</v>
      </c>
      <c r="H54" s="50" t="s">
        <v>46</v>
      </c>
      <c r="I54" s="67"/>
      <c r="J54" s="343"/>
      <c r="K54" s="65"/>
      <c r="L54" s="317">
        <f t="shared" si="28"/>
        <v>0</v>
      </c>
      <c r="M54" s="318">
        <f t="shared" si="10"/>
        <v>0</v>
      </c>
      <c r="N54" s="41" t="str">
        <f t="shared" si="11"/>
        <v>0%</v>
      </c>
      <c r="O54" s="46"/>
      <c r="P54" s="328">
        <f>IF(D54=0,0,SUM($L$51:L54))</f>
        <v>0</v>
      </c>
      <c r="Q54" s="317">
        <f>IF(D54=0,0,SUM($J$51:J54))</f>
        <v>0</v>
      </c>
      <c r="R54" s="321">
        <f t="shared" si="12"/>
        <v>0</v>
      </c>
      <c r="S54" s="41" t="str">
        <f t="shared" si="13"/>
        <v>0%</v>
      </c>
      <c r="T54" s="56"/>
      <c r="U54" s="348">
        <f>IF(D54=0,0,SUM($L$20:L54))</f>
        <v>0</v>
      </c>
      <c r="V54" s="348">
        <f>IF(D54=0,0,SUM($J$20:J54))</f>
        <v>0</v>
      </c>
      <c r="W54" s="349">
        <f t="shared" si="14"/>
        <v>0</v>
      </c>
      <c r="X54" s="41" t="str">
        <f t="shared" si="15"/>
        <v>0%</v>
      </c>
      <c r="Y54" s="17"/>
      <c r="Z54" s="23">
        <f t="shared" si="29"/>
        <v>45326</v>
      </c>
      <c r="AA54" s="22">
        <f t="shared" si="29"/>
        <v>45326</v>
      </c>
      <c r="AB54" s="137">
        <v>45326</v>
      </c>
      <c r="AC54" s="141">
        <v>5</v>
      </c>
      <c r="AD54" s="136" t="s">
        <v>128</v>
      </c>
      <c r="AE54" s="138">
        <f>IFERROR(AVERAGEIFS(J141:J171,D141:D171,1,G141:G171,"sun"),0)</f>
        <v>0</v>
      </c>
      <c r="AF54" s="141">
        <f>IFERROR(COUNTIFS(D141:D171,1,G141:G171,"sun"),0)</f>
        <v>0</v>
      </c>
      <c r="AG54" s="138"/>
      <c r="AH54" s="138">
        <f t="shared" si="20"/>
        <v>0</v>
      </c>
      <c r="AI54" s="264">
        <f t="shared" si="27"/>
        <v>0</v>
      </c>
      <c r="AJ54" s="393"/>
      <c r="AK54" s="134"/>
      <c r="AL54" s="134"/>
      <c r="AM54" s="134"/>
      <c r="AN54" s="18"/>
      <c r="AO54" s="18"/>
      <c r="AP54" s="18"/>
      <c r="AQ54" s="18"/>
      <c r="AR54" s="17"/>
      <c r="AS54" s="21">
        <f t="shared" si="22"/>
        <v>45326</v>
      </c>
      <c r="AT54" s="17"/>
      <c r="AU54" s="17"/>
      <c r="AV54" s="17"/>
      <c r="AW54" s="17"/>
      <c r="AX54" s="17"/>
      <c r="AY54" s="17"/>
      <c r="AZ54" s="17"/>
    </row>
    <row r="55" spans="1:52" ht="20">
      <c r="A55" s="17"/>
      <c r="B55" s="40"/>
      <c r="C55" s="55">
        <f t="shared" si="16"/>
        <v>36</v>
      </c>
      <c r="D55" s="54">
        <v>1</v>
      </c>
      <c r="E55" s="53" t="str">
        <f t="shared" si="8"/>
        <v>2</v>
      </c>
      <c r="F55" s="52">
        <f t="shared" si="17"/>
        <v>45327</v>
      </c>
      <c r="G55" s="51" t="str">
        <f t="shared" si="18"/>
        <v>Mon</v>
      </c>
      <c r="H55" s="50"/>
      <c r="I55" s="49"/>
      <c r="J55" s="343">
        <f>155200/$B$13</f>
        <v>1406.5615370672467</v>
      </c>
      <c r="K55" s="31"/>
      <c r="L55" s="317">
        <f t="shared" si="28"/>
        <v>1898.4321455607801</v>
      </c>
      <c r="M55" s="318">
        <f t="shared" si="10"/>
        <v>-491.87060849353338</v>
      </c>
      <c r="N55" s="41">
        <f t="shared" si="11"/>
        <v>0.74090693225791371</v>
      </c>
      <c r="O55" s="46"/>
      <c r="P55" s="328">
        <f>IF(D55=0,0,SUM($L$51:L55))</f>
        <v>7593.7285822431204</v>
      </c>
      <c r="Q55" s="317">
        <f>IF(D55=0,0,SUM($J$51:J55))</f>
        <v>6557.1868769258645</v>
      </c>
      <c r="R55" s="321">
        <f t="shared" si="12"/>
        <v>-1036.5417053172559</v>
      </c>
      <c r="S55" s="41">
        <f t="shared" si="13"/>
        <v>0.8635002957913106</v>
      </c>
      <c r="T55" s="56"/>
      <c r="U55" s="348">
        <f>IF(D55=0,0,SUM($L$20:L55))</f>
        <v>51816.030325894222</v>
      </c>
      <c r="V55" s="348">
        <f>IF(D55=0,0,SUM($J$20:J55))</f>
        <v>51711.926771796258</v>
      </c>
      <c r="W55" s="349">
        <f t="shared" si="14"/>
        <v>-104.10355409796466</v>
      </c>
      <c r="X55" s="41">
        <f t="shared" si="15"/>
        <v>0.99799090062586404</v>
      </c>
      <c r="Y55" s="17"/>
      <c r="Z55" s="23">
        <f t="shared" si="29"/>
        <v>45327</v>
      </c>
      <c r="AA55" s="22">
        <f t="shared" si="29"/>
        <v>45327</v>
      </c>
      <c r="AB55" s="137">
        <v>45327</v>
      </c>
      <c r="AC55" s="141">
        <v>6</v>
      </c>
      <c r="AD55" s="136" t="s">
        <v>122</v>
      </c>
      <c r="AE55" s="138">
        <f>AVERAGEIFS(J172:J201,D172:D201,1,G172:G201,"mon")</f>
        <v>1742.3871669385535</v>
      </c>
      <c r="AF55" s="141">
        <f>COUNTIFS(D172:D201,1,G172:G201,"Mon")</f>
        <v>4</v>
      </c>
      <c r="AG55" s="138"/>
      <c r="AH55" s="138">
        <f t="shared" si="20"/>
        <v>6969.548667754214</v>
      </c>
      <c r="AI55" s="264">
        <f>AH55/$M$11</f>
        <v>0.13016697839352059</v>
      </c>
      <c r="AJ55" s="393">
        <f>SUM(AI55:AI61)</f>
        <v>1</v>
      </c>
      <c r="AK55" s="134" t="s">
        <v>133</v>
      </c>
      <c r="AL55" s="134"/>
      <c r="AM55" s="134"/>
      <c r="AN55" s="18"/>
      <c r="AO55" s="18"/>
      <c r="AP55" s="18"/>
      <c r="AQ55" s="18"/>
      <c r="AR55" s="17"/>
      <c r="AS55" s="21">
        <f t="shared" si="22"/>
        <v>45327</v>
      </c>
      <c r="AT55" s="17"/>
      <c r="AU55" s="17"/>
      <c r="AV55" s="17"/>
      <c r="AW55" s="17"/>
      <c r="AX55" s="17"/>
      <c r="AY55" s="17"/>
      <c r="AZ55" s="17"/>
    </row>
    <row r="56" spans="1:52" ht="20">
      <c r="A56" s="17"/>
      <c r="B56" s="40"/>
      <c r="C56" s="55">
        <f t="shared" si="16"/>
        <v>37</v>
      </c>
      <c r="D56" s="54">
        <v>1</v>
      </c>
      <c r="E56" s="53" t="str">
        <f t="shared" si="8"/>
        <v>2</v>
      </c>
      <c r="F56" s="52">
        <f t="shared" si="17"/>
        <v>45328</v>
      </c>
      <c r="G56" s="51" t="str">
        <f t="shared" si="18"/>
        <v>Tue</v>
      </c>
      <c r="H56" s="50"/>
      <c r="I56" s="49"/>
      <c r="J56" s="343">
        <f>191910/$B$13</f>
        <v>1739.2604676454594</v>
      </c>
      <c r="K56" s="31"/>
      <c r="L56" s="317">
        <f t="shared" si="28"/>
        <v>1898.4321455607801</v>
      </c>
      <c r="M56" s="318">
        <f t="shared" si="10"/>
        <v>-159.17167791532074</v>
      </c>
      <c r="N56" s="41">
        <f t="shared" si="11"/>
        <v>0.91615624593824874</v>
      </c>
      <c r="O56" s="46"/>
      <c r="P56" s="328">
        <f>IF(D56=0,0,SUM($L$51:L56))</f>
        <v>9492.160727803901</v>
      </c>
      <c r="Q56" s="317">
        <f>IF(D56=0,0,SUM($J$51:J56))</f>
        <v>8296.4473445713229</v>
      </c>
      <c r="R56" s="321">
        <f t="shared" si="12"/>
        <v>-1195.7133832325781</v>
      </c>
      <c r="S56" s="41">
        <f t="shared" si="13"/>
        <v>0.87403148582069812</v>
      </c>
      <c r="T56" s="56"/>
      <c r="U56" s="348">
        <f>IF(D56=0,0,SUM($L$20:L56))</f>
        <v>53714.462471455001</v>
      </c>
      <c r="V56" s="348">
        <f>IF(D56=0,0,SUM($J$20:J56))</f>
        <v>53451.187239441715</v>
      </c>
      <c r="W56" s="349">
        <f t="shared" si="14"/>
        <v>-263.27523201328586</v>
      </c>
      <c r="X56" s="41">
        <f t="shared" si="15"/>
        <v>0.99509861553295453</v>
      </c>
      <c r="Y56" s="17"/>
      <c r="Z56" s="23">
        <f t="shared" si="29"/>
        <v>45328</v>
      </c>
      <c r="AA56" s="22">
        <f t="shared" si="29"/>
        <v>45328</v>
      </c>
      <c r="AB56" s="137">
        <v>45328</v>
      </c>
      <c r="AC56" s="141">
        <v>6</v>
      </c>
      <c r="AD56" s="136" t="s">
        <v>123</v>
      </c>
      <c r="AE56" s="138">
        <f>AVERAGEIFS(J172:J201,D172:D201,1,G172:G201,"tue")</f>
        <v>1855.2882001087546</v>
      </c>
      <c r="AF56" s="141">
        <f>COUNTIFS(D172:D201,1,G172:G201,"tue")</f>
        <v>4</v>
      </c>
      <c r="AG56" s="138"/>
      <c r="AH56" s="138">
        <f t="shared" si="20"/>
        <v>7421.1528004350184</v>
      </c>
      <c r="AI56" s="264">
        <f t="shared" ref="AI56:AI61" si="30">AH56/$M$11</f>
        <v>0.13860137611184928</v>
      </c>
      <c r="AJ56" s="393"/>
      <c r="AK56" s="134"/>
      <c r="AL56" s="134"/>
      <c r="AM56" s="134"/>
      <c r="AN56" s="18"/>
      <c r="AO56" s="18"/>
      <c r="AP56" s="18"/>
      <c r="AQ56" s="18"/>
      <c r="AR56" s="17"/>
      <c r="AS56" s="21">
        <f t="shared" si="22"/>
        <v>45328</v>
      </c>
      <c r="AT56" s="17"/>
      <c r="AU56" s="17"/>
      <c r="AV56" s="17"/>
      <c r="AW56" s="17"/>
      <c r="AX56" s="17"/>
      <c r="AY56" s="17"/>
      <c r="AZ56" s="17"/>
    </row>
    <row r="57" spans="1:52" ht="20">
      <c r="A57" s="17"/>
      <c r="B57" s="40"/>
      <c r="C57" s="55">
        <f t="shared" si="16"/>
        <v>38</v>
      </c>
      <c r="D57" s="54">
        <v>1</v>
      </c>
      <c r="E57" s="53" t="str">
        <f t="shared" si="8"/>
        <v>2</v>
      </c>
      <c r="F57" s="52">
        <f t="shared" si="17"/>
        <v>45329</v>
      </c>
      <c r="G57" s="51" t="str">
        <f t="shared" si="18"/>
        <v>Wed</v>
      </c>
      <c r="H57" s="50"/>
      <c r="I57" s="49"/>
      <c r="J57" s="343">
        <f>331350/$B$13</f>
        <v>3002.9907558455679</v>
      </c>
      <c r="K57" s="31"/>
      <c r="L57" s="317">
        <f t="shared" si="28"/>
        <v>1898.4321455607801</v>
      </c>
      <c r="M57" s="318">
        <f t="shared" si="10"/>
        <v>1104.5586102847878</v>
      </c>
      <c r="N57" s="41">
        <f t="shared" si="11"/>
        <v>1.5818267526009</v>
      </c>
      <c r="O57" s="46"/>
      <c r="P57" s="328">
        <f>IF(D57=0,0,SUM($L$51:L57))</f>
        <v>11390.592873364682</v>
      </c>
      <c r="Q57" s="317">
        <f>IF(D57=0,0,SUM($J$51:J57))</f>
        <v>11299.43810041689</v>
      </c>
      <c r="R57" s="321">
        <f t="shared" si="12"/>
        <v>-91.154772947791571</v>
      </c>
      <c r="S57" s="41">
        <f t="shared" si="13"/>
        <v>0.99199736361739832</v>
      </c>
      <c r="T57" s="56"/>
      <c r="U57" s="348">
        <f>IF(D57=0,0,SUM($L$20:L57))</f>
        <v>55612.89461701578</v>
      </c>
      <c r="V57" s="348">
        <f>IF(D57=0,0,SUM($J$20:J57))</f>
        <v>56454.177995287282</v>
      </c>
      <c r="W57" s="349">
        <f t="shared" si="14"/>
        <v>841.28337827150244</v>
      </c>
      <c r="X57" s="41">
        <f t="shared" si="15"/>
        <v>1.0151274876818603</v>
      </c>
      <c r="Y57" s="17"/>
      <c r="Z57" s="23">
        <f t="shared" si="29"/>
        <v>45329</v>
      </c>
      <c r="AA57" s="22">
        <f t="shared" si="29"/>
        <v>45329</v>
      </c>
      <c r="AB57" s="137">
        <v>45329</v>
      </c>
      <c r="AC57" s="141">
        <v>6</v>
      </c>
      <c r="AD57" s="136" t="s">
        <v>124</v>
      </c>
      <c r="AE57" s="138">
        <f>AVERAGEIFS(J172:J201,D172:D201,1,G172:G201,"wed")</f>
        <v>2795.0652528548121</v>
      </c>
      <c r="AF57" s="141">
        <f>COUNTIFS(D172:D201,1,G172:G201,"wed")</f>
        <v>4</v>
      </c>
      <c r="AG57" s="138"/>
      <c r="AH57" s="138">
        <f t="shared" si="20"/>
        <v>11180.261011419248</v>
      </c>
      <c r="AI57" s="264">
        <f t="shared" si="30"/>
        <v>0.20880846994304283</v>
      </c>
      <c r="AJ57" s="393"/>
      <c r="AK57" s="134"/>
      <c r="AL57" s="134"/>
      <c r="AM57" s="134"/>
      <c r="AN57" s="18"/>
      <c r="AO57" s="18"/>
      <c r="AP57" s="18"/>
      <c r="AQ57" s="18"/>
      <c r="AR57" s="17"/>
      <c r="AS57" s="21">
        <f t="shared" si="22"/>
        <v>45329</v>
      </c>
      <c r="AT57" s="17"/>
      <c r="AU57" s="17"/>
      <c r="AV57" s="17"/>
      <c r="AW57" s="17"/>
      <c r="AX57" s="17"/>
      <c r="AY57" s="17"/>
      <c r="AZ57" s="17"/>
    </row>
    <row r="58" spans="1:52" ht="20">
      <c r="A58" s="17"/>
      <c r="B58" s="40"/>
      <c r="C58" s="55">
        <f t="shared" si="16"/>
        <v>39</v>
      </c>
      <c r="D58" s="54">
        <v>1</v>
      </c>
      <c r="E58" s="53" t="str">
        <f t="shared" si="8"/>
        <v>2</v>
      </c>
      <c r="F58" s="52">
        <f t="shared" si="17"/>
        <v>45330</v>
      </c>
      <c r="G58" s="51" t="str">
        <f t="shared" si="18"/>
        <v>Thu</v>
      </c>
      <c r="H58" s="50"/>
      <c r="I58" s="49"/>
      <c r="J58" s="343">
        <f>178550/$B$13</f>
        <v>1618.1801703824542</v>
      </c>
      <c r="K58" s="31"/>
      <c r="L58" s="317">
        <f t="shared" si="28"/>
        <v>1898.4321455607801</v>
      </c>
      <c r="M58" s="318">
        <f t="shared" si="10"/>
        <v>-280.25197517832589</v>
      </c>
      <c r="N58" s="41">
        <f t="shared" si="11"/>
        <v>0.85237714403769649</v>
      </c>
      <c r="O58" s="46"/>
      <c r="P58" s="328">
        <f>IF(D58=0,0,SUM($L$51:L58))</f>
        <v>13289.025018925462</v>
      </c>
      <c r="Q58" s="317">
        <f>IF(D58=0,0,SUM($J$51:J58))</f>
        <v>12917.618270799345</v>
      </c>
      <c r="R58" s="321">
        <f t="shared" si="12"/>
        <v>-371.40674812611724</v>
      </c>
      <c r="S58" s="41">
        <f t="shared" si="13"/>
        <v>0.9720516179631552</v>
      </c>
      <c r="T58" s="56"/>
      <c r="U58" s="348">
        <f>IF(D58=0,0,SUM($L$20:L58))</f>
        <v>57511.326762576558</v>
      </c>
      <c r="V58" s="348">
        <f>IF(D58=0,0,SUM($J$20:J58))</f>
        <v>58072.358165669735</v>
      </c>
      <c r="W58" s="349">
        <f t="shared" si="14"/>
        <v>561.03140309317678</v>
      </c>
      <c r="X58" s="41">
        <f t="shared" si="15"/>
        <v>1.0097551462411791</v>
      </c>
      <c r="Y58" s="17"/>
      <c r="Z58" s="23">
        <f t="shared" si="29"/>
        <v>45330</v>
      </c>
      <c r="AA58" s="22">
        <f t="shared" si="29"/>
        <v>45330</v>
      </c>
      <c r="AB58" s="137">
        <v>45330</v>
      </c>
      <c r="AC58" s="141">
        <v>6</v>
      </c>
      <c r="AD58" s="136" t="s">
        <v>125</v>
      </c>
      <c r="AE58" s="138">
        <f>AVERAGEIFS(J172:J201,D172:D201,1,G172:G201,"thu")</f>
        <v>2532.8076853362336</v>
      </c>
      <c r="AF58" s="141">
        <f>COUNTIFS(D172:D201,1,G172:G201,"thu")</f>
        <v>4</v>
      </c>
      <c r="AG58" s="138"/>
      <c r="AH58" s="138">
        <f t="shared" si="20"/>
        <v>10131.230741344934</v>
      </c>
      <c r="AI58" s="264">
        <f t="shared" si="30"/>
        <v>0.1892162255943263</v>
      </c>
      <c r="AJ58" s="393"/>
      <c r="AK58" s="134"/>
      <c r="AL58" s="134"/>
      <c r="AM58" s="134"/>
      <c r="AN58" s="18"/>
      <c r="AO58" s="18"/>
      <c r="AP58" s="18"/>
      <c r="AQ58" s="18"/>
      <c r="AR58" s="17"/>
      <c r="AS58" s="21">
        <f t="shared" si="22"/>
        <v>45330</v>
      </c>
      <c r="AT58" s="17"/>
      <c r="AU58" s="17"/>
      <c r="AV58" s="17"/>
      <c r="AW58" s="17"/>
      <c r="AX58" s="17"/>
      <c r="AY58" s="17"/>
      <c r="AZ58" s="17"/>
    </row>
    <row r="59" spans="1:52" ht="20">
      <c r="A59" s="17"/>
      <c r="B59" s="40"/>
      <c r="C59" s="55">
        <f t="shared" si="16"/>
        <v>40</v>
      </c>
      <c r="D59" s="54">
        <v>1</v>
      </c>
      <c r="E59" s="53" t="str">
        <f t="shared" si="8"/>
        <v>2</v>
      </c>
      <c r="F59" s="52">
        <f t="shared" si="17"/>
        <v>45331</v>
      </c>
      <c r="G59" s="51" t="str">
        <f t="shared" si="18"/>
        <v>Fri</v>
      </c>
      <c r="H59" s="50"/>
      <c r="I59" s="49"/>
      <c r="J59" s="343">
        <f>291050/$B$13</f>
        <v>2637.7560268261736</v>
      </c>
      <c r="K59" s="31"/>
      <c r="L59" s="317">
        <f t="shared" si="28"/>
        <v>1898.4321455607801</v>
      </c>
      <c r="M59" s="318">
        <f t="shared" si="10"/>
        <v>739.32388126539354</v>
      </c>
      <c r="N59" s="41">
        <f t="shared" si="11"/>
        <v>1.389439192227228</v>
      </c>
      <c r="O59" s="46"/>
      <c r="P59" s="328">
        <f>IF(D59=0,0,SUM($L$51:L59))</f>
        <v>15187.457164486243</v>
      </c>
      <c r="Q59" s="317">
        <f>IF(D59=0,0,SUM($J$51:J59))</f>
        <v>15555.374297625518</v>
      </c>
      <c r="R59" s="321">
        <f t="shared" si="12"/>
        <v>367.91713313927539</v>
      </c>
      <c r="S59" s="41">
        <f t="shared" si="13"/>
        <v>1.0242250647461641</v>
      </c>
      <c r="T59" s="44"/>
      <c r="U59" s="348">
        <f>IF(D59=0,0,SUM($L$20:L59))</f>
        <v>59409.758908137337</v>
      </c>
      <c r="V59" s="348">
        <f>IF(D59=0,0,SUM($J$20:J59))</f>
        <v>60710.114192495908</v>
      </c>
      <c r="W59" s="349">
        <f t="shared" si="14"/>
        <v>1300.3552843585712</v>
      </c>
      <c r="X59" s="41">
        <f t="shared" si="15"/>
        <v>1.0218879071091544</v>
      </c>
      <c r="Y59" s="17"/>
      <c r="Z59" s="23">
        <f t="shared" si="29"/>
        <v>45331</v>
      </c>
      <c r="AA59" s="22">
        <f t="shared" si="29"/>
        <v>45331</v>
      </c>
      <c r="AB59" s="137">
        <v>45331</v>
      </c>
      <c r="AC59" s="141">
        <v>6</v>
      </c>
      <c r="AD59" s="136" t="s">
        <v>126</v>
      </c>
      <c r="AE59" s="138">
        <f>AVERAGEIFS(J172:J201,D172:D201,1,G172:G201,"fri")</f>
        <v>2925.0271886895048</v>
      </c>
      <c r="AF59" s="141">
        <f>COUNTIFS(D172:D201,1,G172:G201,"fri")</f>
        <v>4</v>
      </c>
      <c r="AG59" s="138"/>
      <c r="AH59" s="138">
        <f t="shared" si="20"/>
        <v>11700.108754758019</v>
      </c>
      <c r="AI59" s="264">
        <f t="shared" si="30"/>
        <v>0.21851742144060121</v>
      </c>
      <c r="AJ59" s="393"/>
      <c r="AK59" s="134"/>
      <c r="AL59" s="134"/>
      <c r="AM59" s="134"/>
      <c r="AN59" s="18"/>
      <c r="AO59" s="18"/>
      <c r="AP59" s="18"/>
      <c r="AQ59" s="18"/>
      <c r="AR59" s="17"/>
      <c r="AS59" s="21">
        <f t="shared" si="22"/>
        <v>45331</v>
      </c>
      <c r="AT59" s="17"/>
      <c r="AU59" s="17"/>
      <c r="AV59" s="17"/>
      <c r="AW59" s="17"/>
      <c r="AX59" s="17"/>
      <c r="AY59" s="17"/>
      <c r="AZ59" s="17"/>
    </row>
    <row r="60" spans="1:52" ht="20">
      <c r="A60" s="17"/>
      <c r="B60" s="40"/>
      <c r="C60" s="55">
        <f t="shared" si="16"/>
        <v>41</v>
      </c>
      <c r="D60" s="54">
        <v>1</v>
      </c>
      <c r="E60" s="53" t="str">
        <f t="shared" si="8"/>
        <v>2</v>
      </c>
      <c r="F60" s="52">
        <f t="shared" si="17"/>
        <v>45332</v>
      </c>
      <c r="G60" s="51" t="str">
        <f t="shared" si="18"/>
        <v>Sat</v>
      </c>
      <c r="H60" s="50"/>
      <c r="I60" s="49"/>
      <c r="J60" s="343">
        <f>222220/$B$13</f>
        <v>2013.9568606126518</v>
      </c>
      <c r="K60" s="31"/>
      <c r="L60" s="317">
        <f t="shared" si="28"/>
        <v>1898.4321455607801</v>
      </c>
      <c r="M60" s="318">
        <f t="shared" si="10"/>
        <v>115.52471505187168</v>
      </c>
      <c r="N60" s="41">
        <f t="shared" si="11"/>
        <v>1.0608526964326905</v>
      </c>
      <c r="O60" s="46"/>
      <c r="P60" s="328">
        <f>IF(D60=0,0,SUM($L$51:L60))</f>
        <v>17085.889310047023</v>
      </c>
      <c r="Q60" s="317">
        <f>IF(D60=0,0,SUM($J$51:J60))</f>
        <v>17569.331158238168</v>
      </c>
      <c r="R60" s="321">
        <f t="shared" si="12"/>
        <v>483.44184819114525</v>
      </c>
      <c r="S60" s="41">
        <f t="shared" si="13"/>
        <v>1.0282948016002227</v>
      </c>
      <c r="T60" s="56"/>
      <c r="U60" s="348">
        <f>IF(D60=0,0,SUM($L$20:L60))</f>
        <v>61308.191053698116</v>
      </c>
      <c r="V60" s="348">
        <f>IF(D60=0,0,SUM($J$20:J60))</f>
        <v>62724.071053108557</v>
      </c>
      <c r="W60" s="349">
        <f t="shared" si="14"/>
        <v>1415.8799994104411</v>
      </c>
      <c r="X60" s="41">
        <f t="shared" si="15"/>
        <v>1.0230944670699924</v>
      </c>
      <c r="Y60" s="17"/>
      <c r="Z60" s="23">
        <f t="shared" si="29"/>
        <v>45332</v>
      </c>
      <c r="AA60" s="22">
        <f t="shared" si="29"/>
        <v>45332</v>
      </c>
      <c r="AB60" s="137">
        <v>45332</v>
      </c>
      <c r="AC60" s="141">
        <v>6</v>
      </c>
      <c r="AD60" s="136" t="s">
        <v>127</v>
      </c>
      <c r="AE60" s="138">
        <f>AVERAGEIFS(J172:J201,D172:D201,1,G172:G201,"sat")</f>
        <v>1228.1674823273518</v>
      </c>
      <c r="AF60" s="141">
        <f>COUNTIFS(D172:D201,1,G172:G201,"sat")</f>
        <v>5</v>
      </c>
      <c r="AG60" s="138"/>
      <c r="AH60" s="138">
        <f t="shared" si="20"/>
        <v>6140.8374116367586</v>
      </c>
      <c r="AI60" s="264">
        <f t="shared" si="30"/>
        <v>0.11468952851665976</v>
      </c>
      <c r="AJ60" s="393"/>
      <c r="AK60" s="134"/>
      <c r="AL60" s="134"/>
      <c r="AM60" s="134"/>
      <c r="AN60" s="18"/>
      <c r="AO60" s="18"/>
      <c r="AP60" s="18"/>
      <c r="AQ60" s="18"/>
      <c r="AR60" s="17"/>
      <c r="AS60" s="21">
        <f t="shared" si="22"/>
        <v>45332</v>
      </c>
      <c r="AT60" s="17"/>
      <c r="AU60" s="17"/>
      <c r="AV60" s="17"/>
      <c r="AW60" s="17"/>
      <c r="AX60" s="17"/>
      <c r="AY60" s="17"/>
      <c r="AZ60" s="17"/>
    </row>
    <row r="61" spans="1:52" ht="20">
      <c r="A61" s="17"/>
      <c r="B61" s="40"/>
      <c r="C61" s="55">
        <f t="shared" si="16"/>
        <v>42</v>
      </c>
      <c r="D61" s="54">
        <v>0</v>
      </c>
      <c r="E61" s="53" t="str">
        <f t="shared" si="8"/>
        <v>2</v>
      </c>
      <c r="F61" s="52">
        <f t="shared" si="17"/>
        <v>45333</v>
      </c>
      <c r="G61" s="51" t="str">
        <f t="shared" si="18"/>
        <v>Sun</v>
      </c>
      <c r="H61" s="50" t="s">
        <v>46</v>
      </c>
      <c r="I61" s="67"/>
      <c r="J61" s="343"/>
      <c r="K61" s="65"/>
      <c r="L61" s="317">
        <f t="shared" si="28"/>
        <v>0</v>
      </c>
      <c r="M61" s="318">
        <f t="shared" si="10"/>
        <v>0</v>
      </c>
      <c r="N61" s="41" t="str">
        <f t="shared" si="11"/>
        <v>0%</v>
      </c>
      <c r="O61" s="46"/>
      <c r="P61" s="328">
        <f>IF(D61=0,0,SUM($L$51:L61))</f>
        <v>0</v>
      </c>
      <c r="Q61" s="317">
        <f>IF(D61=0,0,SUM($J$51:J61))</f>
        <v>0</v>
      </c>
      <c r="R61" s="321">
        <f t="shared" si="12"/>
        <v>0</v>
      </c>
      <c r="S61" s="41" t="str">
        <f t="shared" si="13"/>
        <v>0%</v>
      </c>
      <c r="T61" s="44"/>
      <c r="U61" s="348">
        <f>IF(D61=0,0,SUM($L$20:L61))</f>
        <v>0</v>
      </c>
      <c r="V61" s="348">
        <f>IF(D61=0,0,SUM($J$20:J61))</f>
        <v>0</v>
      </c>
      <c r="W61" s="349">
        <f t="shared" si="14"/>
        <v>0</v>
      </c>
      <c r="X61" s="41" t="str">
        <f t="shared" si="15"/>
        <v>0%</v>
      </c>
      <c r="Y61" s="17"/>
      <c r="Z61" s="23">
        <f t="shared" si="29"/>
        <v>45333</v>
      </c>
      <c r="AA61" s="22">
        <f t="shared" si="29"/>
        <v>45333</v>
      </c>
      <c r="AB61" s="137">
        <v>45333</v>
      </c>
      <c r="AC61" s="141">
        <v>6</v>
      </c>
      <c r="AD61" s="136" t="s">
        <v>128</v>
      </c>
      <c r="AE61" s="138">
        <f>IFERROR(AVERAGEIFS(J172:J201,D172:D201,1,G172:G201,"sun"),0)</f>
        <v>0</v>
      </c>
      <c r="AF61" s="141">
        <f>IFERROR(COUNTIFS(D172:D201,1,G172:G201,"sun"),0)</f>
        <v>0</v>
      </c>
      <c r="AG61" s="138"/>
      <c r="AH61" s="138">
        <f t="shared" si="20"/>
        <v>0</v>
      </c>
      <c r="AI61" s="264">
        <f t="shared" si="30"/>
        <v>0</v>
      </c>
      <c r="AJ61" s="393"/>
      <c r="AK61" s="134"/>
      <c r="AL61" s="134"/>
      <c r="AM61" s="134"/>
      <c r="AN61" s="18"/>
      <c r="AO61" s="18"/>
      <c r="AP61" s="18"/>
      <c r="AQ61" s="18"/>
      <c r="AR61" s="17"/>
      <c r="AS61" s="21">
        <f t="shared" si="22"/>
        <v>45333</v>
      </c>
      <c r="AT61" s="17"/>
      <c r="AU61" s="17"/>
      <c r="AV61" s="17"/>
      <c r="AW61" s="17"/>
      <c r="AX61" s="17"/>
      <c r="AY61" s="17"/>
      <c r="AZ61" s="17"/>
    </row>
    <row r="62" spans="1:52" ht="20">
      <c r="A62" s="17"/>
      <c r="B62" s="40"/>
      <c r="C62" s="55">
        <f t="shared" si="16"/>
        <v>43</v>
      </c>
      <c r="D62" s="54">
        <v>0</v>
      </c>
      <c r="E62" s="53" t="str">
        <f t="shared" si="8"/>
        <v>2</v>
      </c>
      <c r="F62" s="52">
        <f t="shared" si="17"/>
        <v>45334</v>
      </c>
      <c r="G62" s="51" t="str">
        <f t="shared" si="18"/>
        <v>Mon</v>
      </c>
      <c r="H62" s="50" t="s">
        <v>47</v>
      </c>
      <c r="I62" s="67"/>
      <c r="J62" s="343"/>
      <c r="K62" s="65"/>
      <c r="L62" s="317">
        <f t="shared" si="28"/>
        <v>0</v>
      </c>
      <c r="M62" s="318">
        <f t="shared" si="10"/>
        <v>0</v>
      </c>
      <c r="N62" s="41" t="str">
        <f t="shared" si="11"/>
        <v>0%</v>
      </c>
      <c r="O62" s="46"/>
      <c r="P62" s="328">
        <f>IF(D62=0,0,SUM($L$51:L62))</f>
        <v>0</v>
      </c>
      <c r="Q62" s="317">
        <f>IF(D62=0,0,SUM($J$51:J62))</f>
        <v>0</v>
      </c>
      <c r="R62" s="321">
        <f t="shared" si="12"/>
        <v>0</v>
      </c>
      <c r="S62" s="41" t="str">
        <f t="shared" si="13"/>
        <v>0%</v>
      </c>
      <c r="T62" s="56"/>
      <c r="U62" s="348">
        <f>IF(D62=0,0,SUM($L$20:L62))</f>
        <v>0</v>
      </c>
      <c r="V62" s="348">
        <f>IF(D62=0,0,SUM($J$20:J62))</f>
        <v>0</v>
      </c>
      <c r="W62" s="349">
        <f t="shared" si="14"/>
        <v>0</v>
      </c>
      <c r="X62" s="41" t="str">
        <f t="shared" si="15"/>
        <v>0%</v>
      </c>
      <c r="Y62" s="17"/>
      <c r="Z62" s="23">
        <f t="shared" si="29"/>
        <v>45334</v>
      </c>
      <c r="AA62" s="22">
        <f t="shared" si="29"/>
        <v>45334</v>
      </c>
      <c r="AB62" s="137">
        <v>45334</v>
      </c>
      <c r="AC62" s="141">
        <v>7</v>
      </c>
      <c r="AD62" s="136" t="s">
        <v>122</v>
      </c>
      <c r="AE62" s="138">
        <f>AVERAGEIFS(J202:J232,D202:D232,1,G202:G232,"mon")</f>
        <v>2238.5807504078302</v>
      </c>
      <c r="AF62" s="141">
        <f>COUNTIFS(D202:D232,1,G202:G232,"Mon")</f>
        <v>4</v>
      </c>
      <c r="AG62" s="138"/>
      <c r="AH62" s="138">
        <f t="shared" si="20"/>
        <v>8954.3230016313209</v>
      </c>
      <c r="AI62" s="264">
        <f>AH62/$M$12</f>
        <v>0.15148604340416591</v>
      </c>
      <c r="AJ62" s="393">
        <f>SUM(AI62:AI68)</f>
        <v>0.99999999999999989</v>
      </c>
      <c r="AK62" s="134" t="s">
        <v>134</v>
      </c>
      <c r="AL62" s="134"/>
      <c r="AM62" s="134"/>
      <c r="AN62" s="18"/>
      <c r="AO62" s="18"/>
      <c r="AP62" s="18"/>
      <c r="AQ62" s="18"/>
      <c r="AR62" s="17"/>
      <c r="AS62" s="21">
        <f t="shared" si="22"/>
        <v>45334</v>
      </c>
      <c r="AT62" s="17"/>
      <c r="AU62" s="17"/>
      <c r="AV62" s="17"/>
      <c r="AW62" s="17"/>
      <c r="AX62" s="17"/>
      <c r="AY62" s="17"/>
      <c r="AZ62" s="17"/>
    </row>
    <row r="63" spans="1:52" ht="20">
      <c r="A63" s="17"/>
      <c r="B63" s="40"/>
      <c r="C63" s="55">
        <f t="shared" si="16"/>
        <v>44</v>
      </c>
      <c r="D63" s="54">
        <v>1</v>
      </c>
      <c r="E63" s="53" t="str">
        <f t="shared" si="8"/>
        <v>2</v>
      </c>
      <c r="F63" s="52">
        <f t="shared" si="17"/>
        <v>45335</v>
      </c>
      <c r="G63" s="51" t="str">
        <f t="shared" si="18"/>
        <v>Tue</v>
      </c>
      <c r="H63" s="50"/>
      <c r="I63" s="49"/>
      <c r="J63" s="343">
        <f>138350/$B$13</f>
        <v>1253.8517310132318</v>
      </c>
      <c r="K63" s="31"/>
      <c r="L63" s="317">
        <f t="shared" si="28"/>
        <v>1898.4321455607801</v>
      </c>
      <c r="M63" s="318">
        <f t="shared" si="10"/>
        <v>-644.58041454754834</v>
      </c>
      <c r="N63" s="41">
        <f t="shared" si="11"/>
        <v>0.6604669721513039</v>
      </c>
      <c r="O63" s="46"/>
      <c r="P63" s="328">
        <f>IF(D63=0,0,SUM($L$51:L63))</f>
        <v>18984.321455607802</v>
      </c>
      <c r="Q63" s="317">
        <f>IF(D63=0,0,SUM($J$51:J63))</f>
        <v>18823.182889251399</v>
      </c>
      <c r="R63" s="321">
        <f t="shared" si="12"/>
        <v>-161.13856635640332</v>
      </c>
      <c r="S63" s="41">
        <f t="shared" si="13"/>
        <v>0.99151201865533078</v>
      </c>
      <c r="T63" s="56"/>
      <c r="U63" s="348">
        <f>IF(D63=0,0,SUM($L$20:L63))</f>
        <v>63206.623199258895</v>
      </c>
      <c r="V63" s="348">
        <f>IF(D63=0,0,SUM($J$20:J63))</f>
        <v>63977.922784121787</v>
      </c>
      <c r="W63" s="349">
        <f t="shared" si="14"/>
        <v>771.29958486289252</v>
      </c>
      <c r="X63" s="41">
        <f t="shared" si="15"/>
        <v>1.012202828530032</v>
      </c>
      <c r="Y63" s="17"/>
      <c r="Z63" s="23">
        <f t="shared" si="29"/>
        <v>45335</v>
      </c>
      <c r="AA63" s="22">
        <f t="shared" si="29"/>
        <v>45335</v>
      </c>
      <c r="AB63" s="137">
        <v>45335</v>
      </c>
      <c r="AC63" s="141">
        <v>7</v>
      </c>
      <c r="AD63" s="136" t="s">
        <v>123</v>
      </c>
      <c r="AE63" s="138">
        <f>AVERAGEIFS(J202:J232,D202:D232,1,G202:G232,"tue")</f>
        <v>1687.0400580025375</v>
      </c>
      <c r="AF63" s="141">
        <f>COUNTIFS(D202:D232,1,G202:G232,"tue")</f>
        <v>5</v>
      </c>
      <c r="AG63" s="138"/>
      <c r="AH63" s="138">
        <f t="shared" si="20"/>
        <v>8435.2002900126881</v>
      </c>
      <c r="AI63" s="264">
        <f t="shared" ref="AI63:AI68" si="31">AH63/$M$12</f>
        <v>0.14270371048965952</v>
      </c>
      <c r="AJ63" s="393"/>
      <c r="AK63" s="134"/>
      <c r="AL63" s="134"/>
      <c r="AM63" s="134"/>
      <c r="AN63" s="18"/>
      <c r="AO63" s="18"/>
      <c r="AP63" s="18"/>
      <c r="AQ63" s="18"/>
      <c r="AR63" s="17"/>
      <c r="AS63" s="21">
        <f t="shared" si="22"/>
        <v>45335</v>
      </c>
      <c r="AT63" s="17"/>
      <c r="AU63" s="17"/>
      <c r="AV63" s="17"/>
      <c r="AW63" s="17"/>
      <c r="AX63" s="17"/>
      <c r="AY63" s="17"/>
      <c r="AZ63" s="17"/>
    </row>
    <row r="64" spans="1:52" ht="20">
      <c r="A64" s="17"/>
      <c r="B64" s="40"/>
      <c r="C64" s="55">
        <f t="shared" si="16"/>
        <v>45</v>
      </c>
      <c r="D64" s="54">
        <v>1</v>
      </c>
      <c r="E64" s="53" t="str">
        <f t="shared" si="8"/>
        <v>2</v>
      </c>
      <c r="F64" s="52">
        <f t="shared" si="17"/>
        <v>45336</v>
      </c>
      <c r="G64" s="51" t="str">
        <f t="shared" si="18"/>
        <v>Wed</v>
      </c>
      <c r="H64" s="50"/>
      <c r="I64" s="49"/>
      <c r="J64" s="343">
        <f>185750/$B$13</f>
        <v>1683.4330251948522</v>
      </c>
      <c r="K64" s="31"/>
      <c r="L64" s="317">
        <f t="shared" si="28"/>
        <v>1898.4321455607801</v>
      </c>
      <c r="M64" s="318">
        <f t="shared" si="10"/>
        <v>-214.99912036592787</v>
      </c>
      <c r="N64" s="41">
        <f t="shared" si="11"/>
        <v>0.88674911512182653</v>
      </c>
      <c r="O64" s="46"/>
      <c r="P64" s="328">
        <f>IF(D64=0,0,SUM($L$51:L64))</f>
        <v>20882.753601168581</v>
      </c>
      <c r="Q64" s="317">
        <f>IF(D64=0,0,SUM($J$51:J64))</f>
        <v>20506.615914446251</v>
      </c>
      <c r="R64" s="321">
        <f t="shared" si="12"/>
        <v>-376.13768672232982</v>
      </c>
      <c r="S64" s="41">
        <f t="shared" si="13"/>
        <v>0.98198811833410315</v>
      </c>
      <c r="T64" s="56"/>
      <c r="U64" s="348">
        <f>IF(D64=0,0,SUM($L$20:L64))</f>
        <v>65105.055344819673</v>
      </c>
      <c r="V64" s="348">
        <f>IF(D64=0,0,SUM($J$20:J64))</f>
        <v>65661.355809316636</v>
      </c>
      <c r="W64" s="349">
        <f t="shared" si="14"/>
        <v>556.30046449696238</v>
      </c>
      <c r="X64" s="41">
        <f t="shared" si="15"/>
        <v>1.0085446584992608</v>
      </c>
      <c r="Y64" s="17"/>
      <c r="Z64" s="23">
        <f t="shared" si="29"/>
        <v>45336</v>
      </c>
      <c r="AA64" s="22">
        <f t="shared" si="29"/>
        <v>45336</v>
      </c>
      <c r="AB64" s="137">
        <v>45336</v>
      </c>
      <c r="AC64" s="141">
        <v>7</v>
      </c>
      <c r="AD64" s="136" t="s">
        <v>124</v>
      </c>
      <c r="AE64" s="138">
        <f>AVERAGEIFS(J202:J232,D202:D232,1,G202:G232,"wed")</f>
        <v>2444.9157150625338</v>
      </c>
      <c r="AF64" s="141">
        <f>COUNTIFS(D202:D232,1,G202:G232,"wed")</f>
        <v>5</v>
      </c>
      <c r="AG64" s="138"/>
      <c r="AH64" s="138">
        <f t="shared" si="20"/>
        <v>12224.578575312669</v>
      </c>
      <c r="AI64" s="264">
        <f t="shared" si="31"/>
        <v>0.20681106101712843</v>
      </c>
      <c r="AJ64" s="393"/>
      <c r="AK64" s="134"/>
      <c r="AL64" s="134"/>
      <c r="AM64" s="134"/>
      <c r="AN64" s="18"/>
      <c r="AO64" s="18"/>
      <c r="AP64" s="18"/>
      <c r="AQ64" s="18"/>
      <c r="AR64" s="17"/>
      <c r="AS64" s="21">
        <f t="shared" si="22"/>
        <v>45336</v>
      </c>
      <c r="AT64" s="17"/>
      <c r="AU64" s="17"/>
      <c r="AV64" s="17"/>
      <c r="AW64" s="17"/>
      <c r="AX64" s="17"/>
      <c r="AY64" s="17"/>
      <c r="AZ64" s="17"/>
    </row>
    <row r="65" spans="1:52" ht="20">
      <c r="A65" s="17"/>
      <c r="B65" s="40"/>
      <c r="C65" s="55">
        <f t="shared" si="16"/>
        <v>46</v>
      </c>
      <c r="D65" s="54">
        <v>1</v>
      </c>
      <c r="E65" s="53" t="str">
        <f t="shared" si="8"/>
        <v>2</v>
      </c>
      <c r="F65" s="52">
        <f t="shared" si="17"/>
        <v>45337</v>
      </c>
      <c r="G65" s="51" t="str">
        <f t="shared" si="18"/>
        <v>Thu</v>
      </c>
      <c r="H65" s="50"/>
      <c r="I65" s="49"/>
      <c r="J65" s="343">
        <f>270370/$B$13</f>
        <v>2450.3353271705637</v>
      </c>
      <c r="K65" s="31"/>
      <c r="L65" s="317">
        <f t="shared" si="28"/>
        <v>1898.4321455607801</v>
      </c>
      <c r="M65" s="318">
        <f t="shared" si="10"/>
        <v>551.90318160978359</v>
      </c>
      <c r="N65" s="41">
        <f t="shared" si="11"/>
        <v>1.2907152530578101</v>
      </c>
      <c r="O65" s="46"/>
      <c r="P65" s="328">
        <f>IF(D65=0,0,SUM($L$51:L65))</f>
        <v>22781.185746729359</v>
      </c>
      <c r="Q65" s="317">
        <f>IF(D65=0,0,SUM($J$51:J65))</f>
        <v>22956.951241616815</v>
      </c>
      <c r="R65" s="321">
        <f t="shared" si="12"/>
        <v>175.76549488745513</v>
      </c>
      <c r="S65" s="41">
        <f t="shared" si="13"/>
        <v>1.0077153795610787</v>
      </c>
      <c r="T65" s="56"/>
      <c r="U65" s="348">
        <f>IF(D65=0,0,SUM($L$20:L65))</f>
        <v>67003.487490380459</v>
      </c>
      <c r="V65" s="348">
        <f>IF(D65=0,0,SUM($J$20:J65))</f>
        <v>68111.691136487207</v>
      </c>
      <c r="W65" s="349">
        <f t="shared" si="14"/>
        <v>1108.2036461067473</v>
      </c>
      <c r="X65" s="41">
        <f t="shared" si="15"/>
        <v>1.0165394920117532</v>
      </c>
      <c r="Y65" s="17"/>
      <c r="Z65" s="23">
        <f t="shared" si="29"/>
        <v>45337</v>
      </c>
      <c r="AA65" s="22">
        <f t="shared" si="29"/>
        <v>45337</v>
      </c>
      <c r="AB65" s="137">
        <v>45337</v>
      </c>
      <c r="AC65" s="141">
        <v>7</v>
      </c>
      <c r="AD65" s="136" t="s">
        <v>125</v>
      </c>
      <c r="AE65" s="138">
        <f>AVERAGEIFS(J202:J232,D202:D232,1,G202:G232,"thu")</f>
        <v>2739.5550117817656</v>
      </c>
      <c r="AF65" s="141">
        <f>COUNTIFS(D202:D232,1,G202:G232,"thu")</f>
        <v>4</v>
      </c>
      <c r="AG65" s="138"/>
      <c r="AH65" s="138">
        <f t="shared" si="20"/>
        <v>10958.220047127063</v>
      </c>
      <c r="AI65" s="264">
        <f t="shared" si="31"/>
        <v>0.18538725902439135</v>
      </c>
      <c r="AJ65" s="393"/>
      <c r="AK65" s="134"/>
      <c r="AL65" s="134"/>
      <c r="AM65" s="134"/>
      <c r="AN65" s="18"/>
      <c r="AO65" s="18"/>
      <c r="AP65" s="18"/>
      <c r="AQ65" s="18"/>
      <c r="AR65" s="17"/>
      <c r="AS65" s="21">
        <f t="shared" si="22"/>
        <v>45337</v>
      </c>
      <c r="AT65" s="17"/>
      <c r="AU65" s="17"/>
      <c r="AV65" s="17"/>
      <c r="AW65" s="17"/>
      <c r="AX65" s="17"/>
      <c r="AY65" s="17"/>
      <c r="AZ65" s="17"/>
    </row>
    <row r="66" spans="1:52" ht="20">
      <c r="A66" s="17"/>
      <c r="B66" s="40"/>
      <c r="C66" s="55">
        <f t="shared" si="16"/>
        <v>47</v>
      </c>
      <c r="D66" s="54">
        <v>1</v>
      </c>
      <c r="E66" s="53" t="str">
        <f t="shared" si="8"/>
        <v>2</v>
      </c>
      <c r="F66" s="52">
        <f t="shared" si="17"/>
        <v>45338</v>
      </c>
      <c r="G66" s="51" t="str">
        <f t="shared" si="18"/>
        <v>Fri</v>
      </c>
      <c r="H66" s="50"/>
      <c r="I66" s="49"/>
      <c r="J66" s="343">
        <f>324150/$B$13</f>
        <v>2937.7379010331701</v>
      </c>
      <c r="K66" s="31"/>
      <c r="L66" s="317">
        <f t="shared" si="28"/>
        <v>1898.4321455607801</v>
      </c>
      <c r="M66" s="318">
        <f t="shared" si="10"/>
        <v>1039.30575547239</v>
      </c>
      <c r="N66" s="41">
        <f t="shared" si="11"/>
        <v>1.5474547815167701</v>
      </c>
      <c r="O66" s="46"/>
      <c r="P66" s="328">
        <f>IF(D66=0,0,SUM($L$51:L66))</f>
        <v>24679.617892290138</v>
      </c>
      <c r="Q66" s="317">
        <f>IF(D66=0,0,SUM($J$51:J66))</f>
        <v>25894.689142649986</v>
      </c>
      <c r="R66" s="321">
        <f t="shared" si="12"/>
        <v>1215.0712503598479</v>
      </c>
      <c r="S66" s="41">
        <f t="shared" si="13"/>
        <v>1.0492337950961321</v>
      </c>
      <c r="T66" s="44"/>
      <c r="U66" s="348">
        <f>IF(D66=0,0,SUM($L$20:L66))</f>
        <v>68901.919635941245</v>
      </c>
      <c r="V66" s="348">
        <f>IF(D66=0,0,SUM($J$20:J66))</f>
        <v>71049.429037520371</v>
      </c>
      <c r="W66" s="349">
        <f t="shared" si="14"/>
        <v>2147.5094015791256</v>
      </c>
      <c r="X66" s="41">
        <f t="shared" si="15"/>
        <v>1.0311676280272883</v>
      </c>
      <c r="Y66" s="17"/>
      <c r="Z66" s="23">
        <f t="shared" si="29"/>
        <v>45338</v>
      </c>
      <c r="AA66" s="22">
        <f t="shared" si="29"/>
        <v>45338</v>
      </c>
      <c r="AB66" s="137">
        <v>45338</v>
      </c>
      <c r="AC66" s="141">
        <v>7</v>
      </c>
      <c r="AD66" s="136" t="s">
        <v>126</v>
      </c>
      <c r="AE66" s="138">
        <f>AVERAGEIFS(J202:J232,D202:D232,1,G202:G232,"fri")</f>
        <v>3287.6789922059093</v>
      </c>
      <c r="AF66" s="141">
        <f>COUNTIFS(D202:D232,1,G202:G232,"fri")</f>
        <v>4</v>
      </c>
      <c r="AG66" s="138"/>
      <c r="AH66" s="138">
        <f t="shared" si="20"/>
        <v>13150.715968823637</v>
      </c>
      <c r="AI66" s="264">
        <f t="shared" si="31"/>
        <v>0.22247912317727878</v>
      </c>
      <c r="AJ66" s="393"/>
      <c r="AK66" s="134"/>
      <c r="AL66" s="134"/>
      <c r="AM66" s="134"/>
      <c r="AN66" s="18"/>
      <c r="AO66" s="18"/>
      <c r="AP66" s="18"/>
      <c r="AQ66" s="18"/>
      <c r="AR66" s="17"/>
      <c r="AS66" s="21">
        <f t="shared" si="22"/>
        <v>45338</v>
      </c>
      <c r="AT66" s="17"/>
      <c r="AU66" s="17"/>
      <c r="AV66" s="17"/>
      <c r="AW66" s="17"/>
      <c r="AX66" s="17"/>
      <c r="AY66" s="17"/>
      <c r="AZ66" s="17"/>
    </row>
    <row r="67" spans="1:52" ht="20">
      <c r="A67" s="17"/>
      <c r="B67" s="40"/>
      <c r="C67" s="55">
        <f t="shared" si="16"/>
        <v>48</v>
      </c>
      <c r="D67" s="54">
        <v>1</v>
      </c>
      <c r="E67" s="53" t="str">
        <f t="shared" si="8"/>
        <v>2</v>
      </c>
      <c r="F67" s="52">
        <f t="shared" si="17"/>
        <v>45339</v>
      </c>
      <c r="G67" s="51" t="str">
        <f t="shared" si="18"/>
        <v>Sat</v>
      </c>
      <c r="H67" s="50"/>
      <c r="I67" s="49"/>
      <c r="J67" s="343">
        <f>136800/$B$13</f>
        <v>1239.8042414355627</v>
      </c>
      <c r="K67" s="31"/>
      <c r="L67" s="317">
        <f t="shared" si="28"/>
        <v>1898.4321455607801</v>
      </c>
      <c r="M67" s="318">
        <f t="shared" si="10"/>
        <v>-658.62790412521736</v>
      </c>
      <c r="N67" s="41">
        <f t="shared" si="11"/>
        <v>0.65306745059847027</v>
      </c>
      <c r="O67" s="46"/>
      <c r="P67" s="328">
        <f>IF(D67=0,0,SUM($L$51:L67))</f>
        <v>26578.050037850917</v>
      </c>
      <c r="Q67" s="317">
        <f>IF(D67=0,0,SUM($J$51:J67))</f>
        <v>27134.493384085548</v>
      </c>
      <c r="R67" s="321">
        <f t="shared" si="12"/>
        <v>556.44334623463146</v>
      </c>
      <c r="S67" s="41">
        <f t="shared" si="13"/>
        <v>1.0209361990605847</v>
      </c>
      <c r="T67" s="56"/>
      <c r="U67" s="348">
        <f>IF(D67=0,0,SUM($L$20:L67))</f>
        <v>70800.351781502031</v>
      </c>
      <c r="V67" s="348">
        <f>IF(D67=0,0,SUM($J$20:J67))</f>
        <v>72289.23327895593</v>
      </c>
      <c r="W67" s="349">
        <f t="shared" si="14"/>
        <v>1488.8814974538982</v>
      </c>
      <c r="X67" s="41">
        <f t="shared" si="15"/>
        <v>1.0210292951940232</v>
      </c>
      <c r="Y67" s="17"/>
      <c r="Z67" s="23">
        <f t="shared" si="29"/>
        <v>45339</v>
      </c>
      <c r="AA67" s="22">
        <f t="shared" si="29"/>
        <v>45339</v>
      </c>
      <c r="AB67" s="137">
        <v>45339</v>
      </c>
      <c r="AC67" s="141">
        <v>7</v>
      </c>
      <c r="AD67" s="136" t="s">
        <v>127</v>
      </c>
      <c r="AE67" s="138">
        <f>AVERAGEIFS(J202:J232,D202:D232,1,G202:G232,"sat")</f>
        <v>1346.7124342940006</v>
      </c>
      <c r="AF67" s="141">
        <f>COUNTIFS(D202:D232,1,G202:G232,"sat")</f>
        <v>4</v>
      </c>
      <c r="AG67" s="138"/>
      <c r="AH67" s="138">
        <f t="shared" si="20"/>
        <v>5386.8497371760022</v>
      </c>
      <c r="AI67" s="264">
        <f t="shared" si="31"/>
        <v>9.1132802887375935E-2</v>
      </c>
      <c r="AJ67" s="393"/>
      <c r="AK67" s="134"/>
      <c r="AL67" s="134"/>
      <c r="AM67" s="134"/>
      <c r="AN67" s="18"/>
      <c r="AO67" s="18"/>
      <c r="AP67" s="18"/>
      <c r="AQ67" s="18"/>
      <c r="AR67" s="17"/>
      <c r="AS67" s="21">
        <f t="shared" si="22"/>
        <v>45339</v>
      </c>
      <c r="AT67" s="17"/>
      <c r="AU67" s="17"/>
      <c r="AV67" s="17"/>
      <c r="AW67" s="17"/>
      <c r="AX67" s="17"/>
      <c r="AY67" s="17"/>
      <c r="AZ67" s="17"/>
    </row>
    <row r="68" spans="1:52" ht="20">
      <c r="A68" s="17"/>
      <c r="B68" s="40"/>
      <c r="C68" s="55">
        <f t="shared" si="16"/>
        <v>49</v>
      </c>
      <c r="D68" s="54">
        <v>0</v>
      </c>
      <c r="E68" s="53" t="str">
        <f t="shared" si="8"/>
        <v>2</v>
      </c>
      <c r="F68" s="52">
        <f t="shared" si="17"/>
        <v>45340</v>
      </c>
      <c r="G68" s="51" t="str">
        <f t="shared" si="18"/>
        <v>Sun</v>
      </c>
      <c r="H68" s="50" t="s">
        <v>46</v>
      </c>
      <c r="I68" s="67"/>
      <c r="J68" s="343"/>
      <c r="K68" s="65"/>
      <c r="L68" s="317">
        <f t="shared" si="28"/>
        <v>0</v>
      </c>
      <c r="M68" s="318">
        <f t="shared" si="10"/>
        <v>0</v>
      </c>
      <c r="N68" s="41" t="str">
        <f t="shared" si="11"/>
        <v>0%</v>
      </c>
      <c r="O68" s="46"/>
      <c r="P68" s="328">
        <f>IF(D68=0,0,SUM($L$51:L68))</f>
        <v>0</v>
      </c>
      <c r="Q68" s="317">
        <f>IF(D68=0,0,SUM($J$51:J68))</f>
        <v>0</v>
      </c>
      <c r="R68" s="321">
        <f t="shared" si="12"/>
        <v>0</v>
      </c>
      <c r="S68" s="41" t="str">
        <f t="shared" si="13"/>
        <v>0%</v>
      </c>
      <c r="T68" s="56"/>
      <c r="U68" s="348">
        <f>IF(D68=0,0,SUM($L$20:L68))</f>
        <v>0</v>
      </c>
      <c r="V68" s="348">
        <f>IF(D68=0,0,SUM($J$20:J68))</f>
        <v>0</v>
      </c>
      <c r="W68" s="349">
        <f t="shared" si="14"/>
        <v>0</v>
      </c>
      <c r="X68" s="41" t="str">
        <f t="shared" si="15"/>
        <v>0%</v>
      </c>
      <c r="Y68" s="17"/>
      <c r="Z68" s="23">
        <f t="shared" si="29"/>
        <v>45340</v>
      </c>
      <c r="AA68" s="22">
        <f t="shared" si="29"/>
        <v>45340</v>
      </c>
      <c r="AB68" s="137">
        <v>45340</v>
      </c>
      <c r="AC68" s="141">
        <v>7</v>
      </c>
      <c r="AD68" s="136" t="s">
        <v>128</v>
      </c>
      <c r="AE68" s="138">
        <f>IFERROR(AVERAGEIFS(J202:J232,D202:D232,1,G202:G232,"sun"),0)</f>
        <v>0</v>
      </c>
      <c r="AF68" s="141">
        <f>IFERROR(COUNTIFS(D202:D232,1,G202:G232,"sun"),0)</f>
        <v>0</v>
      </c>
      <c r="AG68" s="138"/>
      <c r="AH68" s="138">
        <f t="shared" si="20"/>
        <v>0</v>
      </c>
      <c r="AI68" s="264">
        <f t="shared" si="31"/>
        <v>0</v>
      </c>
      <c r="AJ68" s="393"/>
      <c r="AK68" s="134"/>
      <c r="AL68" s="134"/>
      <c r="AM68" s="134"/>
      <c r="AN68" s="18"/>
      <c r="AO68" s="18"/>
      <c r="AP68" s="18"/>
      <c r="AQ68" s="18"/>
      <c r="AR68" s="17"/>
      <c r="AS68" s="21">
        <f t="shared" si="22"/>
        <v>45340</v>
      </c>
      <c r="AT68" s="17"/>
      <c r="AU68" s="17"/>
      <c r="AV68" s="17"/>
      <c r="AW68" s="17"/>
      <c r="AX68" s="17"/>
      <c r="AY68" s="17"/>
      <c r="AZ68" s="17"/>
    </row>
    <row r="69" spans="1:52" ht="20">
      <c r="A69" s="17"/>
      <c r="B69" s="40"/>
      <c r="C69" s="55">
        <f t="shared" si="16"/>
        <v>50</v>
      </c>
      <c r="D69" s="54">
        <v>1</v>
      </c>
      <c r="E69" s="53" t="str">
        <f t="shared" si="8"/>
        <v>2</v>
      </c>
      <c r="F69" s="52">
        <f t="shared" si="17"/>
        <v>45341</v>
      </c>
      <c r="G69" s="51" t="str">
        <f t="shared" si="18"/>
        <v>Mon</v>
      </c>
      <c r="H69" s="50"/>
      <c r="I69" s="49"/>
      <c r="J69" s="343">
        <f>285600/$B$13</f>
        <v>2588.3632408917888</v>
      </c>
      <c r="K69" s="31"/>
      <c r="L69" s="317">
        <f t="shared" si="28"/>
        <v>1898.4321455607801</v>
      </c>
      <c r="M69" s="318">
        <f t="shared" si="10"/>
        <v>689.93109533100869</v>
      </c>
      <c r="N69" s="41">
        <f t="shared" si="11"/>
        <v>1.3634215196704906</v>
      </c>
      <c r="O69" s="46"/>
      <c r="P69" s="328">
        <f>IF(D69=0,0,SUM($L$51:L69))</f>
        <v>28476.482183411696</v>
      </c>
      <c r="Q69" s="317">
        <f>IF(D69=0,0,SUM($J$51:J69))</f>
        <v>29722.856624977336</v>
      </c>
      <c r="R69" s="321">
        <f t="shared" si="12"/>
        <v>1246.3744415656402</v>
      </c>
      <c r="S69" s="41">
        <f t="shared" si="13"/>
        <v>1.043768553767912</v>
      </c>
      <c r="T69" s="56"/>
      <c r="U69" s="348">
        <f>IF(D69=0,0,SUM($L$20:L69))</f>
        <v>72698.783927062817</v>
      </c>
      <c r="V69" s="348">
        <f>IF(D69=0,0,SUM($J$20:J69))</f>
        <v>74877.596519847721</v>
      </c>
      <c r="W69" s="349">
        <f t="shared" si="14"/>
        <v>2178.8125927849032</v>
      </c>
      <c r="X69" s="41">
        <f t="shared" si="15"/>
        <v>1.0299704131911045</v>
      </c>
      <c r="Y69" s="17"/>
      <c r="Z69" s="23">
        <f t="shared" ref="Z69:AA84" si="32">Z68+1</f>
        <v>45341</v>
      </c>
      <c r="AA69" s="22">
        <f t="shared" si="32"/>
        <v>45341</v>
      </c>
      <c r="AB69" s="137">
        <v>45341</v>
      </c>
      <c r="AC69" s="141">
        <v>8</v>
      </c>
      <c r="AD69" s="136" t="s">
        <v>122</v>
      </c>
      <c r="AE69" s="138">
        <f>AVERAGEIFS(J233:J263,D233:D263,1,G233:G263,"mon")</f>
        <v>1695.0637423720618</v>
      </c>
      <c r="AF69" s="141">
        <f>COUNTIFS(D233:D263,1,G233:G263,"Mon")</f>
        <v>3</v>
      </c>
      <c r="AG69" s="138"/>
      <c r="AH69" s="138">
        <f t="shared" si="20"/>
        <v>5085.1912271161855</v>
      </c>
      <c r="AI69" s="264">
        <f>AH69/$M$13</f>
        <v>0.12435721438066738</v>
      </c>
      <c r="AJ69" s="393">
        <f>SUM(AI69:AI75)</f>
        <v>1</v>
      </c>
      <c r="AK69" s="134" t="s">
        <v>135</v>
      </c>
      <c r="AL69" s="134"/>
      <c r="AM69" s="134"/>
      <c r="AN69" s="18"/>
      <c r="AO69" s="18"/>
      <c r="AP69" s="18"/>
      <c r="AQ69" s="18"/>
      <c r="AR69" s="17"/>
      <c r="AS69" s="21">
        <f t="shared" si="22"/>
        <v>45341</v>
      </c>
      <c r="AT69" s="17"/>
      <c r="AU69" s="17"/>
      <c r="AV69" s="17"/>
      <c r="AW69" s="17"/>
      <c r="AX69" s="17"/>
      <c r="AY69" s="17"/>
      <c r="AZ69" s="17"/>
    </row>
    <row r="70" spans="1:52" ht="20">
      <c r="A70" s="17"/>
      <c r="B70" s="40"/>
      <c r="C70" s="55">
        <f t="shared" si="16"/>
        <v>51</v>
      </c>
      <c r="D70" s="54">
        <v>1</v>
      </c>
      <c r="E70" s="53" t="str">
        <f t="shared" si="8"/>
        <v>2</v>
      </c>
      <c r="F70" s="52">
        <f t="shared" si="17"/>
        <v>45342</v>
      </c>
      <c r="G70" s="51" t="str">
        <f t="shared" si="18"/>
        <v>Tue</v>
      </c>
      <c r="H70" s="50"/>
      <c r="I70" s="49"/>
      <c r="J70" s="343">
        <f>316820/$B$13</f>
        <v>2871.3068696755481</v>
      </c>
      <c r="K70" s="31"/>
      <c r="L70" s="317">
        <f t="shared" si="28"/>
        <v>1898.4321455607801</v>
      </c>
      <c r="M70" s="318">
        <f t="shared" si="10"/>
        <v>972.87472411476801</v>
      </c>
      <c r="N70" s="41">
        <f t="shared" si="11"/>
        <v>1.5124622053991765</v>
      </c>
      <c r="O70" s="46"/>
      <c r="P70" s="328">
        <f>IF(D70=0,0,SUM($L$51:L70))</f>
        <v>30374.914328972474</v>
      </c>
      <c r="Q70" s="317">
        <f>IF(D70=0,0,SUM($J$51:J70))</f>
        <v>32594.163494652883</v>
      </c>
      <c r="R70" s="321">
        <f t="shared" si="12"/>
        <v>2219.2491656804086</v>
      </c>
      <c r="S70" s="41">
        <f t="shared" si="13"/>
        <v>1.0730619069948659</v>
      </c>
      <c r="T70" s="56"/>
      <c r="U70" s="348">
        <f>IF(D70=0,0,SUM($L$20:L70))</f>
        <v>74597.216072623603</v>
      </c>
      <c r="V70" s="348">
        <f>IF(D70=0,0,SUM($J$20:J70))</f>
        <v>77748.903389523271</v>
      </c>
      <c r="W70" s="349">
        <f t="shared" si="14"/>
        <v>3151.6873168996681</v>
      </c>
      <c r="X70" s="41">
        <f t="shared" si="15"/>
        <v>1.0422493959269388</v>
      </c>
      <c r="Y70" s="17"/>
      <c r="Z70" s="23">
        <f t="shared" si="32"/>
        <v>45342</v>
      </c>
      <c r="AA70" s="22">
        <f t="shared" si="32"/>
        <v>45342</v>
      </c>
      <c r="AB70" s="137">
        <v>45342</v>
      </c>
      <c r="AC70" s="141">
        <v>8</v>
      </c>
      <c r="AD70" s="136" t="s">
        <v>123</v>
      </c>
      <c r="AE70" s="138">
        <f>AVERAGEIFS(J233:J263,D233:D263,1,G233:G263,"tue")</f>
        <v>1421.515316295088</v>
      </c>
      <c r="AF70" s="141">
        <f>COUNTIFS(D233:D263,1,G233:G263,"tue")</f>
        <v>3</v>
      </c>
      <c r="AG70" s="138"/>
      <c r="AH70" s="138">
        <f t="shared" si="20"/>
        <v>4264.5459488852639</v>
      </c>
      <c r="AI70" s="264">
        <f t="shared" ref="AI70:AI75" si="33">AH70/$M$13</f>
        <v>0.10428851760260746</v>
      </c>
      <c r="AJ70" s="393"/>
      <c r="AK70" s="134"/>
      <c r="AL70" s="134"/>
      <c r="AM70" s="134"/>
      <c r="AN70" s="18"/>
      <c r="AO70" s="18"/>
      <c r="AP70" s="18"/>
      <c r="AQ70" s="18"/>
      <c r="AR70" s="17"/>
      <c r="AS70" s="21">
        <f t="shared" si="22"/>
        <v>45342</v>
      </c>
      <c r="AT70" s="17"/>
      <c r="AU70" s="17"/>
      <c r="AV70" s="17"/>
      <c r="AW70" s="17"/>
      <c r="AX70" s="17"/>
      <c r="AY70" s="17"/>
      <c r="AZ70" s="17"/>
    </row>
    <row r="71" spans="1:52" ht="20">
      <c r="A71" s="17"/>
      <c r="B71" s="40"/>
      <c r="C71" s="55">
        <f t="shared" si="16"/>
        <v>52</v>
      </c>
      <c r="D71" s="54">
        <v>1</v>
      </c>
      <c r="E71" s="53" t="str">
        <f t="shared" si="8"/>
        <v>2</v>
      </c>
      <c r="F71" s="52">
        <f t="shared" si="17"/>
        <v>45343</v>
      </c>
      <c r="G71" s="51" t="str">
        <f t="shared" si="18"/>
        <v>Wed</v>
      </c>
      <c r="H71" s="50"/>
      <c r="I71" s="49"/>
      <c r="J71" s="343">
        <f>135300/$B$13</f>
        <v>1226.2098966829799</v>
      </c>
      <c r="K71" s="31"/>
      <c r="L71" s="317">
        <f t="shared" si="28"/>
        <v>1898.4321455607801</v>
      </c>
      <c r="M71" s="318">
        <f t="shared" si="10"/>
        <v>-672.22224887780021</v>
      </c>
      <c r="N71" s="41">
        <f t="shared" si="11"/>
        <v>0.64590662328927662</v>
      </c>
      <c r="O71" s="46"/>
      <c r="P71" s="328">
        <f>IF(D71=0,0,SUM($L$51:L71))</f>
        <v>32273.346474533253</v>
      </c>
      <c r="Q71" s="317">
        <f>IF(D71=0,0,SUM($J$51:J71))</f>
        <v>33820.373391335859</v>
      </c>
      <c r="R71" s="321">
        <f t="shared" si="12"/>
        <v>1547.0269168026061</v>
      </c>
      <c r="S71" s="41">
        <f t="shared" si="13"/>
        <v>1.0479351256004195</v>
      </c>
      <c r="T71" s="56"/>
      <c r="U71" s="348">
        <f>IF(D71=0,0,SUM($L$20:L71))</f>
        <v>76495.648218184389</v>
      </c>
      <c r="V71" s="348">
        <f>IF(D71=0,0,SUM($J$20:J71))</f>
        <v>78975.113286206251</v>
      </c>
      <c r="W71" s="349">
        <f t="shared" si="14"/>
        <v>2479.465068021862</v>
      </c>
      <c r="X71" s="41">
        <f t="shared" si="15"/>
        <v>1.032413151934471</v>
      </c>
      <c r="Y71" s="17"/>
      <c r="Z71" s="23">
        <f t="shared" si="32"/>
        <v>45343</v>
      </c>
      <c r="AA71" s="22">
        <f t="shared" si="32"/>
        <v>45343</v>
      </c>
      <c r="AB71" s="137">
        <v>45343</v>
      </c>
      <c r="AC71" s="141">
        <v>8</v>
      </c>
      <c r="AD71" s="136" t="s">
        <v>124</v>
      </c>
      <c r="AE71" s="138">
        <f>AVERAGEIFS(J233:J263,D233:D263,1,G233:G263,"wed")</f>
        <v>2664.7302277807985</v>
      </c>
      <c r="AF71" s="141">
        <f>COUNTIFS(D233:D263,1,G233:G263,"wed")</f>
        <v>3</v>
      </c>
      <c r="AG71" s="138"/>
      <c r="AH71" s="138">
        <f t="shared" si="20"/>
        <v>7994.1906833423955</v>
      </c>
      <c r="AI71" s="264">
        <f t="shared" si="33"/>
        <v>0.19549614561341064</v>
      </c>
      <c r="AJ71" s="393"/>
      <c r="AK71" s="134"/>
      <c r="AL71" s="134"/>
      <c r="AM71" s="134"/>
      <c r="AN71" s="18"/>
      <c r="AO71" s="18"/>
      <c r="AP71" s="18"/>
      <c r="AQ71" s="18"/>
      <c r="AR71" s="17"/>
      <c r="AS71" s="21">
        <f t="shared" si="22"/>
        <v>45343</v>
      </c>
      <c r="AT71" s="17"/>
      <c r="AU71" s="17"/>
      <c r="AV71" s="17"/>
      <c r="AW71" s="17"/>
      <c r="AX71" s="17"/>
      <c r="AY71" s="17"/>
      <c r="AZ71" s="17"/>
    </row>
    <row r="72" spans="1:52" ht="20">
      <c r="A72" s="17"/>
      <c r="B72" s="40"/>
      <c r="C72" s="55">
        <f t="shared" si="16"/>
        <v>53</v>
      </c>
      <c r="D72" s="54">
        <v>1</v>
      </c>
      <c r="E72" s="53" t="str">
        <f t="shared" si="8"/>
        <v>2</v>
      </c>
      <c r="F72" s="52">
        <f t="shared" si="17"/>
        <v>45344</v>
      </c>
      <c r="G72" s="51" t="str">
        <f t="shared" si="18"/>
        <v>Thu</v>
      </c>
      <c r="H72" s="50"/>
      <c r="I72" s="49"/>
      <c r="J72" s="343">
        <f>331320/$B$13</f>
        <v>3002.7188689505165</v>
      </c>
      <c r="K72" s="31"/>
      <c r="L72" s="317">
        <f t="shared" si="28"/>
        <v>1898.4321455607801</v>
      </c>
      <c r="M72" s="318">
        <f t="shared" si="10"/>
        <v>1104.2867233897364</v>
      </c>
      <c r="N72" s="41">
        <f t="shared" si="11"/>
        <v>1.5816835360547163</v>
      </c>
      <c r="O72" s="46"/>
      <c r="P72" s="328">
        <f>IF(D72=0,0,SUM($L$51:L72))</f>
        <v>34171.778620094032</v>
      </c>
      <c r="Q72" s="317">
        <f>IF(D72=0,0,SUM($J$51:J72))</f>
        <v>36823.092260286372</v>
      </c>
      <c r="R72" s="321">
        <f t="shared" si="12"/>
        <v>2651.3136401923402</v>
      </c>
      <c r="S72" s="41">
        <f t="shared" si="13"/>
        <v>1.0775878150701026</v>
      </c>
      <c r="T72" s="56"/>
      <c r="U72" s="348">
        <f>IF(D72=0,0,SUM($L$20:L72))</f>
        <v>78394.080363745175</v>
      </c>
      <c r="V72" s="348">
        <f>IF(D72=0,0,SUM($J$20:J72))</f>
        <v>81977.832155156764</v>
      </c>
      <c r="W72" s="349">
        <f t="shared" si="14"/>
        <v>3583.7517914115888</v>
      </c>
      <c r="X72" s="41">
        <f t="shared" si="15"/>
        <v>1.0457145714929383</v>
      </c>
      <c r="Y72" s="17"/>
      <c r="Z72" s="23">
        <f t="shared" si="32"/>
        <v>45344</v>
      </c>
      <c r="AA72" s="22">
        <f t="shared" si="32"/>
        <v>45344</v>
      </c>
      <c r="AB72" s="137">
        <v>45344</v>
      </c>
      <c r="AC72" s="141">
        <v>8</v>
      </c>
      <c r="AD72" s="136" t="s">
        <v>125</v>
      </c>
      <c r="AE72" s="138">
        <f>AVERAGEIFS(J233:J263,D233:D263,1,G233:G263,"thu")</f>
        <v>1862.6812579300345</v>
      </c>
      <c r="AF72" s="141">
        <f>COUNTIFS(D233:D263,1,G233:G263,"thu")</f>
        <v>4</v>
      </c>
      <c r="AG72" s="138"/>
      <c r="AH72" s="138">
        <f t="shared" si="20"/>
        <v>7450.7250317201378</v>
      </c>
      <c r="AI72" s="264">
        <f t="shared" si="33"/>
        <v>0.1822058146250822</v>
      </c>
      <c r="AJ72" s="393"/>
      <c r="AK72" s="134"/>
      <c r="AL72" s="134"/>
      <c r="AM72" s="134"/>
      <c r="AN72" s="18"/>
      <c r="AO72" s="18"/>
      <c r="AP72" s="18"/>
      <c r="AQ72" s="18"/>
      <c r="AR72" s="17"/>
      <c r="AS72" s="21">
        <f t="shared" si="22"/>
        <v>45344</v>
      </c>
      <c r="AT72" s="17"/>
      <c r="AU72" s="17"/>
      <c r="AV72" s="17"/>
      <c r="AW72" s="17"/>
      <c r="AX72" s="17"/>
      <c r="AY72" s="17"/>
      <c r="AZ72" s="17"/>
    </row>
    <row r="73" spans="1:52" ht="20">
      <c r="A73" s="17"/>
      <c r="B73" s="40"/>
      <c r="C73" s="55">
        <f t="shared" si="16"/>
        <v>54</v>
      </c>
      <c r="D73" s="54">
        <v>0</v>
      </c>
      <c r="E73" s="53" t="str">
        <f t="shared" si="8"/>
        <v>2</v>
      </c>
      <c r="F73" s="52">
        <f t="shared" si="17"/>
        <v>45345</v>
      </c>
      <c r="G73" s="51" t="str">
        <f t="shared" si="18"/>
        <v>Fri</v>
      </c>
      <c r="H73" s="50" t="s">
        <v>47</v>
      </c>
      <c r="I73" s="67"/>
      <c r="J73" s="343"/>
      <c r="K73" s="65"/>
      <c r="L73" s="317">
        <f t="shared" si="28"/>
        <v>0</v>
      </c>
      <c r="M73" s="318">
        <f t="shared" si="10"/>
        <v>0</v>
      </c>
      <c r="N73" s="41" t="str">
        <f t="shared" si="11"/>
        <v>0%</v>
      </c>
      <c r="O73" s="46"/>
      <c r="P73" s="328">
        <f>IF(D73=0,0,SUM($L$51:L73))</f>
        <v>0</v>
      </c>
      <c r="Q73" s="317">
        <f>IF(D73=0,0,SUM($J$51:J73))</f>
        <v>0</v>
      </c>
      <c r="R73" s="321">
        <f t="shared" si="12"/>
        <v>0</v>
      </c>
      <c r="S73" s="41" t="str">
        <f t="shared" si="13"/>
        <v>0%</v>
      </c>
      <c r="T73" s="44"/>
      <c r="U73" s="348">
        <f>IF(D73=0,0,SUM($L$20:L73))</f>
        <v>0</v>
      </c>
      <c r="V73" s="348">
        <f>IF(D73=0,0,SUM($J$20:J73))</f>
        <v>0</v>
      </c>
      <c r="W73" s="349">
        <f t="shared" si="14"/>
        <v>0</v>
      </c>
      <c r="X73" s="41" t="str">
        <f t="shared" si="15"/>
        <v>0%</v>
      </c>
      <c r="Y73" s="17"/>
      <c r="Z73" s="23">
        <f t="shared" si="32"/>
        <v>45345</v>
      </c>
      <c r="AA73" s="22">
        <f t="shared" si="32"/>
        <v>45345</v>
      </c>
      <c r="AB73" s="137">
        <v>45345</v>
      </c>
      <c r="AC73" s="141">
        <v>8</v>
      </c>
      <c r="AD73" s="136" t="s">
        <v>126</v>
      </c>
      <c r="AE73" s="138">
        <f>AVERAGEIFS(J233:J263,D233:D263,1,G233:G263,"fri")</f>
        <v>2605.8546311401124</v>
      </c>
      <c r="AF73" s="141">
        <f>COUNTIFS(D233:D263,1,G233:G263,"fri")</f>
        <v>4</v>
      </c>
      <c r="AG73" s="138"/>
      <c r="AH73" s="138">
        <f t="shared" si="20"/>
        <v>10423.418524560449</v>
      </c>
      <c r="AI73" s="264">
        <f t="shared" si="33"/>
        <v>0.25490236928086474</v>
      </c>
      <c r="AJ73" s="393"/>
      <c r="AK73" s="134"/>
      <c r="AL73" s="134"/>
      <c r="AM73" s="134"/>
      <c r="AN73" s="18"/>
      <c r="AO73" s="18"/>
      <c r="AP73" s="18"/>
      <c r="AQ73" s="18"/>
      <c r="AR73" s="17"/>
      <c r="AS73" s="21">
        <f t="shared" si="22"/>
        <v>45345</v>
      </c>
      <c r="AT73" s="17"/>
      <c r="AU73" s="17"/>
      <c r="AV73" s="17"/>
      <c r="AW73" s="17"/>
      <c r="AX73" s="17"/>
      <c r="AY73" s="17"/>
      <c r="AZ73" s="17"/>
    </row>
    <row r="74" spans="1:52" ht="20">
      <c r="A74" s="17"/>
      <c r="B74" s="40"/>
      <c r="C74" s="55">
        <f t="shared" si="16"/>
        <v>55</v>
      </c>
      <c r="D74" s="54">
        <v>1</v>
      </c>
      <c r="E74" s="53" t="str">
        <f t="shared" si="8"/>
        <v>2</v>
      </c>
      <c r="F74" s="52">
        <f t="shared" si="17"/>
        <v>45346</v>
      </c>
      <c r="G74" s="51" t="str">
        <f t="shared" si="18"/>
        <v>Sat</v>
      </c>
      <c r="H74" s="50"/>
      <c r="I74" s="49"/>
      <c r="J74" s="343">
        <f>72800/$B$13</f>
        <v>659.77886532535797</v>
      </c>
      <c r="K74" s="31"/>
      <c r="L74" s="317">
        <f t="shared" si="28"/>
        <v>1898.4321455607801</v>
      </c>
      <c r="M74" s="318">
        <f t="shared" si="10"/>
        <v>-1238.6532802354222</v>
      </c>
      <c r="N74" s="41">
        <f t="shared" si="11"/>
        <v>0.34753881873953685</v>
      </c>
      <c r="O74" s="46"/>
      <c r="P74" s="328">
        <f>IF(D74=0,0,SUM($L$51:L74))</f>
        <v>36070.210765654811</v>
      </c>
      <c r="Q74" s="317">
        <f>IF(D74=0,0,SUM($J$51:J74))</f>
        <v>37482.871125611731</v>
      </c>
      <c r="R74" s="321">
        <f t="shared" si="12"/>
        <v>1412.6603599569207</v>
      </c>
      <c r="S74" s="41">
        <f t="shared" si="13"/>
        <v>1.0391641836842833</v>
      </c>
      <c r="T74" s="44"/>
      <c r="U74" s="348">
        <f>IF(D74=0,0,SUM($L$20:L74))</f>
        <v>80292.512509305961</v>
      </c>
      <c r="V74" s="348">
        <f>IF(D74=0,0,SUM($J$20:J74))</f>
        <v>82637.611020482116</v>
      </c>
      <c r="W74" s="349">
        <f t="shared" si="14"/>
        <v>2345.0985111761547</v>
      </c>
      <c r="X74" s="41">
        <f t="shared" si="15"/>
        <v>1.0292069389521763</v>
      </c>
      <c r="Y74" s="17"/>
      <c r="Z74" s="23">
        <f t="shared" si="32"/>
        <v>45346</v>
      </c>
      <c r="AA74" s="22">
        <f t="shared" si="32"/>
        <v>45346</v>
      </c>
      <c r="AB74" s="137">
        <v>45346</v>
      </c>
      <c r="AC74" s="141">
        <v>8</v>
      </c>
      <c r="AD74" s="136" t="s">
        <v>127</v>
      </c>
      <c r="AE74" s="138">
        <f>AVERAGEIFS(J233:J263,D233:D263,1,G233:G263,"sat")</f>
        <v>1134.747145187602</v>
      </c>
      <c r="AF74" s="141">
        <f>COUNTIFS(D233:D263,1,G233:G263,"sat")</f>
        <v>5</v>
      </c>
      <c r="AG74" s="138"/>
      <c r="AH74" s="138">
        <f t="shared" si="20"/>
        <v>5673.7357259380096</v>
      </c>
      <c r="AI74" s="264">
        <f t="shared" si="33"/>
        <v>0.13874993849736772</v>
      </c>
      <c r="AJ74" s="393"/>
      <c r="AK74" s="134"/>
      <c r="AL74" s="134"/>
      <c r="AM74" s="134"/>
      <c r="AN74" s="18"/>
      <c r="AO74" s="18"/>
      <c r="AP74" s="18"/>
      <c r="AQ74" s="18"/>
      <c r="AR74" s="17"/>
      <c r="AS74" s="21">
        <f t="shared" si="22"/>
        <v>45346</v>
      </c>
      <c r="AT74" s="17"/>
      <c r="AU74" s="17"/>
      <c r="AV74" s="17"/>
      <c r="AW74" s="17"/>
      <c r="AX74" s="17"/>
      <c r="AY74" s="17"/>
      <c r="AZ74" s="17"/>
    </row>
    <row r="75" spans="1:52" ht="20">
      <c r="A75" s="17"/>
      <c r="B75" s="40"/>
      <c r="C75" s="55">
        <f t="shared" si="16"/>
        <v>56</v>
      </c>
      <c r="D75" s="54">
        <v>0</v>
      </c>
      <c r="E75" s="53" t="str">
        <f t="shared" si="8"/>
        <v>2</v>
      </c>
      <c r="F75" s="52">
        <f t="shared" si="17"/>
        <v>45347</v>
      </c>
      <c r="G75" s="51" t="str">
        <f t="shared" si="18"/>
        <v>Sun</v>
      </c>
      <c r="H75" s="50" t="s">
        <v>46</v>
      </c>
      <c r="I75" s="67"/>
      <c r="J75" s="343"/>
      <c r="K75" s="65"/>
      <c r="L75" s="317">
        <f t="shared" si="28"/>
        <v>0</v>
      </c>
      <c r="M75" s="318">
        <f t="shared" si="10"/>
        <v>0</v>
      </c>
      <c r="N75" s="41" t="str">
        <f t="shared" si="11"/>
        <v>0%</v>
      </c>
      <c r="O75" s="46"/>
      <c r="P75" s="328">
        <f>IF(D75=0,0,SUM($L$51:L75))</f>
        <v>0</v>
      </c>
      <c r="Q75" s="317">
        <f>IF(D75=0,0,SUM($J$51:J75))</f>
        <v>0</v>
      </c>
      <c r="R75" s="321">
        <f t="shared" si="12"/>
        <v>0</v>
      </c>
      <c r="S75" s="41" t="str">
        <f t="shared" si="13"/>
        <v>0%</v>
      </c>
      <c r="T75" s="56"/>
      <c r="U75" s="348">
        <f>IF(D75=0,0,SUM($L$20:L75))</f>
        <v>0</v>
      </c>
      <c r="V75" s="348">
        <f>IF(D75=0,0,SUM($J$20:J75))</f>
        <v>0</v>
      </c>
      <c r="W75" s="349">
        <f t="shared" si="14"/>
        <v>0</v>
      </c>
      <c r="X75" s="41" t="str">
        <f t="shared" si="15"/>
        <v>0%</v>
      </c>
      <c r="Y75" s="17"/>
      <c r="Z75" s="23">
        <f t="shared" si="32"/>
        <v>45347</v>
      </c>
      <c r="AA75" s="22">
        <f t="shared" si="32"/>
        <v>45347</v>
      </c>
      <c r="AB75" s="137">
        <v>45347</v>
      </c>
      <c r="AC75" s="141">
        <v>8</v>
      </c>
      <c r="AD75" s="136" t="s">
        <v>128</v>
      </c>
      <c r="AE75" s="138">
        <f>IFERROR(AVERAGEIFS(J233:J263,D233:D263,1,G233:G263,"sun"),0)</f>
        <v>0</v>
      </c>
      <c r="AF75" s="141">
        <f>IFERROR(COUNTIFS(D233:D263,1,G233:G263,"sun"),0)</f>
        <v>0</v>
      </c>
      <c r="AG75" s="138"/>
      <c r="AH75" s="138">
        <f t="shared" si="20"/>
        <v>0</v>
      </c>
      <c r="AI75" s="264">
        <f t="shared" si="33"/>
        <v>0</v>
      </c>
      <c r="AJ75" s="393"/>
      <c r="AK75" s="134"/>
      <c r="AL75" s="134"/>
      <c r="AM75" s="134"/>
      <c r="AN75" s="18"/>
      <c r="AO75" s="18"/>
      <c r="AP75" s="18"/>
      <c r="AQ75" s="18"/>
      <c r="AR75" s="17"/>
      <c r="AS75" s="21">
        <f t="shared" si="22"/>
        <v>45347</v>
      </c>
      <c r="AT75" s="17"/>
      <c r="AU75" s="17"/>
      <c r="AV75" s="17"/>
      <c r="AW75" s="17"/>
      <c r="AX75" s="17"/>
      <c r="AY75" s="17"/>
      <c r="AZ75" s="17"/>
    </row>
    <row r="76" spans="1:52" ht="20">
      <c r="A76" s="17"/>
      <c r="B76" s="40"/>
      <c r="C76" s="55">
        <f t="shared" si="16"/>
        <v>57</v>
      </c>
      <c r="D76" s="54">
        <v>1</v>
      </c>
      <c r="E76" s="53" t="str">
        <f t="shared" si="8"/>
        <v>2</v>
      </c>
      <c r="F76" s="52">
        <f t="shared" si="17"/>
        <v>45348</v>
      </c>
      <c r="G76" s="51" t="str">
        <f t="shared" si="18"/>
        <v>Mon</v>
      </c>
      <c r="H76" s="50"/>
      <c r="I76" s="49"/>
      <c r="J76" s="343">
        <f>252950/$B$13</f>
        <v>2292.4596701105675</v>
      </c>
      <c r="K76" s="31"/>
      <c r="L76" s="317">
        <f t="shared" si="28"/>
        <v>1898.4321455607801</v>
      </c>
      <c r="M76" s="318">
        <f t="shared" si="10"/>
        <v>394.02752454978736</v>
      </c>
      <c r="N76" s="41">
        <f t="shared" si="11"/>
        <v>1.2075541785737067</v>
      </c>
      <c r="O76" s="46"/>
      <c r="P76" s="328">
        <f>IF(D76=0,0,SUM($L$51:L76))</f>
        <v>37968.642911215589</v>
      </c>
      <c r="Q76" s="317">
        <f>IF(D76=0,0,SUM($J$51:J76))</f>
        <v>39775.330795722301</v>
      </c>
      <c r="R76" s="321">
        <f t="shared" si="12"/>
        <v>1806.6878845067113</v>
      </c>
      <c r="S76" s="41">
        <f t="shared" si="13"/>
        <v>1.0475836834287546</v>
      </c>
      <c r="T76" s="56"/>
      <c r="U76" s="348">
        <f>IF(D76=0,0,SUM($L$20:L76))</f>
        <v>82190.944654866747</v>
      </c>
      <c r="V76" s="348">
        <f>IF(D76=0,0,SUM($J$20:J76))</f>
        <v>84930.070690592678</v>
      </c>
      <c r="W76" s="349">
        <f t="shared" si="14"/>
        <v>2739.1260357259307</v>
      </c>
      <c r="X76" s="41">
        <f t="shared" si="15"/>
        <v>1.0333263724760431</v>
      </c>
      <c r="Y76" s="17"/>
      <c r="Z76" s="23">
        <f t="shared" si="32"/>
        <v>45348</v>
      </c>
      <c r="AA76" s="22">
        <f t="shared" si="32"/>
        <v>45348</v>
      </c>
      <c r="AB76" s="137">
        <v>45348</v>
      </c>
      <c r="AC76" s="141">
        <v>9</v>
      </c>
      <c r="AD76" s="136" t="s">
        <v>122</v>
      </c>
      <c r="AE76" s="138">
        <f>AVERAGEIFS(J264:J293,D264:D293,1,G264:G293,"mon")</f>
        <v>2143.3750226572415</v>
      </c>
      <c r="AF76" s="141">
        <f>COUNTIFS(D264:D293,1,G264:G293,"Mon")</f>
        <v>3</v>
      </c>
      <c r="AG76" s="138"/>
      <c r="AH76" s="138">
        <f t="shared" si="20"/>
        <v>6430.125067971725</v>
      </c>
      <c r="AI76" s="264">
        <f>AH76/$M$14</f>
        <v>0.13078160209766693</v>
      </c>
      <c r="AJ76" s="393">
        <f>SUM(AI76:AI82)</f>
        <v>1.0000000000000002</v>
      </c>
      <c r="AK76" s="134" t="s">
        <v>136</v>
      </c>
      <c r="AL76" s="134"/>
      <c r="AM76" s="134"/>
      <c r="AN76" s="18"/>
      <c r="AO76" s="18"/>
      <c r="AP76" s="18"/>
      <c r="AQ76" s="18"/>
      <c r="AR76" s="17"/>
      <c r="AS76" s="21">
        <f t="shared" si="22"/>
        <v>45348</v>
      </c>
      <c r="AT76" s="17"/>
      <c r="AU76" s="17"/>
      <c r="AV76" s="17"/>
      <c r="AW76" s="17"/>
      <c r="AX76" s="17"/>
      <c r="AY76" s="17"/>
      <c r="AZ76" s="17"/>
    </row>
    <row r="77" spans="1:52" ht="20">
      <c r="A77" s="17"/>
      <c r="B77" s="40"/>
      <c r="C77" s="55">
        <f t="shared" si="16"/>
        <v>58</v>
      </c>
      <c r="D77" s="54">
        <v>1</v>
      </c>
      <c r="E77" s="53" t="str">
        <f t="shared" si="8"/>
        <v>2</v>
      </c>
      <c r="F77" s="52">
        <f t="shared" si="17"/>
        <v>45349</v>
      </c>
      <c r="G77" s="51" t="str">
        <f t="shared" si="18"/>
        <v>Tue</v>
      </c>
      <c r="H77" s="50"/>
      <c r="I77" s="49"/>
      <c r="J77" s="343">
        <f>209900/$B$13</f>
        <v>1902.3019757114373</v>
      </c>
      <c r="K77" s="31"/>
      <c r="L77" s="317">
        <f t="shared" si="28"/>
        <v>1898.4321455607801</v>
      </c>
      <c r="M77" s="318">
        <f t="shared" si="10"/>
        <v>3.8698301506572079</v>
      </c>
      <c r="N77" s="41">
        <f t="shared" si="11"/>
        <v>1.0020384347998459</v>
      </c>
      <c r="O77" s="46"/>
      <c r="P77" s="328">
        <f>IF(D77=0,0,SUM($L$51:L77))</f>
        <v>39867.075056776368</v>
      </c>
      <c r="Q77" s="317">
        <f>IF(D77=0,0,SUM($J$51:J77))</f>
        <v>41677.632771433739</v>
      </c>
      <c r="R77" s="321">
        <f t="shared" si="12"/>
        <v>1810.5577146573705</v>
      </c>
      <c r="S77" s="41">
        <f t="shared" si="13"/>
        <v>1.0454148620654733</v>
      </c>
      <c r="T77" s="56"/>
      <c r="U77" s="348">
        <f>IF(D77=0,0,SUM($L$20:L77))</f>
        <v>84089.376800427533</v>
      </c>
      <c r="V77" s="348">
        <f>IF(D77=0,0,SUM($J$20:J77))</f>
        <v>86832.372666304116</v>
      </c>
      <c r="W77" s="349">
        <f t="shared" si="14"/>
        <v>2742.9958658765827</v>
      </c>
      <c r="X77" s="41">
        <f t="shared" si="15"/>
        <v>1.0326200046931806</v>
      </c>
      <c r="Y77" s="17"/>
      <c r="Z77" s="23">
        <f t="shared" si="32"/>
        <v>45349</v>
      </c>
      <c r="AA77" s="22">
        <f t="shared" si="32"/>
        <v>45349</v>
      </c>
      <c r="AB77" s="137">
        <v>45349</v>
      </c>
      <c r="AC77" s="141">
        <v>9</v>
      </c>
      <c r="AD77" s="136" t="s">
        <v>123</v>
      </c>
      <c r="AE77" s="138">
        <f>AVERAGEIFS(J264:J293,D264:D293,1,G264:G293,"tue")</f>
        <v>2658.0569149900307</v>
      </c>
      <c r="AF77" s="141">
        <f>COUNTIFS(D264:D293,1,G264:G293,"tue")</f>
        <v>4</v>
      </c>
      <c r="AG77" s="138"/>
      <c r="AH77" s="138">
        <f t="shared" si="20"/>
        <v>10632.227659960123</v>
      </c>
      <c r="AI77" s="264">
        <f t="shared" ref="AI77:AI82" si="34">AH77/$M$14</f>
        <v>0.21624770164467777</v>
      </c>
      <c r="AJ77" s="393"/>
      <c r="AK77" s="134"/>
      <c r="AL77" s="134"/>
      <c r="AM77" s="134"/>
      <c r="AN77" s="18"/>
      <c r="AO77" s="18"/>
      <c r="AP77" s="18"/>
      <c r="AQ77" s="18"/>
      <c r="AR77" s="17"/>
      <c r="AS77" s="21">
        <f t="shared" si="22"/>
        <v>45349</v>
      </c>
      <c r="AT77" s="17"/>
      <c r="AU77" s="17"/>
      <c r="AV77" s="17"/>
      <c r="AW77" s="17"/>
      <c r="AX77" s="17"/>
      <c r="AY77" s="17"/>
      <c r="AZ77" s="17"/>
    </row>
    <row r="78" spans="1:52" ht="20">
      <c r="A78" s="17"/>
      <c r="B78" s="40"/>
      <c r="C78" s="55">
        <f t="shared" si="16"/>
        <v>59</v>
      </c>
      <c r="D78" s="68">
        <v>1</v>
      </c>
      <c r="E78" s="53" t="str">
        <f t="shared" si="8"/>
        <v>2</v>
      </c>
      <c r="F78" s="52">
        <f t="shared" si="17"/>
        <v>45350</v>
      </c>
      <c r="G78" s="51" t="str">
        <f t="shared" si="18"/>
        <v>Wed</v>
      </c>
      <c r="H78" s="50"/>
      <c r="I78" s="49"/>
      <c r="J78" s="343">
        <f>234470/$B$13</f>
        <v>2124.9773427587456</v>
      </c>
      <c r="K78" s="31"/>
      <c r="L78" s="317">
        <f t="shared" si="28"/>
        <v>1898.4321455607801</v>
      </c>
      <c r="M78" s="318">
        <f t="shared" si="10"/>
        <v>226.54519719796554</v>
      </c>
      <c r="N78" s="41">
        <f t="shared" si="11"/>
        <v>1.1193327861244395</v>
      </c>
      <c r="O78" s="46"/>
      <c r="P78" s="328">
        <f>IF(D78=0,0,SUM($L$51:L78))</f>
        <v>41765.507202337147</v>
      </c>
      <c r="Q78" s="317">
        <f>IF(D78=0,0,SUM($J$51:J78))</f>
        <v>43802.610114192481</v>
      </c>
      <c r="R78" s="321">
        <f t="shared" si="12"/>
        <v>2037.1029118553342</v>
      </c>
      <c r="S78" s="41">
        <f t="shared" si="13"/>
        <v>1.0487747677045172</v>
      </c>
      <c r="T78" s="56"/>
      <c r="U78" s="348">
        <f>IF(D78=0,0,SUM($L$20:L78))</f>
        <v>85987.808945988319</v>
      </c>
      <c r="V78" s="348">
        <f>IF(D78=0,0,SUM($J$20:J78))</f>
        <v>88957.350009062866</v>
      </c>
      <c r="W78" s="349">
        <f t="shared" si="14"/>
        <v>2969.5410630745464</v>
      </c>
      <c r="X78" s="41">
        <f t="shared" si="15"/>
        <v>1.0345344427247798</v>
      </c>
      <c r="Y78" s="17"/>
      <c r="Z78" s="23">
        <f t="shared" si="32"/>
        <v>45350</v>
      </c>
      <c r="AA78" s="22">
        <f t="shared" si="32"/>
        <v>45350</v>
      </c>
      <c r="AB78" s="137">
        <v>45350</v>
      </c>
      <c r="AC78" s="141">
        <v>9</v>
      </c>
      <c r="AD78" s="136" t="s">
        <v>124</v>
      </c>
      <c r="AE78" s="138">
        <f>AVERAGEIFS(J264:J293,D264:D293,1,G264:G293,"wed")</f>
        <v>1792.8448432118905</v>
      </c>
      <c r="AF78" s="141">
        <f>COUNTIFS(D264:D293,1,G264:G293,"wed")</f>
        <v>4</v>
      </c>
      <c r="AG78" s="138"/>
      <c r="AH78" s="138">
        <f t="shared" si="20"/>
        <v>7171.3793728475621</v>
      </c>
      <c r="AI78" s="264">
        <f t="shared" si="34"/>
        <v>0.14585789136555719</v>
      </c>
      <c r="AJ78" s="393"/>
      <c r="AK78" s="134"/>
      <c r="AL78" s="134"/>
      <c r="AM78" s="134"/>
      <c r="AN78" s="18"/>
      <c r="AO78" s="18"/>
      <c r="AP78" s="18"/>
      <c r="AQ78" s="18"/>
      <c r="AR78" s="17"/>
      <c r="AS78" s="21">
        <f t="shared" si="22"/>
        <v>45350</v>
      </c>
      <c r="AT78" s="17"/>
      <c r="AU78" s="17"/>
      <c r="AV78" s="17"/>
      <c r="AW78" s="17"/>
      <c r="AX78" s="17"/>
      <c r="AY78" s="17"/>
      <c r="AZ78" s="17"/>
    </row>
    <row r="79" spans="1:52" ht="21" thickBot="1">
      <c r="A79" s="17"/>
      <c r="B79" s="40"/>
      <c r="C79" s="39">
        <f t="shared" si="16"/>
        <v>60</v>
      </c>
      <c r="D79" s="38">
        <v>1</v>
      </c>
      <c r="E79" s="37" t="str">
        <f t="shared" si="8"/>
        <v>2</v>
      </c>
      <c r="F79" s="36">
        <f t="shared" si="17"/>
        <v>45351</v>
      </c>
      <c r="G79" s="35" t="str">
        <f t="shared" si="18"/>
        <v>Thu</v>
      </c>
      <c r="H79" s="34"/>
      <c r="I79" s="33"/>
      <c r="J79" s="344">
        <f>168650/$B$13</f>
        <v>1528.4574950154069</v>
      </c>
      <c r="K79" s="31"/>
      <c r="L79" s="326">
        <f t="shared" si="28"/>
        <v>1898.4321455607801</v>
      </c>
      <c r="M79" s="320">
        <f t="shared" si="10"/>
        <v>-369.97465054537315</v>
      </c>
      <c r="N79" s="24">
        <f t="shared" si="11"/>
        <v>0.8051156837970177</v>
      </c>
      <c r="O79" s="29"/>
      <c r="P79" s="347">
        <f>IF(D79=0,0,SUM($L$51:L79))</f>
        <v>43663.939347897925</v>
      </c>
      <c r="Q79" s="326">
        <f>IF(D79=0,0,SUM($J$51:J79))</f>
        <v>45331.067609207887</v>
      </c>
      <c r="R79" s="327">
        <f t="shared" si="12"/>
        <v>1667.1282613099611</v>
      </c>
      <c r="S79" s="24">
        <f t="shared" si="13"/>
        <v>1.0381808944911477</v>
      </c>
      <c r="T79" s="64"/>
      <c r="U79" s="350">
        <f>IF(D79=0,0,SUM($L$20:L79))</f>
        <v>87886.241091549105</v>
      </c>
      <c r="V79" s="350">
        <f>IF(D79=0,0,SUM($J$20:J79))</f>
        <v>90485.807504078271</v>
      </c>
      <c r="W79" s="351">
        <f t="shared" si="14"/>
        <v>2599.566412529166</v>
      </c>
      <c r="X79" s="24">
        <f t="shared" si="15"/>
        <v>1.0295787643235448</v>
      </c>
      <c r="Y79" s="17"/>
      <c r="Z79" s="23">
        <f t="shared" si="32"/>
        <v>45351</v>
      </c>
      <c r="AA79" s="22">
        <f t="shared" si="32"/>
        <v>45351</v>
      </c>
      <c r="AB79" s="137">
        <v>45351</v>
      </c>
      <c r="AC79" s="141">
        <v>9</v>
      </c>
      <c r="AD79" s="136" t="s">
        <v>125</v>
      </c>
      <c r="AE79" s="138">
        <f>AVERAGEIFS(J264:J293,D264:D293,1,G264:G293,"thu")</f>
        <v>2020.7313757476891</v>
      </c>
      <c r="AF79" s="141">
        <f>COUNTIFS(D264:D293,1,G264:G293,"thu")</f>
        <v>4</v>
      </c>
      <c r="AG79" s="138"/>
      <c r="AH79" s="138">
        <f t="shared" si="20"/>
        <v>8082.9255029907563</v>
      </c>
      <c r="AI79" s="264">
        <f t="shared" si="34"/>
        <v>0.16439772722036106</v>
      </c>
      <c r="AJ79" s="393"/>
      <c r="AK79" s="134"/>
      <c r="AL79" s="134"/>
      <c r="AM79" s="134"/>
      <c r="AN79" s="18"/>
      <c r="AO79" s="18"/>
      <c r="AP79" s="18"/>
      <c r="AQ79" s="18"/>
      <c r="AR79" s="17"/>
      <c r="AS79" s="21">
        <f t="shared" si="22"/>
        <v>45351</v>
      </c>
      <c r="AT79" s="17"/>
      <c r="AU79" s="17"/>
      <c r="AV79" s="17"/>
      <c r="AW79" s="17"/>
      <c r="AX79" s="17"/>
      <c r="AY79" s="17"/>
      <c r="AZ79" s="17"/>
    </row>
    <row r="80" spans="1:52" ht="21" thickTop="1">
      <c r="A80" s="17"/>
      <c r="B80" s="40"/>
      <c r="C80" s="55">
        <f t="shared" si="16"/>
        <v>61</v>
      </c>
      <c r="D80" s="62">
        <v>1</v>
      </c>
      <c r="E80" s="53" t="str">
        <f t="shared" si="8"/>
        <v>3</v>
      </c>
      <c r="F80" s="52">
        <f t="shared" si="17"/>
        <v>45352</v>
      </c>
      <c r="G80" s="51" t="str">
        <f t="shared" si="18"/>
        <v>Fri</v>
      </c>
      <c r="H80" s="50"/>
      <c r="I80" s="49"/>
      <c r="J80" s="343">
        <f>305050/$B$13</f>
        <v>2764.6365778502809</v>
      </c>
      <c r="K80" s="31"/>
      <c r="L80" s="317">
        <f t="shared" ref="L80:L110" si="35">IF(D80=0,0,$K$8)</f>
        <v>2233.4495830126825</v>
      </c>
      <c r="M80" s="321">
        <f t="shared" si="10"/>
        <v>531.18699483759838</v>
      </c>
      <c r="N80" s="60">
        <f t="shared" si="11"/>
        <v>1.2378325433794142</v>
      </c>
      <c r="O80" s="46"/>
      <c r="P80" s="329">
        <f>IF(D80=0,0,$L$80)</f>
        <v>2233.4495830126825</v>
      </c>
      <c r="Q80" s="317">
        <f>IF(D80=0,0,$J$80)</f>
        <v>2764.6365778502809</v>
      </c>
      <c r="R80" s="321">
        <f t="shared" si="12"/>
        <v>531.18699483759838</v>
      </c>
      <c r="S80" s="60">
        <f t="shared" si="13"/>
        <v>1.2378325433794142</v>
      </c>
      <c r="T80" s="56"/>
      <c r="U80" s="348">
        <f>IF(D80=0,0,SUM($L$20:L80))</f>
        <v>90119.690674561789</v>
      </c>
      <c r="V80" s="348">
        <f>IF(D80=0,0,SUM($J$20:J80))</f>
        <v>93250.444081928552</v>
      </c>
      <c r="W80" s="349">
        <f t="shared" si="14"/>
        <v>3130.753407366763</v>
      </c>
      <c r="X80" s="60">
        <f t="shared" si="15"/>
        <v>1.0347399484389319</v>
      </c>
      <c r="Y80" s="17"/>
      <c r="Z80" s="23">
        <f t="shared" si="32"/>
        <v>45352</v>
      </c>
      <c r="AA80" s="22">
        <f t="shared" si="32"/>
        <v>45352</v>
      </c>
      <c r="AB80" s="137">
        <v>45352</v>
      </c>
      <c r="AC80" s="141">
        <v>9</v>
      </c>
      <c r="AD80" s="136" t="s">
        <v>126</v>
      </c>
      <c r="AE80" s="138">
        <f>AVERAGEIFS(J264:J293,D264:D293,1,G264:G293,"fri")</f>
        <v>3002.005165851006</v>
      </c>
      <c r="AF80" s="141">
        <f>COUNTIFS(D264:D293,1,G264:G293,"fri")</f>
        <v>4</v>
      </c>
      <c r="AG80" s="138"/>
      <c r="AH80" s="138">
        <f t="shared" si="20"/>
        <v>12008.020663404024</v>
      </c>
      <c r="AI80" s="264">
        <f t="shared" si="34"/>
        <v>0.24422980327460919</v>
      </c>
      <c r="AJ80" s="393"/>
      <c r="AK80" s="134"/>
      <c r="AL80" s="134"/>
      <c r="AM80" s="134"/>
      <c r="AN80" s="18"/>
      <c r="AO80" s="18"/>
      <c r="AP80" s="18"/>
      <c r="AQ80" s="18"/>
      <c r="AR80" s="17"/>
      <c r="AS80" s="21">
        <f t="shared" si="22"/>
        <v>45352</v>
      </c>
      <c r="AT80" s="17"/>
      <c r="AU80" s="17"/>
      <c r="AV80" s="17"/>
      <c r="AW80" s="17"/>
      <c r="AX80" s="17"/>
      <c r="AY80" s="17"/>
      <c r="AZ80" s="17"/>
    </row>
    <row r="81" spans="1:52" ht="20">
      <c r="A81" s="17"/>
      <c r="B81" s="40"/>
      <c r="C81" s="55">
        <f t="shared" si="16"/>
        <v>62</v>
      </c>
      <c r="D81" s="54">
        <v>1</v>
      </c>
      <c r="E81" s="53" t="str">
        <f t="shared" si="8"/>
        <v>3</v>
      </c>
      <c r="F81" s="52">
        <f t="shared" si="17"/>
        <v>45353</v>
      </c>
      <c r="G81" s="51" t="str">
        <f t="shared" si="18"/>
        <v>Sat</v>
      </c>
      <c r="H81" s="50"/>
      <c r="I81" s="49"/>
      <c r="J81" s="343">
        <f>148490/$B$13</f>
        <v>1345.7495015406923</v>
      </c>
      <c r="K81" s="31"/>
      <c r="L81" s="317">
        <f t="shared" si="35"/>
        <v>2233.4495830126825</v>
      </c>
      <c r="M81" s="318">
        <f t="shared" si="10"/>
        <v>-887.70008147199019</v>
      </c>
      <c r="N81" s="41">
        <f t="shared" si="11"/>
        <v>0.60254304004723558</v>
      </c>
      <c r="O81" s="46"/>
      <c r="P81" s="328">
        <f>IF(D81=0,0,SUM($L$80:L81))</f>
        <v>4466.899166025365</v>
      </c>
      <c r="Q81" s="317">
        <f>IF(D81=0,0,SUM($J$80:J81))</f>
        <v>4110.3860793909735</v>
      </c>
      <c r="R81" s="321">
        <f t="shared" si="12"/>
        <v>-356.51308663439158</v>
      </c>
      <c r="S81" s="41">
        <f t="shared" si="13"/>
        <v>0.92018779171332499</v>
      </c>
      <c r="T81" s="44"/>
      <c r="U81" s="348">
        <f>IF(D81=0,0,SUM($L$20:L81))</f>
        <v>92353.140257574472</v>
      </c>
      <c r="V81" s="348">
        <f>IF(D81=0,0,SUM($J$20:J81))</f>
        <v>94596.193583469241</v>
      </c>
      <c r="W81" s="349">
        <f t="shared" si="14"/>
        <v>2243.0533258947689</v>
      </c>
      <c r="X81" s="41">
        <f t="shared" si="15"/>
        <v>1.0242877862045499</v>
      </c>
      <c r="Y81" s="17"/>
      <c r="Z81" s="23">
        <f t="shared" si="32"/>
        <v>45353</v>
      </c>
      <c r="AA81" s="22">
        <f t="shared" si="32"/>
        <v>45353</v>
      </c>
      <c r="AB81" s="137">
        <v>45353</v>
      </c>
      <c r="AC81" s="141">
        <v>9</v>
      </c>
      <c r="AD81" s="136" t="s">
        <v>127</v>
      </c>
      <c r="AE81" s="138">
        <f>AVERAGEIFS(J264:J293,D264:D293,1,G264:G293,"sat")</f>
        <v>1210.5537429762551</v>
      </c>
      <c r="AF81" s="141">
        <f>COUNTIFS(D264:D293,1,G264:G293,"sat")</f>
        <v>4</v>
      </c>
      <c r="AG81" s="138"/>
      <c r="AH81" s="138">
        <f t="shared" si="20"/>
        <v>4842.2149719050203</v>
      </c>
      <c r="AI81" s="264">
        <f t="shared" si="34"/>
        <v>9.8485274397128161E-2</v>
      </c>
      <c r="AJ81" s="393"/>
      <c r="AK81" s="134"/>
      <c r="AL81" s="134"/>
      <c r="AM81" s="134"/>
      <c r="AN81" s="18"/>
      <c r="AO81" s="18"/>
      <c r="AP81" s="18"/>
      <c r="AQ81" s="18"/>
      <c r="AR81" s="17"/>
      <c r="AS81" s="21">
        <f t="shared" si="22"/>
        <v>45353</v>
      </c>
      <c r="AT81" s="17"/>
      <c r="AU81" s="17"/>
      <c r="AV81" s="17"/>
      <c r="AW81" s="17"/>
      <c r="AX81" s="17"/>
      <c r="AY81" s="17"/>
      <c r="AZ81" s="17"/>
    </row>
    <row r="82" spans="1:52" ht="20">
      <c r="A82" s="17"/>
      <c r="B82" s="40"/>
      <c r="C82" s="55">
        <f t="shared" si="16"/>
        <v>63</v>
      </c>
      <c r="D82" s="54">
        <v>0</v>
      </c>
      <c r="E82" s="53" t="str">
        <f t="shared" si="8"/>
        <v>3</v>
      </c>
      <c r="F82" s="52">
        <f t="shared" si="17"/>
        <v>45354</v>
      </c>
      <c r="G82" s="51" t="str">
        <f t="shared" si="18"/>
        <v>Sun</v>
      </c>
      <c r="H82" s="50" t="s">
        <v>46</v>
      </c>
      <c r="I82" s="67"/>
      <c r="J82" s="343"/>
      <c r="K82" s="65"/>
      <c r="L82" s="317">
        <f t="shared" si="35"/>
        <v>0</v>
      </c>
      <c r="M82" s="318">
        <f t="shared" si="10"/>
        <v>0</v>
      </c>
      <c r="N82" s="41" t="str">
        <f t="shared" si="11"/>
        <v>0%</v>
      </c>
      <c r="O82" s="46"/>
      <c r="P82" s="328">
        <f>IF(D82=0,0,SUM($L$80:L82))</f>
        <v>0</v>
      </c>
      <c r="Q82" s="317">
        <f>IF(D82=0,0,SUM($J$80:J82))</f>
        <v>0</v>
      </c>
      <c r="R82" s="321">
        <f t="shared" si="12"/>
        <v>0</v>
      </c>
      <c r="S82" s="41" t="str">
        <f t="shared" si="13"/>
        <v>0%</v>
      </c>
      <c r="T82" s="56"/>
      <c r="U82" s="348">
        <f>IF(D82=0,0,SUM($L$20:L82))</f>
        <v>0</v>
      </c>
      <c r="V82" s="348">
        <f>IF(D82=0,0,SUM($J$20:J82))</f>
        <v>0</v>
      </c>
      <c r="W82" s="349">
        <f t="shared" si="14"/>
        <v>0</v>
      </c>
      <c r="X82" s="41" t="str">
        <f t="shared" si="15"/>
        <v>0%</v>
      </c>
      <c r="Y82" s="17"/>
      <c r="Z82" s="23">
        <f t="shared" si="32"/>
        <v>45354</v>
      </c>
      <c r="AA82" s="22">
        <f t="shared" si="32"/>
        <v>45354</v>
      </c>
      <c r="AB82" s="137">
        <v>45354</v>
      </c>
      <c r="AC82" s="141">
        <v>9</v>
      </c>
      <c r="AD82" s="136" t="s">
        <v>128</v>
      </c>
      <c r="AE82" s="138">
        <f>IFERROR(AVERAGEIFS(J264:J293,D264:D293,1,G264:G293,"sun"),0)</f>
        <v>0</v>
      </c>
      <c r="AF82" s="141">
        <f>IFERROR(COUNTIFS(D264:D293,1,G264:G293,"sun"),0)</f>
        <v>0</v>
      </c>
      <c r="AG82" s="138"/>
      <c r="AH82" s="138">
        <f t="shared" si="20"/>
        <v>0</v>
      </c>
      <c r="AI82" s="264">
        <f t="shared" si="34"/>
        <v>0</v>
      </c>
      <c r="AJ82" s="393"/>
      <c r="AK82" s="134"/>
      <c r="AL82" s="134"/>
      <c r="AM82" s="134"/>
      <c r="AN82" s="18"/>
      <c r="AO82" s="18"/>
      <c r="AP82" s="18"/>
      <c r="AQ82" s="18"/>
      <c r="AR82" s="17"/>
      <c r="AS82" s="21">
        <f t="shared" si="22"/>
        <v>45354</v>
      </c>
      <c r="AT82" s="17"/>
      <c r="AU82" s="17"/>
      <c r="AV82" s="17"/>
      <c r="AW82" s="17"/>
      <c r="AX82" s="17"/>
      <c r="AY82" s="17"/>
      <c r="AZ82" s="17"/>
    </row>
    <row r="83" spans="1:52" ht="20">
      <c r="A83" s="17"/>
      <c r="B83" s="40"/>
      <c r="C83" s="55">
        <f t="shared" si="16"/>
        <v>64</v>
      </c>
      <c r="D83" s="54">
        <v>1</v>
      </c>
      <c r="E83" s="53" t="str">
        <f t="shared" si="8"/>
        <v>3</v>
      </c>
      <c r="F83" s="52">
        <f t="shared" si="17"/>
        <v>45355</v>
      </c>
      <c r="G83" s="51" t="str">
        <f t="shared" si="18"/>
        <v>Mon</v>
      </c>
      <c r="H83" s="50"/>
      <c r="I83" s="49"/>
      <c r="J83" s="343">
        <f>166560/$B$13</f>
        <v>1509.5160413268079</v>
      </c>
      <c r="K83" s="31"/>
      <c r="L83" s="317">
        <f t="shared" si="35"/>
        <v>2233.4495830126825</v>
      </c>
      <c r="M83" s="318">
        <f t="shared" si="10"/>
        <v>-723.93354168587462</v>
      </c>
      <c r="N83" s="41">
        <f t="shared" si="11"/>
        <v>0.67586752475094314</v>
      </c>
      <c r="O83" s="46"/>
      <c r="P83" s="328">
        <f>IF(D83=0,0,SUM($L$80:L83))</f>
        <v>6700.3487490380476</v>
      </c>
      <c r="Q83" s="317">
        <f>IF(D83=0,0,SUM($J$80:J83))</f>
        <v>5619.9021207177811</v>
      </c>
      <c r="R83" s="321">
        <f t="shared" si="12"/>
        <v>-1080.4466283202664</v>
      </c>
      <c r="S83" s="41">
        <f t="shared" si="13"/>
        <v>0.8387477027258643</v>
      </c>
      <c r="T83" s="56"/>
      <c r="U83" s="348">
        <f>IF(D83=0,0,SUM($L$20:L83))</f>
        <v>94586.589840587156</v>
      </c>
      <c r="V83" s="348">
        <f>IF(D83=0,0,SUM($J$20:J83))</f>
        <v>96105.709624796043</v>
      </c>
      <c r="W83" s="349">
        <f t="shared" si="14"/>
        <v>1519.1197842088877</v>
      </c>
      <c r="X83" s="41">
        <f t="shared" si="15"/>
        <v>1.0160606253673925</v>
      </c>
      <c r="Y83" s="17"/>
      <c r="Z83" s="23">
        <f t="shared" si="32"/>
        <v>45355</v>
      </c>
      <c r="AA83" s="22">
        <f t="shared" si="32"/>
        <v>45355</v>
      </c>
      <c r="AB83" s="137">
        <v>45355</v>
      </c>
      <c r="AC83" s="141">
        <v>10</v>
      </c>
      <c r="AD83" s="136" t="s">
        <v>122</v>
      </c>
      <c r="AE83" s="138">
        <f>AVERAGEIFS(J294:J324,D294:D324,1,G294:G324,"mon")</f>
        <v>2126.9107606791131</v>
      </c>
      <c r="AF83" s="141">
        <f>COUNTIFS(D294:D324,1,G294:G324,"Mon")</f>
        <v>3</v>
      </c>
      <c r="AG83" s="138"/>
      <c r="AH83" s="138">
        <f t="shared" si="20"/>
        <v>6380.7322820373392</v>
      </c>
      <c r="AI83" s="264">
        <f>AH83/$M$15</f>
        <v>0.12672958295608161</v>
      </c>
      <c r="AJ83" s="393">
        <f>SUM(AI83:AI89)</f>
        <v>1</v>
      </c>
      <c r="AK83" s="134" t="s">
        <v>137</v>
      </c>
      <c r="AL83" s="134"/>
      <c r="AM83" s="134"/>
      <c r="AN83" s="18"/>
      <c r="AO83" s="18"/>
      <c r="AP83" s="18"/>
      <c r="AQ83" s="18"/>
      <c r="AR83" s="17"/>
      <c r="AS83" s="21">
        <f t="shared" si="22"/>
        <v>45355</v>
      </c>
      <c r="AT83" s="17"/>
      <c r="AU83" s="17"/>
      <c r="AV83" s="17"/>
      <c r="AW83" s="17"/>
      <c r="AX83" s="17"/>
      <c r="AY83" s="17"/>
      <c r="AZ83" s="17"/>
    </row>
    <row r="84" spans="1:52" ht="20">
      <c r="A84" s="17"/>
      <c r="B84" s="40"/>
      <c r="C84" s="55">
        <f t="shared" si="16"/>
        <v>65</v>
      </c>
      <c r="D84" s="54">
        <v>1</v>
      </c>
      <c r="E84" s="53" t="str">
        <f t="shared" ref="E84:E147" si="36">TEXT(AA84,"m")</f>
        <v>3</v>
      </c>
      <c r="F84" s="52">
        <f t="shared" si="17"/>
        <v>45356</v>
      </c>
      <c r="G84" s="51" t="str">
        <f t="shared" si="18"/>
        <v>Tue</v>
      </c>
      <c r="H84" s="50"/>
      <c r="I84" s="49"/>
      <c r="J84" s="343">
        <f>292350/$B$13</f>
        <v>2649.5377922784123</v>
      </c>
      <c r="K84" s="31"/>
      <c r="L84" s="317">
        <f t="shared" si="35"/>
        <v>2233.4495830126825</v>
      </c>
      <c r="M84" s="318">
        <f t="shared" ref="M84:M147" si="37">IF(D84=0,0,J84-L84)</f>
        <v>416.0882092657298</v>
      </c>
      <c r="N84" s="41">
        <f t="shared" ref="N84:N147" si="38">IFERROR(J84/L84,"0%")</f>
        <v>1.1862984561775833</v>
      </c>
      <c r="O84" s="46"/>
      <c r="P84" s="328">
        <f>IF(D84=0,0,SUM($L$80:L84))</f>
        <v>8933.7983320507301</v>
      </c>
      <c r="Q84" s="317">
        <f>IF(D84=0,0,SUM($J$80:J84))</f>
        <v>8269.439912996193</v>
      </c>
      <c r="R84" s="321">
        <f t="shared" ref="R84:R147" si="39">IF(D84=0,0,Q84-P84)</f>
        <v>-664.35841905453708</v>
      </c>
      <c r="S84" s="41">
        <f t="shared" ref="S84:S147" si="40">IFERROR(Q84/P84,"0%")</f>
        <v>0.925635391088794</v>
      </c>
      <c r="T84" s="56"/>
      <c r="U84" s="348">
        <f>IF(D84=0,0,SUM($L$20:L84))</f>
        <v>96820.039423599839</v>
      </c>
      <c r="V84" s="348">
        <f>IF(D84=0,0,SUM($J$20:J84))</f>
        <v>98755.247417074454</v>
      </c>
      <c r="W84" s="349">
        <f t="shared" ref="W84:W147" si="41">IF(D84=0,0,V84-U84)</f>
        <v>1935.2079934746143</v>
      </c>
      <c r="X84" s="41">
        <f t="shared" ref="X84:X147" si="42">IFERROR(V84/U84,"0%")</f>
        <v>1.0199876802880428</v>
      </c>
      <c r="Y84" s="17"/>
      <c r="Z84" s="23">
        <f t="shared" si="32"/>
        <v>45356</v>
      </c>
      <c r="AA84" s="22">
        <f t="shared" si="32"/>
        <v>45356</v>
      </c>
      <c r="AB84" s="137">
        <v>45356</v>
      </c>
      <c r="AC84" s="141">
        <v>10</v>
      </c>
      <c r="AD84" s="136" t="s">
        <v>123</v>
      </c>
      <c r="AE84" s="138">
        <f>AVERAGEIFS(J294:J324,D294:D324,1,G294:G324,"tue")</f>
        <v>1794.0003625158599</v>
      </c>
      <c r="AF84" s="141">
        <f>COUNTIFS(D294:D324,1,G294:G324,"tue")</f>
        <v>5</v>
      </c>
      <c r="AG84" s="138"/>
      <c r="AH84" s="138">
        <f t="shared" si="20"/>
        <v>8970.0018125792994</v>
      </c>
      <c r="AI84" s="264">
        <f t="shared" ref="AI84:AI89" si="43">AH84/$M$15</f>
        <v>0.17815581951676979</v>
      </c>
      <c r="AJ84" s="393"/>
      <c r="AK84" s="134"/>
      <c r="AL84" s="134"/>
      <c r="AM84" s="134"/>
      <c r="AN84" s="18"/>
      <c r="AO84" s="18"/>
      <c r="AP84" s="18"/>
      <c r="AQ84" s="18"/>
      <c r="AR84" s="17"/>
      <c r="AS84" s="21">
        <f t="shared" si="22"/>
        <v>45356</v>
      </c>
      <c r="AT84" s="17"/>
      <c r="AU84" s="17"/>
      <c r="AV84" s="17"/>
      <c r="AW84" s="17"/>
      <c r="AX84" s="17"/>
      <c r="AY84" s="17"/>
      <c r="AZ84" s="17"/>
    </row>
    <row r="85" spans="1:52" ht="20">
      <c r="A85" s="17"/>
      <c r="B85" s="40"/>
      <c r="C85" s="55">
        <f t="shared" ref="C85:C148" si="44">C84+1</f>
        <v>66</v>
      </c>
      <c r="D85" s="54">
        <v>1</v>
      </c>
      <c r="E85" s="53" t="str">
        <f t="shared" si="36"/>
        <v>3</v>
      </c>
      <c r="F85" s="52">
        <f t="shared" ref="F85:F148" si="45">F84+1</f>
        <v>45357</v>
      </c>
      <c r="G85" s="51" t="str">
        <f t="shared" ref="G85:G148" si="46">TEXT(AS85,"ddd")</f>
        <v>Wed</v>
      </c>
      <c r="H85" s="50"/>
      <c r="I85" s="49"/>
      <c r="J85" s="343">
        <f>145450/$B$13</f>
        <v>1318.1982961754577</v>
      </c>
      <c r="K85" s="31"/>
      <c r="L85" s="317">
        <f t="shared" si="35"/>
        <v>2233.4495830126825</v>
      </c>
      <c r="M85" s="318">
        <f t="shared" si="37"/>
        <v>-915.25128683722482</v>
      </c>
      <c r="N85" s="41">
        <f t="shared" si="38"/>
        <v>0.59020732153593114</v>
      </c>
      <c r="O85" s="46"/>
      <c r="P85" s="328">
        <f>IF(D85=0,0,SUM($L$80:L85))</f>
        <v>11167.247915063414</v>
      </c>
      <c r="Q85" s="317">
        <f>IF(D85=0,0,SUM($J$80:J85))</f>
        <v>9587.6382091716514</v>
      </c>
      <c r="R85" s="321">
        <f t="shared" si="39"/>
        <v>-1579.6097058917621</v>
      </c>
      <c r="S85" s="41">
        <f t="shared" si="40"/>
        <v>0.85854977717822145</v>
      </c>
      <c r="T85" s="56"/>
      <c r="U85" s="348">
        <f>IF(D85=0,0,SUM($L$20:L85))</f>
        <v>99053.489006612523</v>
      </c>
      <c r="V85" s="348">
        <f>IF(D85=0,0,SUM($J$20:J85))</f>
        <v>100073.44571324991</v>
      </c>
      <c r="W85" s="349">
        <f t="shared" si="41"/>
        <v>1019.9567066373857</v>
      </c>
      <c r="X85" s="41">
        <f t="shared" si="42"/>
        <v>1.0102970295833729</v>
      </c>
      <c r="Y85" s="17"/>
      <c r="Z85" s="23">
        <f t="shared" ref="Z85:AA100" si="47">Z84+1</f>
        <v>45357</v>
      </c>
      <c r="AA85" s="22">
        <f t="shared" si="47"/>
        <v>45357</v>
      </c>
      <c r="AB85" s="137">
        <v>45357</v>
      </c>
      <c r="AC85" s="141">
        <v>10</v>
      </c>
      <c r="AD85" s="136" t="s">
        <v>124</v>
      </c>
      <c r="AE85" s="138">
        <f>AVERAGEIFS(J294:J324,D294:D324,1,G294:G324,"wed")</f>
        <v>1935.3452963567156</v>
      </c>
      <c r="AF85" s="141">
        <f>COUNTIFS(D294:D324,1,G294:G324,"wed")</f>
        <v>5</v>
      </c>
      <c r="AG85" s="138"/>
      <c r="AH85" s="138">
        <f t="shared" ref="AH85:AH103" si="48">AE85*AF85</f>
        <v>9676.7264817835785</v>
      </c>
      <c r="AI85" s="264">
        <f t="shared" si="43"/>
        <v>0.19219228408450681</v>
      </c>
      <c r="AJ85" s="393"/>
      <c r="AK85" s="134"/>
      <c r="AL85" s="134"/>
      <c r="AM85" s="134"/>
      <c r="AN85" s="18"/>
      <c r="AO85" s="18"/>
      <c r="AP85" s="18"/>
      <c r="AQ85" s="18"/>
      <c r="AR85" s="17"/>
      <c r="AS85" s="21">
        <f t="shared" ref="AS85:AS148" si="49">AS84+1</f>
        <v>45357</v>
      </c>
      <c r="AT85" s="17"/>
      <c r="AU85" s="17"/>
      <c r="AV85" s="17"/>
      <c r="AW85" s="17"/>
      <c r="AX85" s="17"/>
      <c r="AY85" s="17"/>
      <c r="AZ85" s="17"/>
    </row>
    <row r="86" spans="1:52" ht="20">
      <c r="A86" s="17"/>
      <c r="B86" s="40"/>
      <c r="C86" s="55">
        <f t="shared" si="44"/>
        <v>67</v>
      </c>
      <c r="D86" s="54">
        <v>1</v>
      </c>
      <c r="E86" s="53" t="str">
        <f t="shared" si="36"/>
        <v>3</v>
      </c>
      <c r="F86" s="52">
        <f t="shared" si="45"/>
        <v>45358</v>
      </c>
      <c r="G86" s="51" t="str">
        <f t="shared" si="46"/>
        <v>Thu</v>
      </c>
      <c r="H86" s="50"/>
      <c r="I86" s="49"/>
      <c r="J86" s="343">
        <f>317890/$B$13</f>
        <v>2881.0041689323907</v>
      </c>
      <c r="K86" s="31"/>
      <c r="L86" s="317">
        <f t="shared" si="35"/>
        <v>2233.4495830126825</v>
      </c>
      <c r="M86" s="318">
        <f t="shared" si="37"/>
        <v>647.55458591970819</v>
      </c>
      <c r="N86" s="41">
        <f t="shared" si="38"/>
        <v>1.289934722881108</v>
      </c>
      <c r="O86" s="46"/>
      <c r="P86" s="328">
        <f>IF(D86=0,0,SUM($L$80:L86))</f>
        <v>13400.697498076097</v>
      </c>
      <c r="Q86" s="317">
        <f>IF(D86=0,0,SUM($J$80:J86))</f>
        <v>12468.642378104043</v>
      </c>
      <c r="R86" s="321">
        <f t="shared" si="39"/>
        <v>-932.05511997205394</v>
      </c>
      <c r="S86" s="41">
        <f t="shared" si="40"/>
        <v>0.93044726812870249</v>
      </c>
      <c r="T86" s="56"/>
      <c r="U86" s="348">
        <f>IF(D86=0,0,SUM($L$20:L86))</f>
        <v>101286.93858962521</v>
      </c>
      <c r="V86" s="348">
        <f>IF(D86=0,0,SUM($J$20:J86))</f>
        <v>102954.44988218229</v>
      </c>
      <c r="W86" s="349">
        <f t="shared" si="41"/>
        <v>1667.5112925570866</v>
      </c>
      <c r="X86" s="41">
        <f t="shared" si="42"/>
        <v>1.0164632411224628</v>
      </c>
      <c r="Y86" s="17"/>
      <c r="Z86" s="23">
        <f t="shared" si="47"/>
        <v>45358</v>
      </c>
      <c r="AA86" s="22">
        <f t="shared" si="47"/>
        <v>45358</v>
      </c>
      <c r="AB86" s="137">
        <v>45358</v>
      </c>
      <c r="AC86" s="141">
        <v>10</v>
      </c>
      <c r="AD86" s="136" t="s">
        <v>125</v>
      </c>
      <c r="AE86" s="138">
        <f>AVERAGEIFS(J294:J324,D294:D324,1,G294:G324,"thu")</f>
        <v>2256.8424868587999</v>
      </c>
      <c r="AF86" s="141">
        <f>COUNTIFS(D294:D324,1,G294:G324,"thu")</f>
        <v>5</v>
      </c>
      <c r="AG86" s="138"/>
      <c r="AH86" s="138">
        <f t="shared" si="48"/>
        <v>11284.212434294001</v>
      </c>
      <c r="AI86" s="264">
        <f t="shared" si="43"/>
        <v>0.22411903094754237</v>
      </c>
      <c r="AJ86" s="393"/>
      <c r="AK86" s="134"/>
      <c r="AL86" s="134"/>
      <c r="AM86" s="134"/>
      <c r="AN86" s="18"/>
      <c r="AO86" s="18"/>
      <c r="AP86" s="18"/>
      <c r="AQ86" s="18"/>
      <c r="AR86" s="17"/>
      <c r="AS86" s="21">
        <f t="shared" si="49"/>
        <v>45358</v>
      </c>
      <c r="AT86" s="17"/>
      <c r="AU86" s="17"/>
      <c r="AV86" s="17"/>
      <c r="AW86" s="17"/>
      <c r="AX86" s="17"/>
      <c r="AY86" s="17"/>
      <c r="AZ86" s="17"/>
    </row>
    <row r="87" spans="1:52" ht="20">
      <c r="A87" s="17"/>
      <c r="B87" s="40"/>
      <c r="C87" s="55">
        <f t="shared" si="44"/>
        <v>68</v>
      </c>
      <c r="D87" s="54">
        <v>1</v>
      </c>
      <c r="E87" s="53" t="str">
        <f t="shared" si="36"/>
        <v>3</v>
      </c>
      <c r="F87" s="52">
        <f t="shared" si="45"/>
        <v>45359</v>
      </c>
      <c r="G87" s="51" t="str">
        <f t="shared" si="46"/>
        <v>Fri</v>
      </c>
      <c r="H87" s="50"/>
      <c r="I87" s="49"/>
      <c r="J87" s="343">
        <f>266360/$B$13</f>
        <v>2413.9931121986588</v>
      </c>
      <c r="K87" s="31"/>
      <c r="L87" s="317">
        <f t="shared" si="35"/>
        <v>2233.4495830126825</v>
      </c>
      <c r="M87" s="318">
        <f t="shared" si="37"/>
        <v>180.54352918597624</v>
      </c>
      <c r="N87" s="41">
        <f t="shared" si="38"/>
        <v>1.0808361785102141</v>
      </c>
      <c r="O87" s="46"/>
      <c r="P87" s="328">
        <f>IF(D87=0,0,SUM($L$80:L87))</f>
        <v>15634.14708108878</v>
      </c>
      <c r="Q87" s="317">
        <f>IF(D87=0,0,SUM($J$80:J87))</f>
        <v>14882.635490302702</v>
      </c>
      <c r="R87" s="321">
        <f t="shared" si="39"/>
        <v>-751.51159078607816</v>
      </c>
      <c r="S87" s="41">
        <f t="shared" si="40"/>
        <v>0.95193139818320416</v>
      </c>
      <c r="T87" s="56"/>
      <c r="U87" s="348">
        <f>IF(D87=0,0,SUM($L$20:L87))</f>
        <v>103520.38817263789</v>
      </c>
      <c r="V87" s="348">
        <f>IF(D87=0,0,SUM($J$20:J87))</f>
        <v>105368.44299438095</v>
      </c>
      <c r="W87" s="349">
        <f t="shared" si="41"/>
        <v>1848.0548217430623</v>
      </c>
      <c r="X87" s="41">
        <f t="shared" si="42"/>
        <v>1.0178520855105482</v>
      </c>
      <c r="Y87" s="17"/>
      <c r="Z87" s="23">
        <f t="shared" si="47"/>
        <v>45359</v>
      </c>
      <c r="AA87" s="22">
        <f t="shared" si="47"/>
        <v>45359</v>
      </c>
      <c r="AB87" s="137">
        <v>45359</v>
      </c>
      <c r="AC87" s="141">
        <v>10</v>
      </c>
      <c r="AD87" s="136" t="s">
        <v>126</v>
      </c>
      <c r="AE87" s="138">
        <f>AVERAGEIFS(J294:J324,D294:D324,1,G294:G324,"fri")</f>
        <v>2274.1752764183434</v>
      </c>
      <c r="AF87" s="141">
        <f>COUNTIFS(D294:D324,1,G294:G324,"fri")</f>
        <v>4</v>
      </c>
      <c r="AG87" s="138"/>
      <c r="AH87" s="138">
        <f t="shared" si="48"/>
        <v>9096.7011056733736</v>
      </c>
      <c r="AI87" s="264">
        <f t="shared" si="43"/>
        <v>0.18067223109226305</v>
      </c>
      <c r="AJ87" s="393"/>
      <c r="AK87" s="134"/>
      <c r="AL87" s="134"/>
      <c r="AM87" s="134"/>
      <c r="AN87" s="18"/>
      <c r="AO87" s="18"/>
      <c r="AP87" s="18"/>
      <c r="AQ87" s="18"/>
      <c r="AR87" s="17"/>
      <c r="AS87" s="21">
        <f t="shared" si="49"/>
        <v>45359</v>
      </c>
      <c r="AT87" s="17"/>
      <c r="AU87" s="17"/>
      <c r="AV87" s="17"/>
      <c r="AW87" s="17"/>
      <c r="AX87" s="17"/>
      <c r="AY87" s="17"/>
      <c r="AZ87" s="17"/>
    </row>
    <row r="88" spans="1:52" ht="20">
      <c r="A88" s="17"/>
      <c r="B88" s="40"/>
      <c r="C88" s="55">
        <f t="shared" si="44"/>
        <v>69</v>
      </c>
      <c r="D88" s="54">
        <v>1</v>
      </c>
      <c r="E88" s="53" t="str">
        <f t="shared" si="36"/>
        <v>3</v>
      </c>
      <c r="F88" s="52">
        <f t="shared" si="45"/>
        <v>45360</v>
      </c>
      <c r="G88" s="51" t="str">
        <f t="shared" si="46"/>
        <v>Sat</v>
      </c>
      <c r="H88" s="50"/>
      <c r="I88" s="49"/>
      <c r="J88" s="343">
        <f>118114/$B$13</f>
        <v>1070.4549574043865</v>
      </c>
      <c r="K88" s="31"/>
      <c r="L88" s="317">
        <f t="shared" si="35"/>
        <v>2233.4495830126825</v>
      </c>
      <c r="M88" s="318">
        <f t="shared" si="37"/>
        <v>-1162.994625608296</v>
      </c>
      <c r="N88" s="41">
        <f t="shared" si="38"/>
        <v>0.47928324218559626</v>
      </c>
      <c r="O88" s="46"/>
      <c r="P88" s="328">
        <f>IF(D88=0,0,SUM($L$80:L88))</f>
        <v>17867.596664101464</v>
      </c>
      <c r="Q88" s="317">
        <f>IF(D88=0,0,SUM($J$80:J88))</f>
        <v>15953.090447707089</v>
      </c>
      <c r="R88" s="321">
        <f t="shared" si="39"/>
        <v>-1914.5062163943749</v>
      </c>
      <c r="S88" s="41">
        <f t="shared" si="40"/>
        <v>0.89285037868350314</v>
      </c>
      <c r="T88" s="44"/>
      <c r="U88" s="348">
        <f>IF(D88=0,0,SUM($L$20:L88))</f>
        <v>105753.83775565057</v>
      </c>
      <c r="V88" s="348">
        <f>IF(D88=0,0,SUM($J$20:J88))</f>
        <v>106438.89795178534</v>
      </c>
      <c r="W88" s="349">
        <f t="shared" si="41"/>
        <v>685.0601961347711</v>
      </c>
      <c r="X88" s="41">
        <f t="shared" si="42"/>
        <v>1.0064778755142449</v>
      </c>
      <c r="Y88" s="17"/>
      <c r="Z88" s="23">
        <f t="shared" si="47"/>
        <v>45360</v>
      </c>
      <c r="AA88" s="22">
        <f t="shared" si="47"/>
        <v>45360</v>
      </c>
      <c r="AB88" s="137">
        <v>45360</v>
      </c>
      <c r="AC88" s="141">
        <v>10</v>
      </c>
      <c r="AD88" s="136" t="s">
        <v>127</v>
      </c>
      <c r="AE88" s="138">
        <f>AVERAGEIFS(J294:J324,D294:D324,1,G294:G324,"sat")</f>
        <v>1235.2048214609388</v>
      </c>
      <c r="AF88" s="141">
        <f>COUNTIFS(D294:D324,1,G294:G324,"sat")</f>
        <v>4</v>
      </c>
      <c r="AG88" s="138"/>
      <c r="AH88" s="138">
        <f t="shared" si="48"/>
        <v>4940.8192858437551</v>
      </c>
      <c r="AI88" s="264">
        <f t="shared" si="43"/>
        <v>9.8131051402836456E-2</v>
      </c>
      <c r="AJ88" s="393"/>
      <c r="AK88" s="134"/>
      <c r="AL88" s="134"/>
      <c r="AM88" s="134"/>
      <c r="AN88" s="18"/>
      <c r="AO88" s="18"/>
      <c r="AP88" s="18"/>
      <c r="AQ88" s="18"/>
      <c r="AR88" s="17"/>
      <c r="AS88" s="21">
        <f t="shared" si="49"/>
        <v>45360</v>
      </c>
      <c r="AT88" s="17"/>
      <c r="AU88" s="17"/>
      <c r="AV88" s="17"/>
      <c r="AW88" s="17"/>
      <c r="AX88" s="17"/>
      <c r="AY88" s="17"/>
      <c r="AZ88" s="17"/>
    </row>
    <row r="89" spans="1:52" ht="20">
      <c r="A89" s="17"/>
      <c r="B89" s="40"/>
      <c r="C89" s="55">
        <f t="shared" si="44"/>
        <v>70</v>
      </c>
      <c r="D89" s="54">
        <v>0</v>
      </c>
      <c r="E89" s="53" t="str">
        <f t="shared" si="36"/>
        <v>3</v>
      </c>
      <c r="F89" s="52">
        <f t="shared" si="45"/>
        <v>45361</v>
      </c>
      <c r="G89" s="51" t="str">
        <f t="shared" si="46"/>
        <v>Sun</v>
      </c>
      <c r="H89" s="50" t="s">
        <v>46</v>
      </c>
      <c r="I89" s="67"/>
      <c r="J89" s="343"/>
      <c r="K89" s="65"/>
      <c r="L89" s="317">
        <f t="shared" si="35"/>
        <v>0</v>
      </c>
      <c r="M89" s="318">
        <f t="shared" si="37"/>
        <v>0</v>
      </c>
      <c r="N89" s="41" t="str">
        <f t="shared" si="38"/>
        <v>0%</v>
      </c>
      <c r="O89" s="46"/>
      <c r="P89" s="328">
        <f>IF(D89=0,0,SUM($L$80:L89))</f>
        <v>0</v>
      </c>
      <c r="Q89" s="317">
        <f>IF(D89=0,0,SUM($J$80:J89))</f>
        <v>0</v>
      </c>
      <c r="R89" s="321">
        <f t="shared" si="39"/>
        <v>0</v>
      </c>
      <c r="S89" s="41" t="str">
        <f t="shared" si="40"/>
        <v>0%</v>
      </c>
      <c r="T89" s="56"/>
      <c r="U89" s="348">
        <f>IF(D89=0,0,SUM($L$20:L89))</f>
        <v>0</v>
      </c>
      <c r="V89" s="348">
        <f>IF(D89=0,0,SUM($J$20:J89))</f>
        <v>0</v>
      </c>
      <c r="W89" s="349">
        <f t="shared" si="41"/>
        <v>0</v>
      </c>
      <c r="X89" s="41" t="str">
        <f t="shared" si="42"/>
        <v>0%</v>
      </c>
      <c r="Y89" s="17"/>
      <c r="Z89" s="23">
        <f t="shared" si="47"/>
        <v>45361</v>
      </c>
      <c r="AA89" s="22">
        <f t="shared" si="47"/>
        <v>45361</v>
      </c>
      <c r="AB89" s="137">
        <v>45361</v>
      </c>
      <c r="AC89" s="141">
        <v>10</v>
      </c>
      <c r="AD89" s="136" t="s">
        <v>128</v>
      </c>
      <c r="AE89" s="138">
        <f>IFERROR(AVERAGEIFS(J294:J324,D294:D324,1,G294:G324,"sun"),0)</f>
        <v>0</v>
      </c>
      <c r="AF89" s="141">
        <f>IFERROR(COUNTIFS(D294:D324,1,G294:G324,"sun"),0)</f>
        <v>0</v>
      </c>
      <c r="AG89" s="138"/>
      <c r="AH89" s="138">
        <f t="shared" si="48"/>
        <v>0</v>
      </c>
      <c r="AI89" s="264">
        <f t="shared" si="43"/>
        <v>0</v>
      </c>
      <c r="AJ89" s="393"/>
      <c r="AK89" s="134"/>
      <c r="AL89" s="134"/>
      <c r="AM89" s="134"/>
      <c r="AN89" s="18"/>
      <c r="AO89" s="18"/>
      <c r="AP89" s="18"/>
      <c r="AQ89" s="18"/>
      <c r="AR89" s="17"/>
      <c r="AS89" s="21">
        <f t="shared" si="49"/>
        <v>45361</v>
      </c>
      <c r="AT89" s="17"/>
      <c r="AU89" s="17"/>
      <c r="AV89" s="17"/>
      <c r="AW89" s="17"/>
      <c r="AX89" s="17"/>
      <c r="AY89" s="17"/>
      <c r="AZ89" s="17"/>
    </row>
    <row r="90" spans="1:52" ht="20">
      <c r="A90" s="17"/>
      <c r="B90" s="40"/>
      <c r="C90" s="55">
        <f t="shared" si="44"/>
        <v>71</v>
      </c>
      <c r="D90" s="54">
        <v>1</v>
      </c>
      <c r="E90" s="53" t="str">
        <f t="shared" si="36"/>
        <v>3</v>
      </c>
      <c r="F90" s="52">
        <f t="shared" si="45"/>
        <v>45362</v>
      </c>
      <c r="G90" s="51" t="str">
        <f t="shared" si="46"/>
        <v>Mon</v>
      </c>
      <c r="H90" s="50"/>
      <c r="I90" s="49"/>
      <c r="J90" s="343">
        <f>315600/$B$13</f>
        <v>2860.2501359434473</v>
      </c>
      <c r="K90" s="31"/>
      <c r="L90" s="317">
        <f t="shared" si="35"/>
        <v>2233.4495830126825</v>
      </c>
      <c r="M90" s="318">
        <f t="shared" si="37"/>
        <v>626.80055293076475</v>
      </c>
      <c r="N90" s="41">
        <f t="shared" si="38"/>
        <v>1.2806423559762108</v>
      </c>
      <c r="O90" s="46"/>
      <c r="P90" s="328">
        <f>IF(D90=0,0,SUM($L$80:L90))</f>
        <v>20101.046247114147</v>
      </c>
      <c r="Q90" s="317">
        <f>IF(D90=0,0,SUM($J$80:J90))</f>
        <v>18813.340583650537</v>
      </c>
      <c r="R90" s="321">
        <f t="shared" si="39"/>
        <v>-1287.7056634636101</v>
      </c>
      <c r="S90" s="41">
        <f t="shared" si="40"/>
        <v>0.9359383761604706</v>
      </c>
      <c r="T90" s="56"/>
      <c r="U90" s="348">
        <f>IF(D90=0,0,SUM($L$20:L90))</f>
        <v>107987.28733866326</v>
      </c>
      <c r="V90" s="348">
        <f>IF(D90=0,0,SUM($J$20:J90))</f>
        <v>109299.1480877288</v>
      </c>
      <c r="W90" s="349">
        <f t="shared" si="41"/>
        <v>1311.8607490655413</v>
      </c>
      <c r="X90" s="41">
        <f t="shared" si="42"/>
        <v>1.0121482887606146</v>
      </c>
      <c r="Y90" s="17"/>
      <c r="Z90" s="23">
        <f t="shared" si="47"/>
        <v>45362</v>
      </c>
      <c r="AA90" s="22">
        <f t="shared" si="47"/>
        <v>45362</v>
      </c>
      <c r="AB90" s="137">
        <v>45362</v>
      </c>
      <c r="AC90" s="141">
        <v>11</v>
      </c>
      <c r="AD90" s="136" t="s">
        <v>122</v>
      </c>
      <c r="AE90" s="138">
        <f>AVERAGEIFS(J325:J354,D325:D354,1,G325:G354,"mon")</f>
        <v>1597.9397015286086</v>
      </c>
      <c r="AF90" s="141">
        <f>COUNTIFS(D325:D354,1,G325:G354,"Mon")</f>
        <v>3</v>
      </c>
      <c r="AG90" s="138"/>
      <c r="AH90" s="138">
        <f t="shared" si="48"/>
        <v>4793.8191045858257</v>
      </c>
      <c r="AI90" s="264">
        <f>AH90/$M$16</f>
        <v>8.6540742619209299E-2</v>
      </c>
      <c r="AJ90" s="393">
        <f>SUM(AI90:AI96)</f>
        <v>1.0000000000000002</v>
      </c>
      <c r="AK90" s="134" t="s">
        <v>138</v>
      </c>
      <c r="AL90" s="134"/>
      <c r="AM90" s="134"/>
      <c r="AN90" s="18"/>
      <c r="AO90" s="18"/>
      <c r="AP90" s="18"/>
      <c r="AQ90" s="18"/>
      <c r="AR90" s="17"/>
      <c r="AS90" s="21">
        <f t="shared" si="49"/>
        <v>45362</v>
      </c>
      <c r="AT90" s="17"/>
      <c r="AU90" s="17"/>
      <c r="AV90" s="17"/>
      <c r="AW90" s="17"/>
      <c r="AX90" s="17"/>
      <c r="AY90" s="17"/>
      <c r="AZ90" s="17"/>
    </row>
    <row r="91" spans="1:52" ht="20">
      <c r="A91" s="17"/>
      <c r="B91" s="40"/>
      <c r="C91" s="55">
        <f t="shared" si="44"/>
        <v>72</v>
      </c>
      <c r="D91" s="54">
        <v>1</v>
      </c>
      <c r="E91" s="53" t="str">
        <f t="shared" si="36"/>
        <v>3</v>
      </c>
      <c r="F91" s="52">
        <f t="shared" si="45"/>
        <v>45363</v>
      </c>
      <c r="G91" s="51" t="str">
        <f t="shared" si="46"/>
        <v>Tue</v>
      </c>
      <c r="H91" s="50"/>
      <c r="I91" s="49"/>
      <c r="J91" s="343">
        <f>320300/$B$13</f>
        <v>2902.8457495015405</v>
      </c>
      <c r="K91" s="31"/>
      <c r="L91" s="317">
        <f t="shared" si="35"/>
        <v>2233.4495830126825</v>
      </c>
      <c r="M91" s="318">
        <f t="shared" si="37"/>
        <v>669.39616648885794</v>
      </c>
      <c r="N91" s="41">
        <f t="shared" si="38"/>
        <v>1.2997140260430302</v>
      </c>
      <c r="O91" s="46"/>
      <c r="P91" s="328">
        <f>IF(D91=0,0,SUM($L$80:L91))</f>
        <v>22334.495830126831</v>
      </c>
      <c r="Q91" s="317">
        <f>IF(D91=0,0,SUM($J$80:J91))</f>
        <v>21716.186333152076</v>
      </c>
      <c r="R91" s="321">
        <f t="shared" si="39"/>
        <v>-618.30949697475444</v>
      </c>
      <c r="S91" s="41">
        <f t="shared" si="40"/>
        <v>0.97231594114872644</v>
      </c>
      <c r="T91" s="56"/>
      <c r="U91" s="348">
        <f>IF(D91=0,0,SUM($L$20:L91))</f>
        <v>110220.73692167594</v>
      </c>
      <c r="V91" s="348">
        <f>IF(D91=0,0,SUM($J$20:J91))</f>
        <v>112201.99383723034</v>
      </c>
      <c r="W91" s="349">
        <f t="shared" si="41"/>
        <v>1981.2569155544043</v>
      </c>
      <c r="X91" s="41">
        <f t="shared" si="42"/>
        <v>1.0179753553722137</v>
      </c>
      <c r="Y91" s="17"/>
      <c r="Z91" s="23">
        <f t="shared" si="47"/>
        <v>45363</v>
      </c>
      <c r="AA91" s="22">
        <f t="shared" si="47"/>
        <v>45363</v>
      </c>
      <c r="AB91" s="137">
        <v>45363</v>
      </c>
      <c r="AC91" s="141">
        <v>11</v>
      </c>
      <c r="AD91" s="136" t="s">
        <v>123</v>
      </c>
      <c r="AE91" s="138">
        <f>AVERAGEIFS(J325:J354,D325:D354,1,G325:G354,"tue")</f>
        <v>2098.6496284212435</v>
      </c>
      <c r="AF91" s="141">
        <f>COUNTIFS(D325:D354,1,G325:G354,"tue")</f>
        <v>4</v>
      </c>
      <c r="AG91" s="138"/>
      <c r="AH91" s="138">
        <f t="shared" si="48"/>
        <v>8394.598513684974</v>
      </c>
      <c r="AI91" s="264">
        <f t="shared" ref="AI91:AI96" si="50">AH91/$M$16</f>
        <v>0.15154405569235052</v>
      </c>
      <c r="AJ91" s="393"/>
      <c r="AK91" s="134"/>
      <c r="AL91" s="134"/>
      <c r="AM91" s="134"/>
      <c r="AN91" s="18"/>
      <c r="AO91" s="18"/>
      <c r="AP91" s="18"/>
      <c r="AQ91" s="18"/>
      <c r="AR91" s="17"/>
      <c r="AS91" s="21">
        <f t="shared" si="49"/>
        <v>45363</v>
      </c>
      <c r="AT91" s="17"/>
      <c r="AU91" s="17"/>
      <c r="AV91" s="17"/>
      <c r="AW91" s="17"/>
      <c r="AX91" s="17"/>
      <c r="AY91" s="17"/>
      <c r="AZ91" s="17"/>
    </row>
    <row r="92" spans="1:52" ht="20">
      <c r="A92" s="17"/>
      <c r="B92" s="40"/>
      <c r="C92" s="55">
        <f t="shared" si="44"/>
        <v>73</v>
      </c>
      <c r="D92" s="54">
        <v>1</v>
      </c>
      <c r="E92" s="53" t="str">
        <f t="shared" si="36"/>
        <v>3</v>
      </c>
      <c r="F92" s="52">
        <f t="shared" si="45"/>
        <v>45364</v>
      </c>
      <c r="G92" s="51" t="str">
        <f t="shared" si="46"/>
        <v>Wed</v>
      </c>
      <c r="H92" s="50"/>
      <c r="I92" s="49"/>
      <c r="J92" s="343">
        <f>318550/$B$13</f>
        <v>2886.9856806235271</v>
      </c>
      <c r="K92" s="31"/>
      <c r="L92" s="317">
        <f t="shared" si="35"/>
        <v>2233.4495830126825</v>
      </c>
      <c r="M92" s="318">
        <f t="shared" si="37"/>
        <v>653.53609761084454</v>
      </c>
      <c r="N92" s="41">
        <f t="shared" si="38"/>
        <v>1.2926128722947463</v>
      </c>
      <c r="O92" s="46"/>
      <c r="P92" s="328">
        <f>IF(D92=0,0,SUM($L$80:L92))</f>
        <v>24567.945413139514</v>
      </c>
      <c r="Q92" s="317">
        <f>IF(D92=0,0,SUM($J$80:J92))</f>
        <v>24603.172013775602</v>
      </c>
      <c r="R92" s="321">
        <f t="shared" si="39"/>
        <v>35.226600636087824</v>
      </c>
      <c r="S92" s="41">
        <f t="shared" si="40"/>
        <v>1.0014338439801826</v>
      </c>
      <c r="T92" s="56"/>
      <c r="U92" s="348">
        <f>IF(D92=0,0,SUM($L$20:L92))</f>
        <v>112454.18650468862</v>
      </c>
      <c r="V92" s="348">
        <f>IF(D92=0,0,SUM($J$20:J92))</f>
        <v>115088.97951785388</v>
      </c>
      <c r="W92" s="349">
        <f t="shared" si="41"/>
        <v>2634.7930131652538</v>
      </c>
      <c r="X92" s="41">
        <f t="shared" si="42"/>
        <v>1.0234299237321449</v>
      </c>
      <c r="Y92" s="17"/>
      <c r="Z92" s="23">
        <f t="shared" si="47"/>
        <v>45364</v>
      </c>
      <c r="AA92" s="22">
        <f t="shared" si="47"/>
        <v>45364</v>
      </c>
      <c r="AB92" s="137">
        <v>45364</v>
      </c>
      <c r="AC92" s="141">
        <v>11</v>
      </c>
      <c r="AD92" s="136" t="s">
        <v>124</v>
      </c>
      <c r="AE92" s="138">
        <f>AVERAGEIFS(J325:J354,D325:D354,1,G325:G354,"wed")</f>
        <v>2419.8160232010146</v>
      </c>
      <c r="AF92" s="141">
        <f>COUNTIFS(D325:D354,1,G325:G354,"wed")</f>
        <v>4</v>
      </c>
      <c r="AG92" s="138"/>
      <c r="AH92" s="138">
        <f t="shared" si="48"/>
        <v>9679.2640928040582</v>
      </c>
      <c r="AI92" s="264">
        <f t="shared" si="50"/>
        <v>0.17473556768076701</v>
      </c>
      <c r="AJ92" s="393"/>
      <c r="AK92" s="134"/>
      <c r="AL92" s="134"/>
      <c r="AM92" s="134"/>
      <c r="AN92" s="18"/>
      <c r="AO92" s="18"/>
      <c r="AP92" s="18"/>
      <c r="AQ92" s="18"/>
      <c r="AR92" s="17"/>
      <c r="AS92" s="21">
        <f t="shared" si="49"/>
        <v>45364</v>
      </c>
      <c r="AT92" s="17"/>
      <c r="AU92" s="17"/>
      <c r="AV92" s="17"/>
      <c r="AW92" s="17"/>
      <c r="AX92" s="17"/>
      <c r="AY92" s="17"/>
      <c r="AZ92" s="17"/>
    </row>
    <row r="93" spans="1:52" ht="20">
      <c r="A93" s="17"/>
      <c r="B93" s="40"/>
      <c r="C93" s="55">
        <f t="shared" si="44"/>
        <v>74</v>
      </c>
      <c r="D93" s="54">
        <v>1</v>
      </c>
      <c r="E93" s="53" t="str">
        <f t="shared" si="36"/>
        <v>3</v>
      </c>
      <c r="F93" s="52">
        <f t="shared" si="45"/>
        <v>45365</v>
      </c>
      <c r="G93" s="51" t="str">
        <f t="shared" si="46"/>
        <v>Thu</v>
      </c>
      <c r="H93" s="50"/>
      <c r="I93" s="49"/>
      <c r="J93" s="343">
        <f>219880/$B$13</f>
        <v>1992.7496827986224</v>
      </c>
      <c r="K93" s="31"/>
      <c r="L93" s="317">
        <f t="shared" si="35"/>
        <v>2233.4495830126825</v>
      </c>
      <c r="M93" s="318">
        <f t="shared" si="37"/>
        <v>-240.69990021406011</v>
      </c>
      <c r="N93" s="41">
        <f t="shared" si="38"/>
        <v>0.89222953495579604</v>
      </c>
      <c r="O93" s="46"/>
      <c r="P93" s="328">
        <f>IF(D93=0,0,SUM($L$80:L93))</f>
        <v>26801.394996152198</v>
      </c>
      <c r="Q93" s="317">
        <f>IF(D93=0,0,SUM($J$80:J93))</f>
        <v>26595.921696574223</v>
      </c>
      <c r="R93" s="321">
        <f t="shared" si="39"/>
        <v>-205.4732995779741</v>
      </c>
      <c r="S93" s="41">
        <f t="shared" si="40"/>
        <v>0.9923334848948171</v>
      </c>
      <c r="T93" s="56"/>
      <c r="U93" s="348">
        <f>IF(D93=0,0,SUM($L$20:L93))</f>
        <v>114687.63608770131</v>
      </c>
      <c r="V93" s="348">
        <f>IF(D93=0,0,SUM($J$20:J93))</f>
        <v>117081.72920065249</v>
      </c>
      <c r="W93" s="349">
        <f t="shared" si="41"/>
        <v>2394.0931129511882</v>
      </c>
      <c r="X93" s="41">
        <f t="shared" si="42"/>
        <v>1.0208749015553902</v>
      </c>
      <c r="Y93" s="17"/>
      <c r="Z93" s="23">
        <f t="shared" si="47"/>
        <v>45365</v>
      </c>
      <c r="AA93" s="22">
        <f t="shared" si="47"/>
        <v>45365</v>
      </c>
      <c r="AB93" s="137">
        <v>45365</v>
      </c>
      <c r="AC93" s="141">
        <v>11</v>
      </c>
      <c r="AD93" s="136" t="s">
        <v>125</v>
      </c>
      <c r="AE93" s="138">
        <f>AVERAGEIFS(J325:J354,D325:D354,1,G325:G354,"thu")</f>
        <v>2357.2820373391337</v>
      </c>
      <c r="AF93" s="141">
        <f>COUNTIFS(D325:D354,1,G325:G354,"thu")</f>
        <v>4</v>
      </c>
      <c r="AG93" s="138"/>
      <c r="AH93" s="138">
        <f t="shared" si="48"/>
        <v>9429.1281493565348</v>
      </c>
      <c r="AI93" s="264">
        <f t="shared" si="50"/>
        <v>0.17021997169572087</v>
      </c>
      <c r="AJ93" s="393"/>
      <c r="AK93" s="134"/>
      <c r="AL93" s="134"/>
      <c r="AM93" s="134"/>
      <c r="AN93" s="18"/>
      <c r="AO93" s="18"/>
      <c r="AP93" s="18"/>
      <c r="AQ93" s="18"/>
      <c r="AR93" s="17"/>
      <c r="AS93" s="21">
        <f t="shared" si="49"/>
        <v>45365</v>
      </c>
      <c r="AT93" s="17"/>
      <c r="AU93" s="17"/>
      <c r="AV93" s="17"/>
      <c r="AW93" s="17"/>
      <c r="AX93" s="17"/>
      <c r="AY93" s="17"/>
      <c r="AZ93" s="17"/>
    </row>
    <row r="94" spans="1:52" ht="20">
      <c r="A94" s="17"/>
      <c r="B94" s="40"/>
      <c r="C94" s="55">
        <f t="shared" si="44"/>
        <v>75</v>
      </c>
      <c r="D94" s="54">
        <v>1</v>
      </c>
      <c r="E94" s="53" t="str">
        <f t="shared" si="36"/>
        <v>3</v>
      </c>
      <c r="F94" s="52">
        <f t="shared" si="45"/>
        <v>45366</v>
      </c>
      <c r="G94" s="51" t="str">
        <f t="shared" si="46"/>
        <v>Fri</v>
      </c>
      <c r="H94" s="50"/>
      <c r="I94" s="49"/>
      <c r="J94" s="343">
        <f>350170/$B$13</f>
        <v>3173.5544680079752</v>
      </c>
      <c r="K94" s="31"/>
      <c r="L94" s="317">
        <f t="shared" si="35"/>
        <v>2233.4495830126825</v>
      </c>
      <c r="M94" s="318">
        <f t="shared" si="37"/>
        <v>940.10488499529265</v>
      </c>
      <c r="N94" s="41">
        <f t="shared" si="38"/>
        <v>1.4209205760208801</v>
      </c>
      <c r="O94" s="46"/>
      <c r="P94" s="328">
        <f>IF(D94=0,0,SUM($L$80:L94))</f>
        <v>29034.844579164881</v>
      </c>
      <c r="Q94" s="317">
        <f>IF(D94=0,0,SUM($J$80:J94))</f>
        <v>29769.4761645822</v>
      </c>
      <c r="R94" s="321">
        <f t="shared" si="39"/>
        <v>734.631585417319</v>
      </c>
      <c r="S94" s="41">
        <f t="shared" si="40"/>
        <v>1.0253017226737451</v>
      </c>
      <c r="T94" s="56"/>
      <c r="U94" s="348">
        <f>IF(D94=0,0,SUM($L$20:L94))</f>
        <v>116921.08567071399</v>
      </c>
      <c r="V94" s="348">
        <f>IF(D94=0,0,SUM($J$20:J94))</f>
        <v>120255.28366866047</v>
      </c>
      <c r="W94" s="349">
        <f t="shared" si="41"/>
        <v>3334.1979979464813</v>
      </c>
      <c r="X94" s="41">
        <f t="shared" si="42"/>
        <v>1.0285166527390672</v>
      </c>
      <c r="Y94" s="17"/>
      <c r="Z94" s="23">
        <f t="shared" si="47"/>
        <v>45366</v>
      </c>
      <c r="AA94" s="22">
        <f t="shared" si="47"/>
        <v>45366</v>
      </c>
      <c r="AB94" s="137">
        <v>45366</v>
      </c>
      <c r="AC94" s="141">
        <v>11</v>
      </c>
      <c r="AD94" s="136" t="s">
        <v>126</v>
      </c>
      <c r="AE94" s="138">
        <f>AVERAGEIFS(J325:J354,D325:D354,1,G325:G354,"fri")</f>
        <v>3018.9052021025918</v>
      </c>
      <c r="AF94" s="141">
        <f>COUNTIFS(D325:D354,1,G325:G354,"fri")</f>
        <v>5</v>
      </c>
      <c r="AG94" s="138"/>
      <c r="AH94" s="138">
        <f t="shared" si="48"/>
        <v>15094.52601051296</v>
      </c>
      <c r="AI94" s="264">
        <f t="shared" si="50"/>
        <v>0.27249494858601314</v>
      </c>
      <c r="AJ94" s="393"/>
      <c r="AK94" s="134"/>
      <c r="AL94" s="134"/>
      <c r="AM94" s="134"/>
      <c r="AN94" s="18"/>
      <c r="AO94" s="18"/>
      <c r="AP94" s="18"/>
      <c r="AQ94" s="18"/>
      <c r="AR94" s="17"/>
      <c r="AS94" s="21">
        <f t="shared" si="49"/>
        <v>45366</v>
      </c>
      <c r="AT94" s="17"/>
      <c r="AU94" s="17"/>
      <c r="AV94" s="17"/>
      <c r="AW94" s="17"/>
      <c r="AX94" s="17"/>
      <c r="AY94" s="17"/>
      <c r="AZ94" s="17"/>
    </row>
    <row r="95" spans="1:52" ht="20">
      <c r="A95" s="17"/>
      <c r="B95" s="40"/>
      <c r="C95" s="55">
        <f t="shared" si="44"/>
        <v>76</v>
      </c>
      <c r="D95" s="54">
        <v>1</v>
      </c>
      <c r="E95" s="53" t="str">
        <f t="shared" si="36"/>
        <v>3</v>
      </c>
      <c r="F95" s="52">
        <f t="shared" si="45"/>
        <v>45367</v>
      </c>
      <c r="G95" s="51" t="str">
        <f t="shared" si="46"/>
        <v>Sat</v>
      </c>
      <c r="H95" s="50"/>
      <c r="I95" s="49"/>
      <c r="J95" s="343">
        <f>156750/$B$13</f>
        <v>1420.6090266449157</v>
      </c>
      <c r="K95" s="31"/>
      <c r="L95" s="317">
        <f t="shared" si="35"/>
        <v>2233.4495830126825</v>
      </c>
      <c r="M95" s="318">
        <f t="shared" si="37"/>
        <v>-812.84055636776679</v>
      </c>
      <c r="N95" s="41">
        <f t="shared" si="38"/>
        <v>0.63606048573913521</v>
      </c>
      <c r="O95" s="46"/>
      <c r="P95" s="328">
        <f>IF(D95=0,0,SUM($L$80:L95))</f>
        <v>31268.294162177564</v>
      </c>
      <c r="Q95" s="317">
        <f>IF(D95=0,0,SUM($J$80:J95))</f>
        <v>31190.085191227117</v>
      </c>
      <c r="R95" s="321">
        <f t="shared" si="39"/>
        <v>-78.20897095044711</v>
      </c>
      <c r="S95" s="41">
        <f t="shared" si="40"/>
        <v>0.99749877717841573</v>
      </c>
      <c r="T95" s="44"/>
      <c r="U95" s="348">
        <f>IF(D95=0,0,SUM($L$20:L95))</f>
        <v>119154.53525372667</v>
      </c>
      <c r="V95" s="348">
        <f>IF(D95=0,0,SUM($J$20:J95))</f>
        <v>121675.89269530539</v>
      </c>
      <c r="W95" s="349">
        <f t="shared" si="41"/>
        <v>2521.3574415787152</v>
      </c>
      <c r="X95" s="41">
        <f t="shared" si="42"/>
        <v>1.0211603984372879</v>
      </c>
      <c r="Y95" s="17"/>
      <c r="Z95" s="23">
        <f t="shared" si="47"/>
        <v>45367</v>
      </c>
      <c r="AA95" s="22">
        <f t="shared" si="47"/>
        <v>45367</v>
      </c>
      <c r="AB95" s="137">
        <v>45367</v>
      </c>
      <c r="AC95" s="141">
        <v>11</v>
      </c>
      <c r="AD95" s="136" t="s">
        <v>127</v>
      </c>
      <c r="AE95" s="138">
        <f>AVERAGEIFS(J325:J354,D325:D354,1,G325:G354,"sat")</f>
        <v>2000.6117455138663</v>
      </c>
      <c r="AF95" s="141">
        <f>COUNTIFS(D325:D354,1,G325:G354,"sat")</f>
        <v>4</v>
      </c>
      <c r="AG95" s="138"/>
      <c r="AH95" s="138">
        <f t="shared" si="48"/>
        <v>8002.446982055465</v>
      </c>
      <c r="AI95" s="264">
        <f t="shared" si="50"/>
        <v>0.14446471372593936</v>
      </c>
      <c r="AJ95" s="393"/>
      <c r="AK95" s="134"/>
      <c r="AL95" s="134"/>
      <c r="AM95" s="134"/>
      <c r="AN95" s="18"/>
      <c r="AO95" s="18"/>
      <c r="AP95" s="18"/>
      <c r="AQ95" s="18"/>
      <c r="AR95" s="17"/>
      <c r="AS95" s="21">
        <f t="shared" si="49"/>
        <v>45367</v>
      </c>
      <c r="AT95" s="17"/>
      <c r="AU95" s="17"/>
      <c r="AV95" s="17"/>
      <c r="AW95" s="17"/>
      <c r="AX95" s="17"/>
      <c r="AY95" s="17"/>
      <c r="AZ95" s="17"/>
    </row>
    <row r="96" spans="1:52" ht="20">
      <c r="A96" s="17"/>
      <c r="B96" s="40"/>
      <c r="C96" s="55">
        <f t="shared" si="44"/>
        <v>77</v>
      </c>
      <c r="D96" s="54">
        <v>0</v>
      </c>
      <c r="E96" s="53" t="str">
        <f t="shared" si="36"/>
        <v>3</v>
      </c>
      <c r="F96" s="52">
        <f t="shared" si="45"/>
        <v>45368</v>
      </c>
      <c r="G96" s="51" t="str">
        <f t="shared" si="46"/>
        <v>Sun</v>
      </c>
      <c r="H96" s="50" t="s">
        <v>46</v>
      </c>
      <c r="I96" s="67"/>
      <c r="J96" s="343"/>
      <c r="K96" s="65"/>
      <c r="L96" s="317">
        <f t="shared" si="35"/>
        <v>0</v>
      </c>
      <c r="M96" s="318">
        <f t="shared" si="37"/>
        <v>0</v>
      </c>
      <c r="N96" s="41" t="str">
        <f t="shared" si="38"/>
        <v>0%</v>
      </c>
      <c r="O96" s="46"/>
      <c r="P96" s="328">
        <f>IF(D96=0,0,SUM($L$80:L96))</f>
        <v>0</v>
      </c>
      <c r="Q96" s="317">
        <f>IF(D96=0,0,SUM($J$80:J96))</f>
        <v>0</v>
      </c>
      <c r="R96" s="321">
        <f t="shared" si="39"/>
        <v>0</v>
      </c>
      <c r="S96" s="41" t="str">
        <f t="shared" si="40"/>
        <v>0%</v>
      </c>
      <c r="T96" s="56"/>
      <c r="U96" s="348">
        <f>IF(D96=0,0,SUM($L$20:L96))</f>
        <v>0</v>
      </c>
      <c r="V96" s="348">
        <f>IF(D96=0,0,SUM($J$20:J96))</f>
        <v>0</v>
      </c>
      <c r="W96" s="349">
        <f t="shared" si="41"/>
        <v>0</v>
      </c>
      <c r="X96" s="41" t="str">
        <f t="shared" si="42"/>
        <v>0%</v>
      </c>
      <c r="Y96" s="17"/>
      <c r="Z96" s="23">
        <f t="shared" si="47"/>
        <v>45368</v>
      </c>
      <c r="AA96" s="22">
        <f t="shared" si="47"/>
        <v>45368</v>
      </c>
      <c r="AB96" s="137">
        <v>45368</v>
      </c>
      <c r="AC96" s="141">
        <v>11</v>
      </c>
      <c r="AD96" s="136" t="s">
        <v>128</v>
      </c>
      <c r="AE96" s="138">
        <f>IFERROR(AVERAGEIFS(J325:J354,D325:D354,1,G325:G354,"sun"),0)</f>
        <v>0</v>
      </c>
      <c r="AF96" s="141">
        <f>IFERROR(COUNTIFS(D325:D354,1,G325:G354,"sun"),0)</f>
        <v>0</v>
      </c>
      <c r="AG96" s="138"/>
      <c r="AH96" s="138">
        <f t="shared" si="48"/>
        <v>0</v>
      </c>
      <c r="AI96" s="264">
        <f t="shared" si="50"/>
        <v>0</v>
      </c>
      <c r="AJ96" s="393"/>
      <c r="AK96" s="134"/>
      <c r="AL96" s="134"/>
      <c r="AM96" s="134"/>
      <c r="AN96" s="18"/>
      <c r="AO96" s="18"/>
      <c r="AP96" s="18"/>
      <c r="AQ96" s="18"/>
      <c r="AR96" s="17"/>
      <c r="AS96" s="21">
        <f t="shared" si="49"/>
        <v>45368</v>
      </c>
      <c r="AT96" s="17"/>
      <c r="AU96" s="17"/>
      <c r="AV96" s="17"/>
      <c r="AW96" s="17"/>
      <c r="AX96" s="17"/>
      <c r="AY96" s="17"/>
      <c r="AZ96" s="17"/>
    </row>
    <row r="97" spans="1:52" ht="20">
      <c r="A97" s="17"/>
      <c r="B97" s="40"/>
      <c r="C97" s="55">
        <f t="shared" si="44"/>
        <v>78</v>
      </c>
      <c r="D97" s="54">
        <v>1</v>
      </c>
      <c r="E97" s="53" t="str">
        <f t="shared" si="36"/>
        <v>3</v>
      </c>
      <c r="F97" s="52">
        <f t="shared" si="45"/>
        <v>45369</v>
      </c>
      <c r="G97" s="51" t="str">
        <f t="shared" si="46"/>
        <v>Mon</v>
      </c>
      <c r="H97" s="50"/>
      <c r="I97" s="49"/>
      <c r="J97" s="343">
        <f>201050/$B$13</f>
        <v>1822.095341671198</v>
      </c>
      <c r="K97" s="31"/>
      <c r="L97" s="317">
        <f t="shared" si="35"/>
        <v>2233.4495830126825</v>
      </c>
      <c r="M97" s="318">
        <f t="shared" si="37"/>
        <v>-411.35424134148457</v>
      </c>
      <c r="N97" s="41">
        <f t="shared" si="38"/>
        <v>0.81582112062426226</v>
      </c>
      <c r="O97" s="46"/>
      <c r="P97" s="328">
        <f>IF(D97=0,0,SUM($L$80:L97))</f>
        <v>33501.743745190244</v>
      </c>
      <c r="Q97" s="317">
        <f>IF(D97=0,0,SUM($J$80:J97))</f>
        <v>33012.180532898317</v>
      </c>
      <c r="R97" s="321">
        <f t="shared" si="39"/>
        <v>-489.5632122919269</v>
      </c>
      <c r="S97" s="41">
        <f t="shared" si="40"/>
        <v>0.98538693340813899</v>
      </c>
      <c r="T97" s="56"/>
      <c r="U97" s="348">
        <f>IF(D97=0,0,SUM($L$20:L97))</f>
        <v>121387.98483673936</v>
      </c>
      <c r="V97" s="348">
        <f>IF(D97=0,0,SUM($J$20:J97))</f>
        <v>123497.98803697659</v>
      </c>
      <c r="W97" s="349">
        <f t="shared" si="41"/>
        <v>2110.0032002372318</v>
      </c>
      <c r="X97" s="41">
        <f t="shared" si="42"/>
        <v>1.0173823068491916</v>
      </c>
      <c r="Y97" s="17"/>
      <c r="Z97" s="23">
        <f t="shared" si="47"/>
        <v>45369</v>
      </c>
      <c r="AA97" s="22">
        <f t="shared" si="47"/>
        <v>45369</v>
      </c>
      <c r="AB97" s="137">
        <v>45369</v>
      </c>
      <c r="AC97" s="141">
        <v>12</v>
      </c>
      <c r="AD97" s="136" t="s">
        <v>122</v>
      </c>
      <c r="AE97" s="138">
        <f>AVERAGEIFS(J355:J385,D355:D385,1,G355:G385,"mon")</f>
        <v>2572.3672285662497</v>
      </c>
      <c r="AF97" s="141">
        <f>COUNTIFS(D355:D385,1,G355:G385,"Mon")</f>
        <v>4</v>
      </c>
      <c r="AG97" s="138"/>
      <c r="AH97" s="138">
        <f t="shared" si="48"/>
        <v>10289.468914264999</v>
      </c>
      <c r="AI97" s="264">
        <f>AH97/$M$17</f>
        <v>0.14372393014703552</v>
      </c>
      <c r="AJ97" s="393">
        <f>SUM(AI97:AI103)</f>
        <v>0.99999999999999978</v>
      </c>
      <c r="AK97" s="134" t="s">
        <v>139</v>
      </c>
      <c r="AL97" s="134"/>
      <c r="AM97" s="134"/>
      <c r="AN97" s="18"/>
      <c r="AO97" s="18"/>
      <c r="AP97" s="18"/>
      <c r="AQ97" s="18"/>
      <c r="AR97" s="17"/>
      <c r="AS97" s="21">
        <f t="shared" si="49"/>
        <v>45369</v>
      </c>
      <c r="AT97" s="17"/>
      <c r="AU97" s="17"/>
      <c r="AV97" s="17"/>
      <c r="AW97" s="17"/>
      <c r="AX97" s="17"/>
      <c r="AY97" s="17"/>
      <c r="AZ97" s="17"/>
    </row>
    <row r="98" spans="1:52" ht="20">
      <c r="A98" s="17"/>
      <c r="B98" s="40"/>
      <c r="C98" s="55">
        <f t="shared" si="44"/>
        <v>79</v>
      </c>
      <c r="D98" s="54">
        <v>1</v>
      </c>
      <c r="E98" s="53" t="str">
        <f t="shared" si="36"/>
        <v>3</v>
      </c>
      <c r="F98" s="52">
        <f t="shared" si="45"/>
        <v>45370</v>
      </c>
      <c r="G98" s="51" t="str">
        <f t="shared" si="46"/>
        <v>Tue</v>
      </c>
      <c r="H98" s="50"/>
      <c r="I98" s="49"/>
      <c r="J98" s="343">
        <f>220700/$B$13</f>
        <v>2000.1812579300345</v>
      </c>
      <c r="K98" s="31"/>
      <c r="L98" s="317">
        <f t="shared" si="35"/>
        <v>2233.4495830126825</v>
      </c>
      <c r="M98" s="318">
        <f t="shared" si="37"/>
        <v>-233.26832508264806</v>
      </c>
      <c r="N98" s="41">
        <f t="shared" si="38"/>
        <v>0.89555693271213477</v>
      </c>
      <c r="O98" s="46"/>
      <c r="P98" s="328">
        <f>IF(D98=0,0,SUM($L$80:L98))</f>
        <v>35735.193328202928</v>
      </c>
      <c r="Q98" s="317">
        <f>IF(D98=0,0,SUM($J$80:J98))</f>
        <v>35012.361790828349</v>
      </c>
      <c r="R98" s="321">
        <f t="shared" si="39"/>
        <v>-722.83153737457906</v>
      </c>
      <c r="S98" s="41">
        <f t="shared" si="40"/>
        <v>0.97977255836463861</v>
      </c>
      <c r="T98" s="56"/>
      <c r="U98" s="348">
        <f>IF(D98=0,0,SUM($L$20:L98))</f>
        <v>123621.43441975204</v>
      </c>
      <c r="V98" s="348">
        <f>IF(D98=0,0,SUM($J$20:J98))</f>
        <v>125498.16929490662</v>
      </c>
      <c r="W98" s="349">
        <f t="shared" si="41"/>
        <v>1876.7348751545796</v>
      </c>
      <c r="X98" s="41">
        <f t="shared" si="42"/>
        <v>1.0151813064131112</v>
      </c>
      <c r="Y98" s="17"/>
      <c r="Z98" s="23">
        <f t="shared" si="47"/>
        <v>45370</v>
      </c>
      <c r="AA98" s="22">
        <f t="shared" si="47"/>
        <v>45370</v>
      </c>
      <c r="AB98" s="137">
        <v>45370</v>
      </c>
      <c r="AC98" s="141">
        <v>12</v>
      </c>
      <c r="AD98" s="136" t="s">
        <v>123</v>
      </c>
      <c r="AE98" s="138">
        <f>AVERAGEIFS(J355:J385,D355:D385,1,G355:G385,"tue")</f>
        <v>2830.9769802428855</v>
      </c>
      <c r="AF98" s="141">
        <f>COUNTIFS(D355:D385,1,G355:G385,"tue")</f>
        <v>4</v>
      </c>
      <c r="AG98" s="138"/>
      <c r="AH98" s="138">
        <f t="shared" si="48"/>
        <v>11323.907920971542</v>
      </c>
      <c r="AI98" s="264">
        <f t="shared" ref="AI98:AI103" si="51">AH98/$M$17</f>
        <v>0.15817303736336069</v>
      </c>
      <c r="AJ98" s="393"/>
      <c r="AK98" s="134"/>
      <c r="AL98" s="134"/>
      <c r="AM98" s="134"/>
      <c r="AN98" s="18"/>
      <c r="AO98" s="18"/>
      <c r="AP98" s="18"/>
      <c r="AQ98" s="18"/>
      <c r="AR98" s="17"/>
      <c r="AS98" s="21">
        <f t="shared" si="49"/>
        <v>45370</v>
      </c>
      <c r="AT98" s="17"/>
      <c r="AU98" s="17"/>
      <c r="AV98" s="17"/>
      <c r="AW98" s="17"/>
      <c r="AX98" s="17"/>
      <c r="AY98" s="17"/>
      <c r="AZ98" s="17"/>
    </row>
    <row r="99" spans="1:52" ht="20">
      <c r="A99" s="17"/>
      <c r="B99" s="40"/>
      <c r="C99" s="55">
        <f t="shared" si="44"/>
        <v>80</v>
      </c>
      <c r="D99" s="54">
        <v>0</v>
      </c>
      <c r="E99" s="53" t="str">
        <f t="shared" si="36"/>
        <v>3</v>
      </c>
      <c r="F99" s="52">
        <f t="shared" si="45"/>
        <v>45371</v>
      </c>
      <c r="G99" s="51" t="str">
        <f t="shared" si="46"/>
        <v>Wed</v>
      </c>
      <c r="H99" s="50" t="s">
        <v>47</v>
      </c>
      <c r="I99" s="49"/>
      <c r="J99" s="343"/>
      <c r="K99" s="31"/>
      <c r="L99" s="317">
        <f t="shared" si="35"/>
        <v>0</v>
      </c>
      <c r="M99" s="318">
        <f t="shared" si="37"/>
        <v>0</v>
      </c>
      <c r="N99" s="41" t="str">
        <f t="shared" si="38"/>
        <v>0%</v>
      </c>
      <c r="O99" s="46"/>
      <c r="P99" s="328">
        <f>IF(D99=0,0,SUM($L$80:L99))</f>
        <v>0</v>
      </c>
      <c r="Q99" s="317">
        <f>IF(D99=0,0,SUM($J$80:J99))</f>
        <v>0</v>
      </c>
      <c r="R99" s="321">
        <f t="shared" si="39"/>
        <v>0</v>
      </c>
      <c r="S99" s="41" t="str">
        <f t="shared" si="40"/>
        <v>0%</v>
      </c>
      <c r="T99" s="44"/>
      <c r="U99" s="348">
        <f>IF(D99=0,0,SUM($L$20:L99))</f>
        <v>0</v>
      </c>
      <c r="V99" s="348">
        <f>IF(D99=0,0,SUM($J$20:J99))</f>
        <v>0</v>
      </c>
      <c r="W99" s="349">
        <f t="shared" si="41"/>
        <v>0</v>
      </c>
      <c r="X99" s="41" t="str">
        <f t="shared" si="42"/>
        <v>0%</v>
      </c>
      <c r="Y99" s="17"/>
      <c r="Z99" s="23">
        <f t="shared" si="47"/>
        <v>45371</v>
      </c>
      <c r="AA99" s="22">
        <f t="shared" si="47"/>
        <v>45371</v>
      </c>
      <c r="AB99" s="137">
        <v>45371</v>
      </c>
      <c r="AC99" s="141">
        <v>12</v>
      </c>
      <c r="AD99" s="136" t="s">
        <v>124</v>
      </c>
      <c r="AE99" s="138">
        <f>AVERAGEIFS(J355:J385,D355:D385,1,G355:G385,"wed")</f>
        <v>3519.1906833423964</v>
      </c>
      <c r="AF99" s="141">
        <f>COUNTIFS(D355:D385,1,G355:G385,"wed")</f>
        <v>4</v>
      </c>
      <c r="AG99" s="138"/>
      <c r="AH99" s="138">
        <f t="shared" si="48"/>
        <v>14076.762733369585</v>
      </c>
      <c r="AI99" s="264">
        <f t="shared" si="51"/>
        <v>0.1966250814930153</v>
      </c>
      <c r="AJ99" s="393"/>
      <c r="AK99" s="134"/>
      <c r="AL99" s="134"/>
      <c r="AM99" s="134"/>
      <c r="AN99" s="18"/>
      <c r="AO99" s="18"/>
      <c r="AP99" s="18"/>
      <c r="AQ99" s="18"/>
      <c r="AR99" s="17"/>
      <c r="AS99" s="21">
        <f t="shared" si="49"/>
        <v>45371</v>
      </c>
      <c r="AT99" s="17"/>
      <c r="AU99" s="17"/>
      <c r="AV99" s="17"/>
      <c r="AW99" s="17"/>
      <c r="AX99" s="17"/>
      <c r="AY99" s="17"/>
      <c r="AZ99" s="17"/>
    </row>
    <row r="100" spans="1:52" ht="20">
      <c r="A100" s="17"/>
      <c r="B100" s="40"/>
      <c r="C100" s="55">
        <f t="shared" si="44"/>
        <v>81</v>
      </c>
      <c r="D100" s="54">
        <v>1</v>
      </c>
      <c r="E100" s="53" t="str">
        <f t="shared" si="36"/>
        <v>3</v>
      </c>
      <c r="F100" s="52">
        <f t="shared" si="45"/>
        <v>45372</v>
      </c>
      <c r="G100" s="51" t="str">
        <f t="shared" si="46"/>
        <v>Thu</v>
      </c>
      <c r="H100" s="50"/>
      <c r="I100" s="49"/>
      <c r="J100" s="343">
        <f>369500/$B$13</f>
        <v>3348.7402573862605</v>
      </c>
      <c r="K100" s="31"/>
      <c r="L100" s="317">
        <f t="shared" si="35"/>
        <v>2233.4495830126825</v>
      </c>
      <c r="M100" s="318">
        <f t="shared" si="37"/>
        <v>1115.290674373578</v>
      </c>
      <c r="N100" s="41">
        <f t="shared" si="38"/>
        <v>1.4993578914233521</v>
      </c>
      <c r="O100" s="46"/>
      <c r="P100" s="328">
        <f>IF(D100=0,0,SUM($L$80:L100))</f>
        <v>37968.642911215611</v>
      </c>
      <c r="Q100" s="317">
        <f>IF(D100=0,0,SUM($J$80:J100))</f>
        <v>38361.102048214612</v>
      </c>
      <c r="R100" s="321">
        <f t="shared" si="39"/>
        <v>392.4591369990012</v>
      </c>
      <c r="S100" s="41">
        <f t="shared" si="40"/>
        <v>1.0103364014857394</v>
      </c>
      <c r="T100" s="56"/>
      <c r="U100" s="348">
        <f>IF(D100=0,0,SUM($L$20:L100))</f>
        <v>125854.88400276472</v>
      </c>
      <c r="V100" s="348">
        <f>IF(D100=0,0,SUM($J$20:J100))</f>
        <v>128846.90955229288</v>
      </c>
      <c r="W100" s="349">
        <f t="shared" si="41"/>
        <v>2992.0255495281599</v>
      </c>
      <c r="X100" s="41">
        <f t="shared" si="42"/>
        <v>1.0237736149314827</v>
      </c>
      <c r="Y100" s="17"/>
      <c r="Z100" s="23">
        <f t="shared" si="47"/>
        <v>45372</v>
      </c>
      <c r="AA100" s="22">
        <f t="shared" si="47"/>
        <v>45372</v>
      </c>
      <c r="AB100" s="137">
        <v>45372</v>
      </c>
      <c r="AC100" s="141">
        <v>12</v>
      </c>
      <c r="AD100" s="136" t="s">
        <v>125</v>
      </c>
      <c r="AE100" s="138">
        <f>AVERAGEIFS(J355:J385,D355:D385,1,G355:G385,"thu")</f>
        <v>3046.5606307775965</v>
      </c>
      <c r="AF100" s="141">
        <f>COUNTIFS(D355:D385,1,G355:G385,"thu")</f>
        <v>4</v>
      </c>
      <c r="AG100" s="138"/>
      <c r="AH100" s="138">
        <f t="shared" si="48"/>
        <v>12186.242523110386</v>
      </c>
      <c r="AI100" s="264">
        <f t="shared" si="51"/>
        <v>0.17021817974669121</v>
      </c>
      <c r="AJ100" s="393"/>
      <c r="AK100" s="134"/>
      <c r="AL100" s="134"/>
      <c r="AM100" s="134"/>
      <c r="AN100" s="18"/>
      <c r="AO100" s="18"/>
      <c r="AP100" s="18"/>
      <c r="AQ100" s="18"/>
      <c r="AR100" s="17"/>
      <c r="AS100" s="21">
        <f t="shared" si="49"/>
        <v>45372</v>
      </c>
      <c r="AT100" s="17"/>
      <c r="AU100" s="17"/>
      <c r="AV100" s="17"/>
      <c r="AW100" s="17"/>
      <c r="AX100" s="17"/>
      <c r="AY100" s="17"/>
      <c r="AZ100" s="17"/>
    </row>
    <row r="101" spans="1:52" ht="20">
      <c r="A101" s="17"/>
      <c r="B101" s="40"/>
      <c r="C101" s="55">
        <f t="shared" si="44"/>
        <v>82</v>
      </c>
      <c r="D101" s="54">
        <v>1</v>
      </c>
      <c r="E101" s="53" t="str">
        <f t="shared" si="36"/>
        <v>3</v>
      </c>
      <c r="F101" s="52">
        <f t="shared" si="45"/>
        <v>45373</v>
      </c>
      <c r="G101" s="51" t="str">
        <f t="shared" si="46"/>
        <v>Fri</v>
      </c>
      <c r="H101" s="50"/>
      <c r="I101" s="49"/>
      <c r="J101" s="343">
        <f>333000/$B$13</f>
        <v>3017.9445350734095</v>
      </c>
      <c r="K101" s="31"/>
      <c r="L101" s="317">
        <f t="shared" si="35"/>
        <v>2233.4495830126825</v>
      </c>
      <c r="M101" s="318">
        <f t="shared" si="37"/>
        <v>784.49495206072697</v>
      </c>
      <c r="N101" s="41">
        <f t="shared" si="38"/>
        <v>1.3512481132448613</v>
      </c>
      <c r="O101" s="46"/>
      <c r="P101" s="328">
        <f>IF(D101=0,0,SUM($L$80:L101))</f>
        <v>40202.092494228295</v>
      </c>
      <c r="Q101" s="317">
        <f>IF(D101=0,0,SUM($J$80:J101))</f>
        <v>41379.046583288022</v>
      </c>
      <c r="R101" s="321">
        <f t="shared" si="39"/>
        <v>1176.9540890597273</v>
      </c>
      <c r="S101" s="41">
        <f t="shared" si="40"/>
        <v>1.0292759410279129</v>
      </c>
      <c r="T101" s="56"/>
      <c r="U101" s="348">
        <f>IF(D101=0,0,SUM($L$20:L101))</f>
        <v>128088.33358577741</v>
      </c>
      <c r="V101" s="348">
        <f>IF(D101=0,0,SUM($J$20:J101))</f>
        <v>131864.85408736629</v>
      </c>
      <c r="W101" s="349">
        <f t="shared" si="41"/>
        <v>3776.5205015888787</v>
      </c>
      <c r="X101" s="41">
        <f t="shared" si="42"/>
        <v>1.0294837195228232</v>
      </c>
      <c r="Y101" s="17"/>
      <c r="Z101" s="23">
        <f t="shared" ref="Z101:AA116" si="52">Z100+1</f>
        <v>45373</v>
      </c>
      <c r="AA101" s="22">
        <f t="shared" si="52"/>
        <v>45373</v>
      </c>
      <c r="AB101" s="137">
        <v>45373</v>
      </c>
      <c r="AC101" s="141">
        <v>12</v>
      </c>
      <c r="AD101" s="136" t="s">
        <v>126</v>
      </c>
      <c r="AE101" s="138">
        <f>AVERAGEIFS(J355:J385,D355:D385,1,G355:G385,"fri")</f>
        <v>3793.0940728656878</v>
      </c>
      <c r="AF101" s="141">
        <f>COUNTIFS(D355:D385,1,G355:G385,"fri")</f>
        <v>4</v>
      </c>
      <c r="AG101" s="138"/>
      <c r="AH101" s="138">
        <f t="shared" si="48"/>
        <v>15172.376291462751</v>
      </c>
      <c r="AI101" s="264">
        <f t="shared" si="51"/>
        <v>0.21192867857888836</v>
      </c>
      <c r="AJ101" s="393"/>
      <c r="AK101" s="134"/>
      <c r="AL101" s="134"/>
      <c r="AM101" s="134"/>
      <c r="AN101" s="18"/>
      <c r="AO101" s="18"/>
      <c r="AP101" s="18"/>
      <c r="AQ101" s="18"/>
      <c r="AR101" s="17"/>
      <c r="AS101" s="21">
        <f t="shared" si="49"/>
        <v>45373</v>
      </c>
      <c r="AT101" s="17"/>
      <c r="AU101" s="17"/>
      <c r="AV101" s="17"/>
      <c r="AW101" s="17"/>
      <c r="AX101" s="17"/>
      <c r="AY101" s="17"/>
      <c r="AZ101" s="17"/>
    </row>
    <row r="102" spans="1:52" ht="20">
      <c r="A102" s="17"/>
      <c r="B102" s="40"/>
      <c r="C102" s="55">
        <f t="shared" si="44"/>
        <v>83</v>
      </c>
      <c r="D102" s="54">
        <v>1</v>
      </c>
      <c r="E102" s="53" t="str">
        <f t="shared" si="36"/>
        <v>3</v>
      </c>
      <c r="F102" s="52">
        <f t="shared" si="45"/>
        <v>45374</v>
      </c>
      <c r="G102" s="51" t="str">
        <f t="shared" si="46"/>
        <v>Sat</v>
      </c>
      <c r="H102" s="50"/>
      <c r="I102" s="49"/>
      <c r="J102" s="343">
        <f>118964/$B$13</f>
        <v>1078.15841943085</v>
      </c>
      <c r="K102" s="31"/>
      <c r="L102" s="317">
        <f t="shared" si="35"/>
        <v>2233.4495830126825</v>
      </c>
      <c r="M102" s="318">
        <f t="shared" si="37"/>
        <v>-1155.2911635818325</v>
      </c>
      <c r="N102" s="41">
        <f t="shared" si="38"/>
        <v>0.48273237400619118</v>
      </c>
      <c r="O102" s="46"/>
      <c r="P102" s="328">
        <f>IF(D102=0,0,SUM($L$80:L102))</f>
        <v>42435.542077240978</v>
      </c>
      <c r="Q102" s="317">
        <f>IF(D102=0,0,SUM($J$80:J102))</f>
        <v>42457.205002718874</v>
      </c>
      <c r="R102" s="321">
        <f t="shared" si="39"/>
        <v>21.662925477896351</v>
      </c>
      <c r="S102" s="41">
        <f t="shared" si="40"/>
        <v>1.0005104901320327</v>
      </c>
      <c r="T102" s="44"/>
      <c r="U102" s="348">
        <f>IF(D102=0,0,SUM($L$20:L102))</f>
        <v>130321.78316879009</v>
      </c>
      <c r="V102" s="348">
        <f>IF(D102=0,0,SUM($J$20:J102))</f>
        <v>132943.01250679712</v>
      </c>
      <c r="W102" s="349">
        <f t="shared" si="41"/>
        <v>2621.2293380070332</v>
      </c>
      <c r="X102" s="41">
        <f t="shared" si="42"/>
        <v>1.0201135165148261</v>
      </c>
      <c r="Y102" s="17"/>
      <c r="Z102" s="23">
        <f t="shared" si="52"/>
        <v>45374</v>
      </c>
      <c r="AA102" s="22">
        <f t="shared" si="52"/>
        <v>45374</v>
      </c>
      <c r="AB102" s="137">
        <v>45374</v>
      </c>
      <c r="AC102" s="141">
        <v>12</v>
      </c>
      <c r="AD102" s="136" t="s">
        <v>127</v>
      </c>
      <c r="AE102" s="138">
        <f>AVERAGEIFS(J355:J385,D355:D385,1,G355:G385,"sat")</f>
        <v>2135.7848468370489</v>
      </c>
      <c r="AF102" s="141">
        <f>COUNTIFS(D355:D385,1,G355:G385,"sat")</f>
        <v>4</v>
      </c>
      <c r="AG102" s="138"/>
      <c r="AH102" s="138">
        <f t="shared" si="48"/>
        <v>8543.1393873481957</v>
      </c>
      <c r="AI102" s="264">
        <f t="shared" si="51"/>
        <v>0.11933109267100871</v>
      </c>
      <c r="AJ102" s="393"/>
      <c r="AK102" s="134"/>
      <c r="AL102" s="134"/>
      <c r="AM102" s="134"/>
      <c r="AN102" s="18"/>
      <c r="AO102" s="18"/>
      <c r="AP102" s="18"/>
      <c r="AQ102" s="18"/>
      <c r="AR102" s="17"/>
      <c r="AS102" s="21">
        <f t="shared" si="49"/>
        <v>45374</v>
      </c>
      <c r="AT102" s="17"/>
      <c r="AU102" s="17"/>
      <c r="AV102" s="17"/>
      <c r="AW102" s="17"/>
      <c r="AX102" s="17"/>
      <c r="AY102" s="17"/>
      <c r="AZ102" s="17"/>
    </row>
    <row r="103" spans="1:52" ht="20">
      <c r="A103" s="17"/>
      <c r="B103" s="40"/>
      <c r="C103" s="55">
        <f t="shared" si="44"/>
        <v>84</v>
      </c>
      <c r="D103" s="54">
        <v>0</v>
      </c>
      <c r="E103" s="53" t="str">
        <f t="shared" si="36"/>
        <v>3</v>
      </c>
      <c r="F103" s="52">
        <f t="shared" si="45"/>
        <v>45375</v>
      </c>
      <c r="G103" s="51" t="str">
        <f t="shared" si="46"/>
        <v>Sun</v>
      </c>
      <c r="H103" s="50" t="s">
        <v>46</v>
      </c>
      <c r="I103" s="49"/>
      <c r="J103" s="343"/>
      <c r="K103" s="31"/>
      <c r="L103" s="317">
        <f t="shared" si="35"/>
        <v>0</v>
      </c>
      <c r="M103" s="318">
        <f t="shared" si="37"/>
        <v>0</v>
      </c>
      <c r="N103" s="41" t="str">
        <f t="shared" si="38"/>
        <v>0%</v>
      </c>
      <c r="O103" s="46"/>
      <c r="P103" s="328">
        <f>IF(D103=0,0,SUM($L$80:L103))</f>
        <v>0</v>
      </c>
      <c r="Q103" s="317">
        <f>IF(D103=0,0,SUM($J$80:J103))</f>
        <v>0</v>
      </c>
      <c r="R103" s="321">
        <f t="shared" si="39"/>
        <v>0</v>
      </c>
      <c r="S103" s="41" t="str">
        <f t="shared" si="40"/>
        <v>0%</v>
      </c>
      <c r="T103" s="56"/>
      <c r="U103" s="348">
        <f>IF(D103=0,0,SUM($L$20:L103))</f>
        <v>0</v>
      </c>
      <c r="V103" s="348">
        <f>IF(D103=0,0,SUM($J$20:J103))</f>
        <v>0</v>
      </c>
      <c r="W103" s="349">
        <f t="shared" si="41"/>
        <v>0</v>
      </c>
      <c r="X103" s="41" t="str">
        <f t="shared" si="42"/>
        <v>0%</v>
      </c>
      <c r="Y103" s="17"/>
      <c r="Z103" s="23">
        <f t="shared" si="52"/>
        <v>45375</v>
      </c>
      <c r="AA103" s="22">
        <f t="shared" si="52"/>
        <v>45375</v>
      </c>
      <c r="AB103" s="137">
        <v>45375</v>
      </c>
      <c r="AC103" s="141">
        <v>12</v>
      </c>
      <c r="AD103" s="136" t="s">
        <v>128</v>
      </c>
      <c r="AE103" s="138">
        <f>IFERROR(AVERAGEIFS(J355:J385,D355:D385,1,G355:G385,"sun"),0)</f>
        <v>0</v>
      </c>
      <c r="AF103" s="141">
        <f>IFERROR(COUNTIFS(D355:D385,1,G355:G385,"sun"),0)</f>
        <v>0</v>
      </c>
      <c r="AG103" s="138"/>
      <c r="AH103" s="138">
        <f t="shared" si="48"/>
        <v>0</v>
      </c>
      <c r="AI103" s="264">
        <f t="shared" si="51"/>
        <v>0</v>
      </c>
      <c r="AJ103" s="393"/>
      <c r="AK103" s="134"/>
      <c r="AL103" s="134"/>
      <c r="AM103" s="134"/>
      <c r="AN103" s="18"/>
      <c r="AO103" s="18"/>
      <c r="AP103" s="18"/>
      <c r="AQ103" s="18"/>
      <c r="AR103" s="17"/>
      <c r="AS103" s="21">
        <f t="shared" si="49"/>
        <v>45375</v>
      </c>
      <c r="AT103" s="17"/>
      <c r="AU103" s="17"/>
      <c r="AV103" s="17"/>
      <c r="AW103" s="17"/>
      <c r="AX103" s="17"/>
      <c r="AY103" s="17"/>
      <c r="AZ103" s="17"/>
    </row>
    <row r="104" spans="1:52" ht="20">
      <c r="A104" s="17"/>
      <c r="B104" s="40"/>
      <c r="C104" s="55">
        <f t="shared" si="44"/>
        <v>85</v>
      </c>
      <c r="D104" s="54">
        <v>1</v>
      </c>
      <c r="E104" s="53" t="str">
        <f t="shared" si="36"/>
        <v>3</v>
      </c>
      <c r="F104" s="52">
        <f t="shared" si="45"/>
        <v>45376</v>
      </c>
      <c r="G104" s="51" t="str">
        <f t="shared" si="46"/>
        <v>Mon</v>
      </c>
      <c r="H104" s="50"/>
      <c r="I104" s="49"/>
      <c r="J104" s="343">
        <f>232640/$B$13</f>
        <v>2108.3922421605944</v>
      </c>
      <c r="K104" s="31"/>
      <c r="L104" s="317">
        <f t="shared" si="35"/>
        <v>2233.4495830126825</v>
      </c>
      <c r="M104" s="318">
        <f t="shared" si="37"/>
        <v>-125.05734085208815</v>
      </c>
      <c r="N104" s="41">
        <f t="shared" si="38"/>
        <v>0.94400709028613972</v>
      </c>
      <c r="O104" s="46"/>
      <c r="P104" s="328">
        <f>IF(D104=0,0,SUM($L$80:L104))</f>
        <v>44668.991660253661</v>
      </c>
      <c r="Q104" s="317">
        <f>IF(D104=0,0,SUM($J$80:J104))</f>
        <v>44565.597244879471</v>
      </c>
      <c r="R104" s="321">
        <f t="shared" si="39"/>
        <v>-103.39441537419043</v>
      </c>
      <c r="S104" s="41">
        <f t="shared" si="40"/>
        <v>0.99768532013973821</v>
      </c>
      <c r="T104" s="56"/>
      <c r="U104" s="348">
        <f>IF(D104=0,0,SUM($L$20:L104))</f>
        <v>132555.23275180277</v>
      </c>
      <c r="V104" s="348">
        <f>IF(D104=0,0,SUM($J$20:J104))</f>
        <v>135051.40474895772</v>
      </c>
      <c r="W104" s="349">
        <f t="shared" si="41"/>
        <v>2496.1719971549464</v>
      </c>
      <c r="X104" s="41">
        <f t="shared" si="42"/>
        <v>1.0188311841436604</v>
      </c>
      <c r="Y104" s="17"/>
      <c r="Z104" s="23">
        <f t="shared" si="52"/>
        <v>45376</v>
      </c>
      <c r="AA104" s="22">
        <f t="shared" si="52"/>
        <v>45376</v>
      </c>
      <c r="AB104" s="137">
        <v>45376</v>
      </c>
      <c r="AC104" s="15"/>
      <c r="AD104" s="15"/>
      <c r="AE104" s="15"/>
      <c r="AF104" s="258"/>
      <c r="AG104" s="259"/>
      <c r="AH104" s="259"/>
      <c r="AI104" s="259"/>
      <c r="AJ104" s="259"/>
      <c r="AK104" s="15"/>
      <c r="AL104" s="134"/>
      <c r="AM104" s="134"/>
      <c r="AN104" s="18"/>
      <c r="AO104" s="18"/>
      <c r="AP104" s="18"/>
      <c r="AQ104" s="18"/>
      <c r="AR104" s="17"/>
      <c r="AS104" s="21">
        <f t="shared" si="49"/>
        <v>45376</v>
      </c>
      <c r="AT104" s="17"/>
      <c r="AU104" s="17"/>
      <c r="AV104" s="17"/>
      <c r="AW104" s="17"/>
      <c r="AX104" s="17"/>
      <c r="AY104" s="17"/>
      <c r="AZ104" s="17"/>
    </row>
    <row r="105" spans="1:52" ht="20">
      <c r="A105" s="17"/>
      <c r="B105" s="40"/>
      <c r="C105" s="55">
        <f t="shared" si="44"/>
        <v>86</v>
      </c>
      <c r="D105" s="54">
        <v>1</v>
      </c>
      <c r="E105" s="53" t="str">
        <f t="shared" si="36"/>
        <v>3</v>
      </c>
      <c r="F105" s="52">
        <f t="shared" si="45"/>
        <v>45377</v>
      </c>
      <c r="G105" s="51" t="str">
        <f t="shared" si="46"/>
        <v>Tue</v>
      </c>
      <c r="H105" s="50"/>
      <c r="I105" s="49"/>
      <c r="J105" s="343">
        <f>222520/$B$13</f>
        <v>2016.6757295631683</v>
      </c>
      <c r="K105" s="31"/>
      <c r="L105" s="317">
        <f t="shared" si="35"/>
        <v>2233.4495830126825</v>
      </c>
      <c r="M105" s="318">
        <f t="shared" si="37"/>
        <v>-216.77385344951426</v>
      </c>
      <c r="N105" s="41">
        <f t="shared" si="38"/>
        <v>0.90294213261034995</v>
      </c>
      <c r="O105" s="46"/>
      <c r="P105" s="328">
        <f>IF(D105=0,0,SUM($L$80:L105))</f>
        <v>46902.441243266345</v>
      </c>
      <c r="Q105" s="317">
        <f>IF(D105=0,0,SUM($J$80:J105))</f>
        <v>46582.27297444264</v>
      </c>
      <c r="R105" s="321">
        <f t="shared" si="39"/>
        <v>-320.16826882370515</v>
      </c>
      <c r="S105" s="41">
        <f t="shared" si="40"/>
        <v>0.99317373978119594</v>
      </c>
      <c r="T105" s="56"/>
      <c r="U105" s="348">
        <f>IF(D105=0,0,SUM($L$20:L105))</f>
        <v>134788.68233481544</v>
      </c>
      <c r="V105" s="348">
        <f>IF(D105=0,0,SUM($J$20:J105))</f>
        <v>137068.08047852089</v>
      </c>
      <c r="W105" s="349">
        <f t="shared" si="41"/>
        <v>2279.3981437054463</v>
      </c>
      <c r="X105" s="41">
        <f t="shared" si="42"/>
        <v>1.0169109015996121</v>
      </c>
      <c r="Y105" s="17"/>
      <c r="Z105" s="23">
        <f t="shared" si="52"/>
        <v>45377</v>
      </c>
      <c r="AA105" s="22">
        <f t="shared" si="52"/>
        <v>45377</v>
      </c>
      <c r="AB105" s="137">
        <v>45377</v>
      </c>
      <c r="AC105" s="15"/>
      <c r="AD105" s="15"/>
      <c r="AE105" s="15"/>
      <c r="AF105" s="258"/>
      <c r="AG105" s="259"/>
      <c r="AH105" s="259"/>
      <c r="AI105" s="259"/>
      <c r="AJ105" s="259"/>
      <c r="AK105" s="15"/>
      <c r="AL105" s="134"/>
      <c r="AM105" s="134"/>
      <c r="AN105" s="18"/>
      <c r="AO105" s="18"/>
      <c r="AP105" s="18"/>
      <c r="AQ105" s="18"/>
      <c r="AR105" s="17"/>
      <c r="AS105" s="21">
        <f t="shared" si="49"/>
        <v>45377</v>
      </c>
      <c r="AT105" s="17"/>
      <c r="AU105" s="17"/>
      <c r="AV105" s="17"/>
      <c r="AW105" s="17"/>
      <c r="AX105" s="17"/>
      <c r="AY105" s="17"/>
      <c r="AZ105" s="17"/>
    </row>
    <row r="106" spans="1:52" ht="20">
      <c r="A106" s="17"/>
      <c r="B106" s="40"/>
      <c r="C106" s="55">
        <f t="shared" si="44"/>
        <v>87</v>
      </c>
      <c r="D106" s="54">
        <v>1</v>
      </c>
      <c r="E106" s="53" t="str">
        <f t="shared" si="36"/>
        <v>3</v>
      </c>
      <c r="F106" s="52">
        <f t="shared" si="45"/>
        <v>45378</v>
      </c>
      <c r="G106" s="51" t="str">
        <f t="shared" si="46"/>
        <v>Wed</v>
      </c>
      <c r="H106" s="50"/>
      <c r="I106" s="49"/>
      <c r="J106" s="343">
        <f>417850/$B$13</f>
        <v>3786.931303244517</v>
      </c>
      <c r="K106" s="31"/>
      <c r="L106" s="317">
        <f t="shared" si="35"/>
        <v>2233.4495830126825</v>
      </c>
      <c r="M106" s="318">
        <f t="shared" si="37"/>
        <v>1553.4817202318345</v>
      </c>
      <c r="N106" s="41">
        <f t="shared" si="38"/>
        <v>1.695552624983079</v>
      </c>
      <c r="O106" s="46"/>
      <c r="P106" s="328">
        <f>IF(D106=0,0,SUM($L$80:L106))</f>
        <v>49135.890826279028</v>
      </c>
      <c r="Q106" s="317">
        <f>IF(D106=0,0,SUM($J$80:J106))</f>
        <v>50369.204277687153</v>
      </c>
      <c r="R106" s="321">
        <f t="shared" si="39"/>
        <v>1233.3134514081248</v>
      </c>
      <c r="S106" s="41">
        <f t="shared" si="40"/>
        <v>1.0251000527449177</v>
      </c>
      <c r="T106" s="56"/>
      <c r="U106" s="348">
        <f>IF(D106=0,0,SUM($L$20:L106))</f>
        <v>137022.13191782811</v>
      </c>
      <c r="V106" s="348">
        <f>IF(D106=0,0,SUM($J$20:J106))</f>
        <v>140855.01178176541</v>
      </c>
      <c r="W106" s="349">
        <f t="shared" si="41"/>
        <v>3832.8798639372981</v>
      </c>
      <c r="X106" s="41">
        <f t="shared" si="42"/>
        <v>1.027972706381739</v>
      </c>
      <c r="Y106" s="17"/>
      <c r="Z106" s="23">
        <f t="shared" si="52"/>
        <v>45378</v>
      </c>
      <c r="AA106" s="22">
        <f t="shared" si="52"/>
        <v>45378</v>
      </c>
      <c r="AB106" s="137">
        <v>45378</v>
      </c>
      <c r="AC106" s="15"/>
      <c r="AD106" s="15"/>
      <c r="AE106" s="15"/>
      <c r="AF106" s="258"/>
      <c r="AG106" s="259"/>
      <c r="AH106" s="259"/>
      <c r="AI106" s="259"/>
      <c r="AJ106" s="259"/>
      <c r="AK106" s="15"/>
      <c r="AL106" s="134"/>
      <c r="AM106" s="134"/>
      <c r="AN106" s="18"/>
      <c r="AO106" s="18"/>
      <c r="AP106" s="18"/>
      <c r="AQ106" s="18"/>
      <c r="AR106" s="17"/>
      <c r="AS106" s="21">
        <f t="shared" si="49"/>
        <v>45378</v>
      </c>
      <c r="AT106" s="17"/>
      <c r="AU106" s="17"/>
      <c r="AV106" s="17"/>
      <c r="AW106" s="17"/>
      <c r="AX106" s="17"/>
      <c r="AY106" s="17"/>
      <c r="AZ106" s="17"/>
    </row>
    <row r="107" spans="1:52" ht="20">
      <c r="A107" s="17"/>
      <c r="B107" s="40"/>
      <c r="C107" s="55">
        <f t="shared" si="44"/>
        <v>88</v>
      </c>
      <c r="D107" s="54">
        <v>1</v>
      </c>
      <c r="E107" s="53" t="str">
        <f t="shared" si="36"/>
        <v>3</v>
      </c>
      <c r="F107" s="52">
        <f t="shared" si="45"/>
        <v>45379</v>
      </c>
      <c r="G107" s="51" t="str">
        <f t="shared" si="46"/>
        <v>Thu</v>
      </c>
      <c r="H107" s="50"/>
      <c r="I107" s="49"/>
      <c r="J107" s="343">
        <f>327160/$B$13</f>
        <v>2965.0172195033533</v>
      </c>
      <c r="K107" s="31"/>
      <c r="L107" s="317">
        <f t="shared" si="35"/>
        <v>2233.4495830126825</v>
      </c>
      <c r="M107" s="318">
        <f t="shared" si="37"/>
        <v>731.56763649067079</v>
      </c>
      <c r="N107" s="41">
        <f t="shared" si="38"/>
        <v>1.3275505487363028</v>
      </c>
      <c r="O107" s="46"/>
      <c r="P107" s="328">
        <f>IF(D107=0,0,SUM($L$80:L107))</f>
        <v>51369.340409291712</v>
      </c>
      <c r="Q107" s="317">
        <f>IF(D107=0,0,SUM($J$80:J107))</f>
        <v>53334.221497190505</v>
      </c>
      <c r="R107" s="321">
        <f t="shared" si="39"/>
        <v>1964.8810878987933</v>
      </c>
      <c r="S107" s="41">
        <f t="shared" si="40"/>
        <v>1.0382500743097605</v>
      </c>
      <c r="T107" s="56"/>
      <c r="U107" s="348">
        <f>IF(D107=0,0,SUM($L$20:L107))</f>
        <v>139255.58150084078</v>
      </c>
      <c r="V107" s="348">
        <f>IF(D107=0,0,SUM($J$20:J107))</f>
        <v>143820.02900126876</v>
      </c>
      <c r="W107" s="349">
        <f t="shared" si="41"/>
        <v>4564.4475004279811</v>
      </c>
      <c r="X107" s="41">
        <f t="shared" si="42"/>
        <v>1.0327774833240737</v>
      </c>
      <c r="Y107" s="17"/>
      <c r="Z107" s="23">
        <f t="shared" si="52"/>
        <v>45379</v>
      </c>
      <c r="AA107" s="22">
        <f t="shared" si="52"/>
        <v>45379</v>
      </c>
      <c r="AB107" s="137">
        <v>45379</v>
      </c>
      <c r="AC107" s="15"/>
      <c r="AD107" s="15"/>
      <c r="AE107" s="15"/>
      <c r="AF107" s="258"/>
      <c r="AG107" s="259"/>
      <c r="AH107" s="259"/>
      <c r="AI107" s="259"/>
      <c r="AJ107" s="259"/>
      <c r="AK107" s="15"/>
      <c r="AL107" s="134"/>
      <c r="AM107" s="134"/>
      <c r="AN107" s="18"/>
      <c r="AO107" s="18"/>
      <c r="AP107" s="18"/>
      <c r="AQ107" s="18"/>
      <c r="AR107" s="17"/>
      <c r="AS107" s="21">
        <f t="shared" si="49"/>
        <v>45379</v>
      </c>
      <c r="AT107" s="17"/>
      <c r="AU107" s="17"/>
      <c r="AV107" s="17"/>
      <c r="AW107" s="17"/>
      <c r="AX107" s="17"/>
      <c r="AY107" s="17"/>
      <c r="AZ107" s="17"/>
    </row>
    <row r="108" spans="1:52" ht="20">
      <c r="A108" s="17"/>
      <c r="B108" s="40"/>
      <c r="C108" s="55">
        <f t="shared" si="44"/>
        <v>89</v>
      </c>
      <c r="D108" s="54">
        <v>1</v>
      </c>
      <c r="E108" s="53" t="str">
        <f t="shared" si="36"/>
        <v>3</v>
      </c>
      <c r="F108" s="52">
        <f t="shared" si="45"/>
        <v>45380</v>
      </c>
      <c r="G108" s="51" t="str">
        <f t="shared" si="46"/>
        <v>Fri</v>
      </c>
      <c r="H108" s="50"/>
      <c r="I108" s="49"/>
      <c r="J108" s="343">
        <f>358550/$B$13</f>
        <v>3249.5015406924053</v>
      </c>
      <c r="K108" s="31"/>
      <c r="L108" s="317">
        <f t="shared" si="35"/>
        <v>2233.4495830126825</v>
      </c>
      <c r="M108" s="318">
        <f t="shared" si="37"/>
        <v>1016.0519576797228</v>
      </c>
      <c r="N108" s="41">
        <f t="shared" si="38"/>
        <v>1.4549249579698049</v>
      </c>
      <c r="O108" s="46"/>
      <c r="P108" s="328">
        <f>IF(D108=0,0,SUM($L$80:L108))</f>
        <v>53602.789992304395</v>
      </c>
      <c r="Q108" s="317">
        <f>IF(D108=0,0,SUM($J$80:J108))</f>
        <v>56583.723037882912</v>
      </c>
      <c r="R108" s="321">
        <f t="shared" si="39"/>
        <v>2980.9330455785166</v>
      </c>
      <c r="S108" s="41">
        <f t="shared" si="40"/>
        <v>1.0556115277955957</v>
      </c>
      <c r="T108" s="56"/>
      <c r="U108" s="348">
        <f>IF(D108=0,0,SUM($L$20:L108))</f>
        <v>141489.03108385345</v>
      </c>
      <c r="V108" s="348">
        <f>IF(D108=0,0,SUM($J$20:J108))</f>
        <v>147069.53054196117</v>
      </c>
      <c r="W108" s="349">
        <f t="shared" si="41"/>
        <v>5580.499458107719</v>
      </c>
      <c r="X108" s="41">
        <f t="shared" si="42"/>
        <v>1.0394412161519464</v>
      </c>
      <c r="Y108" s="17"/>
      <c r="Z108" s="23">
        <f t="shared" si="52"/>
        <v>45380</v>
      </c>
      <c r="AA108" s="22">
        <f t="shared" si="52"/>
        <v>45380</v>
      </c>
      <c r="AB108" s="137">
        <v>45380</v>
      </c>
      <c r="AC108" s="15"/>
      <c r="AD108" s="15"/>
      <c r="AE108" s="15"/>
      <c r="AF108" s="258"/>
      <c r="AG108" s="259"/>
      <c r="AH108" s="259"/>
      <c r="AI108" s="259"/>
      <c r="AJ108" s="259"/>
      <c r="AK108" s="15"/>
      <c r="AL108" s="134"/>
      <c r="AM108" s="134"/>
      <c r="AN108" s="18"/>
      <c r="AO108" s="18"/>
      <c r="AP108" s="18"/>
      <c r="AQ108" s="18"/>
      <c r="AR108" s="17"/>
      <c r="AS108" s="21">
        <f t="shared" si="49"/>
        <v>45380</v>
      </c>
      <c r="AT108" s="17"/>
      <c r="AU108" s="17"/>
      <c r="AV108" s="17"/>
      <c r="AW108" s="17"/>
      <c r="AX108" s="17"/>
      <c r="AY108" s="17"/>
      <c r="AZ108" s="17"/>
    </row>
    <row r="109" spans="1:52" ht="20">
      <c r="A109" s="17"/>
      <c r="B109" s="40"/>
      <c r="C109" s="55">
        <f t="shared" si="44"/>
        <v>90</v>
      </c>
      <c r="D109" s="54">
        <v>1</v>
      </c>
      <c r="E109" s="53" t="str">
        <f t="shared" si="36"/>
        <v>3</v>
      </c>
      <c r="F109" s="52">
        <f t="shared" si="45"/>
        <v>45381</v>
      </c>
      <c r="G109" s="51" t="str">
        <f t="shared" si="46"/>
        <v>Sat</v>
      </c>
      <c r="H109" s="50"/>
      <c r="I109" s="49"/>
      <c r="J109" s="343">
        <f>217160/$B$13</f>
        <v>1968.0986043139387</v>
      </c>
      <c r="K109" s="31"/>
      <c r="L109" s="317">
        <f t="shared" si="35"/>
        <v>2233.4495830126825</v>
      </c>
      <c r="M109" s="318">
        <f t="shared" si="37"/>
        <v>-265.3509786987438</v>
      </c>
      <c r="N109" s="41">
        <f t="shared" si="38"/>
        <v>0.8811923131298921</v>
      </c>
      <c r="O109" s="46"/>
      <c r="P109" s="328">
        <f>IF(D109=0,0,SUM($L$80:L109))</f>
        <v>55836.239575317079</v>
      </c>
      <c r="Q109" s="317">
        <f>IF(D109=0,0,SUM($J$80:J109))</f>
        <v>58551.821642196854</v>
      </c>
      <c r="R109" s="321">
        <f t="shared" si="39"/>
        <v>2715.5820668797751</v>
      </c>
      <c r="S109" s="41">
        <f t="shared" si="40"/>
        <v>1.0486347592089675</v>
      </c>
      <c r="T109" s="44"/>
      <c r="U109" s="348">
        <f>IF(D109=0,0,SUM($L$20:L109))</f>
        <v>143722.48066686612</v>
      </c>
      <c r="V109" s="348">
        <f>IF(D109=0,0,SUM($J$20:J109))</f>
        <v>149037.62914627511</v>
      </c>
      <c r="W109" s="349">
        <f t="shared" si="41"/>
        <v>5315.148479408992</v>
      </c>
      <c r="X109" s="41">
        <f t="shared" si="42"/>
        <v>1.0369820257397933</v>
      </c>
      <c r="Y109" s="17"/>
      <c r="Z109" s="23">
        <f t="shared" si="52"/>
        <v>45381</v>
      </c>
      <c r="AA109" s="22">
        <f t="shared" si="52"/>
        <v>45381</v>
      </c>
      <c r="AB109" s="137">
        <v>45381</v>
      </c>
      <c r="AC109" s="260"/>
      <c r="AD109" s="15"/>
      <c r="AE109" s="261"/>
      <c r="AF109" s="262"/>
      <c r="AG109" s="263"/>
      <c r="AH109" s="263"/>
      <c r="AI109" s="263"/>
      <c r="AJ109" s="263"/>
      <c r="AK109" s="261"/>
      <c r="AL109" s="134"/>
      <c r="AM109" s="134"/>
      <c r="AN109" s="18"/>
      <c r="AO109" s="18"/>
      <c r="AP109" s="18"/>
      <c r="AQ109" s="18"/>
      <c r="AR109" s="17"/>
      <c r="AS109" s="21">
        <f t="shared" si="49"/>
        <v>45381</v>
      </c>
      <c r="AT109" s="17"/>
      <c r="AU109" s="17"/>
      <c r="AV109" s="17"/>
      <c r="AW109" s="17"/>
      <c r="AX109" s="17"/>
      <c r="AY109" s="17"/>
      <c r="AZ109" s="17"/>
    </row>
    <row r="110" spans="1:52" ht="21" thickBot="1">
      <c r="A110" s="17"/>
      <c r="B110" s="40"/>
      <c r="C110" s="39">
        <f t="shared" si="44"/>
        <v>91</v>
      </c>
      <c r="D110" s="38">
        <v>0</v>
      </c>
      <c r="E110" s="37" t="str">
        <f t="shared" si="36"/>
        <v>3</v>
      </c>
      <c r="F110" s="36">
        <f t="shared" si="45"/>
        <v>45382</v>
      </c>
      <c r="G110" s="35" t="str">
        <f t="shared" si="46"/>
        <v>Sun</v>
      </c>
      <c r="H110" s="34" t="s">
        <v>46</v>
      </c>
      <c r="I110" s="33"/>
      <c r="J110" s="344"/>
      <c r="K110" s="31"/>
      <c r="L110" s="326">
        <f t="shared" si="35"/>
        <v>0</v>
      </c>
      <c r="M110" s="320">
        <f t="shared" si="37"/>
        <v>0</v>
      </c>
      <c r="N110" s="24" t="str">
        <f t="shared" si="38"/>
        <v>0%</v>
      </c>
      <c r="O110" s="29"/>
      <c r="P110" s="347">
        <f>IF(D110=0,0,SUM($L$80:L110))</f>
        <v>0</v>
      </c>
      <c r="Q110" s="326">
        <f>IF(D110=0,0,SUM($J$80:J110))</f>
        <v>0</v>
      </c>
      <c r="R110" s="327">
        <f t="shared" si="39"/>
        <v>0</v>
      </c>
      <c r="S110" s="24" t="str">
        <f t="shared" si="40"/>
        <v>0%</v>
      </c>
      <c r="T110" s="64"/>
      <c r="U110" s="350">
        <f>IF(D110=0,0,SUM($L$20:L110))</f>
        <v>0</v>
      </c>
      <c r="V110" s="350">
        <f>IF(D110=0,0,SUM($J$20:J110))</f>
        <v>0</v>
      </c>
      <c r="W110" s="351">
        <f t="shared" si="41"/>
        <v>0</v>
      </c>
      <c r="X110" s="24" t="str">
        <f t="shared" si="42"/>
        <v>0%</v>
      </c>
      <c r="Y110" s="17"/>
      <c r="Z110" s="23">
        <f t="shared" si="52"/>
        <v>45382</v>
      </c>
      <c r="AA110" s="22">
        <f t="shared" si="52"/>
        <v>45382</v>
      </c>
      <c r="AB110" s="137">
        <v>45382</v>
      </c>
      <c r="AC110" s="260"/>
      <c r="AD110" s="15"/>
      <c r="AE110" s="261"/>
      <c r="AF110" s="262"/>
      <c r="AG110" s="263"/>
      <c r="AH110" s="263"/>
      <c r="AI110" s="263"/>
      <c r="AJ110" s="263"/>
      <c r="AK110" s="261"/>
      <c r="AL110" s="134"/>
      <c r="AM110" s="134"/>
      <c r="AN110" s="18"/>
      <c r="AO110" s="18"/>
      <c r="AP110" s="18"/>
      <c r="AQ110" s="18"/>
      <c r="AR110" s="17"/>
      <c r="AS110" s="21">
        <f t="shared" si="49"/>
        <v>45382</v>
      </c>
      <c r="AT110" s="17"/>
      <c r="AU110" s="17"/>
      <c r="AV110" s="17"/>
      <c r="AW110" s="17"/>
      <c r="AX110" s="17"/>
      <c r="AY110" s="17"/>
      <c r="AZ110" s="17"/>
    </row>
    <row r="111" spans="1:52" ht="21" thickTop="1">
      <c r="A111" s="17"/>
      <c r="B111" s="40"/>
      <c r="C111" s="55">
        <f t="shared" si="44"/>
        <v>92</v>
      </c>
      <c r="D111" s="62">
        <v>1</v>
      </c>
      <c r="E111" s="53" t="str">
        <f t="shared" si="36"/>
        <v>4</v>
      </c>
      <c r="F111" s="52">
        <f t="shared" si="45"/>
        <v>45383</v>
      </c>
      <c r="G111" s="51" t="str">
        <f t="shared" si="46"/>
        <v>Mon</v>
      </c>
      <c r="H111" s="50"/>
      <c r="I111" s="49"/>
      <c r="J111" s="343">
        <f>184600/$B$13</f>
        <v>1673.010694217872</v>
      </c>
      <c r="K111" s="31"/>
      <c r="L111" s="317">
        <f t="shared" ref="L111:L140" si="53">IF(D111=0,0,$K$9)</f>
        <v>2345.122062163317</v>
      </c>
      <c r="M111" s="321">
        <f t="shared" si="37"/>
        <v>-672.11136794544495</v>
      </c>
      <c r="N111" s="60">
        <f t="shared" si="38"/>
        <v>0.71340026227656617</v>
      </c>
      <c r="O111" s="46"/>
      <c r="P111" s="329">
        <f>IF(D111=0,0,$L$111)</f>
        <v>2345.122062163317</v>
      </c>
      <c r="Q111" s="317">
        <f>IF(D111=0,0,$J$111)</f>
        <v>1673.010694217872</v>
      </c>
      <c r="R111" s="321">
        <f t="shared" si="39"/>
        <v>-672.11136794544495</v>
      </c>
      <c r="S111" s="60">
        <f t="shared" si="40"/>
        <v>0.71340026227656617</v>
      </c>
      <c r="T111" s="56"/>
      <c r="U111" s="348">
        <f>IF(D111=0,0,SUM($L$20:L111))</f>
        <v>146067.60272902943</v>
      </c>
      <c r="V111" s="348">
        <f>IF(D111=0,0,SUM($J$20:J111))</f>
        <v>150710.63984049298</v>
      </c>
      <c r="W111" s="349">
        <f t="shared" si="41"/>
        <v>4643.0371114635491</v>
      </c>
      <c r="X111" s="60">
        <f t="shared" si="42"/>
        <v>1.0317869056841911</v>
      </c>
      <c r="Y111" s="17"/>
      <c r="Z111" s="23">
        <f t="shared" si="52"/>
        <v>45383</v>
      </c>
      <c r="AA111" s="22">
        <f t="shared" si="52"/>
        <v>45383</v>
      </c>
      <c r="AB111" s="137">
        <v>45383</v>
      </c>
      <c r="AC111" s="15"/>
      <c r="AD111" s="15"/>
      <c r="AE111" s="15"/>
      <c r="AF111" s="258"/>
      <c r="AG111" s="259"/>
      <c r="AH111" s="259"/>
      <c r="AI111" s="259"/>
      <c r="AJ111" s="259"/>
      <c r="AK111" s="15"/>
      <c r="AL111" s="134"/>
      <c r="AM111" s="134"/>
      <c r="AN111" s="18"/>
      <c r="AO111" s="18"/>
      <c r="AP111" s="18"/>
      <c r="AQ111" s="18"/>
      <c r="AR111" s="17"/>
      <c r="AS111" s="21">
        <f t="shared" si="49"/>
        <v>45383</v>
      </c>
      <c r="AT111" s="17"/>
      <c r="AU111" s="17"/>
      <c r="AV111" s="17"/>
      <c r="AW111" s="17"/>
      <c r="AX111" s="17"/>
      <c r="AY111" s="17"/>
      <c r="AZ111" s="17"/>
    </row>
    <row r="112" spans="1:52" ht="20">
      <c r="A112" s="17"/>
      <c r="B112" s="40"/>
      <c r="C112" s="55">
        <f t="shared" si="44"/>
        <v>93</v>
      </c>
      <c r="D112" s="54">
        <v>1</v>
      </c>
      <c r="E112" s="53" t="str">
        <f t="shared" si="36"/>
        <v>4</v>
      </c>
      <c r="F112" s="52">
        <f t="shared" si="45"/>
        <v>45384</v>
      </c>
      <c r="G112" s="51" t="str">
        <f t="shared" si="46"/>
        <v>Tue</v>
      </c>
      <c r="H112" s="50"/>
      <c r="I112" s="49"/>
      <c r="J112" s="343">
        <f>271210/$B$13</f>
        <v>2457.9481602320102</v>
      </c>
      <c r="K112" s="31"/>
      <c r="L112" s="317">
        <f t="shared" si="53"/>
        <v>2345.122062163317</v>
      </c>
      <c r="M112" s="318">
        <f t="shared" si="37"/>
        <v>112.82609806869323</v>
      </c>
      <c r="N112" s="41">
        <f t="shared" si="38"/>
        <v>1.0481109703793474</v>
      </c>
      <c r="O112" s="46"/>
      <c r="P112" s="328">
        <f>IF(D112=0,0,SUM($L$111:L112))</f>
        <v>4690.2441243266339</v>
      </c>
      <c r="Q112" s="317">
        <f>IF(D112=0,0,SUM($J$111:J112))</f>
        <v>4130.958854449882</v>
      </c>
      <c r="R112" s="321">
        <f t="shared" si="39"/>
        <v>-559.28526987675195</v>
      </c>
      <c r="S112" s="41">
        <f t="shared" si="40"/>
        <v>0.88075561632795674</v>
      </c>
      <c r="T112" s="56"/>
      <c r="U112" s="348">
        <f>IF(D112=0,0,SUM($L$20:L112))</f>
        <v>148412.72479119274</v>
      </c>
      <c r="V112" s="348">
        <f>IF(D112=0,0,SUM($J$20:J112))</f>
        <v>153168.58800072499</v>
      </c>
      <c r="W112" s="349">
        <f t="shared" si="41"/>
        <v>4755.8632095322537</v>
      </c>
      <c r="X112" s="41">
        <f t="shared" si="42"/>
        <v>1.0320448480157174</v>
      </c>
      <c r="Y112" s="17"/>
      <c r="Z112" s="23">
        <f t="shared" si="52"/>
        <v>45384</v>
      </c>
      <c r="AA112" s="22">
        <f t="shared" si="52"/>
        <v>45384</v>
      </c>
      <c r="AB112" s="137">
        <v>45384</v>
      </c>
      <c r="AC112" s="15"/>
      <c r="AD112" s="15"/>
      <c r="AE112" s="15"/>
      <c r="AF112" s="258"/>
      <c r="AG112" s="259"/>
      <c r="AH112" s="259"/>
      <c r="AI112" s="259"/>
      <c r="AJ112" s="259"/>
      <c r="AK112" s="15"/>
      <c r="AL112" s="134"/>
      <c r="AM112" s="134"/>
      <c r="AN112" s="18"/>
      <c r="AO112" s="18"/>
      <c r="AP112" s="18"/>
      <c r="AQ112" s="18"/>
      <c r="AR112" s="17"/>
      <c r="AS112" s="21">
        <f t="shared" si="49"/>
        <v>45384</v>
      </c>
      <c r="AT112" s="17"/>
      <c r="AU112" s="17"/>
      <c r="AV112" s="17"/>
      <c r="AW112" s="17"/>
      <c r="AX112" s="17"/>
      <c r="AY112" s="17"/>
      <c r="AZ112" s="17"/>
    </row>
    <row r="113" spans="1:52" ht="20">
      <c r="A113" s="17"/>
      <c r="B113" s="40"/>
      <c r="C113" s="55">
        <f t="shared" si="44"/>
        <v>94</v>
      </c>
      <c r="D113" s="54">
        <v>1</v>
      </c>
      <c r="E113" s="53" t="str">
        <f t="shared" si="36"/>
        <v>4</v>
      </c>
      <c r="F113" s="52">
        <f t="shared" si="45"/>
        <v>45385</v>
      </c>
      <c r="G113" s="51" t="str">
        <f t="shared" si="46"/>
        <v>Wed</v>
      </c>
      <c r="H113" s="50"/>
      <c r="I113" s="49"/>
      <c r="J113" s="343">
        <f>330210/$B$13</f>
        <v>2992.659053833605</v>
      </c>
      <c r="K113" s="31"/>
      <c r="L113" s="317">
        <f t="shared" si="53"/>
        <v>2345.122062163317</v>
      </c>
      <c r="M113" s="318">
        <f t="shared" si="37"/>
        <v>647.53699167028799</v>
      </c>
      <c r="N113" s="41">
        <f t="shared" si="38"/>
        <v>1.2761208050181196</v>
      </c>
      <c r="O113" s="46"/>
      <c r="P113" s="328">
        <f>IF(D113=0,0,SUM($L$111:L113))</f>
        <v>7035.3661864899514</v>
      </c>
      <c r="Q113" s="317">
        <f>IF(D113=0,0,SUM($J$111:J113))</f>
        <v>7123.6179082834869</v>
      </c>
      <c r="R113" s="321">
        <f t="shared" si="39"/>
        <v>88.25172179353558</v>
      </c>
      <c r="S113" s="41">
        <f t="shared" si="40"/>
        <v>1.012544012558011</v>
      </c>
      <c r="T113" s="56"/>
      <c r="U113" s="348">
        <f>IF(D113=0,0,SUM($L$20:L113))</f>
        <v>150757.84685335605</v>
      </c>
      <c r="V113" s="348">
        <f>IF(D113=0,0,SUM($J$20:J113))</f>
        <v>156161.2470545586</v>
      </c>
      <c r="W113" s="349">
        <f t="shared" si="41"/>
        <v>5403.4002012025448</v>
      </c>
      <c r="X113" s="41">
        <f t="shared" si="42"/>
        <v>1.0358415851246436</v>
      </c>
      <c r="Y113" s="17"/>
      <c r="Z113" s="23">
        <f t="shared" si="52"/>
        <v>45385</v>
      </c>
      <c r="AA113" s="22">
        <f t="shared" si="52"/>
        <v>45385</v>
      </c>
      <c r="AB113" s="137">
        <v>45385</v>
      </c>
      <c r="AC113" s="15"/>
      <c r="AD113" s="15"/>
      <c r="AE113" s="15"/>
      <c r="AF113" s="258"/>
      <c r="AG113" s="259"/>
      <c r="AH113" s="259"/>
      <c r="AI113" s="259"/>
      <c r="AJ113" s="259"/>
      <c r="AK113" s="15"/>
      <c r="AL113" s="134"/>
      <c r="AM113" s="134"/>
      <c r="AN113" s="18"/>
      <c r="AO113" s="18"/>
      <c r="AP113" s="18"/>
      <c r="AQ113" s="18"/>
      <c r="AR113" s="17"/>
      <c r="AS113" s="21">
        <f t="shared" si="49"/>
        <v>45385</v>
      </c>
      <c r="AT113" s="17"/>
      <c r="AU113" s="17"/>
      <c r="AV113" s="17"/>
      <c r="AW113" s="17"/>
      <c r="AX113" s="17"/>
      <c r="AY113" s="17"/>
      <c r="AZ113" s="17"/>
    </row>
    <row r="114" spans="1:52" ht="20">
      <c r="A114" s="17"/>
      <c r="B114" s="40"/>
      <c r="C114" s="55">
        <f t="shared" si="44"/>
        <v>95</v>
      </c>
      <c r="D114" s="54">
        <v>1</v>
      </c>
      <c r="E114" s="53" t="str">
        <f t="shared" si="36"/>
        <v>4</v>
      </c>
      <c r="F114" s="52">
        <f t="shared" si="45"/>
        <v>45386</v>
      </c>
      <c r="G114" s="51" t="str">
        <f t="shared" si="46"/>
        <v>Thu</v>
      </c>
      <c r="H114" s="50"/>
      <c r="I114" s="49"/>
      <c r="J114" s="343">
        <f>147190/$B$13</f>
        <v>1333.9677360884539</v>
      </c>
      <c r="K114" s="31"/>
      <c r="L114" s="317">
        <f t="shared" si="53"/>
        <v>2345.122062163317</v>
      </c>
      <c r="M114" s="318">
        <f t="shared" si="37"/>
        <v>-1011.1543260748631</v>
      </c>
      <c r="N114" s="41">
        <f t="shared" si="38"/>
        <v>0.56882656882171057</v>
      </c>
      <c r="O114" s="46"/>
      <c r="P114" s="328">
        <f>IF(D114=0,0,SUM($L$111:L114))</f>
        <v>9380.4882486532679</v>
      </c>
      <c r="Q114" s="317">
        <f>IF(D114=0,0,SUM($J$111:J114))</f>
        <v>8457.5856443719404</v>
      </c>
      <c r="R114" s="321">
        <f t="shared" si="39"/>
        <v>-922.90260428132751</v>
      </c>
      <c r="S114" s="41">
        <f t="shared" si="40"/>
        <v>0.90161465162393584</v>
      </c>
      <c r="T114" s="56"/>
      <c r="U114" s="348">
        <f>IF(D114=0,0,SUM($L$20:L114))</f>
        <v>153102.96891551936</v>
      </c>
      <c r="V114" s="348">
        <f>IF(D114=0,0,SUM($J$20:J114))</f>
        <v>157495.21479064706</v>
      </c>
      <c r="W114" s="349">
        <f t="shared" si="41"/>
        <v>4392.2458751277009</v>
      </c>
      <c r="X114" s="41">
        <f t="shared" si="42"/>
        <v>1.0286881822491065</v>
      </c>
      <c r="Y114" s="17"/>
      <c r="Z114" s="23">
        <f t="shared" si="52"/>
        <v>45386</v>
      </c>
      <c r="AA114" s="22">
        <f t="shared" si="52"/>
        <v>45386</v>
      </c>
      <c r="AB114" s="137">
        <v>45386</v>
      </c>
      <c r="AC114" s="15"/>
      <c r="AD114" s="15"/>
      <c r="AE114" s="15"/>
      <c r="AF114" s="258"/>
      <c r="AG114" s="259"/>
      <c r="AH114" s="259"/>
      <c r="AI114" s="259"/>
      <c r="AJ114" s="259"/>
      <c r="AK114" s="15"/>
      <c r="AL114" s="134"/>
      <c r="AM114" s="134"/>
      <c r="AN114" s="18"/>
      <c r="AO114" s="18"/>
      <c r="AP114" s="18"/>
      <c r="AQ114" s="18"/>
      <c r="AR114" s="17"/>
      <c r="AS114" s="21">
        <f t="shared" si="49"/>
        <v>45386</v>
      </c>
      <c r="AT114" s="17"/>
      <c r="AU114" s="17"/>
      <c r="AV114" s="17"/>
      <c r="AW114" s="17"/>
      <c r="AX114" s="17"/>
      <c r="AY114" s="17"/>
      <c r="AZ114" s="17"/>
    </row>
    <row r="115" spans="1:52" ht="20">
      <c r="A115" s="17"/>
      <c r="B115" s="40"/>
      <c r="C115" s="55">
        <f t="shared" si="44"/>
        <v>96</v>
      </c>
      <c r="D115" s="54">
        <v>1</v>
      </c>
      <c r="E115" s="53" t="str">
        <f t="shared" si="36"/>
        <v>4</v>
      </c>
      <c r="F115" s="52">
        <f t="shared" si="45"/>
        <v>45387</v>
      </c>
      <c r="G115" s="51" t="str">
        <f t="shared" si="46"/>
        <v>Fri</v>
      </c>
      <c r="H115" s="50"/>
      <c r="I115" s="49"/>
      <c r="J115" s="343">
        <f>353460/$B$13</f>
        <v>3203.3713974986404</v>
      </c>
      <c r="K115" s="31"/>
      <c r="L115" s="317">
        <f t="shared" si="53"/>
        <v>2345.122062163317</v>
      </c>
      <c r="M115" s="318">
        <f t="shared" si="37"/>
        <v>858.24933533532339</v>
      </c>
      <c r="N115" s="41">
        <f t="shared" si="38"/>
        <v>1.3659721381596699</v>
      </c>
      <c r="O115" s="46"/>
      <c r="P115" s="328">
        <f>IF(D115=0,0,SUM($L$111:L115))</f>
        <v>11725.610310816584</v>
      </c>
      <c r="Q115" s="317">
        <f>IF(D115=0,0,SUM($J$111:J115))</f>
        <v>11660.957041870581</v>
      </c>
      <c r="R115" s="321">
        <f t="shared" si="39"/>
        <v>-64.653268946003664</v>
      </c>
      <c r="S115" s="41">
        <f t="shared" si="40"/>
        <v>0.99448614893108267</v>
      </c>
      <c r="T115" s="56"/>
      <c r="U115" s="348">
        <f>IF(D115=0,0,SUM($L$20:L115))</f>
        <v>155448.09097768267</v>
      </c>
      <c r="V115" s="348">
        <f>IF(D115=0,0,SUM($J$20:J115))</f>
        <v>160698.58618814571</v>
      </c>
      <c r="W115" s="349">
        <f t="shared" si="41"/>
        <v>5250.4952104630356</v>
      </c>
      <c r="X115" s="41">
        <f t="shared" si="42"/>
        <v>1.0337765177908607</v>
      </c>
      <c r="Y115" s="17"/>
      <c r="Z115" s="23">
        <f t="shared" si="52"/>
        <v>45387</v>
      </c>
      <c r="AA115" s="22">
        <f t="shared" si="52"/>
        <v>45387</v>
      </c>
      <c r="AB115" s="137">
        <v>45387</v>
      </c>
      <c r="AC115" s="15"/>
      <c r="AD115" s="15"/>
      <c r="AE115" s="15"/>
      <c r="AF115" s="258"/>
      <c r="AG115" s="259"/>
      <c r="AH115" s="259"/>
      <c r="AI115" s="259"/>
      <c r="AJ115" s="259"/>
      <c r="AK115" s="15"/>
      <c r="AL115" s="134"/>
      <c r="AM115" s="134"/>
      <c r="AN115" s="18"/>
      <c r="AO115" s="18"/>
      <c r="AP115" s="18"/>
      <c r="AQ115" s="18"/>
      <c r="AR115" s="17"/>
      <c r="AS115" s="21">
        <f t="shared" si="49"/>
        <v>45387</v>
      </c>
      <c r="AT115" s="17"/>
      <c r="AU115" s="17"/>
      <c r="AV115" s="17"/>
      <c r="AW115" s="17"/>
      <c r="AX115" s="17"/>
      <c r="AY115" s="17"/>
      <c r="AZ115" s="17"/>
    </row>
    <row r="116" spans="1:52" ht="20">
      <c r="A116" s="17"/>
      <c r="B116" s="40"/>
      <c r="C116" s="55">
        <f t="shared" si="44"/>
        <v>97</v>
      </c>
      <c r="D116" s="54">
        <v>1</v>
      </c>
      <c r="E116" s="53" t="str">
        <f t="shared" si="36"/>
        <v>4</v>
      </c>
      <c r="F116" s="52">
        <f t="shared" si="45"/>
        <v>45388</v>
      </c>
      <c r="G116" s="51" t="str">
        <f t="shared" si="46"/>
        <v>Sat</v>
      </c>
      <c r="H116" s="50"/>
      <c r="I116" s="49"/>
      <c r="J116" s="343">
        <f>123460/$B$13</f>
        <v>1118.9052021025921</v>
      </c>
      <c r="K116" s="31"/>
      <c r="L116" s="317">
        <f t="shared" si="53"/>
        <v>2345.122062163317</v>
      </c>
      <c r="M116" s="318">
        <f t="shared" si="37"/>
        <v>-1226.2168600607249</v>
      </c>
      <c r="N116" s="41">
        <f t="shared" si="38"/>
        <v>0.4771202404153026</v>
      </c>
      <c r="O116" s="46"/>
      <c r="P116" s="328">
        <f>IF(D116=0,0,SUM($L$111:L116))</f>
        <v>14070.732372979901</v>
      </c>
      <c r="Q116" s="317">
        <f>IF(D116=0,0,SUM($J$111:J116))</f>
        <v>12779.862243973173</v>
      </c>
      <c r="R116" s="321">
        <f t="shared" si="39"/>
        <v>-1290.8701290067274</v>
      </c>
      <c r="S116" s="41">
        <f t="shared" si="40"/>
        <v>0.90825849751178611</v>
      </c>
      <c r="T116" s="44"/>
      <c r="U116" s="348">
        <f>IF(D116=0,0,SUM($L$20:L116))</f>
        <v>157793.21303984598</v>
      </c>
      <c r="V116" s="348">
        <f>IF(D116=0,0,SUM($J$20:J116))</f>
        <v>161817.49139024829</v>
      </c>
      <c r="W116" s="349">
        <f t="shared" si="41"/>
        <v>4024.27835040231</v>
      </c>
      <c r="X116" s="41">
        <f t="shared" si="42"/>
        <v>1.0255034945602262</v>
      </c>
      <c r="Y116" s="17"/>
      <c r="Z116" s="23">
        <f t="shared" si="52"/>
        <v>45388</v>
      </c>
      <c r="AA116" s="22">
        <f t="shared" si="52"/>
        <v>45388</v>
      </c>
      <c r="AB116" s="137">
        <v>45388</v>
      </c>
      <c r="AC116" s="15"/>
      <c r="AD116" s="15"/>
      <c r="AE116" s="15"/>
      <c r="AF116" s="258"/>
      <c r="AG116" s="259"/>
      <c r="AH116" s="259"/>
      <c r="AI116" s="259"/>
      <c r="AJ116" s="259"/>
      <c r="AK116" s="15"/>
      <c r="AL116" s="134"/>
      <c r="AM116" s="134"/>
      <c r="AN116" s="18"/>
      <c r="AO116" s="18"/>
      <c r="AP116" s="18"/>
      <c r="AQ116" s="18"/>
      <c r="AR116" s="17"/>
      <c r="AS116" s="21">
        <f t="shared" si="49"/>
        <v>45388</v>
      </c>
      <c r="AT116" s="17"/>
      <c r="AU116" s="17"/>
      <c r="AV116" s="17"/>
      <c r="AW116" s="17"/>
      <c r="AX116" s="17"/>
      <c r="AY116" s="17"/>
      <c r="AZ116" s="17"/>
    </row>
    <row r="117" spans="1:52" ht="20">
      <c r="A117" s="17"/>
      <c r="B117" s="40"/>
      <c r="C117" s="55">
        <f t="shared" si="44"/>
        <v>98</v>
      </c>
      <c r="D117" s="54">
        <v>0</v>
      </c>
      <c r="E117" s="53" t="str">
        <f t="shared" si="36"/>
        <v>4</v>
      </c>
      <c r="F117" s="52">
        <f t="shared" si="45"/>
        <v>45389</v>
      </c>
      <c r="G117" s="51" t="str">
        <f t="shared" si="46"/>
        <v>Sun</v>
      </c>
      <c r="H117" s="50" t="s">
        <v>46</v>
      </c>
      <c r="I117" s="49"/>
      <c r="J117" s="343"/>
      <c r="K117" s="31"/>
      <c r="L117" s="317">
        <f t="shared" si="53"/>
        <v>0</v>
      </c>
      <c r="M117" s="318">
        <f t="shared" si="37"/>
        <v>0</v>
      </c>
      <c r="N117" s="41" t="str">
        <f t="shared" si="38"/>
        <v>0%</v>
      </c>
      <c r="O117" s="46"/>
      <c r="P117" s="328">
        <f>IF(D117=0,0,SUM($L$111:L117))</f>
        <v>0</v>
      </c>
      <c r="Q117" s="317">
        <f>IF(D117=0,0,SUM($J$111:J117))</f>
        <v>0</v>
      </c>
      <c r="R117" s="321">
        <f t="shared" si="39"/>
        <v>0</v>
      </c>
      <c r="S117" s="41" t="str">
        <f t="shared" si="40"/>
        <v>0%</v>
      </c>
      <c r="T117" s="56"/>
      <c r="U117" s="348">
        <f>IF(D117=0,0,SUM($L$20:L117))</f>
        <v>0</v>
      </c>
      <c r="V117" s="348">
        <f>IF(D117=0,0,SUM($J$20:J117))</f>
        <v>0</v>
      </c>
      <c r="W117" s="349">
        <f t="shared" si="41"/>
        <v>0</v>
      </c>
      <c r="X117" s="41" t="str">
        <f t="shared" si="42"/>
        <v>0%</v>
      </c>
      <c r="Y117" s="17"/>
      <c r="Z117" s="23">
        <f t="shared" ref="Z117:AA132" si="54">Z116+1</f>
        <v>45389</v>
      </c>
      <c r="AA117" s="22">
        <f t="shared" si="54"/>
        <v>45389</v>
      </c>
      <c r="AB117" s="137">
        <v>45389</v>
      </c>
      <c r="AC117" s="15"/>
      <c r="AD117" s="15"/>
      <c r="AE117" s="15"/>
      <c r="AF117" s="258"/>
      <c r="AG117" s="259"/>
      <c r="AH117" s="259"/>
      <c r="AI117" s="259"/>
      <c r="AJ117" s="259"/>
      <c r="AK117" s="15"/>
      <c r="AL117" s="134"/>
      <c r="AM117" s="134"/>
      <c r="AN117" s="18"/>
      <c r="AO117" s="18"/>
      <c r="AP117" s="18"/>
      <c r="AQ117" s="18"/>
      <c r="AR117" s="17"/>
      <c r="AS117" s="21">
        <f t="shared" si="49"/>
        <v>45389</v>
      </c>
      <c r="AT117" s="17"/>
      <c r="AU117" s="17"/>
      <c r="AV117" s="17"/>
      <c r="AW117" s="17"/>
      <c r="AX117" s="17"/>
      <c r="AY117" s="17"/>
      <c r="AZ117" s="17"/>
    </row>
    <row r="118" spans="1:52" ht="20">
      <c r="A118" s="17"/>
      <c r="B118" s="40"/>
      <c r="C118" s="55">
        <f t="shared" si="44"/>
        <v>99</v>
      </c>
      <c r="D118" s="54">
        <v>1</v>
      </c>
      <c r="E118" s="53" t="str">
        <f t="shared" si="36"/>
        <v>4</v>
      </c>
      <c r="F118" s="52">
        <f t="shared" si="45"/>
        <v>45390</v>
      </c>
      <c r="G118" s="51" t="str">
        <f t="shared" si="46"/>
        <v>Mon</v>
      </c>
      <c r="H118" s="50"/>
      <c r="I118" s="49"/>
      <c r="J118" s="343">
        <f>153400/$B$13</f>
        <v>1390.2483233641472</v>
      </c>
      <c r="K118" s="31"/>
      <c r="L118" s="317">
        <f t="shared" si="53"/>
        <v>2345.122062163317</v>
      </c>
      <c r="M118" s="318">
        <f t="shared" si="37"/>
        <v>-954.87373879916981</v>
      </c>
      <c r="N118" s="41">
        <f t="shared" si="38"/>
        <v>0.59282557006080849</v>
      </c>
      <c r="O118" s="46"/>
      <c r="P118" s="328">
        <f>IF(D118=0,0,SUM($L$111:L118))</f>
        <v>16415.854435143217</v>
      </c>
      <c r="Q118" s="317">
        <f>IF(D118=0,0,SUM($J$111:J118))</f>
        <v>14170.11056733732</v>
      </c>
      <c r="R118" s="321">
        <f t="shared" si="39"/>
        <v>-2245.743867805897</v>
      </c>
      <c r="S118" s="41">
        <f t="shared" si="40"/>
        <v>0.86319665073307505</v>
      </c>
      <c r="T118" s="56"/>
      <c r="U118" s="348">
        <f>IF(D118=0,0,SUM($L$20:L118))</f>
        <v>160138.3351020093</v>
      </c>
      <c r="V118" s="348">
        <f>IF(D118=0,0,SUM($J$20:J118))</f>
        <v>163207.73971361245</v>
      </c>
      <c r="W118" s="349">
        <f t="shared" si="41"/>
        <v>3069.4046116031532</v>
      </c>
      <c r="X118" s="41">
        <f t="shared" si="42"/>
        <v>1.0191672069629543</v>
      </c>
      <c r="Y118" s="17"/>
      <c r="Z118" s="23">
        <f t="shared" si="54"/>
        <v>45390</v>
      </c>
      <c r="AA118" s="22">
        <f t="shared" si="54"/>
        <v>45390</v>
      </c>
      <c r="AB118" s="137">
        <v>45390</v>
      </c>
      <c r="AC118" s="260"/>
      <c r="AD118" s="15"/>
      <c r="AE118" s="261"/>
      <c r="AF118" s="262"/>
      <c r="AG118" s="263"/>
      <c r="AH118" s="263"/>
      <c r="AI118" s="263"/>
      <c r="AJ118" s="263"/>
      <c r="AK118" s="261"/>
      <c r="AL118" s="134"/>
      <c r="AM118" s="134"/>
      <c r="AN118" s="18"/>
      <c r="AO118" s="18"/>
      <c r="AP118" s="18"/>
      <c r="AQ118" s="18"/>
      <c r="AR118" s="17"/>
      <c r="AS118" s="21">
        <f t="shared" si="49"/>
        <v>45390</v>
      </c>
      <c r="AT118" s="17"/>
      <c r="AU118" s="17"/>
      <c r="AV118" s="17"/>
      <c r="AW118" s="17"/>
      <c r="AX118" s="17"/>
      <c r="AY118" s="17"/>
      <c r="AZ118" s="17"/>
    </row>
    <row r="119" spans="1:52" ht="20">
      <c r="A119" s="17"/>
      <c r="B119" s="40"/>
      <c r="C119" s="55">
        <f t="shared" si="44"/>
        <v>100</v>
      </c>
      <c r="D119" s="54">
        <v>1</v>
      </c>
      <c r="E119" s="53" t="str">
        <f t="shared" si="36"/>
        <v>4</v>
      </c>
      <c r="F119" s="52">
        <f t="shared" si="45"/>
        <v>45391</v>
      </c>
      <c r="G119" s="51" t="str">
        <f t="shared" si="46"/>
        <v>Tue</v>
      </c>
      <c r="H119" s="50"/>
      <c r="I119" s="49"/>
      <c r="J119" s="343">
        <f>259200/$B$13</f>
        <v>2349.1027732463294</v>
      </c>
      <c r="K119" s="31"/>
      <c r="L119" s="317">
        <f t="shared" si="53"/>
        <v>2345.122062163317</v>
      </c>
      <c r="M119" s="318">
        <f t="shared" si="37"/>
        <v>3.9807110830124657</v>
      </c>
      <c r="N119" s="41">
        <f t="shared" si="38"/>
        <v>1.0016974430232175</v>
      </c>
      <c r="O119" s="46"/>
      <c r="P119" s="328">
        <f>IF(D119=0,0,SUM($L$111:L119))</f>
        <v>18760.976497306536</v>
      </c>
      <c r="Q119" s="317">
        <f>IF(D119=0,0,SUM($J$111:J119))</f>
        <v>16519.21334058365</v>
      </c>
      <c r="R119" s="321">
        <f t="shared" si="39"/>
        <v>-2241.7631567228855</v>
      </c>
      <c r="S119" s="41">
        <f t="shared" si="40"/>
        <v>0.88050924976934275</v>
      </c>
      <c r="T119" s="56"/>
      <c r="U119" s="348">
        <f>IF(D119=0,0,SUM($L$20:L119))</f>
        <v>162483.45716417261</v>
      </c>
      <c r="V119" s="348">
        <f>IF(D119=0,0,SUM($J$20:J119))</f>
        <v>165556.84248685878</v>
      </c>
      <c r="W119" s="349">
        <f t="shared" si="41"/>
        <v>3073.3853226861684</v>
      </c>
      <c r="X119" s="41">
        <f t="shared" si="42"/>
        <v>1.0189150660401127</v>
      </c>
      <c r="Y119" s="17"/>
      <c r="Z119" s="23">
        <f t="shared" si="54"/>
        <v>45391</v>
      </c>
      <c r="AA119" s="22">
        <f t="shared" si="54"/>
        <v>45391</v>
      </c>
      <c r="AB119" s="137">
        <v>45391</v>
      </c>
      <c r="AC119" s="260"/>
      <c r="AD119" s="15"/>
      <c r="AE119" s="261"/>
      <c r="AF119" s="262"/>
      <c r="AG119" s="263"/>
      <c r="AH119" s="263"/>
      <c r="AI119" s="263"/>
      <c r="AJ119" s="263"/>
      <c r="AK119" s="261"/>
      <c r="AL119" s="134"/>
      <c r="AM119" s="134"/>
      <c r="AN119" s="18"/>
      <c r="AO119" s="18"/>
      <c r="AP119" s="18"/>
      <c r="AQ119" s="18"/>
      <c r="AR119" s="17"/>
      <c r="AS119" s="21">
        <f t="shared" si="49"/>
        <v>45391</v>
      </c>
      <c r="AT119" s="17"/>
      <c r="AU119" s="17"/>
      <c r="AV119" s="17"/>
      <c r="AW119" s="17"/>
      <c r="AX119" s="17"/>
      <c r="AY119" s="17"/>
      <c r="AZ119" s="17"/>
    </row>
    <row r="120" spans="1:52" ht="20">
      <c r="A120" s="17"/>
      <c r="B120" s="40"/>
      <c r="C120" s="55">
        <f t="shared" si="44"/>
        <v>101</v>
      </c>
      <c r="D120" s="54">
        <v>1</v>
      </c>
      <c r="E120" s="53" t="str">
        <f t="shared" si="36"/>
        <v>4</v>
      </c>
      <c r="F120" s="52">
        <f t="shared" si="45"/>
        <v>45392</v>
      </c>
      <c r="G120" s="51" t="str">
        <f t="shared" si="46"/>
        <v>Wed</v>
      </c>
      <c r="H120" s="50"/>
      <c r="I120" s="49"/>
      <c r="J120" s="343">
        <f>174250/$B$13</f>
        <v>1579.2097154250498</v>
      </c>
      <c r="K120" s="31"/>
      <c r="L120" s="317">
        <f t="shared" si="53"/>
        <v>2345.122062163317</v>
      </c>
      <c r="M120" s="318">
        <f t="shared" si="37"/>
        <v>-765.91234673826716</v>
      </c>
      <c r="N120" s="41">
        <f t="shared" si="38"/>
        <v>0.67340192687806966</v>
      </c>
      <c r="O120" s="46"/>
      <c r="P120" s="328">
        <f>IF(D120=0,0,SUM($L$111:L120))</f>
        <v>21106.098559469854</v>
      </c>
      <c r="Q120" s="317">
        <f>IF(D120=0,0,SUM($J$111:J120))</f>
        <v>18098.423056008702</v>
      </c>
      <c r="R120" s="321">
        <f t="shared" si="39"/>
        <v>-3007.6755034611524</v>
      </c>
      <c r="S120" s="41">
        <f t="shared" si="40"/>
        <v>0.85749732500364584</v>
      </c>
      <c r="T120" s="56"/>
      <c r="U120" s="348">
        <f>IF(D120=0,0,SUM($L$20:L120))</f>
        <v>164828.57922633592</v>
      </c>
      <c r="V120" s="348">
        <f>IF(D120=0,0,SUM($J$20:J120))</f>
        <v>167136.05220228381</v>
      </c>
      <c r="W120" s="349">
        <f t="shared" si="41"/>
        <v>2307.4729759478942</v>
      </c>
      <c r="X120" s="41">
        <f t="shared" si="42"/>
        <v>1.0139992286943114</v>
      </c>
      <c r="Y120" s="17"/>
      <c r="Z120" s="23">
        <f t="shared" si="54"/>
        <v>45392</v>
      </c>
      <c r="AA120" s="22">
        <f t="shared" si="54"/>
        <v>45392</v>
      </c>
      <c r="AB120" s="137">
        <v>45392</v>
      </c>
      <c r="AC120" s="15"/>
      <c r="AD120" s="15"/>
      <c r="AE120" s="15"/>
      <c r="AF120" s="258"/>
      <c r="AG120" s="259"/>
      <c r="AH120" s="259"/>
      <c r="AI120" s="259"/>
      <c r="AJ120" s="259"/>
      <c r="AK120" s="15"/>
      <c r="AL120" s="134"/>
      <c r="AM120" s="134"/>
      <c r="AN120" s="18"/>
      <c r="AO120" s="18"/>
      <c r="AP120" s="18"/>
      <c r="AQ120" s="18"/>
      <c r="AR120" s="17"/>
      <c r="AS120" s="21">
        <f t="shared" si="49"/>
        <v>45392</v>
      </c>
      <c r="AT120" s="17"/>
      <c r="AU120" s="17"/>
      <c r="AV120" s="17"/>
      <c r="AW120" s="17"/>
      <c r="AX120" s="17"/>
      <c r="AY120" s="17"/>
      <c r="AZ120" s="17"/>
    </row>
    <row r="121" spans="1:52" ht="20">
      <c r="A121" s="17"/>
      <c r="B121" s="40"/>
      <c r="C121" s="55">
        <f t="shared" si="44"/>
        <v>102</v>
      </c>
      <c r="D121" s="54">
        <v>1</v>
      </c>
      <c r="E121" s="53" t="str">
        <f t="shared" si="36"/>
        <v>4</v>
      </c>
      <c r="F121" s="52">
        <f t="shared" si="45"/>
        <v>45393</v>
      </c>
      <c r="G121" s="51" t="str">
        <f t="shared" si="46"/>
        <v>Thu</v>
      </c>
      <c r="H121" s="50"/>
      <c r="I121" s="49"/>
      <c r="J121" s="343">
        <f>315370/$B$13</f>
        <v>2858.1656697480512</v>
      </c>
      <c r="K121" s="31"/>
      <c r="L121" s="317">
        <f t="shared" si="53"/>
        <v>2345.122062163317</v>
      </c>
      <c r="M121" s="318">
        <f t="shared" si="37"/>
        <v>513.04360758473422</v>
      </c>
      <c r="N121" s="41">
        <f t="shared" si="38"/>
        <v>1.2187705347462656</v>
      </c>
      <c r="O121" s="46"/>
      <c r="P121" s="328">
        <f>IF(D121=0,0,SUM($L$111:L121))</f>
        <v>23451.220621633172</v>
      </c>
      <c r="Q121" s="317">
        <f>IF(D121=0,0,SUM($J$111:J121))</f>
        <v>20956.588725756752</v>
      </c>
      <c r="R121" s="321">
        <f t="shared" si="39"/>
        <v>-2494.6318958764205</v>
      </c>
      <c r="S121" s="41">
        <f t="shared" si="40"/>
        <v>0.89362464597790769</v>
      </c>
      <c r="T121" s="56"/>
      <c r="U121" s="348">
        <f>IF(D121=0,0,SUM($L$20:L121))</f>
        <v>167173.70128849923</v>
      </c>
      <c r="V121" s="348">
        <f>IF(D121=0,0,SUM($J$20:J121))</f>
        <v>169994.21787203188</v>
      </c>
      <c r="W121" s="349">
        <f t="shared" si="41"/>
        <v>2820.5165835326479</v>
      </c>
      <c r="X121" s="41">
        <f t="shared" si="42"/>
        <v>1.0168717720657818</v>
      </c>
      <c r="Y121" s="17"/>
      <c r="Z121" s="23">
        <f t="shared" si="54"/>
        <v>45393</v>
      </c>
      <c r="AA121" s="22">
        <f t="shared" si="54"/>
        <v>45393</v>
      </c>
      <c r="AB121" s="137">
        <v>45393</v>
      </c>
      <c r="AC121" s="15"/>
      <c r="AD121" s="15"/>
      <c r="AE121" s="15"/>
      <c r="AF121" s="258"/>
      <c r="AG121" s="259"/>
      <c r="AH121" s="259"/>
      <c r="AI121" s="259"/>
      <c r="AJ121" s="259"/>
      <c r="AK121" s="15"/>
      <c r="AL121" s="134"/>
      <c r="AM121" s="134"/>
      <c r="AN121" s="18"/>
      <c r="AO121" s="18"/>
      <c r="AP121" s="18"/>
      <c r="AQ121" s="18"/>
      <c r="AR121" s="17"/>
      <c r="AS121" s="21">
        <f t="shared" si="49"/>
        <v>45393</v>
      </c>
      <c r="AT121" s="17"/>
      <c r="AU121" s="17"/>
      <c r="AV121" s="17"/>
      <c r="AW121" s="17"/>
      <c r="AX121" s="17"/>
      <c r="AY121" s="17"/>
      <c r="AZ121" s="17"/>
    </row>
    <row r="122" spans="1:52" ht="20">
      <c r="A122" s="17"/>
      <c r="B122" s="40"/>
      <c r="C122" s="55">
        <f t="shared" si="44"/>
        <v>103</v>
      </c>
      <c r="D122" s="54">
        <v>1</v>
      </c>
      <c r="E122" s="53" t="str">
        <f t="shared" si="36"/>
        <v>4</v>
      </c>
      <c r="F122" s="52">
        <f t="shared" si="45"/>
        <v>45394</v>
      </c>
      <c r="G122" s="51" t="str">
        <f t="shared" si="46"/>
        <v>Fri</v>
      </c>
      <c r="H122" s="50"/>
      <c r="I122" s="49"/>
      <c r="J122" s="343">
        <f>355090/$B$13</f>
        <v>3218.1439187964475</v>
      </c>
      <c r="K122" s="31"/>
      <c r="L122" s="317">
        <f t="shared" si="53"/>
        <v>2345.122062163317</v>
      </c>
      <c r="M122" s="318">
        <f t="shared" si="37"/>
        <v>873.02185663313048</v>
      </c>
      <c r="N122" s="41">
        <f t="shared" si="38"/>
        <v>1.3722713929132497</v>
      </c>
      <c r="O122" s="46"/>
      <c r="P122" s="328">
        <f>IF(D122=0,0,SUM($L$111:L122))</f>
        <v>25796.342683796491</v>
      </c>
      <c r="Q122" s="317">
        <f>IF(D122=0,0,SUM($J$111:J122))</f>
        <v>24174.732644553198</v>
      </c>
      <c r="R122" s="321">
        <f t="shared" si="39"/>
        <v>-1621.6100392432927</v>
      </c>
      <c r="S122" s="41">
        <f t="shared" si="40"/>
        <v>0.9371379866083932</v>
      </c>
      <c r="T122" s="56"/>
      <c r="U122" s="348">
        <f>IF(D122=0,0,SUM($L$20:L122))</f>
        <v>169518.82335066254</v>
      </c>
      <c r="V122" s="348">
        <f>IF(D122=0,0,SUM($J$20:J122))</f>
        <v>173212.36179082832</v>
      </c>
      <c r="W122" s="349">
        <f t="shared" si="41"/>
        <v>3693.5384401657793</v>
      </c>
      <c r="X122" s="41">
        <f t="shared" si="42"/>
        <v>1.0217883676111026</v>
      </c>
      <c r="Y122" s="17"/>
      <c r="Z122" s="23">
        <f t="shared" si="54"/>
        <v>45394</v>
      </c>
      <c r="AA122" s="22">
        <f t="shared" si="54"/>
        <v>45394</v>
      </c>
      <c r="AB122" s="137">
        <v>45394</v>
      </c>
      <c r="AC122" s="15"/>
      <c r="AD122" s="15"/>
      <c r="AE122" s="15"/>
      <c r="AF122" s="258"/>
      <c r="AG122" s="259"/>
      <c r="AH122" s="259"/>
      <c r="AI122" s="259"/>
      <c r="AJ122" s="259"/>
      <c r="AK122" s="15"/>
      <c r="AL122" s="134"/>
      <c r="AM122" s="134"/>
      <c r="AN122" s="18"/>
      <c r="AO122" s="18"/>
      <c r="AP122" s="18"/>
      <c r="AQ122" s="18"/>
      <c r="AR122" s="17"/>
      <c r="AS122" s="21">
        <f t="shared" si="49"/>
        <v>45394</v>
      </c>
      <c r="AT122" s="17"/>
      <c r="AU122" s="17"/>
      <c r="AV122" s="17"/>
      <c r="AW122" s="17"/>
      <c r="AX122" s="17"/>
      <c r="AY122" s="17"/>
      <c r="AZ122" s="17"/>
    </row>
    <row r="123" spans="1:52" ht="20">
      <c r="A123" s="17"/>
      <c r="B123" s="40"/>
      <c r="C123" s="55">
        <f t="shared" si="44"/>
        <v>104</v>
      </c>
      <c r="D123" s="54">
        <v>1</v>
      </c>
      <c r="E123" s="53" t="str">
        <f t="shared" si="36"/>
        <v>4</v>
      </c>
      <c r="F123" s="52">
        <f t="shared" si="45"/>
        <v>45395</v>
      </c>
      <c r="G123" s="51" t="str">
        <f t="shared" si="46"/>
        <v>Sat</v>
      </c>
      <c r="H123" s="50"/>
      <c r="I123" s="49"/>
      <c r="J123" s="343">
        <f>161750/$B$13</f>
        <v>1465.9235091535254</v>
      </c>
      <c r="K123" s="31"/>
      <c r="L123" s="317">
        <f t="shared" si="53"/>
        <v>2345.122062163317</v>
      </c>
      <c r="M123" s="318">
        <f t="shared" si="37"/>
        <v>-879.19855300979157</v>
      </c>
      <c r="N123" s="41">
        <f t="shared" si="38"/>
        <v>0.62509475852239749</v>
      </c>
      <c r="O123" s="46"/>
      <c r="P123" s="328">
        <f>IF(D123=0,0,SUM($L$111:L123))</f>
        <v>28141.464745959809</v>
      </c>
      <c r="Q123" s="317">
        <f>IF(D123=0,0,SUM($J$111:J123))</f>
        <v>25640.656153706725</v>
      </c>
      <c r="R123" s="321">
        <f t="shared" si="39"/>
        <v>-2500.8085922530845</v>
      </c>
      <c r="S123" s="41">
        <f t="shared" si="40"/>
        <v>0.91113438426789362</v>
      </c>
      <c r="T123" s="44"/>
      <c r="U123" s="348">
        <f>IF(D123=0,0,SUM($L$20:L123))</f>
        <v>171863.94541282585</v>
      </c>
      <c r="V123" s="348">
        <f>IF(D123=0,0,SUM($J$20:J123))</f>
        <v>174678.28529998186</v>
      </c>
      <c r="W123" s="349">
        <f t="shared" si="41"/>
        <v>2814.3398871560057</v>
      </c>
      <c r="X123" s="41">
        <f t="shared" si="42"/>
        <v>1.0163753943876699</v>
      </c>
      <c r="Y123" s="17"/>
      <c r="Z123" s="23">
        <f t="shared" si="54"/>
        <v>45395</v>
      </c>
      <c r="AA123" s="22">
        <f t="shared" si="54"/>
        <v>45395</v>
      </c>
      <c r="AB123" s="137">
        <v>45395</v>
      </c>
      <c r="AC123" s="15"/>
      <c r="AD123" s="15"/>
      <c r="AE123" s="15"/>
      <c r="AF123" s="258"/>
      <c r="AG123" s="259"/>
      <c r="AH123" s="259"/>
      <c r="AI123" s="259"/>
      <c r="AJ123" s="259"/>
      <c r="AK123" s="15"/>
      <c r="AL123" s="134"/>
      <c r="AM123" s="134"/>
      <c r="AN123" s="18"/>
      <c r="AO123" s="18"/>
      <c r="AP123" s="18"/>
      <c r="AQ123" s="18"/>
      <c r="AR123" s="17"/>
      <c r="AS123" s="21">
        <f t="shared" si="49"/>
        <v>45395</v>
      </c>
      <c r="AT123" s="17"/>
      <c r="AU123" s="17"/>
      <c r="AV123" s="17"/>
      <c r="AW123" s="17"/>
      <c r="AX123" s="17"/>
      <c r="AY123" s="17"/>
      <c r="AZ123" s="17"/>
    </row>
    <row r="124" spans="1:52" ht="20">
      <c r="A124" s="17"/>
      <c r="B124" s="40"/>
      <c r="C124" s="55">
        <f t="shared" si="44"/>
        <v>105</v>
      </c>
      <c r="D124" s="54">
        <v>0</v>
      </c>
      <c r="E124" s="53" t="str">
        <f t="shared" si="36"/>
        <v>4</v>
      </c>
      <c r="F124" s="52">
        <f t="shared" si="45"/>
        <v>45396</v>
      </c>
      <c r="G124" s="51" t="str">
        <f t="shared" si="46"/>
        <v>Sun</v>
      </c>
      <c r="H124" s="50" t="s">
        <v>46</v>
      </c>
      <c r="I124" s="49"/>
      <c r="J124" s="343"/>
      <c r="K124" s="31"/>
      <c r="L124" s="317">
        <f t="shared" si="53"/>
        <v>0</v>
      </c>
      <c r="M124" s="318">
        <f t="shared" si="37"/>
        <v>0</v>
      </c>
      <c r="N124" s="41" t="str">
        <f t="shared" si="38"/>
        <v>0%</v>
      </c>
      <c r="O124" s="46"/>
      <c r="P124" s="328">
        <f>IF(D124=0,0,SUM($L$111:L124))</f>
        <v>0</v>
      </c>
      <c r="Q124" s="317">
        <f>IF(D124=0,0,SUM($J$111:J124))</f>
        <v>0</v>
      </c>
      <c r="R124" s="321">
        <f t="shared" si="39"/>
        <v>0</v>
      </c>
      <c r="S124" s="41" t="str">
        <f t="shared" si="40"/>
        <v>0%</v>
      </c>
      <c r="T124" s="56"/>
      <c r="U124" s="348">
        <f>IF(D124=0,0,SUM($L$20:L124))</f>
        <v>0</v>
      </c>
      <c r="V124" s="348">
        <f>IF(D124=0,0,SUM($J$20:J124))</f>
        <v>0</v>
      </c>
      <c r="W124" s="349">
        <f t="shared" si="41"/>
        <v>0</v>
      </c>
      <c r="X124" s="41" t="str">
        <f t="shared" si="42"/>
        <v>0%</v>
      </c>
      <c r="Y124" s="17"/>
      <c r="Z124" s="23">
        <f t="shared" si="54"/>
        <v>45396</v>
      </c>
      <c r="AA124" s="22">
        <f t="shared" si="54"/>
        <v>45396</v>
      </c>
      <c r="AB124" s="137">
        <v>45396</v>
      </c>
      <c r="AC124" s="15"/>
      <c r="AD124" s="15"/>
      <c r="AE124" s="15"/>
      <c r="AF124" s="258"/>
      <c r="AG124" s="259"/>
      <c r="AH124" s="259"/>
      <c r="AI124" s="259"/>
      <c r="AJ124" s="259"/>
      <c r="AK124" s="15"/>
      <c r="AL124" s="134"/>
      <c r="AM124" s="134"/>
      <c r="AN124" s="18"/>
      <c r="AO124" s="18"/>
      <c r="AP124" s="18"/>
      <c r="AQ124" s="18"/>
      <c r="AR124" s="17"/>
      <c r="AS124" s="21">
        <f t="shared" si="49"/>
        <v>45396</v>
      </c>
      <c r="AT124" s="17"/>
      <c r="AU124" s="17"/>
      <c r="AV124" s="17"/>
      <c r="AW124" s="17"/>
      <c r="AX124" s="17"/>
      <c r="AY124" s="17"/>
      <c r="AZ124" s="17"/>
    </row>
    <row r="125" spans="1:52" ht="20">
      <c r="A125" s="17"/>
      <c r="B125" s="40"/>
      <c r="C125" s="55">
        <f t="shared" si="44"/>
        <v>106</v>
      </c>
      <c r="D125" s="54">
        <v>1</v>
      </c>
      <c r="E125" s="53" t="str">
        <f t="shared" si="36"/>
        <v>4</v>
      </c>
      <c r="F125" s="52">
        <f t="shared" si="45"/>
        <v>45397</v>
      </c>
      <c r="G125" s="51" t="str">
        <f t="shared" si="46"/>
        <v>Mon</v>
      </c>
      <c r="H125" s="50"/>
      <c r="I125" s="49"/>
      <c r="J125" s="343">
        <f>319850/$B$13</f>
        <v>2898.7674460757657</v>
      </c>
      <c r="K125" s="31"/>
      <c r="L125" s="317">
        <f t="shared" si="53"/>
        <v>2345.122062163317</v>
      </c>
      <c r="M125" s="318">
        <f t="shared" si="37"/>
        <v>553.64538391244878</v>
      </c>
      <c r="N125" s="41">
        <f t="shared" si="38"/>
        <v>1.2360838238849388</v>
      </c>
      <c r="O125" s="46"/>
      <c r="P125" s="328">
        <f>IF(D125=0,0,SUM($L$111:L125))</f>
        <v>30486.586808123127</v>
      </c>
      <c r="Q125" s="317">
        <f>IF(D125=0,0,SUM($J$111:J125))</f>
        <v>28539.423599782491</v>
      </c>
      <c r="R125" s="321">
        <f t="shared" si="39"/>
        <v>-1947.1632083406366</v>
      </c>
      <c r="S125" s="41">
        <f t="shared" si="40"/>
        <v>0.93613049500766621</v>
      </c>
      <c r="T125" s="56"/>
      <c r="U125" s="348">
        <f>IF(D125=0,0,SUM($L$20:L125))</f>
        <v>174209.06747498916</v>
      </c>
      <c r="V125" s="348">
        <f>IF(D125=0,0,SUM($J$20:J125))</f>
        <v>177577.05274605763</v>
      </c>
      <c r="W125" s="349">
        <f t="shared" si="41"/>
        <v>3367.9852710684645</v>
      </c>
      <c r="X125" s="41">
        <f t="shared" si="42"/>
        <v>1.0193330078616718</v>
      </c>
      <c r="Y125" s="17"/>
      <c r="Z125" s="23">
        <f t="shared" si="54"/>
        <v>45397</v>
      </c>
      <c r="AA125" s="22">
        <f t="shared" si="54"/>
        <v>45397</v>
      </c>
      <c r="AB125" s="137">
        <v>45397</v>
      </c>
      <c r="AC125" s="15"/>
      <c r="AD125" s="15"/>
      <c r="AE125" s="15"/>
      <c r="AF125" s="258"/>
      <c r="AG125" s="259"/>
      <c r="AH125" s="259"/>
      <c r="AI125" s="259"/>
      <c r="AJ125" s="259"/>
      <c r="AK125" s="15"/>
      <c r="AL125" s="134"/>
      <c r="AM125" s="134"/>
      <c r="AN125" s="18"/>
      <c r="AO125" s="18"/>
      <c r="AP125" s="18"/>
      <c r="AQ125" s="18"/>
      <c r="AR125" s="17"/>
      <c r="AS125" s="21">
        <f t="shared" si="49"/>
        <v>45397</v>
      </c>
      <c r="AT125" s="17"/>
      <c r="AU125" s="17"/>
      <c r="AV125" s="17"/>
      <c r="AW125" s="17"/>
      <c r="AX125" s="17"/>
      <c r="AY125" s="17"/>
      <c r="AZ125" s="17"/>
    </row>
    <row r="126" spans="1:52" ht="20">
      <c r="A126" s="17"/>
      <c r="B126" s="40"/>
      <c r="C126" s="55">
        <f t="shared" si="44"/>
        <v>107</v>
      </c>
      <c r="D126" s="54">
        <v>1</v>
      </c>
      <c r="E126" s="53" t="str">
        <f t="shared" si="36"/>
        <v>4</v>
      </c>
      <c r="F126" s="52">
        <f t="shared" si="45"/>
        <v>45398</v>
      </c>
      <c r="G126" s="51" t="str">
        <f t="shared" si="46"/>
        <v>Tue</v>
      </c>
      <c r="H126" s="50"/>
      <c r="I126" s="49"/>
      <c r="J126" s="343">
        <f>340650/$B$13</f>
        <v>3087.2756933115825</v>
      </c>
      <c r="K126" s="31"/>
      <c r="L126" s="317">
        <f t="shared" si="53"/>
        <v>2345.122062163317</v>
      </c>
      <c r="M126" s="318">
        <f t="shared" si="37"/>
        <v>742.1536311482655</v>
      </c>
      <c r="N126" s="41">
        <f t="shared" si="38"/>
        <v>1.3164669520287773</v>
      </c>
      <c r="O126" s="46"/>
      <c r="P126" s="328">
        <f>IF(D126=0,0,SUM($L$111:L126))</f>
        <v>32831.708870286442</v>
      </c>
      <c r="Q126" s="317">
        <f>IF(D126=0,0,SUM($J$111:J126))</f>
        <v>31626.699293094072</v>
      </c>
      <c r="R126" s="321">
        <f t="shared" si="39"/>
        <v>-1205.0095771923698</v>
      </c>
      <c r="S126" s="41">
        <f t="shared" si="40"/>
        <v>0.96329738479488847</v>
      </c>
      <c r="T126" s="56"/>
      <c r="U126" s="348">
        <f>IF(D126=0,0,SUM($L$20:L126))</f>
        <v>176554.18953715247</v>
      </c>
      <c r="V126" s="348">
        <f>IF(D126=0,0,SUM($J$20:J126))</f>
        <v>180664.32843936922</v>
      </c>
      <c r="W126" s="349">
        <f t="shared" si="41"/>
        <v>4110.1389022167423</v>
      </c>
      <c r="X126" s="41">
        <f t="shared" si="42"/>
        <v>1.0232797585432083</v>
      </c>
      <c r="Y126" s="17"/>
      <c r="Z126" s="23">
        <f t="shared" si="54"/>
        <v>45398</v>
      </c>
      <c r="AA126" s="22">
        <f t="shared" si="54"/>
        <v>45398</v>
      </c>
      <c r="AB126" s="137">
        <v>45398</v>
      </c>
      <c r="AC126" s="15"/>
      <c r="AD126" s="15"/>
      <c r="AE126" s="15"/>
      <c r="AF126" s="258"/>
      <c r="AG126" s="259"/>
      <c r="AH126" s="259"/>
      <c r="AI126" s="259"/>
      <c r="AJ126" s="259"/>
      <c r="AK126" s="15"/>
      <c r="AL126" s="134"/>
      <c r="AM126" s="134"/>
      <c r="AN126" s="18"/>
      <c r="AO126" s="18"/>
      <c r="AP126" s="18"/>
      <c r="AQ126" s="18"/>
      <c r="AR126" s="17"/>
      <c r="AS126" s="21">
        <f t="shared" si="49"/>
        <v>45398</v>
      </c>
      <c r="AT126" s="17"/>
      <c r="AU126" s="17"/>
      <c r="AV126" s="17"/>
      <c r="AW126" s="17"/>
      <c r="AX126" s="17"/>
      <c r="AY126" s="17"/>
      <c r="AZ126" s="17"/>
    </row>
    <row r="127" spans="1:52" ht="20">
      <c r="A127" s="17"/>
      <c r="B127" s="40"/>
      <c r="C127" s="55">
        <f t="shared" si="44"/>
        <v>108</v>
      </c>
      <c r="D127" s="54">
        <v>1</v>
      </c>
      <c r="E127" s="53" t="str">
        <f t="shared" si="36"/>
        <v>4</v>
      </c>
      <c r="F127" s="52">
        <f t="shared" si="45"/>
        <v>45399</v>
      </c>
      <c r="G127" s="51" t="str">
        <f t="shared" si="46"/>
        <v>Wed</v>
      </c>
      <c r="H127" s="50"/>
      <c r="I127" s="49"/>
      <c r="J127" s="343">
        <f>363500/$B$13</f>
        <v>3294.3628783759286</v>
      </c>
      <c r="K127" s="31"/>
      <c r="L127" s="317">
        <f t="shared" si="53"/>
        <v>2345.122062163317</v>
      </c>
      <c r="M127" s="318">
        <f t="shared" si="37"/>
        <v>949.24081621261166</v>
      </c>
      <c r="N127" s="41">
        <f t="shared" si="38"/>
        <v>1.4047724557829457</v>
      </c>
      <c r="O127" s="46"/>
      <c r="P127" s="328">
        <f>IF(D127=0,0,SUM($L$111:L127))</f>
        <v>35176.83093244976</v>
      </c>
      <c r="Q127" s="317">
        <f>IF(D127=0,0,SUM($J$111:J127))</f>
        <v>34921.062171470003</v>
      </c>
      <c r="R127" s="321">
        <f t="shared" si="39"/>
        <v>-255.76876097975764</v>
      </c>
      <c r="S127" s="41">
        <f t="shared" si="40"/>
        <v>0.99272905619409235</v>
      </c>
      <c r="T127" s="56"/>
      <c r="U127" s="348">
        <f>IF(D127=0,0,SUM($L$20:L127))</f>
        <v>178899.31159931578</v>
      </c>
      <c r="V127" s="348">
        <f>IF(D127=0,0,SUM($J$20:J127))</f>
        <v>183958.69131774514</v>
      </c>
      <c r="W127" s="349">
        <f t="shared" si="41"/>
        <v>5059.3797184293508</v>
      </c>
      <c r="X127" s="41">
        <f t="shared" si="42"/>
        <v>1.0282805991437292</v>
      </c>
      <c r="Y127" s="17"/>
      <c r="Z127" s="23">
        <f t="shared" si="54"/>
        <v>45399</v>
      </c>
      <c r="AA127" s="22">
        <f t="shared" si="54"/>
        <v>45399</v>
      </c>
      <c r="AB127" s="137">
        <v>45399</v>
      </c>
      <c r="AC127" s="260"/>
      <c r="AD127" s="15"/>
      <c r="AE127" s="261"/>
      <c r="AF127" s="262"/>
      <c r="AG127" s="263"/>
      <c r="AH127" s="263"/>
      <c r="AI127" s="263"/>
      <c r="AJ127" s="263"/>
      <c r="AK127" s="261"/>
      <c r="AL127" s="134"/>
      <c r="AM127" s="134"/>
      <c r="AN127" s="18"/>
      <c r="AO127" s="18"/>
      <c r="AP127" s="18"/>
      <c r="AQ127" s="18"/>
      <c r="AR127" s="17"/>
      <c r="AS127" s="21">
        <f t="shared" si="49"/>
        <v>45399</v>
      </c>
      <c r="AT127" s="17"/>
      <c r="AU127" s="17"/>
      <c r="AV127" s="17"/>
      <c r="AW127" s="17"/>
      <c r="AX127" s="17"/>
      <c r="AY127" s="17"/>
      <c r="AZ127" s="17"/>
    </row>
    <row r="128" spans="1:52" ht="20">
      <c r="A128" s="17"/>
      <c r="B128" s="40"/>
      <c r="C128" s="55">
        <f t="shared" si="44"/>
        <v>109</v>
      </c>
      <c r="D128" s="54">
        <v>1</v>
      </c>
      <c r="E128" s="53" t="str">
        <f t="shared" si="36"/>
        <v>4</v>
      </c>
      <c r="F128" s="52">
        <f t="shared" si="45"/>
        <v>45400</v>
      </c>
      <c r="G128" s="51" t="str">
        <f t="shared" si="46"/>
        <v>Thu</v>
      </c>
      <c r="H128" s="50"/>
      <c r="I128" s="49"/>
      <c r="J128" s="343">
        <f>258110/$B$13</f>
        <v>2339.2242160594524</v>
      </c>
      <c r="K128" s="31"/>
      <c r="L128" s="317">
        <f t="shared" si="53"/>
        <v>2345.122062163317</v>
      </c>
      <c r="M128" s="318">
        <f t="shared" si="37"/>
        <v>-5.8978461038645946</v>
      </c>
      <c r="N128" s="41">
        <f t="shared" si="38"/>
        <v>0.99748505794260278</v>
      </c>
      <c r="O128" s="46"/>
      <c r="P128" s="328">
        <f>IF(D128=0,0,SUM($L$111:L128))</f>
        <v>37521.952994613079</v>
      </c>
      <c r="Q128" s="317">
        <f>IF(D128=0,0,SUM($J$111:J128))</f>
        <v>37260.286387529457</v>
      </c>
      <c r="R128" s="321">
        <f t="shared" si="39"/>
        <v>-261.66660708362178</v>
      </c>
      <c r="S128" s="41">
        <f t="shared" si="40"/>
        <v>0.99302630630337418</v>
      </c>
      <c r="T128" s="56"/>
      <c r="U128" s="348">
        <f>IF(D128=0,0,SUM($L$20:L128))</f>
        <v>181244.4336614791</v>
      </c>
      <c r="V128" s="348">
        <f>IF(D128=0,0,SUM($J$20:J128))</f>
        <v>186297.9155338046</v>
      </c>
      <c r="W128" s="349">
        <f t="shared" si="41"/>
        <v>5053.4818723255012</v>
      </c>
      <c r="X128" s="41">
        <f t="shared" si="42"/>
        <v>1.0278821355792045</v>
      </c>
      <c r="Y128" s="17"/>
      <c r="Z128" s="23">
        <f t="shared" si="54"/>
        <v>45400</v>
      </c>
      <c r="AA128" s="22">
        <f t="shared" si="54"/>
        <v>45400</v>
      </c>
      <c r="AB128" s="137">
        <v>45400</v>
      </c>
      <c r="AC128" s="260"/>
      <c r="AD128" s="261"/>
      <c r="AE128" s="261"/>
      <c r="AF128" s="262"/>
      <c r="AG128" s="263"/>
      <c r="AH128" s="263"/>
      <c r="AI128" s="263"/>
      <c r="AJ128" s="263"/>
      <c r="AK128" s="261"/>
      <c r="AL128" s="134"/>
      <c r="AM128" s="134"/>
      <c r="AN128" s="18"/>
      <c r="AO128" s="18"/>
      <c r="AP128" s="18"/>
      <c r="AQ128" s="18"/>
      <c r="AR128" s="17"/>
      <c r="AS128" s="21">
        <f t="shared" si="49"/>
        <v>45400</v>
      </c>
      <c r="AT128" s="17"/>
      <c r="AU128" s="17"/>
      <c r="AV128" s="17"/>
      <c r="AW128" s="17"/>
      <c r="AX128" s="17"/>
      <c r="AY128" s="17"/>
      <c r="AZ128" s="17"/>
    </row>
    <row r="129" spans="1:52" ht="20">
      <c r="A129" s="17"/>
      <c r="B129" s="40"/>
      <c r="C129" s="55">
        <f t="shared" si="44"/>
        <v>110</v>
      </c>
      <c r="D129" s="54">
        <v>1</v>
      </c>
      <c r="E129" s="53" t="str">
        <f t="shared" si="36"/>
        <v>4</v>
      </c>
      <c r="F129" s="52">
        <f t="shared" si="45"/>
        <v>45401</v>
      </c>
      <c r="G129" s="51" t="str">
        <f t="shared" si="46"/>
        <v>Fri</v>
      </c>
      <c r="H129" s="50"/>
      <c r="I129" s="49"/>
      <c r="J129" s="343">
        <f>254550/$B$13</f>
        <v>2306.9603045133222</v>
      </c>
      <c r="K129" s="31"/>
      <c r="L129" s="317">
        <f t="shared" si="53"/>
        <v>2345.122062163317</v>
      </c>
      <c r="M129" s="318">
        <f t="shared" si="37"/>
        <v>-38.161757649994797</v>
      </c>
      <c r="N129" s="41">
        <f t="shared" si="38"/>
        <v>0.98372717639490737</v>
      </c>
      <c r="O129" s="46"/>
      <c r="P129" s="328">
        <f>IF(D129=0,0,SUM($L$111:L129))</f>
        <v>39867.075056776397</v>
      </c>
      <c r="Q129" s="317">
        <f>IF(D129=0,0,SUM($J$111:J129))</f>
        <v>39567.246692042776</v>
      </c>
      <c r="R129" s="321">
        <f t="shared" si="39"/>
        <v>-299.82836473362113</v>
      </c>
      <c r="S129" s="41">
        <f t="shared" si="40"/>
        <v>0.99247929866169959</v>
      </c>
      <c r="T129" s="56"/>
      <c r="U129" s="348">
        <f>IF(D129=0,0,SUM($L$20:L129))</f>
        <v>183589.55572364241</v>
      </c>
      <c r="V129" s="348">
        <f>IF(D129=0,0,SUM($J$20:J129))</f>
        <v>188604.87583831791</v>
      </c>
      <c r="W129" s="349">
        <f t="shared" si="41"/>
        <v>5015.3201146755018</v>
      </c>
      <c r="X129" s="41">
        <f t="shared" si="42"/>
        <v>1.0273181123779451</v>
      </c>
      <c r="Y129" s="17"/>
      <c r="Z129" s="23">
        <f t="shared" si="54"/>
        <v>45401</v>
      </c>
      <c r="AA129" s="22">
        <f t="shared" si="54"/>
        <v>45401</v>
      </c>
      <c r="AB129" s="137">
        <v>45401</v>
      </c>
      <c r="AC129" s="137"/>
      <c r="AD129" s="134"/>
      <c r="AE129" s="134"/>
      <c r="AF129" s="139"/>
      <c r="AG129" s="256"/>
      <c r="AH129" s="256"/>
      <c r="AI129" s="256"/>
      <c r="AJ129" s="256"/>
      <c r="AK129" s="134"/>
      <c r="AL129" s="134"/>
      <c r="AM129" s="134"/>
      <c r="AN129" s="18"/>
      <c r="AO129" s="18"/>
      <c r="AP129" s="18"/>
      <c r="AQ129" s="18"/>
      <c r="AR129" s="17"/>
      <c r="AS129" s="21">
        <f t="shared" si="49"/>
        <v>45401</v>
      </c>
      <c r="AT129" s="17"/>
      <c r="AU129" s="17"/>
      <c r="AV129" s="17"/>
      <c r="AW129" s="17"/>
      <c r="AX129" s="17"/>
      <c r="AY129" s="17"/>
      <c r="AZ129" s="17"/>
    </row>
    <row r="130" spans="1:52" ht="20">
      <c r="A130" s="17"/>
      <c r="B130" s="40"/>
      <c r="C130" s="55">
        <f t="shared" si="44"/>
        <v>111</v>
      </c>
      <c r="D130" s="54">
        <v>1</v>
      </c>
      <c r="E130" s="53" t="str">
        <f t="shared" si="36"/>
        <v>4</v>
      </c>
      <c r="F130" s="52">
        <f t="shared" si="45"/>
        <v>45402</v>
      </c>
      <c r="G130" s="51" t="str">
        <f t="shared" si="46"/>
        <v>Sat</v>
      </c>
      <c r="H130" s="50"/>
      <c r="I130" s="49"/>
      <c r="J130" s="343">
        <f>425590/$B$13</f>
        <v>3857.0781221678449</v>
      </c>
      <c r="K130" s="31"/>
      <c r="L130" s="317">
        <f t="shared" si="53"/>
        <v>2345.122062163317</v>
      </c>
      <c r="M130" s="318">
        <f t="shared" si="37"/>
        <v>1511.9560600045279</v>
      </c>
      <c r="N130" s="41">
        <f t="shared" si="38"/>
        <v>1.6447238224392404</v>
      </c>
      <c r="O130" s="46"/>
      <c r="P130" s="328">
        <f>IF(D130=0,0,SUM($L$111:L130))</f>
        <v>42212.197118939715</v>
      </c>
      <c r="Q130" s="317">
        <f>IF(D130=0,0,SUM($J$111:J130))</f>
        <v>43424.324814210624</v>
      </c>
      <c r="R130" s="321">
        <f t="shared" si="39"/>
        <v>1212.1276952709086</v>
      </c>
      <c r="S130" s="41">
        <f t="shared" si="40"/>
        <v>1.0287151055382298</v>
      </c>
      <c r="T130" s="44"/>
      <c r="U130" s="348">
        <f>IF(D130=0,0,SUM($L$20:L130))</f>
        <v>185934.67778580572</v>
      </c>
      <c r="V130" s="348">
        <f>IF(D130=0,0,SUM($J$20:J130))</f>
        <v>192461.95396048576</v>
      </c>
      <c r="W130" s="349">
        <f t="shared" si="41"/>
        <v>6527.2761746800388</v>
      </c>
      <c r="X130" s="41">
        <f t="shared" si="42"/>
        <v>1.0351052114237633</v>
      </c>
      <c r="Y130" s="17"/>
      <c r="Z130" s="23">
        <f t="shared" si="54"/>
        <v>45402</v>
      </c>
      <c r="AA130" s="22">
        <f t="shared" si="54"/>
        <v>45402</v>
      </c>
      <c r="AB130" s="137">
        <v>45402</v>
      </c>
      <c r="AC130" s="137"/>
      <c r="AD130" s="134"/>
      <c r="AE130" s="134"/>
      <c r="AF130" s="139"/>
      <c r="AG130" s="256"/>
      <c r="AH130" s="256"/>
      <c r="AI130" s="256"/>
      <c r="AJ130" s="256"/>
      <c r="AK130" s="134"/>
      <c r="AL130" s="134"/>
      <c r="AM130" s="134"/>
      <c r="AN130" s="18"/>
      <c r="AO130" s="18"/>
      <c r="AP130" s="18"/>
      <c r="AQ130" s="18"/>
      <c r="AR130" s="17"/>
      <c r="AS130" s="21">
        <f t="shared" si="49"/>
        <v>45402</v>
      </c>
      <c r="AT130" s="17"/>
      <c r="AU130" s="17"/>
      <c r="AV130" s="17"/>
      <c r="AW130" s="17"/>
      <c r="AX130" s="17"/>
      <c r="AY130" s="17"/>
      <c r="AZ130" s="17"/>
    </row>
    <row r="131" spans="1:52" ht="20">
      <c r="A131" s="17"/>
      <c r="B131" s="40"/>
      <c r="C131" s="55">
        <f t="shared" si="44"/>
        <v>112</v>
      </c>
      <c r="D131" s="54">
        <v>0</v>
      </c>
      <c r="E131" s="53" t="str">
        <f t="shared" si="36"/>
        <v>4</v>
      </c>
      <c r="F131" s="52">
        <f t="shared" si="45"/>
        <v>45403</v>
      </c>
      <c r="G131" s="51" t="str">
        <f t="shared" si="46"/>
        <v>Sun</v>
      </c>
      <c r="H131" s="50" t="s">
        <v>46</v>
      </c>
      <c r="I131" s="49"/>
      <c r="J131" s="343"/>
      <c r="K131" s="31"/>
      <c r="L131" s="317">
        <f t="shared" si="53"/>
        <v>0</v>
      </c>
      <c r="M131" s="318">
        <f t="shared" si="37"/>
        <v>0</v>
      </c>
      <c r="N131" s="41" t="str">
        <f t="shared" si="38"/>
        <v>0%</v>
      </c>
      <c r="O131" s="46"/>
      <c r="P131" s="328">
        <f>IF(D131=0,0,SUM($L$111:L131))</f>
        <v>0</v>
      </c>
      <c r="Q131" s="317">
        <f>IF(D131=0,0,SUM($J$111:J131))</f>
        <v>0</v>
      </c>
      <c r="R131" s="321">
        <f t="shared" si="39"/>
        <v>0</v>
      </c>
      <c r="S131" s="41" t="str">
        <f t="shared" si="40"/>
        <v>0%</v>
      </c>
      <c r="T131" s="56"/>
      <c r="U131" s="348">
        <f>IF(D131=0,0,SUM($L$20:L131))</f>
        <v>0</v>
      </c>
      <c r="V131" s="348">
        <f>IF(D131=0,0,SUM($J$20:J131))</f>
        <v>0</v>
      </c>
      <c r="W131" s="349">
        <f t="shared" si="41"/>
        <v>0</v>
      </c>
      <c r="X131" s="41" t="str">
        <f t="shared" si="42"/>
        <v>0%</v>
      </c>
      <c r="Y131" s="17"/>
      <c r="Z131" s="23">
        <f t="shared" si="54"/>
        <v>45403</v>
      </c>
      <c r="AA131" s="22">
        <f t="shared" si="54"/>
        <v>45403</v>
      </c>
      <c r="AB131" s="137">
        <v>45403</v>
      </c>
      <c r="AC131" s="137"/>
      <c r="AD131" s="134"/>
      <c r="AE131" s="134"/>
      <c r="AF131" s="139"/>
      <c r="AG131" s="256"/>
      <c r="AH131" s="256"/>
      <c r="AI131" s="256"/>
      <c r="AJ131" s="256"/>
      <c r="AK131" s="134"/>
      <c r="AL131" s="134"/>
      <c r="AM131" s="134"/>
      <c r="AN131" s="18"/>
      <c r="AO131" s="18"/>
      <c r="AP131" s="18"/>
      <c r="AQ131" s="18"/>
      <c r="AR131" s="17"/>
      <c r="AS131" s="21">
        <f t="shared" si="49"/>
        <v>45403</v>
      </c>
      <c r="AT131" s="17"/>
      <c r="AU131" s="17"/>
      <c r="AV131" s="17"/>
      <c r="AW131" s="17"/>
      <c r="AX131" s="17"/>
      <c r="AY131" s="17"/>
      <c r="AZ131" s="17"/>
    </row>
    <row r="132" spans="1:52" ht="20">
      <c r="A132" s="17"/>
      <c r="B132" s="40"/>
      <c r="C132" s="55">
        <f t="shared" si="44"/>
        <v>113</v>
      </c>
      <c r="D132" s="54">
        <v>1</v>
      </c>
      <c r="E132" s="53" t="str">
        <f t="shared" si="36"/>
        <v>4</v>
      </c>
      <c r="F132" s="52">
        <f t="shared" si="45"/>
        <v>45404</v>
      </c>
      <c r="G132" s="51" t="str">
        <f t="shared" si="46"/>
        <v>Mon</v>
      </c>
      <c r="H132" s="50"/>
      <c r="I132" s="49"/>
      <c r="J132" s="343">
        <f>255610/$B$13</f>
        <v>2316.5669748051478</v>
      </c>
      <c r="K132" s="31"/>
      <c r="L132" s="317">
        <f t="shared" si="53"/>
        <v>2345.122062163317</v>
      </c>
      <c r="M132" s="318">
        <f t="shared" si="37"/>
        <v>-28.555087358169203</v>
      </c>
      <c r="N132" s="41">
        <f t="shared" si="38"/>
        <v>0.98782362427146853</v>
      </c>
      <c r="O132" s="46"/>
      <c r="P132" s="328">
        <f>IF(D132=0,0,SUM($L$111:L132))</f>
        <v>44557.319181103034</v>
      </c>
      <c r="Q132" s="317">
        <f>IF(D132=0,0,SUM($J$111:J132))</f>
        <v>45740.891789015775</v>
      </c>
      <c r="R132" s="321">
        <f t="shared" si="39"/>
        <v>1183.5726079127417</v>
      </c>
      <c r="S132" s="41">
        <f t="shared" si="40"/>
        <v>1.0265629223136634</v>
      </c>
      <c r="T132" s="56"/>
      <c r="U132" s="348">
        <f>IF(D132=0,0,SUM($L$20:L132))</f>
        <v>188279.79984796903</v>
      </c>
      <c r="V132" s="348">
        <f>IF(D132=0,0,SUM($J$20:J132))</f>
        <v>194778.5209352909</v>
      </c>
      <c r="W132" s="349">
        <f t="shared" si="41"/>
        <v>6498.7210873218719</v>
      </c>
      <c r="X132" s="41">
        <f t="shared" si="42"/>
        <v>1.0345162948578095</v>
      </c>
      <c r="Y132" s="17"/>
      <c r="Z132" s="23">
        <f t="shared" si="54"/>
        <v>45404</v>
      </c>
      <c r="AA132" s="22">
        <f t="shared" si="54"/>
        <v>45404</v>
      </c>
      <c r="AB132" s="137">
        <v>45404</v>
      </c>
      <c r="AC132" s="137"/>
      <c r="AD132" s="134"/>
      <c r="AE132" s="134"/>
      <c r="AF132" s="139"/>
      <c r="AG132" s="256"/>
      <c r="AH132" s="256"/>
      <c r="AI132" s="256"/>
      <c r="AJ132" s="256"/>
      <c r="AK132" s="134"/>
      <c r="AL132" s="134"/>
      <c r="AM132" s="134"/>
      <c r="AN132" s="18"/>
      <c r="AO132" s="18"/>
      <c r="AP132" s="18"/>
      <c r="AQ132" s="18"/>
      <c r="AR132" s="17"/>
      <c r="AS132" s="21">
        <f t="shared" si="49"/>
        <v>45404</v>
      </c>
      <c r="AT132" s="17"/>
      <c r="AU132" s="17"/>
      <c r="AV132" s="17"/>
      <c r="AW132" s="17"/>
      <c r="AX132" s="17"/>
      <c r="AY132" s="17"/>
      <c r="AZ132" s="17"/>
    </row>
    <row r="133" spans="1:52" ht="20">
      <c r="A133" s="17"/>
      <c r="B133" s="40"/>
      <c r="C133" s="55">
        <f t="shared" si="44"/>
        <v>114</v>
      </c>
      <c r="D133" s="54">
        <v>1</v>
      </c>
      <c r="E133" s="53" t="str">
        <f t="shared" si="36"/>
        <v>4</v>
      </c>
      <c r="F133" s="52">
        <f t="shared" si="45"/>
        <v>45405</v>
      </c>
      <c r="G133" s="51" t="str">
        <f t="shared" si="46"/>
        <v>Tue</v>
      </c>
      <c r="H133" s="50"/>
      <c r="I133" s="49"/>
      <c r="J133" s="343">
        <f>215740/$B$13</f>
        <v>1955.2292912814935</v>
      </c>
      <c r="K133" s="31"/>
      <c r="L133" s="317">
        <f t="shared" si="53"/>
        <v>2345.122062163317</v>
      </c>
      <c r="M133" s="318">
        <f t="shared" si="37"/>
        <v>-389.89277088182348</v>
      </c>
      <c r="N133" s="41">
        <f t="shared" si="38"/>
        <v>0.8337430800842166</v>
      </c>
      <c r="O133" s="46"/>
      <c r="P133" s="328">
        <f>IF(D133=0,0,SUM($L$111:L133))</f>
        <v>46902.441243266352</v>
      </c>
      <c r="Q133" s="317">
        <f>IF(D133=0,0,SUM($J$111:J133))</f>
        <v>47696.121080297271</v>
      </c>
      <c r="R133" s="321">
        <f t="shared" si="39"/>
        <v>793.67983703091886</v>
      </c>
      <c r="S133" s="41">
        <f t="shared" si="40"/>
        <v>1.016921930202191</v>
      </c>
      <c r="T133" s="56"/>
      <c r="U133" s="348">
        <f>IF(D133=0,0,SUM($L$20:L133))</f>
        <v>190624.92191013234</v>
      </c>
      <c r="V133" s="348">
        <f>IF(D133=0,0,SUM($J$20:J133))</f>
        <v>196733.75022657239</v>
      </c>
      <c r="W133" s="349">
        <f t="shared" si="41"/>
        <v>6108.8283164400491</v>
      </c>
      <c r="X133" s="41">
        <f t="shared" si="42"/>
        <v>1.0320463256075194</v>
      </c>
      <c r="Y133" s="17"/>
      <c r="Z133" s="23">
        <f t="shared" ref="Z133:AA148" si="55">Z132+1</f>
        <v>45405</v>
      </c>
      <c r="AA133" s="22">
        <f t="shared" si="55"/>
        <v>45405</v>
      </c>
      <c r="AB133" s="137">
        <v>45405</v>
      </c>
      <c r="AC133" s="137"/>
      <c r="AD133" s="134"/>
      <c r="AE133" s="134"/>
      <c r="AF133" s="139"/>
      <c r="AG133" s="256"/>
      <c r="AH133" s="256"/>
      <c r="AI133" s="256"/>
      <c r="AJ133" s="256"/>
      <c r="AK133" s="134"/>
      <c r="AL133" s="134"/>
      <c r="AM133" s="134"/>
      <c r="AN133" s="18"/>
      <c r="AO133" s="18"/>
      <c r="AP133" s="18"/>
      <c r="AQ133" s="18"/>
      <c r="AR133" s="17"/>
      <c r="AS133" s="21">
        <f t="shared" si="49"/>
        <v>45405</v>
      </c>
      <c r="AT133" s="17"/>
      <c r="AU133" s="17"/>
      <c r="AV133" s="17"/>
      <c r="AW133" s="17"/>
      <c r="AX133" s="17"/>
      <c r="AY133" s="17"/>
      <c r="AZ133" s="17"/>
    </row>
    <row r="134" spans="1:52" ht="20">
      <c r="A134" s="17"/>
      <c r="B134" s="40"/>
      <c r="C134" s="55">
        <f t="shared" si="44"/>
        <v>115</v>
      </c>
      <c r="D134" s="54">
        <v>1</v>
      </c>
      <c r="E134" s="53" t="str">
        <f t="shared" si="36"/>
        <v>4</v>
      </c>
      <c r="F134" s="52">
        <f t="shared" si="45"/>
        <v>45406</v>
      </c>
      <c r="G134" s="51" t="str">
        <f t="shared" si="46"/>
        <v>Wed</v>
      </c>
      <c r="H134" s="50"/>
      <c r="I134" s="49"/>
      <c r="J134" s="343">
        <f>302880/$B$13</f>
        <v>2744.9700924415442</v>
      </c>
      <c r="K134" s="31"/>
      <c r="L134" s="317">
        <f t="shared" si="53"/>
        <v>2345.122062163317</v>
      </c>
      <c r="M134" s="318">
        <f t="shared" si="37"/>
        <v>399.84803027822727</v>
      </c>
      <c r="N134" s="41">
        <f t="shared" si="38"/>
        <v>1.1705020121252783</v>
      </c>
      <c r="O134" s="46"/>
      <c r="P134" s="328">
        <f>IF(D134=0,0,SUM($L$111:L134))</f>
        <v>49247.56330542967</v>
      </c>
      <c r="Q134" s="317">
        <f>IF(D134=0,0,SUM($J$111:J134))</f>
        <v>50441.091172738816</v>
      </c>
      <c r="R134" s="321">
        <f t="shared" si="39"/>
        <v>1193.5278673091452</v>
      </c>
      <c r="S134" s="41">
        <f t="shared" si="40"/>
        <v>1.0242352674366237</v>
      </c>
      <c r="T134" s="56"/>
      <c r="U134" s="348">
        <f>IF(D134=0,0,SUM($L$20:L134))</f>
        <v>192970.04397229565</v>
      </c>
      <c r="V134" s="348">
        <f>IF(D134=0,0,SUM($J$20:J134))</f>
        <v>199478.72031901393</v>
      </c>
      <c r="W134" s="349">
        <f t="shared" si="41"/>
        <v>6508.6763467182755</v>
      </c>
      <c r="X134" s="41">
        <f t="shared" si="42"/>
        <v>1.0337289467978392</v>
      </c>
      <c r="Y134" s="17"/>
      <c r="Z134" s="23">
        <f t="shared" si="55"/>
        <v>45406</v>
      </c>
      <c r="AA134" s="22">
        <f t="shared" si="55"/>
        <v>45406</v>
      </c>
      <c r="AB134" s="137">
        <v>45406</v>
      </c>
      <c r="AC134" s="137"/>
      <c r="AD134" s="134"/>
      <c r="AE134" s="134"/>
      <c r="AF134" s="139"/>
      <c r="AG134" s="256"/>
      <c r="AH134" s="256"/>
      <c r="AI134" s="256"/>
      <c r="AJ134" s="256"/>
      <c r="AK134" s="134"/>
      <c r="AL134" s="134"/>
      <c r="AM134" s="134"/>
      <c r="AN134" s="18"/>
      <c r="AO134" s="18"/>
      <c r="AP134" s="18"/>
      <c r="AQ134" s="18"/>
      <c r="AR134" s="17"/>
      <c r="AS134" s="21">
        <f t="shared" si="49"/>
        <v>45406</v>
      </c>
      <c r="AT134" s="17"/>
      <c r="AU134" s="17"/>
      <c r="AV134" s="17"/>
      <c r="AW134" s="17"/>
      <c r="AX134" s="17"/>
      <c r="AY134" s="17"/>
      <c r="AZ134" s="17"/>
    </row>
    <row r="135" spans="1:52" ht="20">
      <c r="A135" s="17"/>
      <c r="B135" s="40"/>
      <c r="C135" s="55">
        <f t="shared" si="44"/>
        <v>116</v>
      </c>
      <c r="D135" s="54">
        <v>1</v>
      </c>
      <c r="E135" s="53" t="str">
        <f t="shared" si="36"/>
        <v>4</v>
      </c>
      <c r="F135" s="52">
        <f t="shared" si="45"/>
        <v>45407</v>
      </c>
      <c r="G135" s="51" t="str">
        <f t="shared" si="46"/>
        <v>Thu</v>
      </c>
      <c r="H135" s="50"/>
      <c r="I135" s="49"/>
      <c r="J135" s="343">
        <f>391500/$B$13</f>
        <v>3548.1239804241436</v>
      </c>
      <c r="K135" s="31"/>
      <c r="L135" s="317">
        <f t="shared" si="53"/>
        <v>2345.122062163317</v>
      </c>
      <c r="M135" s="318">
        <f t="shared" si="37"/>
        <v>1203.0019182608266</v>
      </c>
      <c r="N135" s="41">
        <f t="shared" si="38"/>
        <v>1.5129805128996514</v>
      </c>
      <c r="O135" s="46"/>
      <c r="P135" s="328">
        <f>IF(D135=0,0,SUM($L$111:L135))</f>
        <v>51592.685367592989</v>
      </c>
      <c r="Q135" s="317">
        <f>IF(D135=0,0,SUM($J$111:J135))</f>
        <v>53989.215153162957</v>
      </c>
      <c r="R135" s="321">
        <f t="shared" si="39"/>
        <v>2396.5297855699682</v>
      </c>
      <c r="S135" s="41">
        <f t="shared" si="40"/>
        <v>1.0464509604122159</v>
      </c>
      <c r="T135" s="56"/>
      <c r="U135" s="348">
        <f>IF(D135=0,0,SUM($L$20:L135))</f>
        <v>195315.16603445896</v>
      </c>
      <c r="V135" s="348">
        <f>IF(D135=0,0,SUM($J$20:J135))</f>
        <v>203026.84429943806</v>
      </c>
      <c r="W135" s="349">
        <f t="shared" si="41"/>
        <v>7711.6782649790985</v>
      </c>
      <c r="X135" s="41">
        <f t="shared" si="42"/>
        <v>1.0394832537664718</v>
      </c>
      <c r="Y135" s="17"/>
      <c r="Z135" s="23">
        <f t="shared" si="55"/>
        <v>45407</v>
      </c>
      <c r="AA135" s="22">
        <f t="shared" si="55"/>
        <v>45407</v>
      </c>
      <c r="AB135" s="137">
        <v>45407</v>
      </c>
      <c r="AC135" s="137"/>
      <c r="AD135" s="134"/>
      <c r="AE135" s="134"/>
      <c r="AF135" s="139"/>
      <c r="AG135" s="256"/>
      <c r="AH135" s="256"/>
      <c r="AI135" s="256"/>
      <c r="AJ135" s="256"/>
      <c r="AK135" s="134"/>
      <c r="AL135" s="134"/>
      <c r="AM135" s="134"/>
      <c r="AN135" s="18"/>
      <c r="AO135" s="18"/>
      <c r="AP135" s="18"/>
      <c r="AQ135" s="18"/>
      <c r="AR135" s="17"/>
      <c r="AS135" s="21">
        <f t="shared" si="49"/>
        <v>45407</v>
      </c>
      <c r="AT135" s="17"/>
      <c r="AU135" s="17"/>
      <c r="AV135" s="17"/>
      <c r="AW135" s="17"/>
      <c r="AX135" s="17"/>
      <c r="AY135" s="17"/>
      <c r="AZ135" s="17"/>
    </row>
    <row r="136" spans="1:52" ht="20">
      <c r="A136" s="17"/>
      <c r="B136" s="40"/>
      <c r="C136" s="55">
        <f t="shared" si="44"/>
        <v>117</v>
      </c>
      <c r="D136" s="54">
        <v>1</v>
      </c>
      <c r="E136" s="53" t="str">
        <f t="shared" si="36"/>
        <v>4</v>
      </c>
      <c r="F136" s="52">
        <f t="shared" si="45"/>
        <v>45408</v>
      </c>
      <c r="G136" s="51" t="str">
        <f t="shared" si="46"/>
        <v>Fri</v>
      </c>
      <c r="H136" s="50"/>
      <c r="I136" s="49"/>
      <c r="J136" s="343">
        <f>361420/$B$13</f>
        <v>3275.5120536523473</v>
      </c>
      <c r="K136" s="31"/>
      <c r="L136" s="317">
        <f t="shared" si="53"/>
        <v>2345.122062163317</v>
      </c>
      <c r="M136" s="318">
        <f t="shared" si="37"/>
        <v>930.38999148903031</v>
      </c>
      <c r="N136" s="41">
        <f t="shared" si="38"/>
        <v>1.396734142968562</v>
      </c>
      <c r="O136" s="46"/>
      <c r="P136" s="328">
        <f>IF(D136=0,0,SUM($L$111:L136))</f>
        <v>53937.807429756307</v>
      </c>
      <c r="Q136" s="317">
        <f>IF(D136=0,0,SUM($J$111:J136))</f>
        <v>57264.727206815303</v>
      </c>
      <c r="R136" s="321">
        <f t="shared" si="39"/>
        <v>3326.9197770589963</v>
      </c>
      <c r="S136" s="41">
        <f t="shared" si="40"/>
        <v>1.0616806640016221</v>
      </c>
      <c r="T136" s="56"/>
      <c r="U136" s="348">
        <f>IF(D136=0,0,SUM($L$20:L136))</f>
        <v>197660.28809662227</v>
      </c>
      <c r="V136" s="348">
        <f>IF(D136=0,0,SUM($J$20:J136))</f>
        <v>206302.35635309041</v>
      </c>
      <c r="W136" s="349">
        <f t="shared" si="41"/>
        <v>8642.0682564681338</v>
      </c>
      <c r="X136" s="41">
        <f t="shared" si="42"/>
        <v>1.043721823638361</v>
      </c>
      <c r="Y136" s="17"/>
      <c r="Z136" s="23">
        <f t="shared" si="55"/>
        <v>45408</v>
      </c>
      <c r="AA136" s="22">
        <f t="shared" si="55"/>
        <v>45408</v>
      </c>
      <c r="AB136" s="137">
        <v>45408</v>
      </c>
      <c r="AC136" s="137"/>
      <c r="AD136" s="134"/>
      <c r="AE136" s="134"/>
      <c r="AF136" s="139"/>
      <c r="AG136" s="256"/>
      <c r="AH136" s="256"/>
      <c r="AI136" s="256"/>
      <c r="AJ136" s="256"/>
      <c r="AK136" s="134"/>
      <c r="AL136" s="134"/>
      <c r="AM136" s="134"/>
      <c r="AN136" s="18"/>
      <c r="AO136" s="18"/>
      <c r="AP136" s="18"/>
      <c r="AQ136" s="18"/>
      <c r="AR136" s="17"/>
      <c r="AS136" s="21">
        <f t="shared" si="49"/>
        <v>45408</v>
      </c>
      <c r="AT136" s="17"/>
      <c r="AU136" s="17"/>
      <c r="AV136" s="17"/>
      <c r="AW136" s="17"/>
      <c r="AX136" s="17"/>
      <c r="AY136" s="17"/>
      <c r="AZ136" s="17"/>
    </row>
    <row r="137" spans="1:52" ht="20">
      <c r="A137" s="17"/>
      <c r="B137" s="40"/>
      <c r="C137" s="55">
        <f t="shared" si="44"/>
        <v>118</v>
      </c>
      <c r="D137" s="54">
        <v>1</v>
      </c>
      <c r="E137" s="53" t="str">
        <f t="shared" si="36"/>
        <v>4</v>
      </c>
      <c r="F137" s="52">
        <f t="shared" si="45"/>
        <v>45409</v>
      </c>
      <c r="G137" s="51" t="str">
        <f t="shared" si="46"/>
        <v>Sat</v>
      </c>
      <c r="H137" s="50"/>
      <c r="I137" s="49"/>
      <c r="J137" s="343">
        <f>95830/$B$13</f>
        <v>868.49737176001452</v>
      </c>
      <c r="K137" s="31"/>
      <c r="L137" s="317">
        <f t="shared" si="53"/>
        <v>2345.122062163317</v>
      </c>
      <c r="M137" s="318">
        <f t="shared" si="37"/>
        <v>-1476.6246904033023</v>
      </c>
      <c r="N137" s="41">
        <f t="shared" si="38"/>
        <v>0.37034207548192488</v>
      </c>
      <c r="O137" s="46"/>
      <c r="P137" s="328">
        <f>IF(D137=0,0,SUM($L$111:L137))</f>
        <v>56282.929491919625</v>
      </c>
      <c r="Q137" s="317">
        <f>IF(D137=0,0,SUM($J$111:J137))</f>
        <v>58133.224578575318</v>
      </c>
      <c r="R137" s="321">
        <f t="shared" si="39"/>
        <v>1850.295086655693</v>
      </c>
      <c r="S137" s="41">
        <f t="shared" si="40"/>
        <v>1.032874889479968</v>
      </c>
      <c r="T137" s="44"/>
      <c r="U137" s="348">
        <f>IF(D137=0,0,SUM($L$20:L137))</f>
        <v>200005.41015878558</v>
      </c>
      <c r="V137" s="348">
        <f>IF(D137=0,0,SUM($J$20:J137))</f>
        <v>207170.85372485043</v>
      </c>
      <c r="W137" s="349">
        <f t="shared" si="41"/>
        <v>7165.4435660648451</v>
      </c>
      <c r="X137" s="41">
        <f t="shared" si="42"/>
        <v>1.0358262487018535</v>
      </c>
      <c r="Y137" s="17"/>
      <c r="Z137" s="23">
        <f t="shared" si="55"/>
        <v>45409</v>
      </c>
      <c r="AA137" s="22">
        <f t="shared" si="55"/>
        <v>45409</v>
      </c>
      <c r="AB137" s="137">
        <v>45409</v>
      </c>
      <c r="AC137" s="137"/>
      <c r="AD137" s="134"/>
      <c r="AE137" s="134"/>
      <c r="AF137" s="139"/>
      <c r="AG137" s="256"/>
      <c r="AH137" s="256"/>
      <c r="AI137" s="256"/>
      <c r="AJ137" s="256"/>
      <c r="AK137" s="134"/>
      <c r="AL137" s="134"/>
      <c r="AM137" s="134"/>
      <c r="AN137" s="18"/>
      <c r="AO137" s="18"/>
      <c r="AP137" s="18"/>
      <c r="AQ137" s="18"/>
      <c r="AR137" s="17"/>
      <c r="AS137" s="21">
        <f t="shared" si="49"/>
        <v>45409</v>
      </c>
      <c r="AT137" s="17"/>
      <c r="AU137" s="17"/>
      <c r="AV137" s="17"/>
      <c r="AW137" s="17"/>
      <c r="AX137" s="17"/>
      <c r="AY137" s="17"/>
      <c r="AZ137" s="17"/>
    </row>
    <row r="138" spans="1:52" ht="20">
      <c r="A138" s="17"/>
      <c r="B138" s="40"/>
      <c r="C138" s="55">
        <f t="shared" si="44"/>
        <v>119</v>
      </c>
      <c r="D138" s="54">
        <v>0</v>
      </c>
      <c r="E138" s="53" t="str">
        <f t="shared" si="36"/>
        <v>4</v>
      </c>
      <c r="F138" s="52">
        <f t="shared" si="45"/>
        <v>45410</v>
      </c>
      <c r="G138" s="51" t="str">
        <f t="shared" si="46"/>
        <v>Sun</v>
      </c>
      <c r="H138" s="50" t="s">
        <v>46</v>
      </c>
      <c r="I138" s="49"/>
      <c r="J138" s="343"/>
      <c r="K138" s="31"/>
      <c r="L138" s="317">
        <f t="shared" si="53"/>
        <v>0</v>
      </c>
      <c r="M138" s="318">
        <f t="shared" si="37"/>
        <v>0</v>
      </c>
      <c r="N138" s="41" t="str">
        <f t="shared" si="38"/>
        <v>0%</v>
      </c>
      <c r="O138" s="46"/>
      <c r="P138" s="328">
        <f>IF(D138=0,0,SUM($L$111:L138))</f>
        <v>0</v>
      </c>
      <c r="Q138" s="317">
        <f>IF(D138=0,0,SUM($J$111:J138))</f>
        <v>0</v>
      </c>
      <c r="R138" s="321">
        <f t="shared" si="39"/>
        <v>0</v>
      </c>
      <c r="S138" s="41" t="str">
        <f t="shared" si="40"/>
        <v>0%</v>
      </c>
      <c r="T138" s="56"/>
      <c r="U138" s="348">
        <f>IF(D138=0,0,SUM($L$20:L138))</f>
        <v>0</v>
      </c>
      <c r="V138" s="348">
        <f>IF(D138=0,0,SUM($J$20:J138))</f>
        <v>0</v>
      </c>
      <c r="W138" s="349">
        <f t="shared" si="41"/>
        <v>0</v>
      </c>
      <c r="X138" s="41" t="str">
        <f t="shared" si="42"/>
        <v>0%</v>
      </c>
      <c r="Y138" s="17"/>
      <c r="Z138" s="23">
        <f t="shared" si="55"/>
        <v>45410</v>
      </c>
      <c r="AA138" s="22">
        <f t="shared" si="55"/>
        <v>45410</v>
      </c>
      <c r="AB138" s="137">
        <v>45410</v>
      </c>
      <c r="AC138" s="137"/>
      <c r="AD138" s="134"/>
      <c r="AE138" s="134"/>
      <c r="AF138" s="139"/>
      <c r="AG138" s="256"/>
      <c r="AH138" s="256"/>
      <c r="AI138" s="256"/>
      <c r="AJ138" s="256"/>
      <c r="AK138" s="134"/>
      <c r="AL138" s="134"/>
      <c r="AM138" s="134"/>
      <c r="AN138" s="18"/>
      <c r="AO138" s="18"/>
      <c r="AP138" s="18"/>
      <c r="AQ138" s="18"/>
      <c r="AR138" s="17"/>
      <c r="AS138" s="21">
        <f t="shared" si="49"/>
        <v>45410</v>
      </c>
      <c r="AT138" s="17"/>
      <c r="AU138" s="17"/>
      <c r="AV138" s="17"/>
      <c r="AW138" s="17"/>
      <c r="AX138" s="17"/>
      <c r="AY138" s="17"/>
      <c r="AZ138" s="17"/>
    </row>
    <row r="139" spans="1:52" ht="20">
      <c r="A139" s="17"/>
      <c r="B139" s="40"/>
      <c r="C139" s="55">
        <f t="shared" si="44"/>
        <v>120</v>
      </c>
      <c r="D139" s="54">
        <v>0</v>
      </c>
      <c r="E139" s="53" t="str">
        <f t="shared" si="36"/>
        <v>4</v>
      </c>
      <c r="F139" s="52">
        <f t="shared" si="45"/>
        <v>45411</v>
      </c>
      <c r="G139" s="51" t="str">
        <f t="shared" si="46"/>
        <v>Mon</v>
      </c>
      <c r="H139" s="50" t="s">
        <v>47</v>
      </c>
      <c r="I139" s="49"/>
      <c r="J139" s="343"/>
      <c r="K139" s="31"/>
      <c r="L139" s="317">
        <f t="shared" si="53"/>
        <v>0</v>
      </c>
      <c r="M139" s="318">
        <f t="shared" si="37"/>
        <v>0</v>
      </c>
      <c r="N139" s="41" t="str">
        <f t="shared" si="38"/>
        <v>0%</v>
      </c>
      <c r="O139" s="46"/>
      <c r="P139" s="328">
        <f>IF(D139=0,0,SUM($L$111:L139))</f>
        <v>0</v>
      </c>
      <c r="Q139" s="317">
        <f>IF(D139=0,0,SUM($J$111:J139))</f>
        <v>0</v>
      </c>
      <c r="R139" s="321">
        <f t="shared" si="39"/>
        <v>0</v>
      </c>
      <c r="S139" s="41" t="str">
        <f t="shared" si="40"/>
        <v>0%</v>
      </c>
      <c r="T139" s="44"/>
      <c r="U139" s="348">
        <f>IF(D139=0,0,SUM($L$20:L139))</f>
        <v>0</v>
      </c>
      <c r="V139" s="348">
        <f>IF(D139=0,0,SUM($J$20:J139))</f>
        <v>0</v>
      </c>
      <c r="W139" s="349">
        <f t="shared" si="41"/>
        <v>0</v>
      </c>
      <c r="X139" s="41" t="str">
        <f t="shared" si="42"/>
        <v>0%</v>
      </c>
      <c r="Y139" s="17"/>
      <c r="Z139" s="23">
        <f t="shared" si="55"/>
        <v>45411</v>
      </c>
      <c r="AA139" s="22">
        <f t="shared" si="55"/>
        <v>45411</v>
      </c>
      <c r="AB139" s="137">
        <v>45411</v>
      </c>
      <c r="AC139" s="137"/>
      <c r="AD139" s="134"/>
      <c r="AE139" s="134"/>
      <c r="AF139" s="139"/>
      <c r="AG139" s="256"/>
      <c r="AH139" s="256"/>
      <c r="AI139" s="256"/>
      <c r="AJ139" s="256"/>
      <c r="AK139" s="134"/>
      <c r="AL139" s="134"/>
      <c r="AM139" s="134"/>
      <c r="AN139" s="18"/>
      <c r="AO139" s="18"/>
      <c r="AP139" s="18"/>
      <c r="AQ139" s="18"/>
      <c r="AR139" s="17"/>
      <c r="AS139" s="21">
        <f t="shared" si="49"/>
        <v>45411</v>
      </c>
      <c r="AT139" s="17"/>
      <c r="AU139" s="17"/>
      <c r="AV139" s="17"/>
      <c r="AW139" s="17"/>
      <c r="AX139" s="17"/>
      <c r="AY139" s="17"/>
      <c r="AZ139" s="17"/>
    </row>
    <row r="140" spans="1:52" ht="21" thickBot="1">
      <c r="A140" s="17"/>
      <c r="B140" s="40"/>
      <c r="C140" s="39">
        <f t="shared" si="44"/>
        <v>121</v>
      </c>
      <c r="D140" s="38">
        <v>1</v>
      </c>
      <c r="E140" s="37" t="str">
        <f t="shared" si="36"/>
        <v>4</v>
      </c>
      <c r="F140" s="36">
        <f t="shared" si="45"/>
        <v>45412</v>
      </c>
      <c r="G140" s="35" t="str">
        <f t="shared" si="46"/>
        <v>Tue</v>
      </c>
      <c r="H140" s="34"/>
      <c r="I140" s="33"/>
      <c r="J140" s="344">
        <f>262237/$B$13</f>
        <v>2376.6267899220588</v>
      </c>
      <c r="K140" s="31"/>
      <c r="L140" s="326">
        <f t="shared" si="53"/>
        <v>2345.122062163317</v>
      </c>
      <c r="M140" s="320">
        <f t="shared" si="37"/>
        <v>31.504727758741865</v>
      </c>
      <c r="N140" s="24">
        <f t="shared" si="38"/>
        <v>1.0134341526469115</v>
      </c>
      <c r="O140" s="29"/>
      <c r="P140" s="347">
        <f>IF(D140=0,0,SUM($L$111:L140))</f>
        <v>58628.051554082944</v>
      </c>
      <c r="Q140" s="326">
        <f>IF(D140=0,0,SUM($J$111:J140))</f>
        <v>60509.85136849738</v>
      </c>
      <c r="R140" s="327">
        <f t="shared" si="39"/>
        <v>1881.7998144144367</v>
      </c>
      <c r="S140" s="24">
        <f t="shared" si="40"/>
        <v>1.0320972600066458</v>
      </c>
      <c r="T140" s="64"/>
      <c r="U140" s="350">
        <f>IF(D140=0,0,SUM($L$20:L140))</f>
        <v>202350.53222094889</v>
      </c>
      <c r="V140" s="350">
        <f>IF(D140=0,0,SUM($J$20:J140))</f>
        <v>209547.4805147725</v>
      </c>
      <c r="W140" s="351">
        <f t="shared" si="41"/>
        <v>7196.9482938236033</v>
      </c>
      <c r="X140" s="24">
        <f t="shared" si="42"/>
        <v>1.0355667376548592</v>
      </c>
      <c r="Y140" s="17"/>
      <c r="Z140" s="23">
        <f t="shared" si="55"/>
        <v>45412</v>
      </c>
      <c r="AA140" s="22">
        <f t="shared" si="55"/>
        <v>45412</v>
      </c>
      <c r="AB140" s="137">
        <v>45412</v>
      </c>
      <c r="AC140" s="137"/>
      <c r="AD140" s="134"/>
      <c r="AE140" s="134"/>
      <c r="AF140" s="139"/>
      <c r="AG140" s="256"/>
      <c r="AH140" s="256"/>
      <c r="AI140" s="256"/>
      <c r="AJ140" s="256"/>
      <c r="AK140" s="134"/>
      <c r="AL140" s="134"/>
      <c r="AM140" s="134"/>
      <c r="AN140" s="18"/>
      <c r="AO140" s="18"/>
      <c r="AP140" s="18"/>
      <c r="AQ140" s="18"/>
      <c r="AR140" s="17"/>
      <c r="AS140" s="21">
        <f t="shared" si="49"/>
        <v>45412</v>
      </c>
      <c r="AT140" s="17"/>
      <c r="AU140" s="17"/>
      <c r="AV140" s="17"/>
      <c r="AW140" s="17"/>
      <c r="AX140" s="17"/>
      <c r="AY140" s="17"/>
      <c r="AZ140" s="17"/>
    </row>
    <row r="141" spans="1:52" ht="21" thickTop="1">
      <c r="A141" s="17"/>
      <c r="B141" s="40"/>
      <c r="C141" s="55">
        <f t="shared" si="44"/>
        <v>122</v>
      </c>
      <c r="D141" s="62">
        <v>1</v>
      </c>
      <c r="E141" s="53" t="str">
        <f t="shared" si="36"/>
        <v>5</v>
      </c>
      <c r="F141" s="52">
        <f t="shared" si="45"/>
        <v>45413</v>
      </c>
      <c r="G141" s="51" t="str">
        <f t="shared" si="46"/>
        <v>Wed</v>
      </c>
      <c r="H141" s="50"/>
      <c r="I141" s="49"/>
      <c r="J141" s="343">
        <f>178855/$B$13</f>
        <v>1620.9443538154794</v>
      </c>
      <c r="K141" s="31"/>
      <c r="L141" s="317">
        <f t="shared" ref="L141:L171" si="56">IF(D141=0,0,$K$10)</f>
        <v>2233.4495830126825</v>
      </c>
      <c r="M141" s="321">
        <f t="shared" si="37"/>
        <v>-612.50522919720311</v>
      </c>
      <c r="N141" s="60">
        <f t="shared" si="38"/>
        <v>0.72575820208531427</v>
      </c>
      <c r="O141" s="46"/>
      <c r="P141" s="329">
        <f>IF(D141=0,0,$L$141)</f>
        <v>2233.4495830126825</v>
      </c>
      <c r="Q141" s="317">
        <f>IF(D141=0,0,$J$141)</f>
        <v>1620.9443538154794</v>
      </c>
      <c r="R141" s="321">
        <f t="shared" si="39"/>
        <v>-612.50522919720311</v>
      </c>
      <c r="S141" s="60">
        <f t="shared" si="40"/>
        <v>0.72575820208531427</v>
      </c>
      <c r="T141" s="56"/>
      <c r="U141" s="348">
        <f>IF(D141=0,0,SUM($L$20:L141))</f>
        <v>204583.98180396156</v>
      </c>
      <c r="V141" s="348">
        <f>IF(D141=0,0,SUM($J$20:J141))</f>
        <v>211168.42486858799</v>
      </c>
      <c r="W141" s="349">
        <f t="shared" si="41"/>
        <v>6584.4430646264227</v>
      </c>
      <c r="X141" s="60">
        <f t="shared" si="42"/>
        <v>1.0321845484019165</v>
      </c>
      <c r="Y141" s="17"/>
      <c r="Z141" s="23">
        <f t="shared" si="55"/>
        <v>45413</v>
      </c>
      <c r="AA141" s="22">
        <f t="shared" si="55"/>
        <v>45413</v>
      </c>
      <c r="AB141" s="137">
        <v>45413</v>
      </c>
      <c r="AC141" s="137"/>
      <c r="AD141" s="134"/>
      <c r="AE141" s="134"/>
      <c r="AF141" s="139"/>
      <c r="AG141" s="256"/>
      <c r="AH141" s="256"/>
      <c r="AI141" s="256"/>
      <c r="AJ141" s="256"/>
      <c r="AK141" s="134"/>
      <c r="AL141" s="134"/>
      <c r="AM141" s="134"/>
      <c r="AN141" s="18"/>
      <c r="AO141" s="18"/>
      <c r="AP141" s="18"/>
      <c r="AQ141" s="18"/>
      <c r="AR141" s="17"/>
      <c r="AS141" s="21">
        <f t="shared" si="49"/>
        <v>45413</v>
      </c>
      <c r="AT141" s="17"/>
      <c r="AU141" s="17"/>
      <c r="AV141" s="17"/>
      <c r="AW141" s="17"/>
      <c r="AX141" s="17"/>
      <c r="AY141" s="17"/>
      <c r="AZ141" s="17"/>
    </row>
    <row r="142" spans="1:52" ht="20">
      <c r="A142" s="17"/>
      <c r="B142" s="40"/>
      <c r="C142" s="55">
        <f t="shared" si="44"/>
        <v>123</v>
      </c>
      <c r="D142" s="54">
        <v>1</v>
      </c>
      <c r="E142" s="53" t="str">
        <f t="shared" si="36"/>
        <v>5</v>
      </c>
      <c r="F142" s="52">
        <f t="shared" si="45"/>
        <v>45414</v>
      </c>
      <c r="G142" s="51" t="str">
        <f t="shared" si="46"/>
        <v>Thu</v>
      </c>
      <c r="H142" s="50"/>
      <c r="I142" s="49"/>
      <c r="J142" s="343">
        <f>164700/$B$13</f>
        <v>1492.6590538336052</v>
      </c>
      <c r="K142" s="31"/>
      <c r="L142" s="317">
        <f t="shared" si="56"/>
        <v>2233.4495830126825</v>
      </c>
      <c r="M142" s="318">
        <f t="shared" si="37"/>
        <v>-740.79052917907734</v>
      </c>
      <c r="N142" s="41">
        <f t="shared" si="38"/>
        <v>0.668320012767053</v>
      </c>
      <c r="O142" s="46"/>
      <c r="P142" s="328">
        <f>IF(D142=0,0,SUM($L$141:L142))</f>
        <v>4466.899166025365</v>
      </c>
      <c r="Q142" s="317">
        <f>IF(D142=0,0,SUM($J$141:J142))</f>
        <v>3113.6034076490846</v>
      </c>
      <c r="R142" s="321">
        <f t="shared" si="39"/>
        <v>-1353.2957583762804</v>
      </c>
      <c r="S142" s="41">
        <f t="shared" si="40"/>
        <v>0.69703910742618369</v>
      </c>
      <c r="T142" s="56"/>
      <c r="U142" s="348">
        <f>IF(D142=0,0,SUM($L$20:L142))</f>
        <v>206817.43138697423</v>
      </c>
      <c r="V142" s="348">
        <f>IF(D142=0,0,SUM($J$20:J142))</f>
        <v>212661.08392242159</v>
      </c>
      <c r="W142" s="349">
        <f t="shared" si="41"/>
        <v>5843.6525354473561</v>
      </c>
      <c r="X142" s="41">
        <f t="shared" si="42"/>
        <v>1.0282551257708705</v>
      </c>
      <c r="Y142" s="17"/>
      <c r="Z142" s="23">
        <f t="shared" si="55"/>
        <v>45414</v>
      </c>
      <c r="AA142" s="22">
        <f t="shared" si="55"/>
        <v>45414</v>
      </c>
      <c r="AB142" s="137">
        <v>45414</v>
      </c>
      <c r="AC142" s="137"/>
      <c r="AD142" s="134"/>
      <c r="AE142" s="134"/>
      <c r="AF142" s="139"/>
      <c r="AG142" s="256"/>
      <c r="AH142" s="256"/>
      <c r="AI142" s="256"/>
      <c r="AJ142" s="256"/>
      <c r="AK142" s="134"/>
      <c r="AL142" s="134"/>
      <c r="AM142" s="134"/>
      <c r="AN142" s="18"/>
      <c r="AO142" s="18"/>
      <c r="AP142" s="18"/>
      <c r="AQ142" s="18"/>
      <c r="AR142" s="17"/>
      <c r="AS142" s="21">
        <f t="shared" si="49"/>
        <v>45414</v>
      </c>
      <c r="AT142" s="17"/>
      <c r="AU142" s="17"/>
      <c r="AV142" s="17"/>
      <c r="AW142" s="17"/>
      <c r="AX142" s="17"/>
      <c r="AY142" s="17"/>
      <c r="AZ142" s="17"/>
    </row>
    <row r="143" spans="1:52" ht="20">
      <c r="A143" s="17"/>
      <c r="B143" s="40"/>
      <c r="C143" s="55">
        <f t="shared" si="44"/>
        <v>124</v>
      </c>
      <c r="D143" s="54">
        <v>0</v>
      </c>
      <c r="E143" s="53" t="str">
        <f t="shared" si="36"/>
        <v>5</v>
      </c>
      <c r="F143" s="52">
        <f t="shared" si="45"/>
        <v>45415</v>
      </c>
      <c r="G143" s="51" t="str">
        <f t="shared" si="46"/>
        <v>Fri</v>
      </c>
      <c r="H143" s="50" t="s">
        <v>47</v>
      </c>
      <c r="I143" s="49"/>
      <c r="J143" s="343"/>
      <c r="K143" s="31"/>
      <c r="L143" s="317">
        <f t="shared" si="56"/>
        <v>0</v>
      </c>
      <c r="M143" s="318">
        <f t="shared" si="37"/>
        <v>0</v>
      </c>
      <c r="N143" s="41" t="str">
        <f t="shared" si="38"/>
        <v>0%</v>
      </c>
      <c r="O143" s="46"/>
      <c r="P143" s="328">
        <f>IF(D143=0,0,SUM($L$141:L143))</f>
        <v>0</v>
      </c>
      <c r="Q143" s="317">
        <f>IF(D143=0,0,SUM($J$141:J143))</f>
        <v>0</v>
      </c>
      <c r="R143" s="321">
        <f t="shared" si="39"/>
        <v>0</v>
      </c>
      <c r="S143" s="41" t="str">
        <f t="shared" si="40"/>
        <v>0%</v>
      </c>
      <c r="T143" s="44"/>
      <c r="U143" s="348">
        <f>IF(D143=0,0,SUM($L$20:L143))</f>
        <v>0</v>
      </c>
      <c r="V143" s="348">
        <f>IF(D143=0,0,SUM($J$20:J143))</f>
        <v>0</v>
      </c>
      <c r="W143" s="349">
        <f t="shared" si="41"/>
        <v>0</v>
      </c>
      <c r="X143" s="41" t="str">
        <f t="shared" si="42"/>
        <v>0%</v>
      </c>
      <c r="Y143" s="17"/>
      <c r="Z143" s="23">
        <f t="shared" si="55"/>
        <v>45415</v>
      </c>
      <c r="AA143" s="22">
        <f t="shared" si="55"/>
        <v>45415</v>
      </c>
      <c r="AB143" s="137">
        <v>45415</v>
      </c>
      <c r="AC143" s="137"/>
      <c r="AD143" s="134"/>
      <c r="AE143" s="134"/>
      <c r="AF143" s="139"/>
      <c r="AG143" s="256"/>
      <c r="AH143" s="256"/>
      <c r="AI143" s="256"/>
      <c r="AJ143" s="256"/>
      <c r="AK143" s="134"/>
      <c r="AL143" s="134"/>
      <c r="AM143" s="134"/>
      <c r="AN143" s="18"/>
      <c r="AO143" s="18"/>
      <c r="AP143" s="18"/>
      <c r="AQ143" s="18"/>
      <c r="AR143" s="17"/>
      <c r="AS143" s="21">
        <f t="shared" si="49"/>
        <v>45415</v>
      </c>
      <c r="AT143" s="17"/>
      <c r="AU143" s="17"/>
      <c r="AV143" s="17"/>
      <c r="AW143" s="17"/>
      <c r="AX143" s="17"/>
      <c r="AY143" s="17"/>
      <c r="AZ143" s="17"/>
    </row>
    <row r="144" spans="1:52" ht="20">
      <c r="A144" s="17"/>
      <c r="B144" s="40"/>
      <c r="C144" s="55">
        <f t="shared" si="44"/>
        <v>125</v>
      </c>
      <c r="D144" s="54">
        <v>0</v>
      </c>
      <c r="E144" s="53" t="str">
        <f t="shared" si="36"/>
        <v>5</v>
      </c>
      <c r="F144" s="52">
        <f t="shared" si="45"/>
        <v>45416</v>
      </c>
      <c r="G144" s="51" t="str">
        <f t="shared" si="46"/>
        <v>Sat</v>
      </c>
      <c r="H144" s="50" t="s">
        <v>47</v>
      </c>
      <c r="I144" s="49"/>
      <c r="J144" s="343"/>
      <c r="K144" s="31"/>
      <c r="L144" s="317">
        <f t="shared" si="56"/>
        <v>0</v>
      </c>
      <c r="M144" s="318">
        <f t="shared" si="37"/>
        <v>0</v>
      </c>
      <c r="N144" s="41" t="str">
        <f t="shared" si="38"/>
        <v>0%</v>
      </c>
      <c r="O144" s="46"/>
      <c r="P144" s="328">
        <f>IF(D144=0,0,SUM($L$141:L144))</f>
        <v>0</v>
      </c>
      <c r="Q144" s="317">
        <f>IF(D144=0,0,SUM($J$141:J144))</f>
        <v>0</v>
      </c>
      <c r="R144" s="321">
        <f t="shared" si="39"/>
        <v>0</v>
      </c>
      <c r="S144" s="41" t="str">
        <f t="shared" si="40"/>
        <v>0%</v>
      </c>
      <c r="T144" s="44"/>
      <c r="U144" s="348">
        <f>IF(D144=0,0,SUM($L$20:L144))</f>
        <v>0</v>
      </c>
      <c r="V144" s="348">
        <f>IF(D144=0,0,SUM($J$20:J144))</f>
        <v>0</v>
      </c>
      <c r="W144" s="349">
        <f t="shared" si="41"/>
        <v>0</v>
      </c>
      <c r="X144" s="41" t="str">
        <f t="shared" si="42"/>
        <v>0%</v>
      </c>
      <c r="Y144" s="17"/>
      <c r="Z144" s="23">
        <f t="shared" si="55"/>
        <v>45416</v>
      </c>
      <c r="AA144" s="22">
        <f t="shared" si="55"/>
        <v>45416</v>
      </c>
      <c r="AB144" s="137">
        <v>45416</v>
      </c>
      <c r="AC144" s="137"/>
      <c r="AD144" s="134"/>
      <c r="AE144" s="134"/>
      <c r="AF144" s="139"/>
      <c r="AG144" s="256"/>
      <c r="AH144" s="256"/>
      <c r="AI144" s="256"/>
      <c r="AJ144" s="256"/>
      <c r="AK144" s="134"/>
      <c r="AL144" s="134"/>
      <c r="AM144" s="134"/>
      <c r="AN144" s="18"/>
      <c r="AO144" s="18"/>
      <c r="AP144" s="18"/>
      <c r="AQ144" s="18"/>
      <c r="AR144" s="17"/>
      <c r="AS144" s="21">
        <f t="shared" si="49"/>
        <v>45416</v>
      </c>
      <c r="AT144" s="17"/>
      <c r="AU144" s="17"/>
      <c r="AV144" s="17"/>
      <c r="AW144" s="17"/>
      <c r="AX144" s="17"/>
      <c r="AY144" s="17"/>
      <c r="AZ144" s="17"/>
    </row>
    <row r="145" spans="1:52" ht="20">
      <c r="A145" s="17"/>
      <c r="B145" s="40"/>
      <c r="C145" s="55">
        <f t="shared" si="44"/>
        <v>126</v>
      </c>
      <c r="D145" s="54">
        <v>0</v>
      </c>
      <c r="E145" s="53" t="str">
        <f t="shared" si="36"/>
        <v>5</v>
      </c>
      <c r="F145" s="52">
        <f t="shared" si="45"/>
        <v>45417</v>
      </c>
      <c r="G145" s="51" t="str">
        <f t="shared" si="46"/>
        <v>Sun</v>
      </c>
      <c r="H145" s="50" t="s">
        <v>46</v>
      </c>
      <c r="I145" s="49"/>
      <c r="J145" s="343"/>
      <c r="K145" s="31"/>
      <c r="L145" s="317">
        <f t="shared" si="56"/>
        <v>0</v>
      </c>
      <c r="M145" s="318">
        <f t="shared" si="37"/>
        <v>0</v>
      </c>
      <c r="N145" s="41" t="str">
        <f t="shared" si="38"/>
        <v>0%</v>
      </c>
      <c r="O145" s="46"/>
      <c r="P145" s="328">
        <f>IF(D145=0,0,SUM($L$141:L145))</f>
        <v>0</v>
      </c>
      <c r="Q145" s="317">
        <f>IF(D145=0,0,SUM($J$141:J145))</f>
        <v>0</v>
      </c>
      <c r="R145" s="321">
        <f t="shared" si="39"/>
        <v>0</v>
      </c>
      <c r="S145" s="41" t="str">
        <f t="shared" si="40"/>
        <v>0%</v>
      </c>
      <c r="T145" s="44"/>
      <c r="U145" s="348">
        <f>IF(D145=0,0,SUM($L$20:L145))</f>
        <v>0</v>
      </c>
      <c r="V145" s="348">
        <f>IF(D145=0,0,SUM($J$20:J145))</f>
        <v>0</v>
      </c>
      <c r="W145" s="349">
        <f t="shared" si="41"/>
        <v>0</v>
      </c>
      <c r="X145" s="41" t="str">
        <f t="shared" si="42"/>
        <v>0%</v>
      </c>
      <c r="Y145" s="17"/>
      <c r="Z145" s="23">
        <f t="shared" si="55"/>
        <v>45417</v>
      </c>
      <c r="AA145" s="22">
        <f t="shared" si="55"/>
        <v>45417</v>
      </c>
      <c r="AB145" s="137">
        <v>45417</v>
      </c>
      <c r="AC145" s="137"/>
      <c r="AD145" s="134"/>
      <c r="AE145" s="134"/>
      <c r="AF145" s="139"/>
      <c r="AG145" s="256"/>
      <c r="AH145" s="256"/>
      <c r="AI145" s="256"/>
      <c r="AJ145" s="256"/>
      <c r="AK145" s="134"/>
      <c r="AL145" s="134"/>
      <c r="AM145" s="134"/>
      <c r="AN145" s="18"/>
      <c r="AO145" s="18"/>
      <c r="AP145" s="18"/>
      <c r="AQ145" s="18"/>
      <c r="AR145" s="17"/>
      <c r="AS145" s="21">
        <f t="shared" si="49"/>
        <v>45417</v>
      </c>
      <c r="AT145" s="17"/>
      <c r="AU145" s="17"/>
      <c r="AV145" s="17"/>
      <c r="AW145" s="17"/>
      <c r="AX145" s="17"/>
      <c r="AY145" s="17"/>
      <c r="AZ145" s="17"/>
    </row>
    <row r="146" spans="1:52" ht="20">
      <c r="A146" s="17"/>
      <c r="B146" s="40"/>
      <c r="C146" s="55">
        <f t="shared" si="44"/>
        <v>127</v>
      </c>
      <c r="D146" s="54">
        <v>0</v>
      </c>
      <c r="E146" s="53" t="str">
        <f t="shared" si="36"/>
        <v>5</v>
      </c>
      <c r="F146" s="52">
        <f t="shared" si="45"/>
        <v>45418</v>
      </c>
      <c r="G146" s="51" t="str">
        <f t="shared" si="46"/>
        <v>Mon</v>
      </c>
      <c r="H146" s="50" t="s">
        <v>47</v>
      </c>
      <c r="I146" s="49"/>
      <c r="J146" s="343"/>
      <c r="K146" s="31"/>
      <c r="L146" s="317">
        <f t="shared" si="56"/>
        <v>0</v>
      </c>
      <c r="M146" s="318">
        <f t="shared" si="37"/>
        <v>0</v>
      </c>
      <c r="N146" s="41" t="str">
        <f t="shared" si="38"/>
        <v>0%</v>
      </c>
      <c r="O146" s="46"/>
      <c r="P146" s="328">
        <f>IF(D146=0,0,SUM($L$141:L146))</f>
        <v>0</v>
      </c>
      <c r="Q146" s="317">
        <f>IF(D146=0,0,SUM($J$141:J146))</f>
        <v>0</v>
      </c>
      <c r="R146" s="321">
        <f t="shared" si="39"/>
        <v>0</v>
      </c>
      <c r="S146" s="41" t="str">
        <f t="shared" si="40"/>
        <v>0%</v>
      </c>
      <c r="T146" s="44"/>
      <c r="U146" s="348">
        <f>IF(D146=0,0,SUM($L$20:L146))</f>
        <v>0</v>
      </c>
      <c r="V146" s="348">
        <f>IF(D146=0,0,SUM($J$20:J146))</f>
        <v>0</v>
      </c>
      <c r="W146" s="349">
        <f t="shared" si="41"/>
        <v>0</v>
      </c>
      <c r="X146" s="41" t="str">
        <f t="shared" si="42"/>
        <v>0%</v>
      </c>
      <c r="Y146" s="17"/>
      <c r="Z146" s="23">
        <f t="shared" si="55"/>
        <v>45418</v>
      </c>
      <c r="AA146" s="22">
        <f t="shared" si="55"/>
        <v>45418</v>
      </c>
      <c r="AB146" s="137">
        <v>45418</v>
      </c>
      <c r="AC146" s="137"/>
      <c r="AD146" s="134"/>
      <c r="AE146" s="134"/>
      <c r="AF146" s="139"/>
      <c r="AG146" s="256"/>
      <c r="AH146" s="256"/>
      <c r="AI146" s="256"/>
      <c r="AJ146" s="256"/>
      <c r="AK146" s="134"/>
      <c r="AL146" s="134"/>
      <c r="AM146" s="134"/>
      <c r="AN146" s="18"/>
      <c r="AO146" s="18"/>
      <c r="AP146" s="18"/>
      <c r="AQ146" s="18"/>
      <c r="AR146" s="17"/>
      <c r="AS146" s="21">
        <f t="shared" si="49"/>
        <v>45418</v>
      </c>
      <c r="AT146" s="17"/>
      <c r="AU146" s="17"/>
      <c r="AV146" s="17"/>
      <c r="AW146" s="17"/>
      <c r="AX146" s="17"/>
      <c r="AY146" s="17"/>
      <c r="AZ146" s="17"/>
    </row>
    <row r="147" spans="1:52" ht="20">
      <c r="A147" s="17"/>
      <c r="B147" s="40"/>
      <c r="C147" s="55">
        <f t="shared" si="44"/>
        <v>128</v>
      </c>
      <c r="D147" s="54">
        <v>1</v>
      </c>
      <c r="E147" s="53" t="str">
        <f t="shared" si="36"/>
        <v>5</v>
      </c>
      <c r="F147" s="52">
        <f t="shared" si="45"/>
        <v>45419</v>
      </c>
      <c r="G147" s="51" t="str">
        <f t="shared" si="46"/>
        <v>Tue</v>
      </c>
      <c r="H147" s="50"/>
      <c r="I147" s="49"/>
      <c r="J147" s="343">
        <f>228780/$B$13</f>
        <v>2073.4094616639477</v>
      </c>
      <c r="K147" s="31"/>
      <c r="L147" s="317">
        <f t="shared" si="56"/>
        <v>2233.4495830126825</v>
      </c>
      <c r="M147" s="318">
        <f t="shared" si="37"/>
        <v>-160.04012134873483</v>
      </c>
      <c r="N147" s="41">
        <f t="shared" si="38"/>
        <v>0.92834397401849655</v>
      </c>
      <c r="O147" s="46"/>
      <c r="P147" s="328">
        <f>IF(D147=0,0,SUM($L$141:L147))</f>
        <v>6700.3487490380476</v>
      </c>
      <c r="Q147" s="317">
        <f>IF(D147=0,0,SUM($J$141:J147))</f>
        <v>5187.0128693130318</v>
      </c>
      <c r="R147" s="321">
        <f t="shared" si="39"/>
        <v>-1513.3358797250157</v>
      </c>
      <c r="S147" s="41">
        <f t="shared" si="40"/>
        <v>0.77414072962362124</v>
      </c>
      <c r="T147" s="56"/>
      <c r="U147" s="348">
        <f>IF(D147=0,0,SUM($L$20:L147))</f>
        <v>209050.8809699869</v>
      </c>
      <c r="V147" s="348">
        <f>IF(D147=0,0,SUM($J$20:J147))</f>
        <v>214734.49338408554</v>
      </c>
      <c r="W147" s="349">
        <f t="shared" si="41"/>
        <v>5683.6124140986358</v>
      </c>
      <c r="X147" s="41">
        <f t="shared" si="42"/>
        <v>1.0271876989359094</v>
      </c>
      <c r="Y147" s="17"/>
      <c r="Z147" s="23">
        <f t="shared" si="55"/>
        <v>45419</v>
      </c>
      <c r="AA147" s="22">
        <f t="shared" si="55"/>
        <v>45419</v>
      </c>
      <c r="AB147" s="137">
        <v>45419</v>
      </c>
      <c r="AC147" s="137"/>
      <c r="AD147" s="134"/>
      <c r="AE147" s="134"/>
      <c r="AF147" s="139"/>
      <c r="AG147" s="256"/>
      <c r="AH147" s="256"/>
      <c r="AI147" s="256"/>
      <c r="AJ147" s="256"/>
      <c r="AK147" s="134"/>
      <c r="AL147" s="134"/>
      <c r="AM147" s="134"/>
      <c r="AN147" s="18"/>
      <c r="AO147" s="18"/>
      <c r="AP147" s="18"/>
      <c r="AQ147" s="18"/>
      <c r="AR147" s="17"/>
      <c r="AS147" s="21">
        <f t="shared" si="49"/>
        <v>45419</v>
      </c>
      <c r="AT147" s="17"/>
      <c r="AU147" s="17"/>
      <c r="AV147" s="17"/>
      <c r="AW147" s="17"/>
      <c r="AX147" s="17"/>
      <c r="AY147" s="17"/>
      <c r="AZ147" s="17"/>
    </row>
    <row r="148" spans="1:52" ht="20">
      <c r="A148" s="17"/>
      <c r="B148" s="40"/>
      <c r="C148" s="55">
        <f t="shared" si="44"/>
        <v>129</v>
      </c>
      <c r="D148" s="54">
        <v>1</v>
      </c>
      <c r="E148" s="53" t="str">
        <f t="shared" ref="E148:E211" si="57">TEXT(AA148,"m")</f>
        <v>5</v>
      </c>
      <c r="F148" s="52">
        <f t="shared" si="45"/>
        <v>45420</v>
      </c>
      <c r="G148" s="51" t="str">
        <f t="shared" si="46"/>
        <v>Wed</v>
      </c>
      <c r="H148" s="50"/>
      <c r="I148" s="49"/>
      <c r="J148" s="343">
        <f>362200/$B$13</f>
        <v>3282.5811129236904</v>
      </c>
      <c r="K148" s="31"/>
      <c r="L148" s="317">
        <f t="shared" si="56"/>
        <v>2233.4495830126825</v>
      </c>
      <c r="M148" s="318">
        <f t="shared" ref="M148:M211" si="58">IF(D148=0,0,J148-L148)</f>
        <v>1049.1315299110079</v>
      </c>
      <c r="N148" s="41">
        <f t="shared" ref="N148:N211" si="59">IFERROR(J148/L148,"0%")</f>
        <v>1.4697359357876538</v>
      </c>
      <c r="O148" s="46"/>
      <c r="P148" s="328">
        <f>IF(D148=0,0,SUM($L$141:L148))</f>
        <v>8933.7983320507301</v>
      </c>
      <c r="Q148" s="317">
        <f>IF(D148=0,0,SUM($J$141:J148))</f>
        <v>8469.5939822367218</v>
      </c>
      <c r="R148" s="321">
        <f t="shared" ref="R148:R211" si="60">IF(D148=0,0,Q148-P148)</f>
        <v>-464.20434981400831</v>
      </c>
      <c r="S148" s="41">
        <f t="shared" ref="S148:S211" si="61">IFERROR(Q148/P148,"0%")</f>
        <v>0.94803953116462936</v>
      </c>
      <c r="T148" s="56"/>
      <c r="U148" s="348">
        <f>IF(D148=0,0,SUM($L$20:L148))</f>
        <v>211284.33055299957</v>
      </c>
      <c r="V148" s="348">
        <f>IF(D148=0,0,SUM($J$20:J148))</f>
        <v>218017.07449700922</v>
      </c>
      <c r="W148" s="349">
        <f t="shared" ref="W148:W211" si="62">IF(D148=0,0,V148-U148)</f>
        <v>6732.7439440096496</v>
      </c>
      <c r="X148" s="41">
        <f t="shared" ref="X148:X211" si="63">IFERROR(V148/U148,"0%")</f>
        <v>1.0318657986912132</v>
      </c>
      <c r="Y148" s="17"/>
      <c r="Z148" s="23">
        <f t="shared" si="55"/>
        <v>45420</v>
      </c>
      <c r="AA148" s="22">
        <f t="shared" si="55"/>
        <v>45420</v>
      </c>
      <c r="AB148" s="137">
        <v>45420</v>
      </c>
      <c r="AC148" s="137"/>
      <c r="AD148" s="134"/>
      <c r="AE148" s="134"/>
      <c r="AF148" s="139"/>
      <c r="AG148" s="256"/>
      <c r="AH148" s="256"/>
      <c r="AI148" s="256"/>
      <c r="AJ148" s="256"/>
      <c r="AK148" s="134"/>
      <c r="AL148" s="134"/>
      <c r="AM148" s="134"/>
      <c r="AN148" s="18"/>
      <c r="AO148" s="18"/>
      <c r="AP148" s="18"/>
      <c r="AQ148" s="18"/>
      <c r="AR148" s="17"/>
      <c r="AS148" s="21">
        <f t="shared" si="49"/>
        <v>45420</v>
      </c>
      <c r="AT148" s="17"/>
      <c r="AU148" s="17"/>
      <c r="AV148" s="17"/>
      <c r="AW148" s="17"/>
      <c r="AX148" s="17"/>
      <c r="AY148" s="17"/>
      <c r="AZ148" s="17"/>
    </row>
    <row r="149" spans="1:52" ht="20">
      <c r="A149" s="17"/>
      <c r="B149" s="40"/>
      <c r="C149" s="55">
        <f t="shared" ref="C149:C212" si="64">C148+1</f>
        <v>130</v>
      </c>
      <c r="D149" s="54">
        <v>1</v>
      </c>
      <c r="E149" s="53" t="str">
        <f t="shared" si="57"/>
        <v>5</v>
      </c>
      <c r="F149" s="52">
        <f t="shared" ref="F149:F212" si="65">F148+1</f>
        <v>45421</v>
      </c>
      <c r="G149" s="51" t="str">
        <f t="shared" ref="G149:G212" si="66">TEXT(AS149,"ddd")</f>
        <v>Thu</v>
      </c>
      <c r="H149" s="50"/>
      <c r="I149" s="49"/>
      <c r="J149" s="343">
        <f>231000/$B$13</f>
        <v>2093.5290918977703</v>
      </c>
      <c r="K149" s="31"/>
      <c r="L149" s="317">
        <f t="shared" si="56"/>
        <v>2233.4495830126825</v>
      </c>
      <c r="M149" s="318">
        <f t="shared" si="58"/>
        <v>-139.92049111491224</v>
      </c>
      <c r="N149" s="41">
        <f t="shared" si="59"/>
        <v>0.93735229477346227</v>
      </c>
      <c r="O149" s="46"/>
      <c r="P149" s="328">
        <f>IF(D149=0,0,SUM($L$141:L149))</f>
        <v>11167.247915063414</v>
      </c>
      <c r="Q149" s="317">
        <f>IF(D149=0,0,SUM($J$141:J149))</f>
        <v>10563.123074134492</v>
      </c>
      <c r="R149" s="321">
        <f t="shared" si="60"/>
        <v>-604.12484092892191</v>
      </c>
      <c r="S149" s="41">
        <f t="shared" si="61"/>
        <v>0.94590208388639585</v>
      </c>
      <c r="T149" s="56"/>
      <c r="U149" s="348">
        <f>IF(D149=0,0,SUM($L$20:L149))</f>
        <v>213517.78013601224</v>
      </c>
      <c r="V149" s="348">
        <f>IF(D149=0,0,SUM($J$20:J149))</f>
        <v>220110.60358890699</v>
      </c>
      <c r="W149" s="349">
        <f t="shared" si="62"/>
        <v>6592.8234528947505</v>
      </c>
      <c r="X149" s="41">
        <f t="shared" si="63"/>
        <v>1.0308771637129941</v>
      </c>
      <c r="Y149" s="17"/>
      <c r="Z149" s="23">
        <f t="shared" ref="Z149:AA164" si="67">Z148+1</f>
        <v>45421</v>
      </c>
      <c r="AA149" s="22">
        <f t="shared" si="67"/>
        <v>45421</v>
      </c>
      <c r="AB149" s="137">
        <v>45421</v>
      </c>
      <c r="AC149" s="137"/>
      <c r="AD149" s="134"/>
      <c r="AE149" s="134"/>
      <c r="AF149" s="139"/>
      <c r="AG149" s="256"/>
      <c r="AH149" s="256"/>
      <c r="AI149" s="256"/>
      <c r="AJ149" s="256"/>
      <c r="AK149" s="134"/>
      <c r="AL149" s="134"/>
      <c r="AM149" s="134"/>
      <c r="AN149" s="18"/>
      <c r="AO149" s="18"/>
      <c r="AP149" s="18"/>
      <c r="AQ149" s="18"/>
      <c r="AR149" s="17"/>
      <c r="AS149" s="21">
        <f t="shared" ref="AS149:AS212" si="68">AS148+1</f>
        <v>45421</v>
      </c>
      <c r="AT149" s="17"/>
      <c r="AU149" s="17"/>
      <c r="AV149" s="17"/>
      <c r="AW149" s="17"/>
      <c r="AX149" s="17"/>
      <c r="AY149" s="17"/>
      <c r="AZ149" s="17"/>
    </row>
    <row r="150" spans="1:52" ht="20">
      <c r="A150" s="17"/>
      <c r="B150" s="40"/>
      <c r="C150" s="55">
        <f t="shared" si="64"/>
        <v>131</v>
      </c>
      <c r="D150" s="54">
        <v>1</v>
      </c>
      <c r="E150" s="53" t="str">
        <f t="shared" si="57"/>
        <v>5</v>
      </c>
      <c r="F150" s="52">
        <f t="shared" si="65"/>
        <v>45422</v>
      </c>
      <c r="G150" s="51" t="str">
        <f t="shared" si="66"/>
        <v>Fri</v>
      </c>
      <c r="H150" s="50"/>
      <c r="I150" s="49"/>
      <c r="J150" s="343">
        <f>428650/$B$13</f>
        <v>3884.810585463114</v>
      </c>
      <c r="K150" s="31"/>
      <c r="L150" s="317">
        <f t="shared" si="56"/>
        <v>2233.4495830126825</v>
      </c>
      <c r="M150" s="318">
        <f t="shared" si="58"/>
        <v>1651.3610024504314</v>
      </c>
      <c r="N150" s="41">
        <f t="shared" si="59"/>
        <v>1.7393768881153446</v>
      </c>
      <c r="O150" s="46"/>
      <c r="P150" s="328">
        <f>IF(D150=0,0,SUM($L$141:L150))</f>
        <v>13400.697498076097</v>
      </c>
      <c r="Q150" s="317">
        <f>IF(D150=0,0,SUM($J$141:J150))</f>
        <v>14447.933659597606</v>
      </c>
      <c r="R150" s="321">
        <f t="shared" si="60"/>
        <v>1047.2361615215086</v>
      </c>
      <c r="S150" s="41">
        <f t="shared" si="61"/>
        <v>1.0781478845912205</v>
      </c>
      <c r="T150" s="56"/>
      <c r="U150" s="348">
        <f>IF(D150=0,0,SUM($L$20:L150))</f>
        <v>215751.22971902491</v>
      </c>
      <c r="V150" s="348">
        <f>IF(D150=0,0,SUM($J$20:J150))</f>
        <v>223995.41417437012</v>
      </c>
      <c r="W150" s="349">
        <f t="shared" si="62"/>
        <v>8244.1844553452102</v>
      </c>
      <c r="X150" s="41">
        <f t="shared" si="63"/>
        <v>1.0382115293900374</v>
      </c>
      <c r="Y150" s="17"/>
      <c r="Z150" s="23">
        <f t="shared" si="67"/>
        <v>45422</v>
      </c>
      <c r="AA150" s="22">
        <f t="shared" si="67"/>
        <v>45422</v>
      </c>
      <c r="AB150" s="137">
        <v>45422</v>
      </c>
      <c r="AC150" s="137"/>
      <c r="AD150" s="134"/>
      <c r="AE150" s="134"/>
      <c r="AF150" s="139"/>
      <c r="AG150" s="256"/>
      <c r="AH150" s="256"/>
      <c r="AI150" s="256"/>
      <c r="AJ150" s="256"/>
      <c r="AK150" s="134"/>
      <c r="AL150" s="134"/>
      <c r="AM150" s="134"/>
      <c r="AN150" s="18"/>
      <c r="AO150" s="18"/>
      <c r="AP150" s="18"/>
      <c r="AQ150" s="18"/>
      <c r="AR150" s="17"/>
      <c r="AS150" s="21">
        <f t="shared" si="68"/>
        <v>45422</v>
      </c>
      <c r="AT150" s="17"/>
      <c r="AU150" s="17"/>
      <c r="AV150" s="17"/>
      <c r="AW150" s="17"/>
      <c r="AX150" s="17"/>
      <c r="AY150" s="17"/>
      <c r="AZ150" s="17"/>
    </row>
    <row r="151" spans="1:52" ht="20">
      <c r="A151" s="17"/>
      <c r="B151" s="40"/>
      <c r="C151" s="55">
        <f t="shared" si="64"/>
        <v>132</v>
      </c>
      <c r="D151" s="54">
        <v>1</v>
      </c>
      <c r="E151" s="53" t="str">
        <f t="shared" si="57"/>
        <v>5</v>
      </c>
      <c r="F151" s="52">
        <f t="shared" si="65"/>
        <v>45423</v>
      </c>
      <c r="G151" s="51" t="str">
        <f t="shared" si="66"/>
        <v>Sat</v>
      </c>
      <c r="H151" s="50"/>
      <c r="I151" s="49"/>
      <c r="J151" s="343">
        <f>123410/$B$13</f>
        <v>1118.4520572775059</v>
      </c>
      <c r="K151" s="31"/>
      <c r="L151" s="317">
        <f t="shared" si="56"/>
        <v>2233.4495830126825</v>
      </c>
      <c r="M151" s="318">
        <f t="shared" si="58"/>
        <v>-1114.9975257351766</v>
      </c>
      <c r="N151" s="41">
        <f t="shared" si="59"/>
        <v>0.50077336232897396</v>
      </c>
      <c r="O151" s="46"/>
      <c r="P151" s="328">
        <f>IF(D151=0,0,SUM($L$141:L151))</f>
        <v>15634.14708108878</v>
      </c>
      <c r="Q151" s="317">
        <f>IF(D151=0,0,SUM($J$141:J151))</f>
        <v>15566.385716875111</v>
      </c>
      <c r="R151" s="321">
        <f t="shared" si="60"/>
        <v>-67.761364213669367</v>
      </c>
      <c r="S151" s="41">
        <f t="shared" si="61"/>
        <v>0.99566580998232812</v>
      </c>
      <c r="T151" s="44"/>
      <c r="U151" s="348">
        <f>IF(D151=0,0,SUM($L$20:L151))</f>
        <v>217984.67930203758</v>
      </c>
      <c r="V151" s="348">
        <f>IF(D151=0,0,SUM($J$20:J151))</f>
        <v>225113.86623164761</v>
      </c>
      <c r="W151" s="349">
        <f t="shared" si="62"/>
        <v>7129.186929610034</v>
      </c>
      <c r="X151" s="41">
        <f t="shared" si="63"/>
        <v>1.0327049907931001</v>
      </c>
      <c r="Y151" s="17"/>
      <c r="Z151" s="23">
        <f t="shared" si="67"/>
        <v>45423</v>
      </c>
      <c r="AA151" s="22">
        <f t="shared" si="67"/>
        <v>45423</v>
      </c>
      <c r="AB151" s="137">
        <v>45423</v>
      </c>
      <c r="AC151" s="137"/>
      <c r="AD151" s="134"/>
      <c r="AE151" s="134"/>
      <c r="AF151" s="139"/>
      <c r="AG151" s="256"/>
      <c r="AH151" s="256"/>
      <c r="AI151" s="256"/>
      <c r="AJ151" s="256"/>
      <c r="AK151" s="134"/>
      <c r="AL151" s="134"/>
      <c r="AM151" s="134"/>
      <c r="AN151" s="18"/>
      <c r="AO151" s="18"/>
      <c r="AP151" s="18"/>
      <c r="AQ151" s="18"/>
      <c r="AR151" s="17"/>
      <c r="AS151" s="21">
        <f t="shared" si="68"/>
        <v>45423</v>
      </c>
      <c r="AT151" s="17"/>
      <c r="AU151" s="17"/>
      <c r="AV151" s="17"/>
      <c r="AW151" s="17"/>
      <c r="AX151" s="17"/>
      <c r="AY151" s="17"/>
      <c r="AZ151" s="17"/>
    </row>
    <row r="152" spans="1:52" ht="20">
      <c r="A152" s="17"/>
      <c r="B152" s="40"/>
      <c r="C152" s="55">
        <f t="shared" si="64"/>
        <v>133</v>
      </c>
      <c r="D152" s="54">
        <v>0</v>
      </c>
      <c r="E152" s="53" t="str">
        <f t="shared" si="57"/>
        <v>5</v>
      </c>
      <c r="F152" s="52">
        <f t="shared" si="65"/>
        <v>45424</v>
      </c>
      <c r="G152" s="51" t="str">
        <f t="shared" si="66"/>
        <v>Sun</v>
      </c>
      <c r="H152" s="50" t="s">
        <v>46</v>
      </c>
      <c r="I152" s="49"/>
      <c r="J152" s="343"/>
      <c r="K152" s="31"/>
      <c r="L152" s="317">
        <f t="shared" si="56"/>
        <v>0</v>
      </c>
      <c r="M152" s="318">
        <f t="shared" si="58"/>
        <v>0</v>
      </c>
      <c r="N152" s="41" t="str">
        <f t="shared" si="59"/>
        <v>0%</v>
      </c>
      <c r="O152" s="46"/>
      <c r="P152" s="328">
        <f>IF(D152=0,0,SUM($L$141:L152))</f>
        <v>0</v>
      </c>
      <c r="Q152" s="317">
        <f>IF(D152=0,0,SUM($J$141:J152))</f>
        <v>0</v>
      </c>
      <c r="R152" s="321">
        <f t="shared" si="60"/>
        <v>0</v>
      </c>
      <c r="S152" s="41" t="str">
        <f t="shared" si="61"/>
        <v>0%</v>
      </c>
      <c r="T152" s="56"/>
      <c r="U152" s="348">
        <f>IF(D152=0,0,SUM($L$20:L152))</f>
        <v>0</v>
      </c>
      <c r="V152" s="348">
        <f>IF(D152=0,0,SUM($J$20:J152))</f>
        <v>0</v>
      </c>
      <c r="W152" s="349">
        <f t="shared" si="62"/>
        <v>0</v>
      </c>
      <c r="X152" s="41" t="str">
        <f t="shared" si="63"/>
        <v>0%</v>
      </c>
      <c r="Y152" s="17"/>
      <c r="Z152" s="23">
        <f t="shared" si="67"/>
        <v>45424</v>
      </c>
      <c r="AA152" s="22">
        <f t="shared" si="67"/>
        <v>45424</v>
      </c>
      <c r="AB152" s="137">
        <v>45424</v>
      </c>
      <c r="AC152" s="137"/>
      <c r="AD152" s="134"/>
      <c r="AE152" s="134"/>
      <c r="AF152" s="139"/>
      <c r="AG152" s="256"/>
      <c r="AH152" s="256"/>
      <c r="AI152" s="256"/>
      <c r="AJ152" s="256"/>
      <c r="AK152" s="134"/>
      <c r="AL152" s="134"/>
      <c r="AM152" s="134"/>
      <c r="AN152" s="18"/>
      <c r="AO152" s="18"/>
      <c r="AP152" s="18"/>
      <c r="AQ152" s="18"/>
      <c r="AR152" s="17"/>
      <c r="AS152" s="21">
        <f t="shared" si="68"/>
        <v>45424</v>
      </c>
      <c r="AT152" s="17"/>
      <c r="AU152" s="17"/>
      <c r="AV152" s="17"/>
      <c r="AW152" s="17"/>
      <c r="AX152" s="17"/>
      <c r="AY152" s="17"/>
      <c r="AZ152" s="17"/>
    </row>
    <row r="153" spans="1:52" ht="20">
      <c r="A153" s="17"/>
      <c r="B153" s="40"/>
      <c r="C153" s="55">
        <f t="shared" si="64"/>
        <v>134</v>
      </c>
      <c r="D153" s="54">
        <v>1</v>
      </c>
      <c r="E153" s="53" t="str">
        <f t="shared" si="57"/>
        <v>5</v>
      </c>
      <c r="F153" s="52">
        <f t="shared" si="65"/>
        <v>45425</v>
      </c>
      <c r="G153" s="51" t="str">
        <f t="shared" si="66"/>
        <v>Mon</v>
      </c>
      <c r="H153" s="50"/>
      <c r="I153" s="49"/>
      <c r="J153" s="343">
        <f>245550/$B$13</f>
        <v>2225.394235997825</v>
      </c>
      <c r="K153" s="31"/>
      <c r="L153" s="317">
        <f t="shared" si="56"/>
        <v>2233.4495830126825</v>
      </c>
      <c r="M153" s="318">
        <f t="shared" si="58"/>
        <v>-8.0553470148574888</v>
      </c>
      <c r="N153" s="41">
        <f t="shared" si="59"/>
        <v>0.99639331593776492</v>
      </c>
      <c r="O153" s="46"/>
      <c r="P153" s="328">
        <f>IF(D153=0,0,SUM($L$141:L153))</f>
        <v>17867.596664101464</v>
      </c>
      <c r="Q153" s="317">
        <f>IF(D153=0,0,SUM($J$141:J153))</f>
        <v>17791.779952872937</v>
      </c>
      <c r="R153" s="321">
        <f t="shared" si="60"/>
        <v>-75.816711228526401</v>
      </c>
      <c r="S153" s="41">
        <f t="shared" si="61"/>
        <v>0.99575674822675775</v>
      </c>
      <c r="T153" s="56"/>
      <c r="U153" s="348">
        <f>IF(D153=0,0,SUM($L$20:L153))</f>
        <v>220218.12888505025</v>
      </c>
      <c r="V153" s="348">
        <f>IF(D153=0,0,SUM($J$20:J153))</f>
        <v>227339.26046764545</v>
      </c>
      <c r="W153" s="349">
        <f t="shared" si="62"/>
        <v>7121.1315825952042</v>
      </c>
      <c r="X153" s="41">
        <f t="shared" si="63"/>
        <v>1.0323367182286445</v>
      </c>
      <c r="Y153" s="17"/>
      <c r="Z153" s="23">
        <f t="shared" si="67"/>
        <v>45425</v>
      </c>
      <c r="AA153" s="22">
        <f t="shared" si="67"/>
        <v>45425</v>
      </c>
      <c r="AB153" s="137">
        <v>45425</v>
      </c>
      <c r="AC153" s="137"/>
      <c r="AD153" s="134"/>
      <c r="AE153" s="134"/>
      <c r="AF153" s="139"/>
      <c r="AG153" s="256"/>
      <c r="AH153" s="256"/>
      <c r="AI153" s="256"/>
      <c r="AJ153" s="256"/>
      <c r="AK153" s="134"/>
      <c r="AL153" s="134"/>
      <c r="AM153" s="134"/>
      <c r="AN153" s="18"/>
      <c r="AO153" s="18"/>
      <c r="AP153" s="18"/>
      <c r="AQ153" s="18"/>
      <c r="AR153" s="17"/>
      <c r="AS153" s="21">
        <f t="shared" si="68"/>
        <v>45425</v>
      </c>
      <c r="AT153" s="17"/>
      <c r="AU153" s="17"/>
      <c r="AV153" s="17"/>
      <c r="AW153" s="17"/>
      <c r="AX153" s="17"/>
      <c r="AY153" s="17"/>
      <c r="AZ153" s="17"/>
    </row>
    <row r="154" spans="1:52" ht="20">
      <c r="A154" s="17"/>
      <c r="B154" s="40"/>
      <c r="C154" s="55">
        <f t="shared" si="64"/>
        <v>135</v>
      </c>
      <c r="D154" s="54">
        <v>1</v>
      </c>
      <c r="E154" s="53" t="str">
        <f t="shared" si="57"/>
        <v>5</v>
      </c>
      <c r="F154" s="52">
        <f t="shared" si="65"/>
        <v>45426</v>
      </c>
      <c r="G154" s="51" t="str">
        <f t="shared" si="66"/>
        <v>Tue</v>
      </c>
      <c r="H154" s="50"/>
      <c r="I154" s="49"/>
      <c r="J154" s="343">
        <f>224120/$B$13</f>
        <v>2031.1763639659234</v>
      </c>
      <c r="K154" s="31"/>
      <c r="L154" s="317">
        <f t="shared" si="56"/>
        <v>2233.4495830126825</v>
      </c>
      <c r="M154" s="318">
        <f t="shared" si="58"/>
        <v>-202.2732190467591</v>
      </c>
      <c r="N154" s="41">
        <f t="shared" si="59"/>
        <v>0.90943461603735221</v>
      </c>
      <c r="O154" s="46"/>
      <c r="P154" s="328">
        <f>IF(D154=0,0,SUM($L$141:L154))</f>
        <v>20101.046247114147</v>
      </c>
      <c r="Q154" s="317">
        <f>IF(D154=0,0,SUM($J$141:J154))</f>
        <v>19822.956316838859</v>
      </c>
      <c r="R154" s="321">
        <f t="shared" si="60"/>
        <v>-278.08993027528777</v>
      </c>
      <c r="S154" s="41">
        <f t="shared" si="61"/>
        <v>0.98616540020571253</v>
      </c>
      <c r="T154" s="56"/>
      <c r="U154" s="348">
        <f>IF(D154=0,0,SUM($L$20:L154))</f>
        <v>222451.57846806291</v>
      </c>
      <c r="V154" s="348">
        <f>IF(D154=0,0,SUM($J$20:J154))</f>
        <v>229370.43683161138</v>
      </c>
      <c r="W154" s="349">
        <f t="shared" si="62"/>
        <v>6918.8583635484683</v>
      </c>
      <c r="X154" s="41">
        <f t="shared" si="63"/>
        <v>1.0311027613793344</v>
      </c>
      <c r="Y154" s="17"/>
      <c r="Z154" s="23">
        <f t="shared" si="67"/>
        <v>45426</v>
      </c>
      <c r="AA154" s="22">
        <f t="shared" si="67"/>
        <v>45426</v>
      </c>
      <c r="AB154" s="137">
        <v>45426</v>
      </c>
      <c r="AC154" s="137"/>
      <c r="AD154" s="134"/>
      <c r="AE154" s="134"/>
      <c r="AF154" s="139"/>
      <c r="AG154" s="256"/>
      <c r="AH154" s="256"/>
      <c r="AI154" s="256"/>
      <c r="AJ154" s="256"/>
      <c r="AK154" s="134"/>
      <c r="AL154" s="134"/>
      <c r="AM154" s="134"/>
      <c r="AN154" s="18"/>
      <c r="AO154" s="18"/>
      <c r="AP154" s="18"/>
      <c r="AQ154" s="18"/>
      <c r="AR154" s="17"/>
      <c r="AS154" s="21">
        <f t="shared" si="68"/>
        <v>45426</v>
      </c>
      <c r="AT154" s="17"/>
      <c r="AU154" s="17"/>
      <c r="AV154" s="17"/>
      <c r="AW154" s="17"/>
      <c r="AX154" s="17"/>
      <c r="AY154" s="17"/>
      <c r="AZ154" s="17"/>
    </row>
    <row r="155" spans="1:52" ht="20">
      <c r="A155" s="17"/>
      <c r="B155" s="40"/>
      <c r="C155" s="55">
        <f t="shared" si="64"/>
        <v>136</v>
      </c>
      <c r="D155" s="54">
        <v>1</v>
      </c>
      <c r="E155" s="53" t="str">
        <f t="shared" si="57"/>
        <v>5</v>
      </c>
      <c r="F155" s="52">
        <f t="shared" si="65"/>
        <v>45427</v>
      </c>
      <c r="G155" s="51" t="str">
        <f t="shared" si="66"/>
        <v>Wed</v>
      </c>
      <c r="H155" s="50"/>
      <c r="I155" s="49"/>
      <c r="J155" s="343">
        <f>251740/$B$13</f>
        <v>2281.4935653434836</v>
      </c>
      <c r="K155" s="31"/>
      <c r="L155" s="317">
        <f t="shared" si="56"/>
        <v>2233.4495830126825</v>
      </c>
      <c r="M155" s="318">
        <f t="shared" si="58"/>
        <v>48.0439823308011</v>
      </c>
      <c r="N155" s="41">
        <f t="shared" si="59"/>
        <v>1.02151111119598</v>
      </c>
      <c r="O155" s="46"/>
      <c r="P155" s="328">
        <f>IF(D155=0,0,SUM($L$141:L155))</f>
        <v>22334.495830126831</v>
      </c>
      <c r="Q155" s="317">
        <f>IF(D155=0,0,SUM($J$141:J155))</f>
        <v>22104.449882182344</v>
      </c>
      <c r="R155" s="321">
        <f t="shared" si="60"/>
        <v>-230.04594794448712</v>
      </c>
      <c r="S155" s="41">
        <f t="shared" si="61"/>
        <v>0.9896999713047393</v>
      </c>
      <c r="T155" s="56"/>
      <c r="U155" s="348">
        <f>IF(D155=0,0,SUM($L$20:L155))</f>
        <v>224685.02805107558</v>
      </c>
      <c r="V155" s="348">
        <f>IF(D155=0,0,SUM($J$20:J155))</f>
        <v>231651.93039695488</v>
      </c>
      <c r="W155" s="349">
        <f t="shared" si="62"/>
        <v>6966.9023458792944</v>
      </c>
      <c r="X155" s="41">
        <f t="shared" si="63"/>
        <v>1.0310074169441124</v>
      </c>
      <c r="Y155" s="17"/>
      <c r="Z155" s="23">
        <f t="shared" si="67"/>
        <v>45427</v>
      </c>
      <c r="AA155" s="22">
        <f t="shared" si="67"/>
        <v>45427</v>
      </c>
      <c r="AB155" s="137">
        <v>45427</v>
      </c>
      <c r="AC155" s="137"/>
      <c r="AD155" s="134"/>
      <c r="AE155" s="134"/>
      <c r="AF155" s="139"/>
      <c r="AG155" s="256"/>
      <c r="AH155" s="256"/>
      <c r="AI155" s="256"/>
      <c r="AJ155" s="256"/>
      <c r="AK155" s="134"/>
      <c r="AL155" s="134"/>
      <c r="AM155" s="134"/>
      <c r="AN155" s="18"/>
      <c r="AO155" s="18"/>
      <c r="AP155" s="18"/>
      <c r="AQ155" s="18"/>
      <c r="AR155" s="17"/>
      <c r="AS155" s="21">
        <f t="shared" si="68"/>
        <v>45427</v>
      </c>
      <c r="AT155" s="17"/>
      <c r="AU155" s="17"/>
      <c r="AV155" s="17"/>
      <c r="AW155" s="17"/>
      <c r="AX155" s="17"/>
      <c r="AY155" s="17"/>
      <c r="AZ155" s="17"/>
    </row>
    <row r="156" spans="1:52" ht="20">
      <c r="A156" s="17"/>
      <c r="B156" s="40"/>
      <c r="C156" s="55">
        <f t="shared" si="64"/>
        <v>137</v>
      </c>
      <c r="D156" s="54">
        <v>1</v>
      </c>
      <c r="E156" s="53" t="str">
        <f t="shared" si="57"/>
        <v>5</v>
      </c>
      <c r="F156" s="52">
        <f t="shared" si="65"/>
        <v>45428</v>
      </c>
      <c r="G156" s="51" t="str">
        <f t="shared" si="66"/>
        <v>Thu</v>
      </c>
      <c r="H156" s="50"/>
      <c r="I156" s="49"/>
      <c r="J156" s="343">
        <f>239950/$B$13</f>
        <v>2174.6420155881819</v>
      </c>
      <c r="K156" s="31"/>
      <c r="L156" s="317">
        <f t="shared" si="56"/>
        <v>2233.4495830126825</v>
      </c>
      <c r="M156" s="318">
        <f t="shared" si="58"/>
        <v>-58.807567424500576</v>
      </c>
      <c r="N156" s="41">
        <f t="shared" si="59"/>
        <v>0.97366962394325662</v>
      </c>
      <c r="O156" s="46"/>
      <c r="P156" s="328">
        <f>IF(D156=0,0,SUM($L$141:L156))</f>
        <v>24567.945413139514</v>
      </c>
      <c r="Q156" s="317">
        <f>IF(D156=0,0,SUM($J$141:J156))</f>
        <v>24279.091897770526</v>
      </c>
      <c r="R156" s="321">
        <f t="shared" si="60"/>
        <v>-288.85351536898816</v>
      </c>
      <c r="S156" s="41">
        <f t="shared" si="61"/>
        <v>0.98824266699914998</v>
      </c>
      <c r="T156" s="56"/>
      <c r="U156" s="348">
        <f>IF(D156=0,0,SUM($L$20:L156))</f>
        <v>226918.47763408825</v>
      </c>
      <c r="V156" s="348">
        <f>IF(D156=0,0,SUM($J$20:J156))</f>
        <v>233826.57241254306</v>
      </c>
      <c r="W156" s="349">
        <f t="shared" si="62"/>
        <v>6908.0947784548043</v>
      </c>
      <c r="X156" s="41">
        <f t="shared" si="63"/>
        <v>1.0304430685878048</v>
      </c>
      <c r="Y156" s="17"/>
      <c r="Z156" s="23">
        <f t="shared" si="67"/>
        <v>45428</v>
      </c>
      <c r="AA156" s="22">
        <f t="shared" si="67"/>
        <v>45428</v>
      </c>
      <c r="AB156" s="137">
        <v>45428</v>
      </c>
      <c r="AC156" s="137"/>
      <c r="AD156" s="134"/>
      <c r="AE156" s="134"/>
      <c r="AF156" s="139"/>
      <c r="AG156" s="256"/>
      <c r="AH156" s="256"/>
      <c r="AI156" s="256"/>
      <c r="AJ156" s="256"/>
      <c r="AK156" s="134"/>
      <c r="AL156" s="134"/>
      <c r="AM156" s="134"/>
      <c r="AN156" s="18"/>
      <c r="AO156" s="18"/>
      <c r="AP156" s="18"/>
      <c r="AQ156" s="18"/>
      <c r="AR156" s="17"/>
      <c r="AS156" s="21">
        <f t="shared" si="68"/>
        <v>45428</v>
      </c>
      <c r="AT156" s="17"/>
      <c r="AU156" s="17"/>
      <c r="AV156" s="17"/>
      <c r="AW156" s="17"/>
      <c r="AX156" s="17"/>
      <c r="AY156" s="17"/>
      <c r="AZ156" s="17"/>
    </row>
    <row r="157" spans="1:52" ht="20">
      <c r="A157" s="17"/>
      <c r="B157" s="40"/>
      <c r="C157" s="55">
        <f t="shared" si="64"/>
        <v>138</v>
      </c>
      <c r="D157" s="54">
        <v>1</v>
      </c>
      <c r="E157" s="53" t="str">
        <f t="shared" si="57"/>
        <v>5</v>
      </c>
      <c r="F157" s="52">
        <f t="shared" si="65"/>
        <v>45429</v>
      </c>
      <c r="G157" s="51" t="str">
        <f t="shared" si="66"/>
        <v>Fri</v>
      </c>
      <c r="H157" s="50"/>
      <c r="I157" s="49"/>
      <c r="J157" s="343">
        <f>301500/$B$13</f>
        <v>2732.4632952691682</v>
      </c>
      <c r="K157" s="31"/>
      <c r="L157" s="317">
        <f t="shared" si="56"/>
        <v>2233.4495830126825</v>
      </c>
      <c r="M157" s="318">
        <f t="shared" si="58"/>
        <v>499.01371225648563</v>
      </c>
      <c r="N157" s="41">
        <f t="shared" si="59"/>
        <v>1.2234273457757527</v>
      </c>
      <c r="O157" s="46"/>
      <c r="P157" s="328">
        <f>IF(D157=0,0,SUM($L$141:L157))</f>
        <v>26801.394996152198</v>
      </c>
      <c r="Q157" s="317">
        <f>IF(D157=0,0,SUM($J$141:J157))</f>
        <v>27011.555193039694</v>
      </c>
      <c r="R157" s="321">
        <f t="shared" si="60"/>
        <v>210.16019688749657</v>
      </c>
      <c r="S157" s="41">
        <f t="shared" si="61"/>
        <v>1.0078413902305334</v>
      </c>
      <c r="T157" s="56"/>
      <c r="U157" s="348">
        <f>IF(D157=0,0,SUM($L$20:L157))</f>
        <v>229151.92721710092</v>
      </c>
      <c r="V157" s="348">
        <f>IF(D157=0,0,SUM($J$20:J157))</f>
        <v>236559.03570781223</v>
      </c>
      <c r="W157" s="349">
        <f t="shared" si="62"/>
        <v>7407.1084907113109</v>
      </c>
      <c r="X157" s="41">
        <f t="shared" si="63"/>
        <v>1.0323240069619564</v>
      </c>
      <c r="Y157" s="17"/>
      <c r="Z157" s="23">
        <f t="shared" si="67"/>
        <v>45429</v>
      </c>
      <c r="AA157" s="22">
        <f t="shared" si="67"/>
        <v>45429</v>
      </c>
      <c r="AB157" s="137">
        <v>45429</v>
      </c>
      <c r="AC157" s="137"/>
      <c r="AD157" s="134"/>
      <c r="AE157" s="134"/>
      <c r="AF157" s="139"/>
      <c r="AG157" s="256"/>
      <c r="AH157" s="256"/>
      <c r="AI157" s="256"/>
      <c r="AJ157" s="256"/>
      <c r="AK157" s="134"/>
      <c r="AL157" s="134"/>
      <c r="AM157" s="134"/>
      <c r="AN157" s="18"/>
      <c r="AO157" s="18"/>
      <c r="AP157" s="18"/>
      <c r="AQ157" s="18"/>
      <c r="AR157" s="17"/>
      <c r="AS157" s="21">
        <f t="shared" si="68"/>
        <v>45429</v>
      </c>
      <c r="AT157" s="17"/>
      <c r="AU157" s="17"/>
      <c r="AV157" s="17"/>
      <c r="AW157" s="17"/>
      <c r="AX157" s="17"/>
      <c r="AY157" s="17"/>
      <c r="AZ157" s="17"/>
    </row>
    <row r="158" spans="1:52" ht="20">
      <c r="A158" s="17"/>
      <c r="B158" s="40"/>
      <c r="C158" s="55">
        <f t="shared" si="64"/>
        <v>139</v>
      </c>
      <c r="D158" s="54">
        <v>1</v>
      </c>
      <c r="E158" s="53" t="str">
        <f t="shared" si="57"/>
        <v>5</v>
      </c>
      <c r="F158" s="52">
        <f t="shared" si="65"/>
        <v>45430</v>
      </c>
      <c r="G158" s="51" t="str">
        <f t="shared" si="66"/>
        <v>Sat</v>
      </c>
      <c r="H158" s="50"/>
      <c r="I158" s="49"/>
      <c r="J158" s="343">
        <f>100250/$B$13</f>
        <v>908.55537429762546</v>
      </c>
      <c r="K158" s="31"/>
      <c r="L158" s="317">
        <f t="shared" si="56"/>
        <v>2233.4495830126825</v>
      </c>
      <c r="M158" s="318">
        <f t="shared" si="58"/>
        <v>-1324.8942087150572</v>
      </c>
      <c r="N158" s="41">
        <f t="shared" si="59"/>
        <v>0.4067946647231151</v>
      </c>
      <c r="O158" s="46"/>
      <c r="P158" s="328">
        <f>IF(D158=0,0,SUM($L$141:L158))</f>
        <v>29034.844579164881</v>
      </c>
      <c r="Q158" s="317">
        <f>IF(D158=0,0,SUM($J$141:J158))</f>
        <v>27920.11056733732</v>
      </c>
      <c r="R158" s="321">
        <f t="shared" si="60"/>
        <v>-1114.7340118275606</v>
      </c>
      <c r="S158" s="41">
        <f t="shared" si="61"/>
        <v>0.96160702672996279</v>
      </c>
      <c r="T158" s="44"/>
      <c r="U158" s="348">
        <f>IF(D158=0,0,SUM($L$20:L158))</f>
        <v>231385.37680011359</v>
      </c>
      <c r="V158" s="348">
        <f>IF(D158=0,0,SUM($J$20:J158))</f>
        <v>237467.59108210987</v>
      </c>
      <c r="W158" s="349">
        <f t="shared" si="62"/>
        <v>6082.2142819962755</v>
      </c>
      <c r="X158" s="41">
        <f t="shared" si="63"/>
        <v>1.0262860789480681</v>
      </c>
      <c r="Y158" s="17"/>
      <c r="Z158" s="23">
        <f t="shared" si="67"/>
        <v>45430</v>
      </c>
      <c r="AA158" s="22">
        <f t="shared" si="67"/>
        <v>45430</v>
      </c>
      <c r="AB158" s="137">
        <v>45430</v>
      </c>
      <c r="AC158" s="137"/>
      <c r="AD158" s="134"/>
      <c r="AE158" s="134"/>
      <c r="AF158" s="139"/>
      <c r="AG158" s="256"/>
      <c r="AH158" s="256"/>
      <c r="AI158" s="256"/>
      <c r="AJ158" s="256"/>
      <c r="AK158" s="134"/>
      <c r="AL158" s="134"/>
      <c r="AM158" s="134"/>
      <c r="AN158" s="18"/>
      <c r="AO158" s="18"/>
      <c r="AP158" s="18"/>
      <c r="AQ158" s="18"/>
      <c r="AR158" s="17"/>
      <c r="AS158" s="21">
        <f t="shared" si="68"/>
        <v>45430</v>
      </c>
      <c r="AT158" s="17"/>
      <c r="AU158" s="17"/>
      <c r="AV158" s="17"/>
      <c r="AW158" s="17"/>
      <c r="AX158" s="17"/>
      <c r="AY158" s="17"/>
      <c r="AZ158" s="17"/>
    </row>
    <row r="159" spans="1:52" ht="20">
      <c r="A159" s="17"/>
      <c r="B159" s="40"/>
      <c r="C159" s="55">
        <f t="shared" si="64"/>
        <v>140</v>
      </c>
      <c r="D159" s="54">
        <v>0</v>
      </c>
      <c r="E159" s="53" t="str">
        <f t="shared" si="57"/>
        <v>5</v>
      </c>
      <c r="F159" s="52">
        <f t="shared" si="65"/>
        <v>45431</v>
      </c>
      <c r="G159" s="51" t="str">
        <f t="shared" si="66"/>
        <v>Sun</v>
      </c>
      <c r="H159" s="50" t="s">
        <v>46</v>
      </c>
      <c r="I159" s="49"/>
      <c r="J159" s="343"/>
      <c r="K159" s="31"/>
      <c r="L159" s="317">
        <f t="shared" si="56"/>
        <v>0</v>
      </c>
      <c r="M159" s="318">
        <f t="shared" si="58"/>
        <v>0</v>
      </c>
      <c r="N159" s="41" t="str">
        <f t="shared" si="59"/>
        <v>0%</v>
      </c>
      <c r="O159" s="46"/>
      <c r="P159" s="328">
        <f>IF(D159=0,0,SUM($L$141:L159))</f>
        <v>0</v>
      </c>
      <c r="Q159" s="317">
        <f>IF(D159=0,0,SUM($J$141:J159))</f>
        <v>0</v>
      </c>
      <c r="R159" s="321">
        <f t="shared" si="60"/>
        <v>0</v>
      </c>
      <c r="S159" s="41" t="str">
        <f t="shared" si="61"/>
        <v>0%</v>
      </c>
      <c r="T159" s="56"/>
      <c r="U159" s="348">
        <f>IF(D159=0,0,SUM($L$20:L159))</f>
        <v>0</v>
      </c>
      <c r="V159" s="348">
        <f>IF(D159=0,0,SUM($J$20:J159))</f>
        <v>0</v>
      </c>
      <c r="W159" s="349">
        <f t="shared" si="62"/>
        <v>0</v>
      </c>
      <c r="X159" s="41" t="str">
        <f t="shared" si="63"/>
        <v>0%</v>
      </c>
      <c r="Y159" s="17"/>
      <c r="Z159" s="23">
        <f t="shared" si="67"/>
        <v>45431</v>
      </c>
      <c r="AA159" s="22">
        <f t="shared" si="67"/>
        <v>45431</v>
      </c>
      <c r="AB159" s="137">
        <v>45431</v>
      </c>
      <c r="AC159" s="137"/>
      <c r="AD159" s="134"/>
      <c r="AE159" s="134"/>
      <c r="AF159" s="139"/>
      <c r="AG159" s="256"/>
      <c r="AH159" s="256"/>
      <c r="AI159" s="256"/>
      <c r="AJ159" s="256"/>
      <c r="AK159" s="134"/>
      <c r="AL159" s="134"/>
      <c r="AM159" s="134"/>
      <c r="AN159" s="18"/>
      <c r="AO159" s="18"/>
      <c r="AP159" s="18"/>
      <c r="AQ159" s="18"/>
      <c r="AR159" s="17"/>
      <c r="AS159" s="21">
        <f t="shared" si="68"/>
        <v>45431</v>
      </c>
      <c r="AT159" s="17"/>
      <c r="AU159" s="17"/>
      <c r="AV159" s="17"/>
      <c r="AW159" s="17"/>
      <c r="AX159" s="17"/>
      <c r="AY159" s="17"/>
      <c r="AZ159" s="17"/>
    </row>
    <row r="160" spans="1:52" ht="20">
      <c r="A160" s="17"/>
      <c r="B160" s="40"/>
      <c r="C160" s="55">
        <f t="shared" si="64"/>
        <v>141</v>
      </c>
      <c r="D160" s="54">
        <v>1</v>
      </c>
      <c r="E160" s="53" t="str">
        <f t="shared" si="57"/>
        <v>5</v>
      </c>
      <c r="F160" s="52">
        <f t="shared" si="65"/>
        <v>45432</v>
      </c>
      <c r="G160" s="51" t="str">
        <f t="shared" si="66"/>
        <v>Mon</v>
      </c>
      <c r="H160" s="50"/>
      <c r="I160" s="49"/>
      <c r="J160" s="343">
        <f>199520/$B$13</f>
        <v>1808.2291100235634</v>
      </c>
      <c r="K160" s="31"/>
      <c r="L160" s="317">
        <f t="shared" si="56"/>
        <v>2233.4495830126825</v>
      </c>
      <c r="M160" s="318">
        <f t="shared" si="58"/>
        <v>-425.22047298911912</v>
      </c>
      <c r="N160" s="41">
        <f t="shared" si="59"/>
        <v>0.80961268334719128</v>
      </c>
      <c r="O160" s="46"/>
      <c r="P160" s="328">
        <f>IF(D160=0,0,SUM($L$141:L160))</f>
        <v>31268.294162177564</v>
      </c>
      <c r="Q160" s="317">
        <f>IF(D160=0,0,SUM($J$141:J160))</f>
        <v>29728.339677360884</v>
      </c>
      <c r="R160" s="321">
        <f t="shared" si="60"/>
        <v>-1539.9544848166806</v>
      </c>
      <c r="S160" s="41">
        <f t="shared" si="61"/>
        <v>0.95075028791690774</v>
      </c>
      <c r="T160" s="56"/>
      <c r="U160" s="348">
        <f>IF(D160=0,0,SUM($L$20:L160))</f>
        <v>233618.82638312626</v>
      </c>
      <c r="V160" s="348">
        <f>IF(D160=0,0,SUM($J$20:J160))</f>
        <v>239275.82019213343</v>
      </c>
      <c r="W160" s="349">
        <f t="shared" si="62"/>
        <v>5656.9938090071664</v>
      </c>
      <c r="X160" s="41">
        <f t="shared" si="63"/>
        <v>1.0242146315713867</v>
      </c>
      <c r="Y160" s="17"/>
      <c r="Z160" s="23">
        <f t="shared" si="67"/>
        <v>45432</v>
      </c>
      <c r="AA160" s="22">
        <f t="shared" si="67"/>
        <v>45432</v>
      </c>
      <c r="AB160" s="137">
        <v>45432</v>
      </c>
      <c r="AC160" s="137"/>
      <c r="AD160" s="134"/>
      <c r="AE160" s="134"/>
      <c r="AF160" s="139"/>
      <c r="AG160" s="256"/>
      <c r="AH160" s="256"/>
      <c r="AI160" s="256"/>
      <c r="AJ160" s="256"/>
      <c r="AK160" s="134"/>
      <c r="AL160" s="134"/>
      <c r="AM160" s="134"/>
      <c r="AN160" s="18"/>
      <c r="AO160" s="18"/>
      <c r="AP160" s="18"/>
      <c r="AQ160" s="18"/>
      <c r="AR160" s="17"/>
      <c r="AS160" s="21">
        <f t="shared" si="68"/>
        <v>45432</v>
      </c>
      <c r="AT160" s="17"/>
      <c r="AU160" s="17"/>
      <c r="AV160" s="17"/>
      <c r="AW160" s="17"/>
      <c r="AX160" s="17"/>
      <c r="AY160" s="17"/>
      <c r="AZ160" s="17"/>
    </row>
    <row r="161" spans="1:52" ht="20">
      <c r="A161" s="17"/>
      <c r="B161" s="40"/>
      <c r="C161" s="55">
        <f t="shared" si="64"/>
        <v>142</v>
      </c>
      <c r="D161" s="54">
        <v>1</v>
      </c>
      <c r="E161" s="53" t="str">
        <f t="shared" si="57"/>
        <v>5</v>
      </c>
      <c r="F161" s="52">
        <f t="shared" si="65"/>
        <v>45433</v>
      </c>
      <c r="G161" s="51" t="str">
        <f t="shared" si="66"/>
        <v>Tue</v>
      </c>
      <c r="H161" s="50"/>
      <c r="I161" s="49"/>
      <c r="J161" s="343">
        <f>246350/$B$13</f>
        <v>2232.6445531992026</v>
      </c>
      <c r="K161" s="31"/>
      <c r="L161" s="317">
        <f t="shared" si="56"/>
        <v>2233.4495830126825</v>
      </c>
      <c r="M161" s="318">
        <f t="shared" si="58"/>
        <v>-0.80502981347990499</v>
      </c>
      <c r="N161" s="41">
        <f t="shared" si="59"/>
        <v>0.99963955765126611</v>
      </c>
      <c r="O161" s="46"/>
      <c r="P161" s="328">
        <f>IF(D161=0,0,SUM($L$141:L161))</f>
        <v>33501.743745190244</v>
      </c>
      <c r="Q161" s="317">
        <f>IF(D161=0,0,SUM($J$141:J161))</f>
        <v>31960.984230560087</v>
      </c>
      <c r="R161" s="321">
        <f t="shared" si="60"/>
        <v>-1540.7595146301574</v>
      </c>
      <c r="S161" s="41">
        <f t="shared" si="61"/>
        <v>0.95400957256586505</v>
      </c>
      <c r="T161" s="56"/>
      <c r="U161" s="348">
        <f>IF(D161=0,0,SUM($L$20:L161))</f>
        <v>235852.27596613893</v>
      </c>
      <c r="V161" s="348">
        <f>IF(D161=0,0,SUM($J$20:J161))</f>
        <v>241508.46474533263</v>
      </c>
      <c r="W161" s="349">
        <f t="shared" si="62"/>
        <v>5656.1887791937042</v>
      </c>
      <c r="X161" s="41">
        <f t="shared" si="63"/>
        <v>1.0239819130683554</v>
      </c>
      <c r="Y161" s="17"/>
      <c r="Z161" s="23">
        <f t="shared" si="67"/>
        <v>45433</v>
      </c>
      <c r="AA161" s="22">
        <f t="shared" si="67"/>
        <v>45433</v>
      </c>
      <c r="AB161" s="137">
        <v>45433</v>
      </c>
      <c r="AC161" s="137"/>
      <c r="AD161" s="134"/>
      <c r="AE161" s="134"/>
      <c r="AF161" s="139"/>
      <c r="AG161" s="256"/>
      <c r="AH161" s="256"/>
      <c r="AI161" s="256"/>
      <c r="AJ161" s="256"/>
      <c r="AK161" s="134"/>
      <c r="AL161" s="134"/>
      <c r="AM161" s="134"/>
      <c r="AN161" s="18"/>
      <c r="AO161" s="18"/>
      <c r="AP161" s="18"/>
      <c r="AQ161" s="18"/>
      <c r="AR161" s="17"/>
      <c r="AS161" s="21">
        <f t="shared" si="68"/>
        <v>45433</v>
      </c>
      <c r="AT161" s="17"/>
      <c r="AU161" s="17"/>
      <c r="AV161" s="17"/>
      <c r="AW161" s="17"/>
      <c r="AX161" s="17"/>
      <c r="AY161" s="17"/>
      <c r="AZ161" s="17"/>
    </row>
    <row r="162" spans="1:52" ht="20">
      <c r="A162" s="17"/>
      <c r="B162" s="40"/>
      <c r="C162" s="55">
        <f t="shared" si="64"/>
        <v>143</v>
      </c>
      <c r="D162" s="54">
        <v>1</v>
      </c>
      <c r="E162" s="53" t="str">
        <f t="shared" si="57"/>
        <v>5</v>
      </c>
      <c r="F162" s="52">
        <f t="shared" si="65"/>
        <v>45434</v>
      </c>
      <c r="G162" s="51" t="str">
        <f t="shared" si="66"/>
        <v>Wed</v>
      </c>
      <c r="H162" s="50"/>
      <c r="I162" s="49"/>
      <c r="J162" s="343">
        <f>500550/$B$13</f>
        <v>4536.4328439369219</v>
      </c>
      <c r="K162" s="31"/>
      <c r="L162" s="317">
        <f t="shared" si="56"/>
        <v>2233.4495830126825</v>
      </c>
      <c r="M162" s="318">
        <f t="shared" si="58"/>
        <v>2302.9832609242394</v>
      </c>
      <c r="N162" s="41">
        <f t="shared" si="59"/>
        <v>2.0311328621162619</v>
      </c>
      <c r="O162" s="46"/>
      <c r="P162" s="328">
        <f>IF(D162=0,0,SUM($L$141:L162))</f>
        <v>35735.193328202928</v>
      </c>
      <c r="Q162" s="317">
        <f>IF(D162=0,0,SUM($J$141:J162))</f>
        <v>36497.417074497011</v>
      </c>
      <c r="R162" s="321">
        <f t="shared" si="60"/>
        <v>762.22374629408296</v>
      </c>
      <c r="S162" s="41">
        <f t="shared" si="61"/>
        <v>1.0213297781627648</v>
      </c>
      <c r="T162" s="56"/>
      <c r="U162" s="348">
        <f>IF(D162=0,0,SUM($L$20:L162))</f>
        <v>238085.7255491516</v>
      </c>
      <c r="V162" s="348">
        <f>IF(D162=0,0,SUM($J$20:J162))</f>
        <v>246044.89758926956</v>
      </c>
      <c r="W162" s="349">
        <f t="shared" si="62"/>
        <v>7959.1720401179628</v>
      </c>
      <c r="X162" s="41">
        <f t="shared" si="63"/>
        <v>1.0334298581813752</v>
      </c>
      <c r="Y162" s="17"/>
      <c r="Z162" s="23">
        <f t="shared" si="67"/>
        <v>45434</v>
      </c>
      <c r="AA162" s="22">
        <f t="shared" si="67"/>
        <v>45434</v>
      </c>
      <c r="AB162" s="137">
        <v>45434</v>
      </c>
      <c r="AC162" s="137"/>
      <c r="AD162" s="134"/>
      <c r="AE162" s="134"/>
      <c r="AF162" s="139"/>
      <c r="AG162" s="256"/>
      <c r="AH162" s="256"/>
      <c r="AI162" s="256"/>
      <c r="AJ162" s="256"/>
      <c r="AK162" s="134"/>
      <c r="AL162" s="134"/>
      <c r="AM162" s="134"/>
      <c r="AN162" s="18"/>
      <c r="AO162" s="18"/>
      <c r="AP162" s="18"/>
      <c r="AQ162" s="18"/>
      <c r="AR162" s="17"/>
      <c r="AS162" s="21">
        <f t="shared" si="68"/>
        <v>45434</v>
      </c>
      <c r="AT162" s="17"/>
      <c r="AU162" s="17"/>
      <c r="AV162" s="17"/>
      <c r="AW162" s="17"/>
      <c r="AX162" s="17"/>
      <c r="AY162" s="17"/>
      <c r="AZ162" s="17"/>
    </row>
    <row r="163" spans="1:52" ht="20">
      <c r="A163" s="17"/>
      <c r="B163" s="40"/>
      <c r="C163" s="55">
        <f t="shared" si="64"/>
        <v>144</v>
      </c>
      <c r="D163" s="54">
        <v>1</v>
      </c>
      <c r="E163" s="53" t="str">
        <f t="shared" si="57"/>
        <v>5</v>
      </c>
      <c r="F163" s="52">
        <f t="shared" si="65"/>
        <v>45435</v>
      </c>
      <c r="G163" s="51" t="str">
        <f t="shared" si="66"/>
        <v>Thu</v>
      </c>
      <c r="H163" s="50"/>
      <c r="I163" s="49"/>
      <c r="J163" s="343">
        <f>137000/$B$13</f>
        <v>1241.6168207359071</v>
      </c>
      <c r="K163" s="31"/>
      <c r="L163" s="317">
        <f t="shared" si="56"/>
        <v>2233.4495830126825</v>
      </c>
      <c r="M163" s="318">
        <f t="shared" si="58"/>
        <v>-991.83276227677538</v>
      </c>
      <c r="N163" s="41">
        <f t="shared" si="59"/>
        <v>0.55591889343707501</v>
      </c>
      <c r="O163" s="46"/>
      <c r="P163" s="328">
        <f>IF(D163=0,0,SUM($L$141:L163))</f>
        <v>37968.642911215611</v>
      </c>
      <c r="Q163" s="317">
        <f>IF(D163=0,0,SUM($J$141:J163))</f>
        <v>37739.033895232918</v>
      </c>
      <c r="R163" s="321">
        <f t="shared" si="60"/>
        <v>-229.60901598269265</v>
      </c>
      <c r="S163" s="41">
        <f t="shared" si="61"/>
        <v>0.99395266729654785</v>
      </c>
      <c r="T163" s="56"/>
      <c r="U163" s="348">
        <f>IF(D163=0,0,SUM($L$20:L163))</f>
        <v>240319.17513216427</v>
      </c>
      <c r="V163" s="348">
        <f>IF(D163=0,0,SUM($J$20:J163))</f>
        <v>247286.51441000547</v>
      </c>
      <c r="W163" s="349">
        <f t="shared" si="62"/>
        <v>6967.339277841209</v>
      </c>
      <c r="X163" s="41">
        <f t="shared" si="63"/>
        <v>1.0289920239365398</v>
      </c>
      <c r="Y163" s="17"/>
      <c r="Z163" s="23">
        <f t="shared" si="67"/>
        <v>45435</v>
      </c>
      <c r="AA163" s="22">
        <f t="shared" si="67"/>
        <v>45435</v>
      </c>
      <c r="AB163" s="137">
        <v>45435</v>
      </c>
      <c r="AC163" s="137"/>
      <c r="AD163" s="134"/>
      <c r="AE163" s="134"/>
      <c r="AF163" s="139"/>
      <c r="AG163" s="256"/>
      <c r="AH163" s="256"/>
      <c r="AI163" s="256"/>
      <c r="AJ163" s="256"/>
      <c r="AK163" s="134"/>
      <c r="AL163" s="134"/>
      <c r="AM163" s="134"/>
      <c r="AN163" s="18"/>
      <c r="AO163" s="18"/>
      <c r="AP163" s="18"/>
      <c r="AQ163" s="18"/>
      <c r="AR163" s="17"/>
      <c r="AS163" s="21">
        <f t="shared" si="68"/>
        <v>45435</v>
      </c>
      <c r="AT163" s="17"/>
      <c r="AU163" s="17"/>
      <c r="AV163" s="17"/>
      <c r="AW163" s="17"/>
      <c r="AX163" s="17"/>
      <c r="AY163" s="17"/>
      <c r="AZ163" s="17"/>
    </row>
    <row r="164" spans="1:52" ht="20">
      <c r="A164" s="17"/>
      <c r="B164" s="40"/>
      <c r="C164" s="55">
        <f t="shared" si="64"/>
        <v>145</v>
      </c>
      <c r="D164" s="54">
        <v>1</v>
      </c>
      <c r="E164" s="53" t="str">
        <f t="shared" si="57"/>
        <v>5</v>
      </c>
      <c r="F164" s="52">
        <f t="shared" si="65"/>
        <v>45436</v>
      </c>
      <c r="G164" s="51" t="str">
        <f t="shared" si="66"/>
        <v>Fri</v>
      </c>
      <c r="H164" s="50"/>
      <c r="I164" s="49"/>
      <c r="J164" s="343">
        <f>368700/$B$13</f>
        <v>3341.4899401848829</v>
      </c>
      <c r="K164" s="31"/>
      <c r="L164" s="317">
        <f t="shared" si="56"/>
        <v>2233.4495830126825</v>
      </c>
      <c r="M164" s="318">
        <f t="shared" si="58"/>
        <v>1108.0403571722004</v>
      </c>
      <c r="N164" s="41">
        <f t="shared" si="59"/>
        <v>1.4961116497098508</v>
      </c>
      <c r="O164" s="46"/>
      <c r="P164" s="328">
        <f>IF(D164=0,0,SUM($L$141:L164))</f>
        <v>40202.092494228295</v>
      </c>
      <c r="Q164" s="317">
        <f>IF(D164=0,0,SUM($J$141:J164))</f>
        <v>41080.5238354178</v>
      </c>
      <c r="R164" s="321">
        <f t="shared" si="60"/>
        <v>878.43134118950547</v>
      </c>
      <c r="S164" s="41">
        <f t="shared" si="61"/>
        <v>1.0218503885417312</v>
      </c>
      <c r="T164" s="56"/>
      <c r="U164" s="348">
        <f>IF(D164=0,0,SUM($L$20:L164))</f>
        <v>242552.62471517693</v>
      </c>
      <c r="V164" s="348">
        <f>IF(D164=0,0,SUM($J$20:J164))</f>
        <v>250628.00435019037</v>
      </c>
      <c r="W164" s="349">
        <f t="shared" si="62"/>
        <v>8075.3796350134362</v>
      </c>
      <c r="X164" s="41">
        <f t="shared" si="63"/>
        <v>1.0332933096250603</v>
      </c>
      <c r="Y164" s="17"/>
      <c r="Z164" s="23">
        <f t="shared" si="67"/>
        <v>45436</v>
      </c>
      <c r="AA164" s="22">
        <f t="shared" si="67"/>
        <v>45436</v>
      </c>
      <c r="AB164" s="137">
        <v>45436</v>
      </c>
      <c r="AC164" s="137"/>
      <c r="AD164" s="134"/>
      <c r="AE164" s="134"/>
      <c r="AF164" s="139"/>
      <c r="AG164" s="256"/>
      <c r="AH164" s="256"/>
      <c r="AI164" s="256"/>
      <c r="AJ164" s="256"/>
      <c r="AK164" s="134"/>
      <c r="AL164" s="134"/>
      <c r="AM164" s="134"/>
      <c r="AN164" s="18"/>
      <c r="AO164" s="18"/>
      <c r="AP164" s="18"/>
      <c r="AQ164" s="18"/>
      <c r="AR164" s="17"/>
      <c r="AS164" s="21">
        <f t="shared" si="68"/>
        <v>45436</v>
      </c>
      <c r="AT164" s="17"/>
      <c r="AU164" s="17"/>
      <c r="AV164" s="17"/>
      <c r="AW164" s="17"/>
      <c r="AX164" s="17"/>
      <c r="AY164" s="17"/>
      <c r="AZ164" s="17"/>
    </row>
    <row r="165" spans="1:52" ht="20">
      <c r="A165" s="17"/>
      <c r="B165" s="40"/>
      <c r="C165" s="55">
        <f t="shared" si="64"/>
        <v>146</v>
      </c>
      <c r="D165" s="54">
        <v>1</v>
      </c>
      <c r="E165" s="53" t="str">
        <f t="shared" si="57"/>
        <v>5</v>
      </c>
      <c r="F165" s="52">
        <f t="shared" si="65"/>
        <v>45437</v>
      </c>
      <c r="G165" s="51" t="str">
        <f t="shared" si="66"/>
        <v>Sat</v>
      </c>
      <c r="H165" s="50"/>
      <c r="I165" s="49"/>
      <c r="J165" s="343">
        <f>191500/$B$13</f>
        <v>1735.5446800797533</v>
      </c>
      <c r="K165" s="31"/>
      <c r="L165" s="317">
        <f t="shared" si="56"/>
        <v>2233.4495830126825</v>
      </c>
      <c r="M165" s="318">
        <f t="shared" si="58"/>
        <v>-497.90490293292919</v>
      </c>
      <c r="N165" s="41">
        <f t="shared" si="59"/>
        <v>0.7770691101693421</v>
      </c>
      <c r="O165" s="46"/>
      <c r="P165" s="328">
        <f>IF(D165=0,0,SUM($L$141:L165))</f>
        <v>42435.542077240978</v>
      </c>
      <c r="Q165" s="317">
        <f>IF(D165=0,0,SUM($J$141:J165))</f>
        <v>42816.068515497551</v>
      </c>
      <c r="R165" s="321">
        <f t="shared" si="60"/>
        <v>380.52643825657287</v>
      </c>
      <c r="S165" s="41">
        <f t="shared" si="61"/>
        <v>1.008967163364237</v>
      </c>
      <c r="T165" s="44"/>
      <c r="U165" s="348">
        <f>IF(D165=0,0,SUM($L$20:L165))</f>
        <v>244786.0742981896</v>
      </c>
      <c r="V165" s="348">
        <f>IF(D165=0,0,SUM($J$20:J165))</f>
        <v>252363.54903027014</v>
      </c>
      <c r="W165" s="349">
        <f t="shared" si="62"/>
        <v>7577.4747320805327</v>
      </c>
      <c r="X165" s="41">
        <f t="shared" si="63"/>
        <v>1.030955497586231</v>
      </c>
      <c r="Y165" s="17"/>
      <c r="Z165" s="23">
        <f t="shared" ref="Z165:AA180" si="69">Z164+1</f>
        <v>45437</v>
      </c>
      <c r="AA165" s="22">
        <f t="shared" si="69"/>
        <v>45437</v>
      </c>
      <c r="AB165" s="137">
        <v>45437</v>
      </c>
      <c r="AC165" s="137"/>
      <c r="AD165" s="134"/>
      <c r="AE165" s="134"/>
      <c r="AF165" s="139"/>
      <c r="AG165" s="256"/>
      <c r="AH165" s="256"/>
      <c r="AI165" s="256"/>
      <c r="AJ165" s="256"/>
      <c r="AK165" s="134"/>
      <c r="AL165" s="134"/>
      <c r="AM165" s="134"/>
      <c r="AN165" s="18"/>
      <c r="AO165" s="18"/>
      <c r="AP165" s="18"/>
      <c r="AQ165" s="18"/>
      <c r="AR165" s="17"/>
      <c r="AS165" s="21">
        <f t="shared" si="68"/>
        <v>45437</v>
      </c>
      <c r="AT165" s="17"/>
      <c r="AU165" s="17"/>
      <c r="AV165" s="17"/>
      <c r="AW165" s="17"/>
      <c r="AX165" s="17"/>
      <c r="AY165" s="17"/>
      <c r="AZ165" s="17"/>
    </row>
    <row r="166" spans="1:52" ht="20">
      <c r="A166" s="17"/>
      <c r="B166" s="40"/>
      <c r="C166" s="55">
        <f t="shared" si="64"/>
        <v>147</v>
      </c>
      <c r="D166" s="54">
        <v>0</v>
      </c>
      <c r="E166" s="53" t="str">
        <f t="shared" si="57"/>
        <v>5</v>
      </c>
      <c r="F166" s="52">
        <f t="shared" si="65"/>
        <v>45438</v>
      </c>
      <c r="G166" s="51" t="str">
        <f t="shared" si="66"/>
        <v>Sun</v>
      </c>
      <c r="H166" s="50" t="s">
        <v>46</v>
      </c>
      <c r="I166" s="49"/>
      <c r="J166" s="343"/>
      <c r="K166" s="31"/>
      <c r="L166" s="317">
        <f t="shared" si="56"/>
        <v>0</v>
      </c>
      <c r="M166" s="318">
        <f t="shared" si="58"/>
        <v>0</v>
      </c>
      <c r="N166" s="41" t="str">
        <f t="shared" si="59"/>
        <v>0%</v>
      </c>
      <c r="O166" s="46"/>
      <c r="P166" s="328">
        <f>IF(D166=0,0,SUM($L$141:L166))</f>
        <v>0</v>
      </c>
      <c r="Q166" s="317">
        <f>IF(D166=0,0,SUM($J$141:J166))</f>
        <v>0</v>
      </c>
      <c r="R166" s="321">
        <f t="shared" si="60"/>
        <v>0</v>
      </c>
      <c r="S166" s="41" t="str">
        <f t="shared" si="61"/>
        <v>0%</v>
      </c>
      <c r="T166" s="56"/>
      <c r="U166" s="348">
        <f>IF(D166=0,0,SUM($L$20:L166))</f>
        <v>0</v>
      </c>
      <c r="V166" s="348">
        <f>IF(D166=0,0,SUM($J$20:J166))</f>
        <v>0</v>
      </c>
      <c r="W166" s="349">
        <f t="shared" si="62"/>
        <v>0</v>
      </c>
      <c r="X166" s="41" t="str">
        <f t="shared" si="63"/>
        <v>0%</v>
      </c>
      <c r="Y166" s="17"/>
      <c r="Z166" s="23">
        <f t="shared" si="69"/>
        <v>45438</v>
      </c>
      <c r="AA166" s="22">
        <f t="shared" si="69"/>
        <v>45438</v>
      </c>
      <c r="AB166" s="137">
        <v>45438</v>
      </c>
      <c r="AC166" s="137"/>
      <c r="AD166" s="134"/>
      <c r="AE166" s="134"/>
      <c r="AF166" s="139"/>
      <c r="AG166" s="256"/>
      <c r="AH166" s="256"/>
      <c r="AI166" s="256"/>
      <c r="AJ166" s="256"/>
      <c r="AK166" s="134"/>
      <c r="AL166" s="134"/>
      <c r="AM166" s="134"/>
      <c r="AN166" s="18"/>
      <c r="AO166" s="18"/>
      <c r="AP166" s="18"/>
      <c r="AQ166" s="18"/>
      <c r="AR166" s="17"/>
      <c r="AS166" s="21">
        <f t="shared" si="68"/>
        <v>45438</v>
      </c>
      <c r="AT166" s="17"/>
      <c r="AU166" s="17"/>
      <c r="AV166" s="17"/>
      <c r="AW166" s="17"/>
      <c r="AX166" s="17"/>
      <c r="AY166" s="17"/>
      <c r="AZ166" s="17"/>
    </row>
    <row r="167" spans="1:52" ht="20">
      <c r="A167" s="17"/>
      <c r="B167" s="40"/>
      <c r="C167" s="55">
        <f t="shared" si="64"/>
        <v>148</v>
      </c>
      <c r="D167" s="54">
        <v>1</v>
      </c>
      <c r="E167" s="53" t="str">
        <f t="shared" si="57"/>
        <v>5</v>
      </c>
      <c r="F167" s="52">
        <f t="shared" si="65"/>
        <v>45439</v>
      </c>
      <c r="G167" s="51" t="str">
        <f t="shared" si="66"/>
        <v>Mon</v>
      </c>
      <c r="H167" s="50"/>
      <c r="I167" s="49"/>
      <c r="J167" s="343">
        <f>270760/$B$13</f>
        <v>2453.869856806235</v>
      </c>
      <c r="K167" s="31"/>
      <c r="L167" s="317">
        <f t="shared" si="56"/>
        <v>2233.4495830126825</v>
      </c>
      <c r="M167" s="318">
        <f t="shared" si="58"/>
        <v>220.4202737935525</v>
      </c>
      <c r="N167" s="41">
        <f t="shared" si="59"/>
        <v>1.0986905079344702</v>
      </c>
      <c r="O167" s="46"/>
      <c r="P167" s="328">
        <f>IF(D167=0,0,SUM($L$141:L167))</f>
        <v>44668.991660253661</v>
      </c>
      <c r="Q167" s="317">
        <f>IF(D167=0,0,SUM($J$141:J167))</f>
        <v>45269.938372303783</v>
      </c>
      <c r="R167" s="321">
        <f t="shared" si="60"/>
        <v>600.94671205012128</v>
      </c>
      <c r="S167" s="41">
        <f t="shared" si="61"/>
        <v>1.0134533305927487</v>
      </c>
      <c r="T167" s="56"/>
      <c r="U167" s="348">
        <f>IF(D167=0,0,SUM($L$20:L167))</f>
        <v>247019.52388120227</v>
      </c>
      <c r="V167" s="348">
        <f>IF(D167=0,0,SUM($J$20:J167))</f>
        <v>254817.41888707638</v>
      </c>
      <c r="W167" s="349">
        <f t="shared" si="62"/>
        <v>7797.8950058741029</v>
      </c>
      <c r="X167" s="41">
        <f t="shared" si="63"/>
        <v>1.0315679298678606</v>
      </c>
      <c r="Y167" s="17"/>
      <c r="Z167" s="23">
        <f t="shared" si="69"/>
        <v>45439</v>
      </c>
      <c r="AA167" s="22">
        <f t="shared" si="69"/>
        <v>45439</v>
      </c>
      <c r="AB167" s="137">
        <v>45439</v>
      </c>
      <c r="AC167" s="137"/>
      <c r="AD167" s="134"/>
      <c r="AE167" s="134"/>
      <c r="AF167" s="139"/>
      <c r="AG167" s="256"/>
      <c r="AH167" s="256"/>
      <c r="AI167" s="256"/>
      <c r="AJ167" s="256"/>
      <c r="AK167" s="134"/>
      <c r="AL167" s="134"/>
      <c r="AM167" s="134"/>
      <c r="AN167" s="18"/>
      <c r="AO167" s="18"/>
      <c r="AP167" s="18"/>
      <c r="AQ167" s="18"/>
      <c r="AR167" s="17"/>
      <c r="AS167" s="21">
        <f t="shared" si="68"/>
        <v>45439</v>
      </c>
      <c r="AT167" s="17"/>
      <c r="AU167" s="17"/>
      <c r="AV167" s="17"/>
      <c r="AW167" s="17"/>
      <c r="AX167" s="17"/>
      <c r="AY167" s="17"/>
      <c r="AZ167" s="17"/>
    </row>
    <row r="168" spans="1:52" ht="20">
      <c r="A168" s="17"/>
      <c r="B168" s="40"/>
      <c r="C168" s="55">
        <f t="shared" si="64"/>
        <v>149</v>
      </c>
      <c r="D168" s="54">
        <v>1</v>
      </c>
      <c r="E168" s="53" t="str">
        <f t="shared" si="57"/>
        <v>5</v>
      </c>
      <c r="F168" s="52">
        <f t="shared" si="65"/>
        <v>45440</v>
      </c>
      <c r="G168" s="51" t="str">
        <f t="shared" si="66"/>
        <v>Tue</v>
      </c>
      <c r="H168" s="50"/>
      <c r="I168" s="49"/>
      <c r="J168" s="343">
        <f>228795/$B$13</f>
        <v>2073.5454051114734</v>
      </c>
      <c r="K168" s="31"/>
      <c r="L168" s="317">
        <f t="shared" si="56"/>
        <v>2233.4495830126825</v>
      </c>
      <c r="M168" s="318">
        <f t="shared" si="58"/>
        <v>-159.9041779012091</v>
      </c>
      <c r="N168" s="41">
        <f t="shared" si="59"/>
        <v>0.92840484105062471</v>
      </c>
      <c r="O168" s="46"/>
      <c r="P168" s="328">
        <f>IF(D168=0,0,SUM($L$141:L168))</f>
        <v>46902.441243266345</v>
      </c>
      <c r="Q168" s="317">
        <f>IF(D168=0,0,SUM($J$141:J168))</f>
        <v>47343.483777415255</v>
      </c>
      <c r="R168" s="321">
        <f t="shared" si="60"/>
        <v>441.04253414890991</v>
      </c>
      <c r="S168" s="41">
        <f t="shared" si="61"/>
        <v>1.0094034025193142</v>
      </c>
      <c r="T168" s="56"/>
      <c r="U168" s="348">
        <f>IF(D168=0,0,SUM($L$20:L168))</f>
        <v>249252.97346421494</v>
      </c>
      <c r="V168" s="348">
        <f>IF(D168=0,0,SUM($J$20:J168))</f>
        <v>256890.96429218785</v>
      </c>
      <c r="W168" s="349">
        <f t="shared" si="62"/>
        <v>7637.9908279729134</v>
      </c>
      <c r="X168" s="41">
        <f t="shared" si="63"/>
        <v>1.0306435294304301</v>
      </c>
      <c r="Y168" s="17"/>
      <c r="Z168" s="23">
        <f t="shared" si="69"/>
        <v>45440</v>
      </c>
      <c r="AA168" s="22">
        <f t="shared" si="69"/>
        <v>45440</v>
      </c>
      <c r="AB168" s="137">
        <v>45440</v>
      </c>
      <c r="AC168" s="137"/>
      <c r="AD168" s="134"/>
      <c r="AE168" s="134"/>
      <c r="AF168" s="139"/>
      <c r="AG168" s="256"/>
      <c r="AH168" s="256"/>
      <c r="AI168" s="256"/>
      <c r="AJ168" s="256"/>
      <c r="AK168" s="134"/>
      <c r="AL168" s="134"/>
      <c r="AM168" s="134"/>
      <c r="AN168" s="18"/>
      <c r="AO168" s="18"/>
      <c r="AP168" s="18"/>
      <c r="AQ168" s="18"/>
      <c r="AR168" s="17"/>
      <c r="AS168" s="21">
        <f t="shared" si="68"/>
        <v>45440</v>
      </c>
      <c r="AT168" s="17"/>
      <c r="AU168" s="17"/>
      <c r="AV168" s="17"/>
      <c r="AW168" s="17"/>
      <c r="AX168" s="17"/>
      <c r="AY168" s="17"/>
      <c r="AZ168" s="17"/>
    </row>
    <row r="169" spans="1:52" ht="20">
      <c r="A169" s="17"/>
      <c r="B169" s="40"/>
      <c r="C169" s="55">
        <f t="shared" si="64"/>
        <v>150</v>
      </c>
      <c r="D169" s="54">
        <v>1</v>
      </c>
      <c r="E169" s="53" t="str">
        <f t="shared" si="57"/>
        <v>5</v>
      </c>
      <c r="F169" s="52">
        <f t="shared" si="65"/>
        <v>45441</v>
      </c>
      <c r="G169" s="51" t="str">
        <f t="shared" si="66"/>
        <v>Wed</v>
      </c>
      <c r="H169" s="50"/>
      <c r="I169" s="49"/>
      <c r="J169" s="343">
        <f>310490/$B$13</f>
        <v>2813.9387348196483</v>
      </c>
      <c r="K169" s="31"/>
      <c r="L169" s="317">
        <f t="shared" si="56"/>
        <v>2233.4495830126825</v>
      </c>
      <c r="M169" s="318">
        <f t="shared" si="58"/>
        <v>580.48915180696576</v>
      </c>
      <c r="N169" s="41">
        <f t="shared" si="59"/>
        <v>1.2599069870312221</v>
      </c>
      <c r="O169" s="46"/>
      <c r="P169" s="328">
        <f>IF(D169=0,0,SUM($L$141:L169))</f>
        <v>49135.890826279028</v>
      </c>
      <c r="Q169" s="317">
        <f>IF(D169=0,0,SUM($J$141:J169))</f>
        <v>50157.422512234902</v>
      </c>
      <c r="R169" s="321">
        <f t="shared" si="60"/>
        <v>1021.5316859558734</v>
      </c>
      <c r="S169" s="41">
        <f t="shared" si="61"/>
        <v>1.0207899290880371</v>
      </c>
      <c r="T169" s="56"/>
      <c r="U169" s="348">
        <f>IF(D169=0,0,SUM($L$20:L169))</f>
        <v>251486.42304722761</v>
      </c>
      <c r="V169" s="348">
        <f>IF(D169=0,0,SUM($J$20:J169))</f>
        <v>259704.9030270075</v>
      </c>
      <c r="W169" s="349">
        <f t="shared" si="62"/>
        <v>8218.4799797798914</v>
      </c>
      <c r="X169" s="41">
        <f t="shared" si="63"/>
        <v>1.0326796169757304</v>
      </c>
      <c r="Y169" s="17"/>
      <c r="Z169" s="23">
        <f t="shared" si="69"/>
        <v>45441</v>
      </c>
      <c r="AA169" s="22">
        <f t="shared" si="69"/>
        <v>45441</v>
      </c>
      <c r="AB169" s="137">
        <v>45441</v>
      </c>
      <c r="AC169" s="137"/>
      <c r="AD169" s="134"/>
      <c r="AE169" s="134"/>
      <c r="AF169" s="139"/>
      <c r="AG169" s="256"/>
      <c r="AH169" s="256"/>
      <c r="AI169" s="256"/>
      <c r="AJ169" s="256"/>
      <c r="AK169" s="134"/>
      <c r="AL169" s="134"/>
      <c r="AM169" s="134"/>
      <c r="AN169" s="18"/>
      <c r="AO169" s="18"/>
      <c r="AP169" s="18"/>
      <c r="AQ169" s="18"/>
      <c r="AR169" s="17"/>
      <c r="AS169" s="21">
        <f t="shared" si="68"/>
        <v>45441</v>
      </c>
      <c r="AT169" s="17"/>
      <c r="AU169" s="17"/>
      <c r="AV169" s="17"/>
      <c r="AW169" s="17"/>
      <c r="AX169" s="17"/>
      <c r="AY169" s="17"/>
      <c r="AZ169" s="17"/>
    </row>
    <row r="170" spans="1:52" ht="20">
      <c r="A170" s="17"/>
      <c r="B170" s="40"/>
      <c r="C170" s="55">
        <f t="shared" si="64"/>
        <v>151</v>
      </c>
      <c r="D170" s="54">
        <v>1</v>
      </c>
      <c r="E170" s="53" t="str">
        <f t="shared" si="57"/>
        <v>5</v>
      </c>
      <c r="F170" s="52">
        <f t="shared" si="65"/>
        <v>45442</v>
      </c>
      <c r="G170" s="51" t="str">
        <f t="shared" si="66"/>
        <v>Thu</v>
      </c>
      <c r="H170" s="50"/>
      <c r="I170" s="49"/>
      <c r="J170" s="343">
        <f>329440/$B$13</f>
        <v>2985.6806235272793</v>
      </c>
      <c r="K170" s="31"/>
      <c r="L170" s="317">
        <f t="shared" si="56"/>
        <v>2233.4495830126825</v>
      </c>
      <c r="M170" s="318">
        <f t="shared" si="58"/>
        <v>752.23104051459677</v>
      </c>
      <c r="N170" s="41">
        <f t="shared" si="59"/>
        <v>1.3368023376197811</v>
      </c>
      <c r="O170" s="46"/>
      <c r="P170" s="328">
        <f>IF(D170=0,0,SUM($L$141:L170))</f>
        <v>51369.340409291712</v>
      </c>
      <c r="Q170" s="317">
        <f>IF(D170=0,0,SUM($J$141:J170))</f>
        <v>53143.103135762183</v>
      </c>
      <c r="R170" s="321">
        <f t="shared" si="60"/>
        <v>1773.7627264704715</v>
      </c>
      <c r="S170" s="41">
        <f t="shared" si="61"/>
        <v>1.0345295990241998</v>
      </c>
      <c r="T170" s="56"/>
      <c r="U170" s="348">
        <f>IF(D170=0,0,SUM($L$20:L170))</f>
        <v>253719.87263024028</v>
      </c>
      <c r="V170" s="348">
        <f>IF(D170=0,0,SUM($J$20:J170))</f>
        <v>262690.5836505348</v>
      </c>
      <c r="W170" s="349">
        <f t="shared" si="62"/>
        <v>8970.7110202945187</v>
      </c>
      <c r="X170" s="41">
        <f t="shared" si="63"/>
        <v>1.0353567536011183</v>
      </c>
      <c r="Y170" s="17"/>
      <c r="Z170" s="23">
        <f t="shared" si="69"/>
        <v>45442</v>
      </c>
      <c r="AA170" s="22">
        <f t="shared" si="69"/>
        <v>45442</v>
      </c>
      <c r="AB170" s="137">
        <v>45442</v>
      </c>
      <c r="AC170" s="137"/>
      <c r="AD170" s="134"/>
      <c r="AE170" s="134"/>
      <c r="AF170" s="139"/>
      <c r="AG170" s="256"/>
      <c r="AH170" s="256"/>
      <c r="AI170" s="256"/>
      <c r="AJ170" s="256"/>
      <c r="AK170" s="134"/>
      <c r="AL170" s="134"/>
      <c r="AM170" s="134"/>
      <c r="AN170" s="18"/>
      <c r="AO170" s="18"/>
      <c r="AP170" s="18"/>
      <c r="AQ170" s="18"/>
      <c r="AR170" s="17"/>
      <c r="AS170" s="21">
        <f t="shared" si="68"/>
        <v>45442</v>
      </c>
      <c r="AT170" s="17"/>
      <c r="AU170" s="17"/>
      <c r="AV170" s="17"/>
      <c r="AW170" s="17"/>
      <c r="AX170" s="17"/>
      <c r="AY170" s="17"/>
      <c r="AZ170" s="17"/>
    </row>
    <row r="171" spans="1:52" ht="21" thickBot="1">
      <c r="A171" s="17"/>
      <c r="B171" s="40"/>
      <c r="C171" s="39">
        <f t="shared" si="64"/>
        <v>152</v>
      </c>
      <c r="D171" s="38">
        <v>1</v>
      </c>
      <c r="E171" s="37" t="str">
        <f t="shared" si="57"/>
        <v>5</v>
      </c>
      <c r="F171" s="36">
        <f t="shared" si="65"/>
        <v>45443</v>
      </c>
      <c r="G171" s="35" t="str">
        <f t="shared" si="66"/>
        <v>Fri</v>
      </c>
      <c r="H171" s="34"/>
      <c r="I171" s="33"/>
      <c r="J171" s="344">
        <f>301200/$B$13</f>
        <v>2729.7444263186512</v>
      </c>
      <c r="K171" s="31"/>
      <c r="L171" s="326">
        <f t="shared" si="56"/>
        <v>2233.4495830126825</v>
      </c>
      <c r="M171" s="320">
        <f t="shared" si="58"/>
        <v>496.2948433059687</v>
      </c>
      <c r="N171" s="24">
        <f t="shared" si="59"/>
        <v>1.2222100051331897</v>
      </c>
      <c r="O171" s="29"/>
      <c r="P171" s="347">
        <f>IF(D171=0,0,SUM($L$141:L171))</f>
        <v>53602.789992304395</v>
      </c>
      <c r="Q171" s="326">
        <f>IF(D171=0,0,SUM($J$141:J171))</f>
        <v>55872.847562080831</v>
      </c>
      <c r="R171" s="327">
        <f t="shared" si="60"/>
        <v>2270.0575697764361</v>
      </c>
      <c r="S171" s="24">
        <f t="shared" si="61"/>
        <v>1.0423496159454078</v>
      </c>
      <c r="T171" s="64"/>
      <c r="U171" s="350">
        <f>IF(D171=0,0,SUM($L$20:L171))</f>
        <v>255953.32221325295</v>
      </c>
      <c r="V171" s="350">
        <f>IF(D171=0,0,SUM($J$20:J171))</f>
        <v>265420.32807685348</v>
      </c>
      <c r="W171" s="351">
        <f t="shared" si="62"/>
        <v>9467.0058636005269</v>
      </c>
      <c r="X171" s="24">
        <f t="shared" si="63"/>
        <v>1.0369872357261802</v>
      </c>
      <c r="Y171" s="17"/>
      <c r="Z171" s="23">
        <f t="shared" si="69"/>
        <v>45443</v>
      </c>
      <c r="AA171" s="22">
        <f t="shared" si="69"/>
        <v>45443</v>
      </c>
      <c r="AB171" s="137">
        <v>45443</v>
      </c>
      <c r="AC171" s="137"/>
      <c r="AD171" s="134"/>
      <c r="AE171" s="134"/>
      <c r="AF171" s="139"/>
      <c r="AG171" s="256"/>
      <c r="AH171" s="256"/>
      <c r="AI171" s="256"/>
      <c r="AJ171" s="256"/>
      <c r="AK171" s="134"/>
      <c r="AL171" s="134"/>
      <c r="AM171" s="134"/>
      <c r="AN171" s="18"/>
      <c r="AO171" s="18"/>
      <c r="AP171" s="18"/>
      <c r="AQ171" s="18"/>
      <c r="AR171" s="17"/>
      <c r="AS171" s="21">
        <f t="shared" si="68"/>
        <v>45443</v>
      </c>
      <c r="AT171" s="17"/>
      <c r="AU171" s="17"/>
      <c r="AV171" s="17"/>
      <c r="AW171" s="17"/>
      <c r="AX171" s="17"/>
      <c r="AY171" s="17"/>
      <c r="AZ171" s="17"/>
    </row>
    <row r="172" spans="1:52" ht="21" thickTop="1">
      <c r="A172" s="17"/>
      <c r="B172" s="40"/>
      <c r="C172" s="55">
        <f t="shared" si="64"/>
        <v>153</v>
      </c>
      <c r="D172" s="62">
        <v>1</v>
      </c>
      <c r="E172" s="53" t="str">
        <f t="shared" si="57"/>
        <v>6</v>
      </c>
      <c r="F172" s="52">
        <f t="shared" si="65"/>
        <v>45444</v>
      </c>
      <c r="G172" s="51" t="str">
        <f t="shared" si="66"/>
        <v>Sat</v>
      </c>
      <c r="H172" s="50"/>
      <c r="I172" s="49"/>
      <c r="J172" s="343">
        <f>118060/$B$13</f>
        <v>1069.9655609932934</v>
      </c>
      <c r="K172" s="31"/>
      <c r="L172" s="317">
        <f t="shared" ref="L172:L201" si="70">IF(D172=0,0,$K$11)</f>
        <v>2010.1046247114143</v>
      </c>
      <c r="M172" s="321">
        <f t="shared" si="58"/>
        <v>-940.13906371812095</v>
      </c>
      <c r="N172" s="60">
        <f t="shared" si="59"/>
        <v>0.53229346763326091</v>
      </c>
      <c r="O172" s="46"/>
      <c r="P172" s="329">
        <f>IF(D172=0,0,$L$172)</f>
        <v>2010.1046247114143</v>
      </c>
      <c r="Q172" s="317">
        <f>IF(D172=0,0,$J$172)</f>
        <v>1069.9655609932934</v>
      </c>
      <c r="R172" s="321">
        <f t="shared" si="60"/>
        <v>-940.13906371812095</v>
      </c>
      <c r="S172" s="60">
        <f t="shared" si="61"/>
        <v>0.53229346763326091</v>
      </c>
      <c r="T172" s="44"/>
      <c r="U172" s="348">
        <f>IF(D172=0,0,SUM($L$20:L172))</f>
        <v>257963.42683796436</v>
      </c>
      <c r="V172" s="348">
        <f>IF(D172=0,0,SUM($J$20:J172))</f>
        <v>266490.29363784677</v>
      </c>
      <c r="W172" s="349">
        <f t="shared" si="62"/>
        <v>8526.8667998824094</v>
      </c>
      <c r="X172" s="60">
        <f t="shared" si="63"/>
        <v>1.0330545570137677</v>
      </c>
      <c r="Y172" s="17"/>
      <c r="Z172" s="23">
        <f t="shared" si="69"/>
        <v>45444</v>
      </c>
      <c r="AA172" s="22">
        <f t="shared" si="69"/>
        <v>45444</v>
      </c>
      <c r="AB172" s="137">
        <v>45444</v>
      </c>
      <c r="AC172" s="137"/>
      <c r="AD172" s="134"/>
      <c r="AE172" s="134"/>
      <c r="AF172" s="139"/>
      <c r="AG172" s="256"/>
      <c r="AH172" s="256"/>
      <c r="AI172" s="256"/>
      <c r="AJ172" s="256"/>
      <c r="AK172" s="134"/>
      <c r="AL172" s="134"/>
      <c r="AM172" s="134"/>
      <c r="AN172" s="18"/>
      <c r="AO172" s="18"/>
      <c r="AP172" s="18"/>
      <c r="AQ172" s="18"/>
      <c r="AR172" s="17"/>
      <c r="AS172" s="21">
        <f t="shared" si="68"/>
        <v>45444</v>
      </c>
      <c r="AT172" s="17"/>
      <c r="AU172" s="17"/>
      <c r="AV172" s="17"/>
      <c r="AW172" s="17"/>
      <c r="AX172" s="17"/>
      <c r="AY172" s="17"/>
      <c r="AZ172" s="17"/>
    </row>
    <row r="173" spans="1:52" ht="20">
      <c r="A173" s="17"/>
      <c r="B173" s="40"/>
      <c r="C173" s="55">
        <f t="shared" si="64"/>
        <v>154</v>
      </c>
      <c r="D173" s="54">
        <v>0</v>
      </c>
      <c r="E173" s="53" t="str">
        <f t="shared" si="57"/>
        <v>6</v>
      </c>
      <c r="F173" s="52">
        <f t="shared" si="65"/>
        <v>45445</v>
      </c>
      <c r="G173" s="51" t="str">
        <f t="shared" si="66"/>
        <v>Sun</v>
      </c>
      <c r="H173" s="50" t="s">
        <v>46</v>
      </c>
      <c r="I173" s="49"/>
      <c r="J173" s="343"/>
      <c r="K173" s="31"/>
      <c r="L173" s="317">
        <f t="shared" si="70"/>
        <v>0</v>
      </c>
      <c r="M173" s="318">
        <f t="shared" si="58"/>
        <v>0</v>
      </c>
      <c r="N173" s="41" t="str">
        <f t="shared" si="59"/>
        <v>0%</v>
      </c>
      <c r="O173" s="46"/>
      <c r="P173" s="328">
        <f>IF(D173=0,0,SUM($L$172:L173))</f>
        <v>0</v>
      </c>
      <c r="Q173" s="317">
        <f>IF(D173=0,0,SUM($J$172:J173))</f>
        <v>0</v>
      </c>
      <c r="R173" s="321">
        <f t="shared" si="60"/>
        <v>0</v>
      </c>
      <c r="S173" s="41" t="str">
        <f t="shared" si="61"/>
        <v>0%</v>
      </c>
      <c r="T173" s="56"/>
      <c r="U173" s="348">
        <f>IF(D173=0,0,SUM($L$20:L173))</f>
        <v>0</v>
      </c>
      <c r="V173" s="348">
        <f>IF(D173=0,0,SUM($J$20:J173))</f>
        <v>0</v>
      </c>
      <c r="W173" s="349">
        <f t="shared" si="62"/>
        <v>0</v>
      </c>
      <c r="X173" s="41" t="str">
        <f t="shared" si="63"/>
        <v>0%</v>
      </c>
      <c r="Y173" s="17"/>
      <c r="Z173" s="23">
        <f t="shared" si="69"/>
        <v>45445</v>
      </c>
      <c r="AA173" s="22">
        <f t="shared" si="69"/>
        <v>45445</v>
      </c>
      <c r="AB173" s="137">
        <v>45445</v>
      </c>
      <c r="AC173" s="137"/>
      <c r="AD173" s="134"/>
      <c r="AE173" s="134"/>
      <c r="AF173" s="139"/>
      <c r="AG173" s="256"/>
      <c r="AH173" s="256"/>
      <c r="AI173" s="256"/>
      <c r="AJ173" s="256"/>
      <c r="AK173" s="134"/>
      <c r="AL173" s="134"/>
      <c r="AM173" s="134"/>
      <c r="AN173" s="18"/>
      <c r="AO173" s="18"/>
      <c r="AP173" s="18"/>
      <c r="AQ173" s="18"/>
      <c r="AR173" s="17"/>
      <c r="AS173" s="21">
        <f t="shared" si="68"/>
        <v>45445</v>
      </c>
      <c r="AT173" s="17"/>
      <c r="AU173" s="17"/>
      <c r="AV173" s="17"/>
      <c r="AW173" s="17"/>
      <c r="AX173" s="17"/>
      <c r="AY173" s="17"/>
      <c r="AZ173" s="17"/>
    </row>
    <row r="174" spans="1:52" ht="20">
      <c r="A174" s="17"/>
      <c r="B174" s="40"/>
      <c r="C174" s="55">
        <f t="shared" si="64"/>
        <v>155</v>
      </c>
      <c r="D174" s="54">
        <v>1</v>
      </c>
      <c r="E174" s="53" t="str">
        <f t="shared" si="57"/>
        <v>6</v>
      </c>
      <c r="F174" s="52">
        <f t="shared" si="65"/>
        <v>45446</v>
      </c>
      <c r="G174" s="51" t="str">
        <f t="shared" si="66"/>
        <v>Mon</v>
      </c>
      <c r="H174" s="50"/>
      <c r="I174" s="49"/>
      <c r="J174" s="343">
        <f>211700/$B$13</f>
        <v>1918.6151894145369</v>
      </c>
      <c r="K174" s="31"/>
      <c r="L174" s="317">
        <f t="shared" si="70"/>
        <v>2010.1046247114143</v>
      </c>
      <c r="M174" s="318">
        <f t="shared" si="58"/>
        <v>-91.489435296877446</v>
      </c>
      <c r="N174" s="41">
        <f t="shared" si="59"/>
        <v>0.954485237150274</v>
      </c>
      <c r="O174" s="46"/>
      <c r="P174" s="328">
        <f>IF(D174=0,0,SUM($L$172:L174))</f>
        <v>4020.2092494228286</v>
      </c>
      <c r="Q174" s="317">
        <f>IF(D174=0,0,SUM($J$172:J174))</f>
        <v>2988.5807504078302</v>
      </c>
      <c r="R174" s="321">
        <f t="shared" si="60"/>
        <v>-1031.6284990149984</v>
      </c>
      <c r="S174" s="41">
        <f t="shared" si="61"/>
        <v>0.74338935239176751</v>
      </c>
      <c r="T174" s="56"/>
      <c r="U174" s="348">
        <f>IF(D174=0,0,SUM($L$20:L174))</f>
        <v>259973.53146267578</v>
      </c>
      <c r="V174" s="348">
        <f>IF(D174=0,0,SUM($J$20:J174))</f>
        <v>268408.9088272613</v>
      </c>
      <c r="W174" s="349">
        <f t="shared" si="62"/>
        <v>8435.3773645855254</v>
      </c>
      <c r="X174" s="41">
        <f t="shared" si="63"/>
        <v>1.0324470622725552</v>
      </c>
      <c r="Y174" s="17"/>
      <c r="Z174" s="23">
        <f t="shared" si="69"/>
        <v>45446</v>
      </c>
      <c r="AA174" s="22">
        <f t="shared" si="69"/>
        <v>45446</v>
      </c>
      <c r="AB174" s="137">
        <v>45446</v>
      </c>
      <c r="AC174" s="137"/>
      <c r="AD174" s="134"/>
      <c r="AE174" s="134"/>
      <c r="AF174" s="139"/>
      <c r="AG174" s="256"/>
      <c r="AH174" s="256"/>
      <c r="AI174" s="256"/>
      <c r="AJ174" s="256"/>
      <c r="AK174" s="134"/>
      <c r="AL174" s="134"/>
      <c r="AM174" s="134"/>
      <c r="AN174" s="18"/>
      <c r="AO174" s="18"/>
      <c r="AP174" s="18"/>
      <c r="AQ174" s="18"/>
      <c r="AR174" s="17"/>
      <c r="AS174" s="21">
        <f t="shared" si="68"/>
        <v>45446</v>
      </c>
      <c r="AT174" s="17"/>
      <c r="AU174" s="17"/>
      <c r="AV174" s="17"/>
      <c r="AW174" s="17"/>
      <c r="AX174" s="17"/>
      <c r="AY174" s="17"/>
      <c r="AZ174" s="17"/>
    </row>
    <row r="175" spans="1:52" ht="20">
      <c r="A175" s="17"/>
      <c r="B175" s="40"/>
      <c r="C175" s="55">
        <f t="shared" si="64"/>
        <v>156</v>
      </c>
      <c r="D175" s="54">
        <v>1</v>
      </c>
      <c r="E175" s="53" t="str">
        <f t="shared" si="57"/>
        <v>6</v>
      </c>
      <c r="F175" s="52">
        <f t="shared" si="65"/>
        <v>45447</v>
      </c>
      <c r="G175" s="51" t="str">
        <f t="shared" si="66"/>
        <v>Tue</v>
      </c>
      <c r="H175" s="50"/>
      <c r="I175" s="49"/>
      <c r="J175" s="343">
        <f>219100/$B$13</f>
        <v>1985.6806235272793</v>
      </c>
      <c r="K175" s="31"/>
      <c r="L175" s="317">
        <f t="shared" si="70"/>
        <v>2010.1046247114143</v>
      </c>
      <c r="M175" s="318">
        <f t="shared" si="58"/>
        <v>-24.424001184135022</v>
      </c>
      <c r="N175" s="41">
        <f t="shared" si="59"/>
        <v>0.98784938809459155</v>
      </c>
      <c r="O175" s="46"/>
      <c r="P175" s="328">
        <f>IF(D175=0,0,SUM($L$172:L175))</f>
        <v>6030.3138741342427</v>
      </c>
      <c r="Q175" s="317">
        <f>IF(D175=0,0,SUM($J$172:J175))</f>
        <v>4974.2613739351091</v>
      </c>
      <c r="R175" s="321">
        <f t="shared" si="60"/>
        <v>-1056.0525001991336</v>
      </c>
      <c r="S175" s="41">
        <f t="shared" si="61"/>
        <v>0.82487603095937545</v>
      </c>
      <c r="T175" s="56"/>
      <c r="U175" s="348">
        <f>IF(D175=0,0,SUM($L$20:L175))</f>
        <v>261983.63608738719</v>
      </c>
      <c r="V175" s="348">
        <f>IF(D175=0,0,SUM($J$20:J175))</f>
        <v>270394.58945078857</v>
      </c>
      <c r="W175" s="349">
        <f t="shared" si="62"/>
        <v>8410.9533634013787</v>
      </c>
      <c r="X175" s="41">
        <f t="shared" si="63"/>
        <v>1.0321048806292459</v>
      </c>
      <c r="Y175" s="17"/>
      <c r="Z175" s="23">
        <f t="shared" si="69"/>
        <v>45447</v>
      </c>
      <c r="AA175" s="22">
        <f t="shared" si="69"/>
        <v>45447</v>
      </c>
      <c r="AB175" s="137">
        <v>45447</v>
      </c>
      <c r="AC175" s="137"/>
      <c r="AD175" s="134"/>
      <c r="AE175" s="134"/>
      <c r="AF175" s="139"/>
      <c r="AG175" s="256"/>
      <c r="AH175" s="256"/>
      <c r="AI175" s="256"/>
      <c r="AJ175" s="256"/>
      <c r="AK175" s="134"/>
      <c r="AL175" s="134"/>
      <c r="AM175" s="134"/>
      <c r="AN175" s="18"/>
      <c r="AO175" s="18"/>
      <c r="AP175" s="18"/>
      <c r="AQ175" s="18"/>
      <c r="AR175" s="17"/>
      <c r="AS175" s="21">
        <f t="shared" si="68"/>
        <v>45447</v>
      </c>
      <c r="AT175" s="17"/>
      <c r="AU175" s="17"/>
      <c r="AV175" s="17"/>
      <c r="AW175" s="17"/>
      <c r="AX175" s="17"/>
      <c r="AY175" s="17"/>
      <c r="AZ175" s="17"/>
    </row>
    <row r="176" spans="1:52" ht="20">
      <c r="A176" s="17"/>
      <c r="B176" s="40"/>
      <c r="C176" s="55">
        <f t="shared" si="64"/>
        <v>157</v>
      </c>
      <c r="D176" s="54">
        <v>1</v>
      </c>
      <c r="E176" s="53" t="str">
        <f t="shared" si="57"/>
        <v>6</v>
      </c>
      <c r="F176" s="52">
        <f t="shared" si="65"/>
        <v>45448</v>
      </c>
      <c r="G176" s="51" t="str">
        <f t="shared" si="66"/>
        <v>Wed</v>
      </c>
      <c r="H176" s="50"/>
      <c r="I176" s="49"/>
      <c r="J176" s="343">
        <f>230880/$B$13</f>
        <v>2092.441544317564</v>
      </c>
      <c r="K176" s="31"/>
      <c r="L176" s="317">
        <f t="shared" si="70"/>
        <v>2010.1046247114143</v>
      </c>
      <c r="M176" s="318">
        <f t="shared" si="58"/>
        <v>82.33691960614965</v>
      </c>
      <c r="N176" s="41">
        <f t="shared" si="59"/>
        <v>1.040961509462708</v>
      </c>
      <c r="O176" s="46"/>
      <c r="P176" s="328">
        <f>IF(D176=0,0,SUM($L$172:L176))</f>
        <v>8040.4184988456573</v>
      </c>
      <c r="Q176" s="317">
        <f>IF(D176=0,0,SUM($J$172:J176))</f>
        <v>7066.702918252673</v>
      </c>
      <c r="R176" s="321">
        <f t="shared" si="60"/>
        <v>-973.71558059298422</v>
      </c>
      <c r="S176" s="41">
        <f t="shared" si="61"/>
        <v>0.8788974005852086</v>
      </c>
      <c r="T176" s="56"/>
      <c r="U176" s="348">
        <f>IF(D176=0,0,SUM($L$20:L176))</f>
        <v>263993.7407120986</v>
      </c>
      <c r="V176" s="348">
        <f>IF(D176=0,0,SUM($J$20:J176))</f>
        <v>272487.03099510615</v>
      </c>
      <c r="W176" s="349">
        <f t="shared" si="62"/>
        <v>8493.2902830075473</v>
      </c>
      <c r="X176" s="41">
        <f t="shared" si="63"/>
        <v>1.0321723168893993</v>
      </c>
      <c r="Y176" s="17"/>
      <c r="Z176" s="23">
        <f t="shared" si="69"/>
        <v>45448</v>
      </c>
      <c r="AA176" s="22">
        <f t="shared" si="69"/>
        <v>45448</v>
      </c>
      <c r="AB176" s="137">
        <v>45448</v>
      </c>
      <c r="AC176" s="137"/>
      <c r="AD176" s="134"/>
      <c r="AE176" s="134"/>
      <c r="AF176" s="139"/>
      <c r="AG176" s="256"/>
      <c r="AH176" s="256"/>
      <c r="AI176" s="256"/>
      <c r="AJ176" s="256"/>
      <c r="AK176" s="134"/>
      <c r="AL176" s="134"/>
      <c r="AM176" s="134"/>
      <c r="AN176" s="18"/>
      <c r="AO176" s="18"/>
      <c r="AP176" s="18"/>
      <c r="AQ176" s="18"/>
      <c r="AR176" s="17"/>
      <c r="AS176" s="21">
        <f t="shared" si="68"/>
        <v>45448</v>
      </c>
      <c r="AT176" s="17"/>
      <c r="AU176" s="17"/>
      <c r="AV176" s="17"/>
      <c r="AW176" s="17"/>
      <c r="AX176" s="17"/>
      <c r="AY176" s="17"/>
      <c r="AZ176" s="17"/>
    </row>
    <row r="177" spans="1:52" ht="20">
      <c r="A177" s="17"/>
      <c r="B177" s="40"/>
      <c r="C177" s="55">
        <f t="shared" si="64"/>
        <v>158</v>
      </c>
      <c r="D177" s="54">
        <v>1</v>
      </c>
      <c r="E177" s="53" t="str">
        <f t="shared" si="57"/>
        <v>6</v>
      </c>
      <c r="F177" s="52">
        <f t="shared" si="65"/>
        <v>45449</v>
      </c>
      <c r="G177" s="51" t="str">
        <f t="shared" si="66"/>
        <v>Thu</v>
      </c>
      <c r="H177" s="50"/>
      <c r="I177" s="49"/>
      <c r="J177" s="343">
        <f>291780/$B$13</f>
        <v>2644.3719412724304</v>
      </c>
      <c r="K177" s="31"/>
      <c r="L177" s="317">
        <f t="shared" si="70"/>
        <v>2010.1046247114143</v>
      </c>
      <c r="M177" s="318">
        <f t="shared" si="58"/>
        <v>634.26731656101606</v>
      </c>
      <c r="N177" s="41">
        <f t="shared" si="59"/>
        <v>1.3155394543963483</v>
      </c>
      <c r="O177" s="46"/>
      <c r="P177" s="328">
        <f>IF(D177=0,0,SUM($L$172:L177))</f>
        <v>10050.523123557072</v>
      </c>
      <c r="Q177" s="317">
        <f>IF(D177=0,0,SUM($J$172:J177))</f>
        <v>9711.0748595251025</v>
      </c>
      <c r="R177" s="321">
        <f t="shared" si="60"/>
        <v>-339.4482640319693</v>
      </c>
      <c r="S177" s="41">
        <f t="shared" si="61"/>
        <v>0.96622581134743635</v>
      </c>
      <c r="T177" s="56"/>
      <c r="U177" s="348">
        <f>IF(D177=0,0,SUM($L$20:L177))</f>
        <v>266003.84533681005</v>
      </c>
      <c r="V177" s="348">
        <f>IF(D177=0,0,SUM($J$20:J177))</f>
        <v>275131.40293637855</v>
      </c>
      <c r="W177" s="349">
        <f t="shared" si="62"/>
        <v>9127.5575995685067</v>
      </c>
      <c r="X177" s="41">
        <f t="shared" si="63"/>
        <v>1.0343136302710636</v>
      </c>
      <c r="Y177" s="17"/>
      <c r="Z177" s="23">
        <f t="shared" si="69"/>
        <v>45449</v>
      </c>
      <c r="AA177" s="22">
        <f t="shared" si="69"/>
        <v>45449</v>
      </c>
      <c r="AB177" s="137">
        <v>45449</v>
      </c>
      <c r="AC177" s="137"/>
      <c r="AD177" s="134"/>
      <c r="AE177" s="134"/>
      <c r="AF177" s="139"/>
      <c r="AG177" s="256"/>
      <c r="AH177" s="256"/>
      <c r="AI177" s="256"/>
      <c r="AJ177" s="256"/>
      <c r="AK177" s="134"/>
      <c r="AL177" s="134"/>
      <c r="AM177" s="134"/>
      <c r="AN177" s="18"/>
      <c r="AO177" s="18"/>
      <c r="AP177" s="18"/>
      <c r="AQ177" s="18"/>
      <c r="AR177" s="17"/>
      <c r="AS177" s="21">
        <f t="shared" si="68"/>
        <v>45449</v>
      </c>
      <c r="AT177" s="17"/>
      <c r="AU177" s="17"/>
      <c r="AV177" s="17"/>
      <c r="AW177" s="17"/>
      <c r="AX177" s="17"/>
      <c r="AY177" s="17"/>
      <c r="AZ177" s="17"/>
    </row>
    <row r="178" spans="1:52" ht="20">
      <c r="A178" s="17"/>
      <c r="B178" s="40"/>
      <c r="C178" s="55">
        <f t="shared" si="64"/>
        <v>159</v>
      </c>
      <c r="D178" s="54">
        <v>1</v>
      </c>
      <c r="E178" s="53" t="str">
        <f t="shared" si="57"/>
        <v>6</v>
      </c>
      <c r="F178" s="52">
        <f t="shared" si="65"/>
        <v>45450</v>
      </c>
      <c r="G178" s="51" t="str">
        <f t="shared" si="66"/>
        <v>Fri</v>
      </c>
      <c r="H178" s="50"/>
      <c r="I178" s="49"/>
      <c r="J178" s="343">
        <f>328700/$B$13</f>
        <v>2978.9740801160051</v>
      </c>
      <c r="K178" s="31"/>
      <c r="L178" s="317">
        <f t="shared" si="70"/>
        <v>2010.1046247114143</v>
      </c>
      <c r="M178" s="318">
        <f t="shared" si="58"/>
        <v>968.86945540459078</v>
      </c>
      <c r="N178" s="41">
        <f t="shared" si="59"/>
        <v>1.4819995155942138</v>
      </c>
      <c r="O178" s="46"/>
      <c r="P178" s="328">
        <f>IF(D178=0,0,SUM($L$172:L178))</f>
        <v>12060.627748268485</v>
      </c>
      <c r="Q178" s="317">
        <f>IF(D178=0,0,SUM($J$172:J178))</f>
        <v>12690.048939641107</v>
      </c>
      <c r="R178" s="321">
        <f t="shared" si="60"/>
        <v>629.42119137262125</v>
      </c>
      <c r="S178" s="41">
        <f t="shared" si="61"/>
        <v>1.0521880953885661</v>
      </c>
      <c r="T178" s="56"/>
      <c r="U178" s="348">
        <f>IF(D178=0,0,SUM($L$20:L178))</f>
        <v>268013.94996152149</v>
      </c>
      <c r="V178" s="348">
        <f>IF(D178=0,0,SUM($J$20:J178))</f>
        <v>278110.37701649457</v>
      </c>
      <c r="W178" s="349">
        <f t="shared" si="62"/>
        <v>10096.427054973086</v>
      </c>
      <c r="X178" s="41">
        <f t="shared" si="63"/>
        <v>1.0376712744109873</v>
      </c>
      <c r="Y178" s="17"/>
      <c r="Z178" s="23">
        <f t="shared" si="69"/>
        <v>45450</v>
      </c>
      <c r="AA178" s="22">
        <f t="shared" si="69"/>
        <v>45450</v>
      </c>
      <c r="AB178" s="137">
        <v>45450</v>
      </c>
      <c r="AC178" s="137"/>
      <c r="AD178" s="134"/>
      <c r="AE178" s="134"/>
      <c r="AF178" s="139"/>
      <c r="AG178" s="256"/>
      <c r="AH178" s="256"/>
      <c r="AI178" s="256"/>
      <c r="AJ178" s="256"/>
      <c r="AK178" s="134"/>
      <c r="AL178" s="134"/>
      <c r="AM178" s="134"/>
      <c r="AN178" s="18"/>
      <c r="AO178" s="18"/>
      <c r="AP178" s="18"/>
      <c r="AQ178" s="18"/>
      <c r="AR178" s="17"/>
      <c r="AS178" s="21">
        <f t="shared" si="68"/>
        <v>45450</v>
      </c>
      <c r="AT178" s="17"/>
      <c r="AU178" s="17"/>
      <c r="AV178" s="17"/>
      <c r="AW178" s="17"/>
      <c r="AX178" s="17"/>
      <c r="AY178" s="17"/>
      <c r="AZ178" s="17"/>
    </row>
    <row r="179" spans="1:52" ht="20">
      <c r="A179" s="17"/>
      <c r="B179" s="40"/>
      <c r="C179" s="55">
        <f t="shared" si="64"/>
        <v>160</v>
      </c>
      <c r="D179" s="54">
        <v>1</v>
      </c>
      <c r="E179" s="53" t="str">
        <f t="shared" si="57"/>
        <v>6</v>
      </c>
      <c r="F179" s="52">
        <f t="shared" si="65"/>
        <v>45451</v>
      </c>
      <c r="G179" s="51" t="str">
        <f t="shared" si="66"/>
        <v>Sat</v>
      </c>
      <c r="H179" s="50"/>
      <c r="I179" s="49"/>
      <c r="J179" s="343">
        <f>102350/$B$13</f>
        <v>927.58745695124162</v>
      </c>
      <c r="K179" s="31"/>
      <c r="L179" s="317">
        <f t="shared" si="70"/>
        <v>2010.1046247114143</v>
      </c>
      <c r="M179" s="318">
        <f t="shared" si="58"/>
        <v>-1082.5171677601727</v>
      </c>
      <c r="N179" s="41">
        <f t="shared" si="59"/>
        <v>0.46146227691228414</v>
      </c>
      <c r="O179" s="46"/>
      <c r="P179" s="328">
        <f>IF(D179=0,0,SUM($L$172:L179))</f>
        <v>14070.732372979899</v>
      </c>
      <c r="Q179" s="317">
        <f>IF(D179=0,0,SUM($J$172:J179))</f>
        <v>13617.636396592348</v>
      </c>
      <c r="R179" s="321">
        <f t="shared" si="60"/>
        <v>-453.09597638755076</v>
      </c>
      <c r="S179" s="41">
        <f t="shared" si="61"/>
        <v>0.96779869274909713</v>
      </c>
      <c r="T179" s="44"/>
      <c r="U179" s="348">
        <f>IF(D179=0,0,SUM($L$20:L179))</f>
        <v>270024.05458623293</v>
      </c>
      <c r="V179" s="348">
        <f>IF(D179=0,0,SUM($J$20:J179))</f>
        <v>279037.96447344584</v>
      </c>
      <c r="W179" s="349">
        <f t="shared" si="62"/>
        <v>9013.9098872129107</v>
      </c>
      <c r="X179" s="41">
        <f t="shared" si="63"/>
        <v>1.0333818774072747</v>
      </c>
      <c r="Y179" s="17"/>
      <c r="Z179" s="23">
        <f t="shared" si="69"/>
        <v>45451</v>
      </c>
      <c r="AA179" s="22">
        <f t="shared" si="69"/>
        <v>45451</v>
      </c>
      <c r="AB179" s="137">
        <v>45451</v>
      </c>
      <c r="AC179" s="137"/>
      <c r="AD179" s="134"/>
      <c r="AE179" s="134"/>
      <c r="AF179" s="139"/>
      <c r="AG179" s="256"/>
      <c r="AH179" s="256"/>
      <c r="AI179" s="256"/>
      <c r="AJ179" s="256"/>
      <c r="AK179" s="134"/>
      <c r="AL179" s="134"/>
      <c r="AM179" s="134"/>
      <c r="AN179" s="18"/>
      <c r="AO179" s="18"/>
      <c r="AP179" s="18"/>
      <c r="AQ179" s="18"/>
      <c r="AR179" s="17"/>
      <c r="AS179" s="21">
        <f t="shared" si="68"/>
        <v>45451</v>
      </c>
      <c r="AT179" s="17"/>
      <c r="AU179" s="17"/>
      <c r="AV179" s="17"/>
      <c r="AW179" s="17"/>
      <c r="AX179" s="17"/>
      <c r="AY179" s="17"/>
      <c r="AZ179" s="17"/>
    </row>
    <row r="180" spans="1:52" ht="20">
      <c r="A180" s="17"/>
      <c r="B180" s="40"/>
      <c r="C180" s="55">
        <f t="shared" si="64"/>
        <v>161</v>
      </c>
      <c r="D180" s="54">
        <v>0</v>
      </c>
      <c r="E180" s="53" t="str">
        <f t="shared" si="57"/>
        <v>6</v>
      </c>
      <c r="F180" s="52">
        <f t="shared" si="65"/>
        <v>45452</v>
      </c>
      <c r="G180" s="51" t="str">
        <f t="shared" si="66"/>
        <v>Sun</v>
      </c>
      <c r="H180" s="50" t="s">
        <v>46</v>
      </c>
      <c r="I180" s="49"/>
      <c r="J180" s="343"/>
      <c r="K180" s="31"/>
      <c r="L180" s="317">
        <f t="shared" si="70"/>
        <v>0</v>
      </c>
      <c r="M180" s="318">
        <f t="shared" si="58"/>
        <v>0</v>
      </c>
      <c r="N180" s="41" t="str">
        <f t="shared" si="59"/>
        <v>0%</v>
      </c>
      <c r="O180" s="46"/>
      <c r="P180" s="328">
        <f>IF(D180=0,0,SUM($L$172:L180))</f>
        <v>0</v>
      </c>
      <c r="Q180" s="317">
        <f>IF(D180=0,0,SUM($J$172:J180))</f>
        <v>0</v>
      </c>
      <c r="R180" s="321">
        <f t="shared" si="60"/>
        <v>0</v>
      </c>
      <c r="S180" s="41" t="str">
        <f t="shared" si="61"/>
        <v>0%</v>
      </c>
      <c r="T180" s="56"/>
      <c r="U180" s="348">
        <f>IF(D180=0,0,SUM($L$20:L180))</f>
        <v>0</v>
      </c>
      <c r="V180" s="348">
        <f>IF(D180=0,0,SUM($J$20:J180))</f>
        <v>0</v>
      </c>
      <c r="W180" s="349">
        <f t="shared" si="62"/>
        <v>0</v>
      </c>
      <c r="X180" s="41" t="str">
        <f t="shared" si="63"/>
        <v>0%</v>
      </c>
      <c r="Y180" s="17"/>
      <c r="Z180" s="23">
        <f t="shared" si="69"/>
        <v>45452</v>
      </c>
      <c r="AA180" s="22">
        <f t="shared" si="69"/>
        <v>45452</v>
      </c>
      <c r="AB180" s="137">
        <v>45452</v>
      </c>
      <c r="AC180" s="137"/>
      <c r="AD180" s="134"/>
      <c r="AE180" s="134"/>
      <c r="AF180" s="139"/>
      <c r="AG180" s="256"/>
      <c r="AH180" s="256"/>
      <c r="AI180" s="256"/>
      <c r="AJ180" s="256"/>
      <c r="AK180" s="134"/>
      <c r="AL180" s="134"/>
      <c r="AM180" s="134"/>
      <c r="AN180" s="18"/>
      <c r="AO180" s="18"/>
      <c r="AP180" s="18"/>
      <c r="AQ180" s="18"/>
      <c r="AR180" s="17"/>
      <c r="AS180" s="21">
        <f t="shared" si="68"/>
        <v>45452</v>
      </c>
      <c r="AT180" s="17"/>
      <c r="AU180" s="17"/>
      <c r="AV180" s="17"/>
      <c r="AW180" s="17"/>
      <c r="AX180" s="17"/>
      <c r="AY180" s="17"/>
      <c r="AZ180" s="17"/>
    </row>
    <row r="181" spans="1:52" ht="20">
      <c r="A181" s="17"/>
      <c r="B181" s="40"/>
      <c r="C181" s="55">
        <f t="shared" si="64"/>
        <v>162</v>
      </c>
      <c r="D181" s="54">
        <v>1</v>
      </c>
      <c r="E181" s="53" t="str">
        <f t="shared" si="57"/>
        <v>6</v>
      </c>
      <c r="F181" s="52">
        <f t="shared" si="65"/>
        <v>45453</v>
      </c>
      <c r="G181" s="51" t="str">
        <f t="shared" si="66"/>
        <v>Mon</v>
      </c>
      <c r="H181" s="50"/>
      <c r="I181" s="49"/>
      <c r="J181" s="343">
        <f>100700/$B$13</f>
        <v>912.63367772340041</v>
      </c>
      <c r="K181" s="31"/>
      <c r="L181" s="317">
        <f t="shared" si="70"/>
        <v>2010.1046247114143</v>
      </c>
      <c r="M181" s="318">
        <f t="shared" si="58"/>
        <v>-1097.470946988014</v>
      </c>
      <c r="N181" s="41">
        <f t="shared" si="59"/>
        <v>0.45402297298551059</v>
      </c>
      <c r="O181" s="46"/>
      <c r="P181" s="328">
        <f>IF(D181=0,0,SUM($L$172:L181))</f>
        <v>16080.836997691313</v>
      </c>
      <c r="Q181" s="317">
        <f>IF(D181=0,0,SUM($J$172:J181))</f>
        <v>14530.270074315749</v>
      </c>
      <c r="R181" s="321">
        <f t="shared" si="60"/>
        <v>-1550.5669233755634</v>
      </c>
      <c r="S181" s="41">
        <f t="shared" si="61"/>
        <v>0.90357672777864895</v>
      </c>
      <c r="T181" s="56"/>
      <c r="U181" s="348">
        <f>IF(D181=0,0,SUM($L$20:L181))</f>
        <v>272034.15921094437</v>
      </c>
      <c r="V181" s="348">
        <f>IF(D181=0,0,SUM($J$20:J181))</f>
        <v>279950.59815116925</v>
      </c>
      <c r="W181" s="349">
        <f t="shared" si="62"/>
        <v>7916.438940224878</v>
      </c>
      <c r="X181" s="41">
        <f t="shared" si="63"/>
        <v>1.0291009002810056</v>
      </c>
      <c r="Y181" s="17"/>
      <c r="Z181" s="23">
        <f t="shared" ref="Z181:AA196" si="71">Z180+1</f>
        <v>45453</v>
      </c>
      <c r="AA181" s="22">
        <f t="shared" si="71"/>
        <v>45453</v>
      </c>
      <c r="AB181" s="137">
        <v>45453</v>
      </c>
      <c r="AC181" s="137"/>
      <c r="AD181" s="134"/>
      <c r="AE181" s="134"/>
      <c r="AF181" s="139"/>
      <c r="AG181" s="256"/>
      <c r="AH181" s="256"/>
      <c r="AI181" s="256"/>
      <c r="AJ181" s="256"/>
      <c r="AK181" s="134"/>
      <c r="AL181" s="134"/>
      <c r="AM181" s="134"/>
      <c r="AN181" s="18"/>
      <c r="AO181" s="18"/>
      <c r="AP181" s="18"/>
      <c r="AQ181" s="18"/>
      <c r="AR181" s="17"/>
      <c r="AS181" s="21">
        <f t="shared" si="68"/>
        <v>45453</v>
      </c>
      <c r="AT181" s="17"/>
      <c r="AU181" s="17"/>
      <c r="AV181" s="17"/>
      <c r="AW181" s="17"/>
      <c r="AX181" s="17"/>
      <c r="AY181" s="17"/>
      <c r="AZ181" s="17"/>
    </row>
    <row r="182" spans="1:52" ht="20">
      <c r="A182" s="17"/>
      <c r="B182" s="40"/>
      <c r="C182" s="55">
        <f t="shared" si="64"/>
        <v>163</v>
      </c>
      <c r="D182" s="54">
        <v>1</v>
      </c>
      <c r="E182" s="53" t="str">
        <f t="shared" si="57"/>
        <v>6</v>
      </c>
      <c r="F182" s="52">
        <f t="shared" si="65"/>
        <v>45454</v>
      </c>
      <c r="G182" s="51" t="str">
        <f t="shared" si="66"/>
        <v>Tue</v>
      </c>
      <c r="H182" s="50"/>
      <c r="I182" s="49"/>
      <c r="J182" s="343">
        <f>164750/$B$13</f>
        <v>1493.1121986586913</v>
      </c>
      <c r="K182" s="31"/>
      <c r="L182" s="317">
        <f t="shared" si="70"/>
        <v>2010.1046247114143</v>
      </c>
      <c r="M182" s="318">
        <f t="shared" si="58"/>
        <v>-516.99242605272298</v>
      </c>
      <c r="N182" s="41">
        <f t="shared" si="59"/>
        <v>0.74280322541571875</v>
      </c>
      <c r="O182" s="46"/>
      <c r="P182" s="328">
        <f>IF(D182=0,0,SUM($L$172:L182))</f>
        <v>18090.941622402726</v>
      </c>
      <c r="Q182" s="317">
        <f>IF(D182=0,0,SUM($J$172:J182))</f>
        <v>16023.382272974441</v>
      </c>
      <c r="R182" s="321">
        <f t="shared" si="60"/>
        <v>-2067.5593494282857</v>
      </c>
      <c r="S182" s="41">
        <f t="shared" si="61"/>
        <v>0.88571300529387897</v>
      </c>
      <c r="T182" s="56"/>
      <c r="U182" s="348">
        <f>IF(D182=0,0,SUM($L$20:L182))</f>
        <v>274044.26383565582</v>
      </c>
      <c r="V182" s="348">
        <f>IF(D182=0,0,SUM($J$20:J182))</f>
        <v>281443.71034982795</v>
      </c>
      <c r="W182" s="349">
        <f t="shared" si="62"/>
        <v>7399.4465141721303</v>
      </c>
      <c r="X182" s="41">
        <f t="shared" si="63"/>
        <v>1.0270009173357832</v>
      </c>
      <c r="Y182" s="17"/>
      <c r="Z182" s="23">
        <f t="shared" si="71"/>
        <v>45454</v>
      </c>
      <c r="AA182" s="22">
        <f t="shared" si="71"/>
        <v>45454</v>
      </c>
      <c r="AB182" s="137">
        <v>45454</v>
      </c>
      <c r="AC182" s="137"/>
      <c r="AD182" s="134"/>
      <c r="AE182" s="134"/>
      <c r="AF182" s="139"/>
      <c r="AG182" s="256"/>
      <c r="AH182" s="256"/>
      <c r="AI182" s="256"/>
      <c r="AJ182" s="256"/>
      <c r="AK182" s="134"/>
      <c r="AL182" s="134"/>
      <c r="AM182" s="134"/>
      <c r="AN182" s="18"/>
      <c r="AO182" s="18"/>
      <c r="AP182" s="18"/>
      <c r="AQ182" s="18"/>
      <c r="AR182" s="17"/>
      <c r="AS182" s="21">
        <f t="shared" si="68"/>
        <v>45454</v>
      </c>
      <c r="AT182" s="17"/>
      <c r="AU182" s="17"/>
      <c r="AV182" s="17"/>
      <c r="AW182" s="17"/>
      <c r="AX182" s="17"/>
      <c r="AY182" s="17"/>
      <c r="AZ182" s="17"/>
    </row>
    <row r="183" spans="1:52" ht="20">
      <c r="A183" s="17"/>
      <c r="B183" s="40"/>
      <c r="C183" s="55">
        <f t="shared" si="64"/>
        <v>164</v>
      </c>
      <c r="D183" s="54">
        <v>1</v>
      </c>
      <c r="E183" s="53" t="str">
        <f t="shared" si="57"/>
        <v>6</v>
      </c>
      <c r="F183" s="52">
        <f t="shared" si="65"/>
        <v>45455</v>
      </c>
      <c r="G183" s="51" t="str">
        <f t="shared" si="66"/>
        <v>Wed</v>
      </c>
      <c r="H183" s="50"/>
      <c r="I183" s="49"/>
      <c r="J183" s="343">
        <f>363500/$B$13</f>
        <v>3294.3628783759286</v>
      </c>
      <c r="K183" s="31"/>
      <c r="L183" s="317">
        <f t="shared" si="70"/>
        <v>2010.1046247114143</v>
      </c>
      <c r="M183" s="318">
        <f t="shared" si="58"/>
        <v>1284.2582536645143</v>
      </c>
      <c r="N183" s="41">
        <f t="shared" si="59"/>
        <v>1.6389011984134367</v>
      </c>
      <c r="O183" s="46"/>
      <c r="P183" s="328">
        <f>IF(D183=0,0,SUM($L$172:L183))</f>
        <v>20101.04624711414</v>
      </c>
      <c r="Q183" s="317">
        <f>IF(D183=0,0,SUM($J$172:J183))</f>
        <v>19317.745151350369</v>
      </c>
      <c r="R183" s="321">
        <f t="shared" si="60"/>
        <v>-783.30109576377072</v>
      </c>
      <c r="S183" s="41">
        <f t="shared" si="61"/>
        <v>0.96103182460583481</v>
      </c>
      <c r="T183" s="56"/>
      <c r="U183" s="348">
        <f>IF(D183=0,0,SUM($L$20:L183))</f>
        <v>276054.36846036726</v>
      </c>
      <c r="V183" s="348">
        <f>IF(D183=0,0,SUM($J$20:J183))</f>
        <v>284738.07322820387</v>
      </c>
      <c r="W183" s="349">
        <f t="shared" si="62"/>
        <v>8683.7047678366071</v>
      </c>
      <c r="X183" s="41">
        <f t="shared" si="63"/>
        <v>1.031456501906737</v>
      </c>
      <c r="Y183" s="17"/>
      <c r="Z183" s="23">
        <f t="shared" si="71"/>
        <v>45455</v>
      </c>
      <c r="AA183" s="22">
        <f t="shared" si="71"/>
        <v>45455</v>
      </c>
      <c r="AB183" s="137">
        <v>45455</v>
      </c>
      <c r="AC183" s="137"/>
      <c r="AD183" s="134"/>
      <c r="AE183" s="134"/>
      <c r="AF183" s="139"/>
      <c r="AG183" s="256"/>
      <c r="AH183" s="256"/>
      <c r="AI183" s="256"/>
      <c r="AJ183" s="256"/>
      <c r="AK183" s="134"/>
      <c r="AL183" s="134"/>
      <c r="AM183" s="134"/>
      <c r="AN183" s="18"/>
      <c r="AO183" s="18"/>
      <c r="AP183" s="18"/>
      <c r="AQ183" s="18"/>
      <c r="AR183" s="17"/>
      <c r="AS183" s="21">
        <f t="shared" si="68"/>
        <v>45455</v>
      </c>
      <c r="AT183" s="17"/>
      <c r="AU183" s="17"/>
      <c r="AV183" s="17"/>
      <c r="AW183" s="17"/>
      <c r="AX183" s="17"/>
      <c r="AY183" s="17"/>
      <c r="AZ183" s="17"/>
    </row>
    <row r="184" spans="1:52" ht="20">
      <c r="A184" s="17"/>
      <c r="B184" s="40"/>
      <c r="C184" s="55">
        <f t="shared" si="64"/>
        <v>165</v>
      </c>
      <c r="D184" s="54">
        <v>1</v>
      </c>
      <c r="E184" s="53" t="str">
        <f t="shared" si="57"/>
        <v>6</v>
      </c>
      <c r="F184" s="52">
        <f t="shared" si="65"/>
        <v>45456</v>
      </c>
      <c r="G184" s="51" t="str">
        <f t="shared" si="66"/>
        <v>Thu</v>
      </c>
      <c r="H184" s="50"/>
      <c r="I184" s="49"/>
      <c r="J184" s="343">
        <f>336300/$B$13</f>
        <v>3047.8520935290917</v>
      </c>
      <c r="K184" s="31"/>
      <c r="L184" s="317">
        <f t="shared" si="70"/>
        <v>2010.1046247114143</v>
      </c>
      <c r="M184" s="318">
        <f t="shared" si="58"/>
        <v>1037.7474688176774</v>
      </c>
      <c r="N184" s="41">
        <f t="shared" si="59"/>
        <v>1.5162654003478373</v>
      </c>
      <c r="O184" s="46"/>
      <c r="P184" s="328">
        <f>IF(D184=0,0,SUM($L$172:L184))</f>
        <v>22111.150871825554</v>
      </c>
      <c r="Q184" s="317">
        <f>IF(D184=0,0,SUM($J$172:J184))</f>
        <v>22365.59724487946</v>
      </c>
      <c r="R184" s="321">
        <f t="shared" si="60"/>
        <v>254.44637305390643</v>
      </c>
      <c r="S184" s="41">
        <f t="shared" si="61"/>
        <v>1.0115076042187441</v>
      </c>
      <c r="T184" s="56"/>
      <c r="U184" s="348">
        <f>IF(D184=0,0,SUM($L$20:L184))</f>
        <v>278064.4730850787</v>
      </c>
      <c r="V184" s="348">
        <f>IF(D184=0,0,SUM($J$20:J184))</f>
        <v>287785.92532173294</v>
      </c>
      <c r="W184" s="349">
        <f t="shared" si="62"/>
        <v>9721.4522366542369</v>
      </c>
      <c r="X184" s="41">
        <f t="shared" si="63"/>
        <v>1.03496114454607</v>
      </c>
      <c r="Y184" s="17"/>
      <c r="Z184" s="23">
        <f t="shared" si="71"/>
        <v>45456</v>
      </c>
      <c r="AA184" s="22">
        <f t="shared" si="71"/>
        <v>45456</v>
      </c>
      <c r="AB184" s="137">
        <v>45456</v>
      </c>
      <c r="AC184" s="137"/>
      <c r="AD184" s="134"/>
      <c r="AE184" s="134"/>
      <c r="AF184" s="139"/>
      <c r="AG184" s="256"/>
      <c r="AH184" s="256"/>
      <c r="AI184" s="256"/>
      <c r="AJ184" s="256"/>
      <c r="AK184" s="134"/>
      <c r="AL184" s="134"/>
      <c r="AM184" s="134"/>
      <c r="AN184" s="18"/>
      <c r="AO184" s="18"/>
      <c r="AP184" s="18"/>
      <c r="AQ184" s="18"/>
      <c r="AR184" s="17"/>
      <c r="AS184" s="21">
        <f t="shared" si="68"/>
        <v>45456</v>
      </c>
      <c r="AT184" s="17"/>
      <c r="AU184" s="17"/>
      <c r="AV184" s="17"/>
      <c r="AW184" s="17"/>
      <c r="AX184" s="17"/>
      <c r="AY184" s="17"/>
      <c r="AZ184" s="17"/>
    </row>
    <row r="185" spans="1:52" ht="20">
      <c r="A185" s="17"/>
      <c r="B185" s="40"/>
      <c r="C185" s="55">
        <f t="shared" si="64"/>
        <v>166</v>
      </c>
      <c r="D185" s="54">
        <v>1</v>
      </c>
      <c r="E185" s="53" t="str">
        <f t="shared" si="57"/>
        <v>6</v>
      </c>
      <c r="F185" s="52">
        <f t="shared" si="65"/>
        <v>45457</v>
      </c>
      <c r="G185" s="51" t="str">
        <f t="shared" si="66"/>
        <v>Fri</v>
      </c>
      <c r="H185" s="50"/>
      <c r="I185" s="49"/>
      <c r="J185" s="343">
        <f>362500/$B$13</f>
        <v>3285.2999818742069</v>
      </c>
      <c r="K185" s="31"/>
      <c r="L185" s="317">
        <f t="shared" si="70"/>
        <v>2010.1046247114143</v>
      </c>
      <c r="M185" s="318">
        <f t="shared" si="58"/>
        <v>1275.1953571627926</v>
      </c>
      <c r="N185" s="41">
        <f t="shared" si="59"/>
        <v>1.6343925293669075</v>
      </c>
      <c r="O185" s="46"/>
      <c r="P185" s="328">
        <f>IF(D185=0,0,SUM($L$172:L185))</f>
        <v>24121.255496536967</v>
      </c>
      <c r="Q185" s="317">
        <f>IF(D185=0,0,SUM($J$172:J185))</f>
        <v>25650.897226753666</v>
      </c>
      <c r="R185" s="321">
        <f t="shared" si="60"/>
        <v>1529.6417302166992</v>
      </c>
      <c r="S185" s="41">
        <f t="shared" si="61"/>
        <v>1.0634146813144243</v>
      </c>
      <c r="T185" s="56"/>
      <c r="U185" s="348">
        <f>IF(D185=0,0,SUM($L$20:L185))</f>
        <v>280074.57770979014</v>
      </c>
      <c r="V185" s="348">
        <f>IF(D185=0,0,SUM($J$20:J185))</f>
        <v>291071.22530360712</v>
      </c>
      <c r="W185" s="349">
        <f t="shared" si="62"/>
        <v>10996.647593816975</v>
      </c>
      <c r="X185" s="41">
        <f t="shared" si="63"/>
        <v>1.0392632836715783</v>
      </c>
      <c r="Y185" s="17"/>
      <c r="Z185" s="23">
        <f t="shared" si="71"/>
        <v>45457</v>
      </c>
      <c r="AA185" s="22">
        <f t="shared" si="71"/>
        <v>45457</v>
      </c>
      <c r="AB185" s="137">
        <v>45457</v>
      </c>
      <c r="AC185" s="137"/>
      <c r="AD185" s="134"/>
      <c r="AE185" s="134"/>
      <c r="AF185" s="139"/>
      <c r="AG185" s="256"/>
      <c r="AH185" s="256"/>
      <c r="AI185" s="256"/>
      <c r="AJ185" s="256"/>
      <c r="AK185" s="134"/>
      <c r="AL185" s="134"/>
      <c r="AM185" s="134"/>
      <c r="AN185" s="18"/>
      <c r="AO185" s="18"/>
      <c r="AP185" s="18"/>
      <c r="AQ185" s="18"/>
      <c r="AR185" s="17"/>
      <c r="AS185" s="21">
        <f t="shared" si="68"/>
        <v>45457</v>
      </c>
      <c r="AT185" s="17"/>
      <c r="AU185" s="17"/>
      <c r="AV185" s="17"/>
      <c r="AW185" s="17"/>
      <c r="AX185" s="17"/>
      <c r="AY185" s="17"/>
      <c r="AZ185" s="17"/>
    </row>
    <row r="186" spans="1:52" ht="20">
      <c r="A186" s="17"/>
      <c r="B186" s="40"/>
      <c r="C186" s="55">
        <f t="shared" si="64"/>
        <v>167</v>
      </c>
      <c r="D186" s="54">
        <v>1</v>
      </c>
      <c r="E186" s="53" t="str">
        <f t="shared" si="57"/>
        <v>6</v>
      </c>
      <c r="F186" s="52">
        <f t="shared" si="65"/>
        <v>45458</v>
      </c>
      <c r="G186" s="51" t="str">
        <f t="shared" si="66"/>
        <v>Sat</v>
      </c>
      <c r="H186" s="50"/>
      <c r="I186" s="49"/>
      <c r="J186" s="343">
        <f>161770/$B$13</f>
        <v>1466.1047670835599</v>
      </c>
      <c r="K186" s="31"/>
      <c r="L186" s="317">
        <f t="shared" si="70"/>
        <v>2010.1046247114143</v>
      </c>
      <c r="M186" s="318">
        <f t="shared" si="58"/>
        <v>-543.99985762785445</v>
      </c>
      <c r="N186" s="41">
        <f t="shared" si="59"/>
        <v>0.7293673916570611</v>
      </c>
      <c r="O186" s="46"/>
      <c r="P186" s="328">
        <f>IF(D186=0,0,SUM($L$172:L186))</f>
        <v>26131.360121248381</v>
      </c>
      <c r="Q186" s="317">
        <f>IF(D186=0,0,SUM($J$172:J186))</f>
        <v>27117.001993837228</v>
      </c>
      <c r="R186" s="321">
        <f t="shared" si="60"/>
        <v>985.64187258884704</v>
      </c>
      <c r="S186" s="41">
        <f t="shared" si="61"/>
        <v>1.0377187359561657</v>
      </c>
      <c r="T186" s="44"/>
      <c r="U186" s="348">
        <f>IF(D186=0,0,SUM($L$20:L186))</f>
        <v>282084.68233450159</v>
      </c>
      <c r="V186" s="348">
        <f>IF(D186=0,0,SUM($J$20:J186))</f>
        <v>292537.33007069066</v>
      </c>
      <c r="W186" s="349">
        <f t="shared" si="62"/>
        <v>10452.647736189072</v>
      </c>
      <c r="X186" s="41">
        <f t="shared" si="63"/>
        <v>1.0370549994054414</v>
      </c>
      <c r="Y186" s="17"/>
      <c r="Z186" s="23">
        <f t="shared" si="71"/>
        <v>45458</v>
      </c>
      <c r="AA186" s="22">
        <f t="shared" si="71"/>
        <v>45458</v>
      </c>
      <c r="AB186" s="137">
        <v>45458</v>
      </c>
      <c r="AC186" s="137"/>
      <c r="AD186" s="134"/>
      <c r="AE186" s="134"/>
      <c r="AF186" s="139"/>
      <c r="AG186" s="256"/>
      <c r="AH186" s="256"/>
      <c r="AI186" s="256"/>
      <c r="AJ186" s="256"/>
      <c r="AK186" s="134"/>
      <c r="AL186" s="134"/>
      <c r="AM186" s="134"/>
      <c r="AN186" s="18"/>
      <c r="AO186" s="18"/>
      <c r="AP186" s="18"/>
      <c r="AQ186" s="18"/>
      <c r="AR186" s="17"/>
      <c r="AS186" s="21">
        <f t="shared" si="68"/>
        <v>45458</v>
      </c>
      <c r="AT186" s="17"/>
      <c r="AU186" s="17"/>
      <c r="AV186" s="17"/>
      <c r="AW186" s="17"/>
      <c r="AX186" s="17"/>
      <c r="AY186" s="17"/>
      <c r="AZ186" s="17"/>
    </row>
    <row r="187" spans="1:52" ht="20">
      <c r="A187" s="17"/>
      <c r="B187" s="40"/>
      <c r="C187" s="55">
        <f t="shared" si="64"/>
        <v>168</v>
      </c>
      <c r="D187" s="54">
        <v>0</v>
      </c>
      <c r="E187" s="53" t="str">
        <f t="shared" si="57"/>
        <v>6</v>
      </c>
      <c r="F187" s="52">
        <f t="shared" si="65"/>
        <v>45459</v>
      </c>
      <c r="G187" s="51" t="str">
        <f t="shared" si="66"/>
        <v>Sun</v>
      </c>
      <c r="H187" s="50" t="s">
        <v>46</v>
      </c>
      <c r="I187" s="49"/>
      <c r="J187" s="343"/>
      <c r="K187" s="31"/>
      <c r="L187" s="317">
        <f t="shared" si="70"/>
        <v>0</v>
      </c>
      <c r="M187" s="318">
        <f t="shared" si="58"/>
        <v>0</v>
      </c>
      <c r="N187" s="41" t="str">
        <f t="shared" si="59"/>
        <v>0%</v>
      </c>
      <c r="O187" s="46"/>
      <c r="P187" s="328">
        <f>IF(D187=0,0,SUM($L$172:L187))</f>
        <v>0</v>
      </c>
      <c r="Q187" s="317">
        <f>IF(D187=0,0,SUM($J$172:J187))</f>
        <v>0</v>
      </c>
      <c r="R187" s="321">
        <f t="shared" si="60"/>
        <v>0</v>
      </c>
      <c r="S187" s="41" t="str">
        <f t="shared" si="61"/>
        <v>0%</v>
      </c>
      <c r="T187" s="56"/>
      <c r="U187" s="348">
        <f>IF(D187=0,0,SUM($L$20:L187))</f>
        <v>0</v>
      </c>
      <c r="V187" s="348">
        <f>IF(D187=0,0,SUM($J$20:J187))</f>
        <v>0</v>
      </c>
      <c r="W187" s="349">
        <f t="shared" si="62"/>
        <v>0</v>
      </c>
      <c r="X187" s="41" t="str">
        <f t="shared" si="63"/>
        <v>0%</v>
      </c>
      <c r="Y187" s="17"/>
      <c r="Z187" s="23">
        <f t="shared" si="71"/>
        <v>45459</v>
      </c>
      <c r="AA187" s="22">
        <f t="shared" si="71"/>
        <v>45459</v>
      </c>
      <c r="AB187" s="137">
        <v>45459</v>
      </c>
      <c r="AC187" s="137"/>
      <c r="AD187" s="134"/>
      <c r="AE187" s="134"/>
      <c r="AF187" s="139"/>
      <c r="AG187" s="256"/>
      <c r="AH187" s="256"/>
      <c r="AI187" s="256"/>
      <c r="AJ187" s="256"/>
      <c r="AK187" s="134"/>
      <c r="AL187" s="134"/>
      <c r="AM187" s="134"/>
      <c r="AN187" s="18"/>
      <c r="AO187" s="18"/>
      <c r="AP187" s="18"/>
      <c r="AQ187" s="18"/>
      <c r="AR187" s="17"/>
      <c r="AS187" s="21">
        <f t="shared" si="68"/>
        <v>45459</v>
      </c>
      <c r="AT187" s="17"/>
      <c r="AU187" s="17"/>
      <c r="AV187" s="17"/>
      <c r="AW187" s="17"/>
      <c r="AX187" s="17"/>
      <c r="AY187" s="17"/>
      <c r="AZ187" s="17"/>
    </row>
    <row r="188" spans="1:52" ht="20">
      <c r="A188" s="17"/>
      <c r="B188" s="40"/>
      <c r="C188" s="55">
        <f t="shared" si="64"/>
        <v>169</v>
      </c>
      <c r="D188" s="54">
        <v>1</v>
      </c>
      <c r="E188" s="53" t="str">
        <f t="shared" si="57"/>
        <v>6</v>
      </c>
      <c r="F188" s="52">
        <f t="shared" si="65"/>
        <v>45460</v>
      </c>
      <c r="G188" s="51" t="str">
        <f t="shared" si="66"/>
        <v>Mon</v>
      </c>
      <c r="H188" s="50"/>
      <c r="I188" s="49"/>
      <c r="J188" s="343">
        <f>208260/$B$13</f>
        <v>1887.4388254486132</v>
      </c>
      <c r="K188" s="31"/>
      <c r="L188" s="317">
        <f t="shared" si="70"/>
        <v>2010.1046247114143</v>
      </c>
      <c r="M188" s="318">
        <f t="shared" si="58"/>
        <v>-122.6657992628011</v>
      </c>
      <c r="N188" s="41">
        <f t="shared" si="59"/>
        <v>0.93897541563021281</v>
      </c>
      <c r="O188" s="46"/>
      <c r="P188" s="328">
        <f>IF(D188=0,0,SUM($L$172:L188))</f>
        <v>28141.464745959795</v>
      </c>
      <c r="Q188" s="317">
        <f>IF(D188=0,0,SUM($J$172:J188))</f>
        <v>29004.440819285843</v>
      </c>
      <c r="R188" s="321">
        <f t="shared" si="60"/>
        <v>862.97607332604821</v>
      </c>
      <c r="S188" s="41">
        <f t="shared" si="61"/>
        <v>1.0306656416471691</v>
      </c>
      <c r="T188" s="56"/>
      <c r="U188" s="348">
        <f>IF(D188=0,0,SUM($L$20:L188))</f>
        <v>284094.78695921303</v>
      </c>
      <c r="V188" s="348">
        <f>IF(D188=0,0,SUM($J$20:J188))</f>
        <v>294424.76889613929</v>
      </c>
      <c r="W188" s="349">
        <f t="shared" si="62"/>
        <v>10329.981936926255</v>
      </c>
      <c r="X188" s="41">
        <f t="shared" si="63"/>
        <v>1.0363610400862771</v>
      </c>
      <c r="Y188" s="17"/>
      <c r="Z188" s="23">
        <f t="shared" si="71"/>
        <v>45460</v>
      </c>
      <c r="AA188" s="22">
        <f t="shared" si="71"/>
        <v>45460</v>
      </c>
      <c r="AB188" s="137">
        <v>45460</v>
      </c>
      <c r="AC188" s="137"/>
      <c r="AD188" s="134"/>
      <c r="AE188" s="134"/>
      <c r="AF188" s="139"/>
      <c r="AG188" s="256"/>
      <c r="AH188" s="256"/>
      <c r="AI188" s="256"/>
      <c r="AJ188" s="256"/>
      <c r="AK188" s="134"/>
      <c r="AL188" s="134"/>
      <c r="AM188" s="134"/>
      <c r="AN188" s="18"/>
      <c r="AO188" s="18"/>
      <c r="AP188" s="18"/>
      <c r="AQ188" s="18"/>
      <c r="AR188" s="17"/>
      <c r="AS188" s="21">
        <f t="shared" si="68"/>
        <v>45460</v>
      </c>
      <c r="AT188" s="17"/>
      <c r="AU188" s="17"/>
      <c r="AV188" s="17"/>
      <c r="AW188" s="17"/>
      <c r="AX188" s="17"/>
      <c r="AY188" s="17"/>
      <c r="AZ188" s="17"/>
    </row>
    <row r="189" spans="1:52" ht="20">
      <c r="A189" s="17"/>
      <c r="B189" s="40"/>
      <c r="C189" s="55">
        <f t="shared" si="64"/>
        <v>170</v>
      </c>
      <c r="D189" s="54">
        <v>1</v>
      </c>
      <c r="E189" s="53" t="str">
        <f t="shared" si="57"/>
        <v>6</v>
      </c>
      <c r="F189" s="52">
        <f t="shared" si="65"/>
        <v>45461</v>
      </c>
      <c r="G189" s="51" t="str">
        <f t="shared" si="66"/>
        <v>Tue</v>
      </c>
      <c r="H189" s="50"/>
      <c r="I189" s="49"/>
      <c r="J189" s="343">
        <f>332500/$B$13</f>
        <v>3013.4130868225484</v>
      </c>
      <c r="K189" s="31"/>
      <c r="L189" s="317">
        <f t="shared" si="70"/>
        <v>2010.1046247114143</v>
      </c>
      <c r="M189" s="318">
        <f t="shared" si="58"/>
        <v>1003.3084621111341</v>
      </c>
      <c r="N189" s="41">
        <f t="shared" si="59"/>
        <v>1.4991324579710255</v>
      </c>
      <c r="O189" s="46"/>
      <c r="P189" s="328">
        <f>IF(D189=0,0,SUM($L$172:L189))</f>
        <v>30151.569370671208</v>
      </c>
      <c r="Q189" s="317">
        <f>IF(D189=0,0,SUM($J$172:J189))</f>
        <v>32017.85390610839</v>
      </c>
      <c r="R189" s="321">
        <f t="shared" si="60"/>
        <v>1866.2845354371821</v>
      </c>
      <c r="S189" s="41">
        <f t="shared" si="61"/>
        <v>1.0618967627354263</v>
      </c>
      <c r="T189" s="56"/>
      <c r="U189" s="348">
        <f>IF(D189=0,0,SUM($L$20:L189))</f>
        <v>286104.89158392447</v>
      </c>
      <c r="V189" s="348">
        <f>IF(D189=0,0,SUM($J$20:J189))</f>
        <v>297438.18198296183</v>
      </c>
      <c r="W189" s="349">
        <f t="shared" si="62"/>
        <v>11333.29039903736</v>
      </c>
      <c r="X189" s="41">
        <f t="shared" si="63"/>
        <v>1.0396123615234063</v>
      </c>
      <c r="Y189" s="17"/>
      <c r="Z189" s="23">
        <f t="shared" si="71"/>
        <v>45461</v>
      </c>
      <c r="AA189" s="22">
        <f t="shared" si="71"/>
        <v>45461</v>
      </c>
      <c r="AB189" s="137">
        <v>45461</v>
      </c>
      <c r="AC189" s="137"/>
      <c r="AD189" s="134"/>
      <c r="AE189" s="134"/>
      <c r="AF189" s="139"/>
      <c r="AG189" s="256"/>
      <c r="AH189" s="256"/>
      <c r="AI189" s="256"/>
      <c r="AJ189" s="256"/>
      <c r="AK189" s="134"/>
      <c r="AL189" s="134"/>
      <c r="AM189" s="134"/>
      <c r="AN189" s="18"/>
      <c r="AO189" s="18"/>
      <c r="AP189" s="18"/>
      <c r="AQ189" s="18"/>
      <c r="AR189" s="17"/>
      <c r="AS189" s="21">
        <f t="shared" si="68"/>
        <v>45461</v>
      </c>
      <c r="AT189" s="17"/>
      <c r="AU189" s="17"/>
      <c r="AV189" s="17"/>
      <c r="AW189" s="17"/>
      <c r="AX189" s="17"/>
      <c r="AY189" s="17"/>
      <c r="AZ189" s="17"/>
    </row>
    <row r="190" spans="1:52" ht="20">
      <c r="A190" s="17"/>
      <c r="B190" s="40"/>
      <c r="C190" s="55">
        <f t="shared" si="64"/>
        <v>171</v>
      </c>
      <c r="D190" s="54">
        <v>1</v>
      </c>
      <c r="E190" s="53" t="str">
        <f t="shared" si="57"/>
        <v>6</v>
      </c>
      <c r="F190" s="52">
        <f t="shared" si="65"/>
        <v>45462</v>
      </c>
      <c r="G190" s="51" t="str">
        <f t="shared" si="66"/>
        <v>Wed</v>
      </c>
      <c r="H190" s="50"/>
      <c r="I190" s="49"/>
      <c r="J190" s="343">
        <f>255900/$B$13</f>
        <v>2319.1952147906472</v>
      </c>
      <c r="K190" s="31"/>
      <c r="L190" s="317">
        <f t="shared" si="70"/>
        <v>2010.1046247114143</v>
      </c>
      <c r="M190" s="318">
        <f t="shared" si="58"/>
        <v>309.09059007923292</v>
      </c>
      <c r="N190" s="41">
        <f t="shared" si="59"/>
        <v>1.1537684090068736</v>
      </c>
      <c r="O190" s="46"/>
      <c r="P190" s="328">
        <f>IF(D190=0,0,SUM($L$172:L190))</f>
        <v>32161.673995382622</v>
      </c>
      <c r="Q190" s="317">
        <f>IF(D190=0,0,SUM($J$172:J190))</f>
        <v>34337.049120899035</v>
      </c>
      <c r="R190" s="321">
        <f t="shared" si="60"/>
        <v>2175.3751255164134</v>
      </c>
      <c r="S190" s="41">
        <f t="shared" si="61"/>
        <v>1.0676387406273917</v>
      </c>
      <c r="T190" s="56"/>
      <c r="U190" s="348">
        <f>IF(D190=0,0,SUM($L$20:L190))</f>
        <v>288114.99620863592</v>
      </c>
      <c r="V190" s="348">
        <f>IF(D190=0,0,SUM($J$20:J190))</f>
        <v>299757.37719775247</v>
      </c>
      <c r="W190" s="349">
        <f t="shared" si="62"/>
        <v>11642.380989116558</v>
      </c>
      <c r="X190" s="41">
        <f t="shared" si="63"/>
        <v>1.0404087990639885</v>
      </c>
      <c r="Y190" s="17"/>
      <c r="Z190" s="23">
        <f t="shared" si="71"/>
        <v>45462</v>
      </c>
      <c r="AA190" s="22">
        <f t="shared" si="71"/>
        <v>45462</v>
      </c>
      <c r="AB190" s="137">
        <v>45462</v>
      </c>
      <c r="AC190" s="137"/>
      <c r="AD190" s="134"/>
      <c r="AE190" s="134"/>
      <c r="AF190" s="139"/>
      <c r="AG190" s="256"/>
      <c r="AH190" s="256"/>
      <c r="AI190" s="256"/>
      <c r="AJ190" s="256"/>
      <c r="AK190" s="134"/>
      <c r="AL190" s="134"/>
      <c r="AM190" s="134"/>
      <c r="AN190" s="18"/>
      <c r="AO190" s="18"/>
      <c r="AP190" s="18"/>
      <c r="AQ190" s="18"/>
      <c r="AR190" s="17"/>
      <c r="AS190" s="21">
        <f t="shared" si="68"/>
        <v>45462</v>
      </c>
      <c r="AT190" s="17"/>
      <c r="AU190" s="17"/>
      <c r="AV190" s="17"/>
      <c r="AW190" s="17"/>
      <c r="AX190" s="17"/>
      <c r="AY190" s="17"/>
      <c r="AZ190" s="17"/>
    </row>
    <row r="191" spans="1:52" ht="20">
      <c r="A191" s="17"/>
      <c r="B191" s="40"/>
      <c r="C191" s="55">
        <f t="shared" si="64"/>
        <v>172</v>
      </c>
      <c r="D191" s="54">
        <v>1</v>
      </c>
      <c r="E191" s="53" t="str">
        <f t="shared" si="57"/>
        <v>6</v>
      </c>
      <c r="F191" s="52">
        <f t="shared" si="65"/>
        <v>45463</v>
      </c>
      <c r="G191" s="51" t="str">
        <f t="shared" si="66"/>
        <v>Thu</v>
      </c>
      <c r="H191" s="50"/>
      <c r="I191" s="49"/>
      <c r="J191" s="343">
        <f>273000/$B$13</f>
        <v>2474.1707449700925</v>
      </c>
      <c r="K191" s="31"/>
      <c r="L191" s="317">
        <f t="shared" si="70"/>
        <v>2010.1046247114143</v>
      </c>
      <c r="M191" s="318">
        <f t="shared" si="58"/>
        <v>464.06612025867821</v>
      </c>
      <c r="N191" s="41">
        <f t="shared" si="59"/>
        <v>1.2308666497025262</v>
      </c>
      <c r="O191" s="46"/>
      <c r="P191" s="328">
        <f>IF(D191=0,0,SUM($L$172:L191))</f>
        <v>34171.778620094039</v>
      </c>
      <c r="Q191" s="317">
        <f>IF(D191=0,0,SUM($J$172:J191))</f>
        <v>36811.219865869127</v>
      </c>
      <c r="R191" s="321">
        <f t="shared" si="60"/>
        <v>2639.4412457750877</v>
      </c>
      <c r="S191" s="41">
        <f t="shared" si="61"/>
        <v>1.0772403823376937</v>
      </c>
      <c r="T191" s="56"/>
      <c r="U191" s="348">
        <f>IF(D191=0,0,SUM($L$20:L191))</f>
        <v>290125.10083334736</v>
      </c>
      <c r="V191" s="348">
        <f>IF(D191=0,0,SUM($J$20:J191))</f>
        <v>302231.54794272257</v>
      </c>
      <c r="W191" s="349">
        <f t="shared" si="62"/>
        <v>12106.447109375207</v>
      </c>
      <c r="X191" s="41">
        <f t="shared" si="63"/>
        <v>1.0417283684679506</v>
      </c>
      <c r="Y191" s="17"/>
      <c r="Z191" s="23">
        <f t="shared" si="71"/>
        <v>45463</v>
      </c>
      <c r="AA191" s="22">
        <f t="shared" si="71"/>
        <v>45463</v>
      </c>
      <c r="AB191" s="137">
        <v>45463</v>
      </c>
      <c r="AC191" s="137"/>
      <c r="AD191" s="134"/>
      <c r="AE191" s="134"/>
      <c r="AF191" s="139"/>
      <c r="AG191" s="256"/>
      <c r="AH191" s="256"/>
      <c r="AI191" s="256"/>
      <c r="AJ191" s="256"/>
      <c r="AK191" s="134"/>
      <c r="AL191" s="134"/>
      <c r="AM191" s="134"/>
      <c r="AN191" s="18"/>
      <c r="AO191" s="18"/>
      <c r="AP191" s="18"/>
      <c r="AQ191" s="18"/>
      <c r="AR191" s="17"/>
      <c r="AS191" s="21">
        <f t="shared" si="68"/>
        <v>45463</v>
      </c>
      <c r="AT191" s="17"/>
      <c r="AU191" s="17"/>
      <c r="AV191" s="17"/>
      <c r="AW191" s="17"/>
      <c r="AX191" s="17"/>
      <c r="AY191" s="17"/>
      <c r="AZ191" s="17"/>
    </row>
    <row r="192" spans="1:52" ht="20">
      <c r="A192" s="17"/>
      <c r="B192" s="40"/>
      <c r="C192" s="55">
        <f t="shared" si="64"/>
        <v>173</v>
      </c>
      <c r="D192" s="54">
        <v>1</v>
      </c>
      <c r="E192" s="53" t="str">
        <f t="shared" si="57"/>
        <v>6</v>
      </c>
      <c r="F192" s="52">
        <f t="shared" si="65"/>
        <v>45464</v>
      </c>
      <c r="G192" s="51" t="str">
        <f t="shared" si="66"/>
        <v>Fri</v>
      </c>
      <c r="H192" s="50"/>
      <c r="I192" s="49"/>
      <c r="J192" s="343">
        <f>374650/$B$13</f>
        <v>3395.4141743701284</v>
      </c>
      <c r="K192" s="31"/>
      <c r="L192" s="317">
        <f t="shared" si="70"/>
        <v>2010.1046247114143</v>
      </c>
      <c r="M192" s="318">
        <f t="shared" si="58"/>
        <v>1385.3095496587141</v>
      </c>
      <c r="N192" s="41">
        <f t="shared" si="59"/>
        <v>1.6891728582822396</v>
      </c>
      <c r="O192" s="46"/>
      <c r="P192" s="328">
        <f>IF(D192=0,0,SUM($L$172:L192))</f>
        <v>36181.883244805453</v>
      </c>
      <c r="Q192" s="317">
        <f>IF(D192=0,0,SUM($J$172:J192))</f>
        <v>40206.634040239252</v>
      </c>
      <c r="R192" s="321">
        <f t="shared" si="60"/>
        <v>4024.7507954337998</v>
      </c>
      <c r="S192" s="41">
        <f t="shared" si="61"/>
        <v>1.1112366310012796</v>
      </c>
      <c r="T192" s="56"/>
      <c r="U192" s="348">
        <f>IF(D192=0,0,SUM($L$20:L192))</f>
        <v>292135.2054580588</v>
      </c>
      <c r="V192" s="348">
        <f>IF(D192=0,0,SUM($J$20:J192))</f>
        <v>305626.96211709268</v>
      </c>
      <c r="W192" s="349">
        <f t="shared" si="62"/>
        <v>13491.756659033883</v>
      </c>
      <c r="X192" s="41">
        <f t="shared" si="63"/>
        <v>1.046183261746489</v>
      </c>
      <c r="Y192" s="17"/>
      <c r="Z192" s="23">
        <f t="shared" si="71"/>
        <v>45464</v>
      </c>
      <c r="AA192" s="22">
        <f t="shared" si="71"/>
        <v>45464</v>
      </c>
      <c r="AB192" s="137">
        <v>45464</v>
      </c>
      <c r="AC192" s="137"/>
      <c r="AD192" s="134"/>
      <c r="AE192" s="134"/>
      <c r="AF192" s="139"/>
      <c r="AG192" s="256"/>
      <c r="AH192" s="256"/>
      <c r="AI192" s="256"/>
      <c r="AJ192" s="256"/>
      <c r="AK192" s="134"/>
      <c r="AL192" s="134"/>
      <c r="AM192" s="134"/>
      <c r="AN192" s="18"/>
      <c r="AO192" s="18"/>
      <c r="AP192" s="18"/>
      <c r="AQ192" s="18"/>
      <c r="AR192" s="17"/>
      <c r="AS192" s="21">
        <f t="shared" si="68"/>
        <v>45464</v>
      </c>
      <c r="AT192" s="17"/>
      <c r="AU192" s="17"/>
      <c r="AV192" s="17"/>
      <c r="AW192" s="17"/>
      <c r="AX192" s="17"/>
      <c r="AY192" s="17"/>
      <c r="AZ192" s="17"/>
    </row>
    <row r="193" spans="1:52" ht="20">
      <c r="A193" s="17"/>
      <c r="B193" s="40"/>
      <c r="C193" s="55">
        <f t="shared" si="64"/>
        <v>174</v>
      </c>
      <c r="D193" s="54">
        <v>1</v>
      </c>
      <c r="E193" s="53" t="str">
        <f t="shared" si="57"/>
        <v>6</v>
      </c>
      <c r="F193" s="52">
        <f t="shared" si="65"/>
        <v>45465</v>
      </c>
      <c r="G193" s="51" t="str">
        <f t="shared" si="66"/>
        <v>Sat</v>
      </c>
      <c r="H193" s="50"/>
      <c r="I193" s="49"/>
      <c r="J193" s="343">
        <f>153300/$B$13</f>
        <v>1389.3420337139748</v>
      </c>
      <c r="K193" s="31"/>
      <c r="L193" s="317">
        <f t="shared" si="70"/>
        <v>2010.1046247114143</v>
      </c>
      <c r="M193" s="318">
        <f t="shared" si="58"/>
        <v>-620.76259099743947</v>
      </c>
      <c r="N193" s="41">
        <f t="shared" si="59"/>
        <v>0.69117896483295704</v>
      </c>
      <c r="O193" s="46"/>
      <c r="P193" s="328">
        <f>IF(D193=0,0,SUM($L$172:L193))</f>
        <v>38191.987869516866</v>
      </c>
      <c r="Q193" s="317">
        <f>IF(D193=0,0,SUM($J$172:J193))</f>
        <v>41595.976073953228</v>
      </c>
      <c r="R193" s="321">
        <f t="shared" si="60"/>
        <v>3403.9882044363621</v>
      </c>
      <c r="S193" s="41">
        <f t="shared" si="61"/>
        <v>1.0891283327818941</v>
      </c>
      <c r="T193" s="44"/>
      <c r="U193" s="348">
        <f>IF(D193=0,0,SUM($L$20:L193))</f>
        <v>294145.31008277024</v>
      </c>
      <c r="V193" s="348">
        <f>IF(D193=0,0,SUM($J$20:J193))</f>
        <v>307016.30415080668</v>
      </c>
      <c r="W193" s="349">
        <f t="shared" si="62"/>
        <v>12870.994068036438</v>
      </c>
      <c r="X193" s="41">
        <f t="shared" si="63"/>
        <v>1.0437572642732758</v>
      </c>
      <c r="Y193" s="17"/>
      <c r="Z193" s="23">
        <f t="shared" si="71"/>
        <v>45465</v>
      </c>
      <c r="AA193" s="22">
        <f t="shared" si="71"/>
        <v>45465</v>
      </c>
      <c r="AB193" s="137">
        <v>45465</v>
      </c>
      <c r="AC193" s="137"/>
      <c r="AD193" s="134"/>
      <c r="AE193" s="134"/>
      <c r="AF193" s="139"/>
      <c r="AG193" s="256"/>
      <c r="AH193" s="256"/>
      <c r="AI193" s="256"/>
      <c r="AJ193" s="256"/>
      <c r="AK193" s="134"/>
      <c r="AL193" s="134"/>
      <c r="AM193" s="134"/>
      <c r="AN193" s="18"/>
      <c r="AO193" s="18"/>
      <c r="AP193" s="18"/>
      <c r="AQ193" s="18"/>
      <c r="AR193" s="17"/>
      <c r="AS193" s="21">
        <f t="shared" si="68"/>
        <v>45465</v>
      </c>
      <c r="AT193" s="17"/>
      <c r="AU193" s="17"/>
      <c r="AV193" s="17"/>
      <c r="AW193" s="17"/>
      <c r="AX193" s="17"/>
      <c r="AY193" s="17"/>
      <c r="AZ193" s="17"/>
    </row>
    <row r="194" spans="1:52" ht="20">
      <c r="A194" s="17"/>
      <c r="B194" s="40"/>
      <c r="C194" s="55">
        <f t="shared" si="64"/>
        <v>175</v>
      </c>
      <c r="D194" s="54">
        <v>0</v>
      </c>
      <c r="E194" s="53" t="str">
        <f t="shared" si="57"/>
        <v>6</v>
      </c>
      <c r="F194" s="52">
        <f t="shared" si="65"/>
        <v>45466</v>
      </c>
      <c r="G194" s="51" t="str">
        <f t="shared" si="66"/>
        <v>Sun</v>
      </c>
      <c r="H194" s="50" t="s">
        <v>46</v>
      </c>
      <c r="I194" s="49"/>
      <c r="J194" s="343"/>
      <c r="K194" s="31"/>
      <c r="L194" s="317">
        <f t="shared" si="70"/>
        <v>0</v>
      </c>
      <c r="M194" s="318">
        <f t="shared" si="58"/>
        <v>0</v>
      </c>
      <c r="N194" s="41" t="str">
        <f t="shared" si="59"/>
        <v>0%</v>
      </c>
      <c r="O194" s="46"/>
      <c r="P194" s="328">
        <f>IF(D194=0,0,SUM($L$172:L194))</f>
        <v>0</v>
      </c>
      <c r="Q194" s="317">
        <f>IF(D194=0,0,SUM($J$172:J194))</f>
        <v>0</v>
      </c>
      <c r="R194" s="321">
        <f t="shared" si="60"/>
        <v>0</v>
      </c>
      <c r="S194" s="41" t="str">
        <f t="shared" si="61"/>
        <v>0%</v>
      </c>
      <c r="T194" s="56"/>
      <c r="U194" s="348">
        <f>IF(D194=0,0,SUM($L$20:L194))</f>
        <v>0</v>
      </c>
      <c r="V194" s="348">
        <f>IF(D194=0,0,SUM($J$20:J194))</f>
        <v>0</v>
      </c>
      <c r="W194" s="349">
        <f t="shared" si="62"/>
        <v>0</v>
      </c>
      <c r="X194" s="41" t="str">
        <f t="shared" si="63"/>
        <v>0%</v>
      </c>
      <c r="Y194" s="17"/>
      <c r="Z194" s="23">
        <f t="shared" si="71"/>
        <v>45466</v>
      </c>
      <c r="AA194" s="22">
        <f t="shared" si="71"/>
        <v>45466</v>
      </c>
      <c r="AB194" s="137">
        <v>45466</v>
      </c>
      <c r="AC194" s="137"/>
      <c r="AD194" s="134"/>
      <c r="AE194" s="134"/>
      <c r="AF194" s="139"/>
      <c r="AG194" s="256"/>
      <c r="AH194" s="256"/>
      <c r="AI194" s="256"/>
      <c r="AJ194" s="256"/>
      <c r="AK194" s="134"/>
      <c r="AL194" s="134"/>
      <c r="AM194" s="134"/>
      <c r="AN194" s="18"/>
      <c r="AO194" s="18"/>
      <c r="AP194" s="18"/>
      <c r="AQ194" s="18"/>
      <c r="AR194" s="17"/>
      <c r="AS194" s="21">
        <f t="shared" si="68"/>
        <v>45466</v>
      </c>
      <c r="AT194" s="17"/>
      <c r="AU194" s="17"/>
      <c r="AV194" s="17"/>
      <c r="AW194" s="17"/>
      <c r="AX194" s="17"/>
      <c r="AY194" s="17"/>
      <c r="AZ194" s="17"/>
    </row>
    <row r="195" spans="1:52" ht="20">
      <c r="A195" s="17"/>
      <c r="B195" s="40"/>
      <c r="C195" s="55">
        <f t="shared" si="64"/>
        <v>176</v>
      </c>
      <c r="D195" s="54">
        <v>1</v>
      </c>
      <c r="E195" s="53" t="str">
        <f t="shared" si="57"/>
        <v>6</v>
      </c>
      <c r="F195" s="52">
        <f t="shared" si="65"/>
        <v>45467</v>
      </c>
      <c r="G195" s="51" t="str">
        <f t="shared" si="66"/>
        <v>Mon</v>
      </c>
      <c r="H195" s="50"/>
      <c r="I195" s="49"/>
      <c r="J195" s="343">
        <f>248360/$B$13</f>
        <v>2250.8609751676636</v>
      </c>
      <c r="K195" s="31"/>
      <c r="L195" s="317">
        <f t="shared" si="70"/>
        <v>2010.1046247114143</v>
      </c>
      <c r="M195" s="318">
        <f t="shared" si="58"/>
        <v>240.75635045624927</v>
      </c>
      <c r="N195" s="41">
        <f t="shared" si="59"/>
        <v>1.1197730443960419</v>
      </c>
      <c r="O195" s="46"/>
      <c r="P195" s="328">
        <f>IF(D195=0,0,SUM($L$172:L195))</f>
        <v>40202.09249422828</v>
      </c>
      <c r="Q195" s="317">
        <f>IF(D195=0,0,SUM($J$172:J195))</f>
        <v>43846.837049120892</v>
      </c>
      <c r="R195" s="321">
        <f t="shared" si="60"/>
        <v>3644.7445548926116</v>
      </c>
      <c r="S195" s="41">
        <f t="shared" si="61"/>
        <v>1.0906605683626014</v>
      </c>
      <c r="T195" s="56"/>
      <c r="U195" s="348">
        <f>IF(D195=0,0,SUM($L$20:L195))</f>
        <v>296155.41470748169</v>
      </c>
      <c r="V195" s="348">
        <f>IF(D195=0,0,SUM($J$20:J195))</f>
        <v>309267.16512597434</v>
      </c>
      <c r="W195" s="349">
        <f t="shared" si="62"/>
        <v>13111.750418492651</v>
      </c>
      <c r="X195" s="41">
        <f t="shared" si="63"/>
        <v>1.0442732084822537</v>
      </c>
      <c r="Y195" s="17"/>
      <c r="Z195" s="23">
        <f t="shared" si="71"/>
        <v>45467</v>
      </c>
      <c r="AA195" s="22">
        <f t="shared" si="71"/>
        <v>45467</v>
      </c>
      <c r="AB195" s="137">
        <v>45467</v>
      </c>
      <c r="AC195" s="137"/>
      <c r="AD195" s="134"/>
      <c r="AE195" s="134"/>
      <c r="AF195" s="139"/>
      <c r="AG195" s="256"/>
      <c r="AH195" s="256"/>
      <c r="AI195" s="256"/>
      <c r="AJ195" s="256"/>
      <c r="AK195" s="134"/>
      <c r="AL195" s="134"/>
      <c r="AM195" s="134"/>
      <c r="AN195" s="18"/>
      <c r="AO195" s="18"/>
      <c r="AP195" s="18"/>
      <c r="AQ195" s="18"/>
      <c r="AR195" s="17"/>
      <c r="AS195" s="21">
        <f t="shared" si="68"/>
        <v>45467</v>
      </c>
      <c r="AT195" s="17"/>
      <c r="AU195" s="17"/>
      <c r="AV195" s="17"/>
      <c r="AW195" s="17"/>
      <c r="AX195" s="17"/>
      <c r="AY195" s="17"/>
      <c r="AZ195" s="17"/>
    </row>
    <row r="196" spans="1:52" ht="20">
      <c r="A196" s="17"/>
      <c r="B196" s="40"/>
      <c r="C196" s="55">
        <f t="shared" si="64"/>
        <v>177</v>
      </c>
      <c r="D196" s="54">
        <v>1</v>
      </c>
      <c r="E196" s="53" t="str">
        <f t="shared" si="57"/>
        <v>6</v>
      </c>
      <c r="F196" s="52">
        <f t="shared" si="65"/>
        <v>45468</v>
      </c>
      <c r="G196" s="51" t="str">
        <f t="shared" si="66"/>
        <v>Tue</v>
      </c>
      <c r="H196" s="50"/>
      <c r="I196" s="49"/>
      <c r="J196" s="343">
        <f>102500/$B$13</f>
        <v>928.94689142649986</v>
      </c>
      <c r="K196" s="31"/>
      <c r="L196" s="317">
        <f t="shared" si="70"/>
        <v>2010.1046247114143</v>
      </c>
      <c r="M196" s="318">
        <f t="shared" si="58"/>
        <v>-1081.1577332849145</v>
      </c>
      <c r="N196" s="41">
        <f t="shared" si="59"/>
        <v>0.4621385772692635</v>
      </c>
      <c r="O196" s="46"/>
      <c r="P196" s="328">
        <f>IF(D196=0,0,SUM($L$172:L196))</f>
        <v>42212.197118939694</v>
      </c>
      <c r="Q196" s="317">
        <f>IF(D196=0,0,SUM($J$172:J196))</f>
        <v>44775.783940547393</v>
      </c>
      <c r="R196" s="321">
        <f t="shared" si="60"/>
        <v>2563.5868216076997</v>
      </c>
      <c r="S196" s="41">
        <f t="shared" si="61"/>
        <v>1.0607309497391093</v>
      </c>
      <c r="T196" s="56"/>
      <c r="U196" s="348">
        <f>IF(D196=0,0,SUM($L$20:L196))</f>
        <v>298165.51933219313</v>
      </c>
      <c r="V196" s="348">
        <f>IF(D196=0,0,SUM($J$20:J196))</f>
        <v>310196.11201740085</v>
      </c>
      <c r="W196" s="349">
        <f t="shared" si="62"/>
        <v>12030.592685207725</v>
      </c>
      <c r="X196" s="41">
        <f t="shared" si="63"/>
        <v>1.0403487053504807</v>
      </c>
      <c r="Y196" s="17"/>
      <c r="Z196" s="23">
        <f t="shared" si="71"/>
        <v>45468</v>
      </c>
      <c r="AA196" s="22">
        <f t="shared" si="71"/>
        <v>45468</v>
      </c>
      <c r="AB196" s="137">
        <v>45468</v>
      </c>
      <c r="AC196" s="137"/>
      <c r="AD196" s="134"/>
      <c r="AE196" s="134"/>
      <c r="AF196" s="139"/>
      <c r="AG196" s="256"/>
      <c r="AH196" s="256"/>
      <c r="AI196" s="256"/>
      <c r="AJ196" s="256"/>
      <c r="AK196" s="134"/>
      <c r="AL196" s="134"/>
      <c r="AM196" s="134"/>
      <c r="AN196" s="18"/>
      <c r="AO196" s="18"/>
      <c r="AP196" s="18"/>
      <c r="AQ196" s="18"/>
      <c r="AR196" s="17"/>
      <c r="AS196" s="21">
        <f t="shared" si="68"/>
        <v>45468</v>
      </c>
      <c r="AT196" s="17"/>
      <c r="AU196" s="17"/>
      <c r="AV196" s="17"/>
      <c r="AW196" s="17"/>
      <c r="AX196" s="17"/>
      <c r="AY196" s="17"/>
      <c r="AZ196" s="17"/>
    </row>
    <row r="197" spans="1:52" ht="20">
      <c r="A197" s="17"/>
      <c r="B197" s="40"/>
      <c r="C197" s="55">
        <f t="shared" si="64"/>
        <v>178</v>
      </c>
      <c r="D197" s="54">
        <v>1</v>
      </c>
      <c r="E197" s="53" t="str">
        <f t="shared" si="57"/>
        <v>6</v>
      </c>
      <c r="F197" s="52">
        <f t="shared" si="65"/>
        <v>45469</v>
      </c>
      <c r="G197" s="51" t="str">
        <f t="shared" si="66"/>
        <v>Wed</v>
      </c>
      <c r="H197" s="50"/>
      <c r="I197" s="49"/>
      <c r="J197" s="343">
        <f>383350/$B$13</f>
        <v>3474.2613739351095</v>
      </c>
      <c r="K197" s="31"/>
      <c r="L197" s="317">
        <f t="shared" si="70"/>
        <v>2010.1046247114143</v>
      </c>
      <c r="M197" s="318">
        <f t="shared" si="58"/>
        <v>1464.1567492236952</v>
      </c>
      <c r="N197" s="41">
        <f t="shared" si="59"/>
        <v>1.7283982789870456</v>
      </c>
      <c r="O197" s="46"/>
      <c r="P197" s="328">
        <f>IF(D197=0,0,SUM($L$172:L197))</f>
        <v>44222.301743651107</v>
      </c>
      <c r="Q197" s="317">
        <f>IF(D197=0,0,SUM($J$172:J197))</f>
        <v>48250.045314482501</v>
      </c>
      <c r="R197" s="321">
        <f t="shared" si="60"/>
        <v>4027.7435708313933</v>
      </c>
      <c r="S197" s="41">
        <f t="shared" si="61"/>
        <v>1.0910794647049245</v>
      </c>
      <c r="T197" s="56"/>
      <c r="U197" s="348">
        <f>IF(D197=0,0,SUM($L$20:L197))</f>
        <v>300175.62395690457</v>
      </c>
      <c r="V197" s="348">
        <f>IF(D197=0,0,SUM($J$20:J197))</f>
        <v>313670.37339133595</v>
      </c>
      <c r="W197" s="349">
        <f t="shared" si="62"/>
        <v>13494.749434431375</v>
      </c>
      <c r="X197" s="41">
        <f t="shared" si="63"/>
        <v>1.0449561801739398</v>
      </c>
      <c r="Y197" s="17"/>
      <c r="Z197" s="23">
        <f t="shared" ref="Z197:AA212" si="72">Z196+1</f>
        <v>45469</v>
      </c>
      <c r="AA197" s="22">
        <f t="shared" si="72"/>
        <v>45469</v>
      </c>
      <c r="AB197" s="137">
        <v>45469</v>
      </c>
      <c r="AC197" s="137"/>
      <c r="AD197" s="134"/>
      <c r="AE197" s="134"/>
      <c r="AF197" s="139"/>
      <c r="AG197" s="256"/>
      <c r="AH197" s="256"/>
      <c r="AI197" s="256"/>
      <c r="AJ197" s="256"/>
      <c r="AK197" s="134"/>
      <c r="AL197" s="134"/>
      <c r="AM197" s="134"/>
      <c r="AN197" s="18"/>
      <c r="AO197" s="18"/>
      <c r="AP197" s="18"/>
      <c r="AQ197" s="18"/>
      <c r="AR197" s="17"/>
      <c r="AS197" s="21">
        <f t="shared" si="68"/>
        <v>45469</v>
      </c>
      <c r="AT197" s="17"/>
      <c r="AU197" s="17"/>
      <c r="AV197" s="17"/>
      <c r="AW197" s="17"/>
      <c r="AX197" s="17"/>
      <c r="AY197" s="17"/>
      <c r="AZ197" s="17"/>
    </row>
    <row r="198" spans="1:52" ht="20">
      <c r="A198" s="17"/>
      <c r="B198" s="40"/>
      <c r="C198" s="55">
        <f t="shared" si="64"/>
        <v>179</v>
      </c>
      <c r="D198" s="54">
        <v>1</v>
      </c>
      <c r="E198" s="53" t="str">
        <f t="shared" si="57"/>
        <v>6</v>
      </c>
      <c r="F198" s="52">
        <f t="shared" si="65"/>
        <v>45470</v>
      </c>
      <c r="G198" s="51" t="str">
        <f t="shared" si="66"/>
        <v>Thu</v>
      </c>
      <c r="H198" s="50"/>
      <c r="I198" s="49"/>
      <c r="J198" s="343">
        <f>216800/$B$13</f>
        <v>1964.8359615733189</v>
      </c>
      <c r="K198" s="31"/>
      <c r="L198" s="317">
        <f t="shared" si="70"/>
        <v>2010.1046247114143</v>
      </c>
      <c r="M198" s="318">
        <f t="shared" si="58"/>
        <v>-45.268663138095462</v>
      </c>
      <c r="N198" s="41">
        <f t="shared" si="59"/>
        <v>0.97747944928757402</v>
      </c>
      <c r="O198" s="46"/>
      <c r="P198" s="328">
        <f>IF(D198=0,0,SUM($L$172:L198))</f>
        <v>46232.406368362521</v>
      </c>
      <c r="Q198" s="317">
        <f>IF(D198=0,0,SUM($J$172:J198))</f>
        <v>50214.881276055821</v>
      </c>
      <c r="R198" s="321">
        <f t="shared" si="60"/>
        <v>3982.4749076933003</v>
      </c>
      <c r="S198" s="41">
        <f t="shared" si="61"/>
        <v>1.0861403335998223</v>
      </c>
      <c r="T198" s="56"/>
      <c r="U198" s="348">
        <f>IF(D198=0,0,SUM($L$20:L198))</f>
        <v>302185.72858161601</v>
      </c>
      <c r="V198" s="348">
        <f>IF(D198=0,0,SUM($J$20:J198))</f>
        <v>315635.20935290924</v>
      </c>
      <c r="W198" s="349">
        <f t="shared" si="62"/>
        <v>13449.480771293223</v>
      </c>
      <c r="X198" s="41">
        <f t="shared" si="63"/>
        <v>1.0445073327401055</v>
      </c>
      <c r="Y198" s="17"/>
      <c r="Z198" s="23">
        <f t="shared" si="72"/>
        <v>45470</v>
      </c>
      <c r="AA198" s="22">
        <f t="shared" si="72"/>
        <v>45470</v>
      </c>
      <c r="AB198" s="137">
        <v>45470</v>
      </c>
      <c r="AC198" s="137"/>
      <c r="AD198" s="134"/>
      <c r="AE198" s="134"/>
      <c r="AF198" s="139"/>
      <c r="AG198" s="256"/>
      <c r="AH198" s="256"/>
      <c r="AI198" s="256"/>
      <c r="AJ198" s="256"/>
      <c r="AK198" s="134"/>
      <c r="AL198" s="134"/>
      <c r="AM198" s="134"/>
      <c r="AN198" s="18"/>
      <c r="AO198" s="18"/>
      <c r="AP198" s="18"/>
      <c r="AQ198" s="18"/>
      <c r="AR198" s="17"/>
      <c r="AS198" s="21">
        <f t="shared" si="68"/>
        <v>45470</v>
      </c>
      <c r="AT198" s="17"/>
      <c r="AU198" s="17"/>
      <c r="AV198" s="17"/>
      <c r="AW198" s="17"/>
      <c r="AX198" s="17"/>
      <c r="AY198" s="17"/>
      <c r="AZ198" s="17"/>
    </row>
    <row r="199" spans="1:52" ht="20">
      <c r="A199" s="17"/>
      <c r="B199" s="40"/>
      <c r="C199" s="55">
        <f t="shared" si="64"/>
        <v>180</v>
      </c>
      <c r="D199" s="54">
        <v>1</v>
      </c>
      <c r="E199" s="53" t="str">
        <f t="shared" si="57"/>
        <v>6</v>
      </c>
      <c r="F199" s="52">
        <f t="shared" si="65"/>
        <v>45471</v>
      </c>
      <c r="G199" s="51" t="str">
        <f t="shared" si="66"/>
        <v>Fri</v>
      </c>
      <c r="H199" s="50"/>
      <c r="I199" s="49"/>
      <c r="J199" s="343">
        <f>225140/$B$13</f>
        <v>2040.4205183976799</v>
      </c>
      <c r="K199" s="31"/>
      <c r="L199" s="317">
        <f t="shared" si="70"/>
        <v>2010.1046247114143</v>
      </c>
      <c r="M199" s="318">
        <f t="shared" si="58"/>
        <v>30.315893686265554</v>
      </c>
      <c r="N199" s="41">
        <f t="shared" si="59"/>
        <v>1.0150817491356292</v>
      </c>
      <c r="O199" s="46"/>
      <c r="P199" s="328">
        <f>IF(D199=0,0,SUM($L$172:L199))</f>
        <v>48242.510993073935</v>
      </c>
      <c r="Q199" s="317">
        <f>IF(D199=0,0,SUM($J$172:J199))</f>
        <v>52255.301794453502</v>
      </c>
      <c r="R199" s="321">
        <f t="shared" si="60"/>
        <v>4012.7908013795677</v>
      </c>
      <c r="S199" s="41">
        <f t="shared" si="61"/>
        <v>1.0831795592471476</v>
      </c>
      <c r="T199" s="56"/>
      <c r="U199" s="348">
        <f>IF(D199=0,0,SUM($L$20:L199))</f>
        <v>304195.83320632746</v>
      </c>
      <c r="V199" s="348">
        <f>IF(D199=0,0,SUM($J$20:J199))</f>
        <v>317675.62987130694</v>
      </c>
      <c r="W199" s="349">
        <f t="shared" si="62"/>
        <v>13479.796664979483</v>
      </c>
      <c r="X199" s="41">
        <f t="shared" si="63"/>
        <v>1.044312890557697</v>
      </c>
      <c r="Y199" s="17"/>
      <c r="Z199" s="23">
        <f t="shared" si="72"/>
        <v>45471</v>
      </c>
      <c r="AA199" s="22">
        <f t="shared" si="72"/>
        <v>45471</v>
      </c>
      <c r="AB199" s="137">
        <v>45471</v>
      </c>
      <c r="AC199" s="137"/>
      <c r="AD199" s="134"/>
      <c r="AE199" s="134"/>
      <c r="AF199" s="139"/>
      <c r="AG199" s="256"/>
      <c r="AH199" s="256"/>
      <c r="AI199" s="256"/>
      <c r="AJ199" s="256"/>
      <c r="AK199" s="134"/>
      <c r="AL199" s="134"/>
      <c r="AM199" s="134"/>
      <c r="AN199" s="18"/>
      <c r="AO199" s="18"/>
      <c r="AP199" s="18"/>
      <c r="AQ199" s="18"/>
      <c r="AR199" s="17"/>
      <c r="AS199" s="21">
        <f t="shared" si="68"/>
        <v>45471</v>
      </c>
      <c r="AT199" s="17"/>
      <c r="AU199" s="17"/>
      <c r="AV199" s="17"/>
      <c r="AW199" s="17"/>
      <c r="AX199" s="17"/>
      <c r="AY199" s="17"/>
      <c r="AZ199" s="17"/>
    </row>
    <row r="200" spans="1:52" ht="20">
      <c r="A200" s="17"/>
      <c r="B200" s="40"/>
      <c r="C200" s="55">
        <f t="shared" si="64"/>
        <v>181</v>
      </c>
      <c r="D200" s="54">
        <v>1</v>
      </c>
      <c r="E200" s="53" t="str">
        <f t="shared" si="57"/>
        <v>6</v>
      </c>
      <c r="F200" s="52">
        <f t="shared" si="65"/>
        <v>45472</v>
      </c>
      <c r="G200" s="51" t="str">
        <f t="shared" si="66"/>
        <v>Sat</v>
      </c>
      <c r="H200" s="50"/>
      <c r="I200" s="49"/>
      <c r="J200" s="343">
        <f>142100/$B$13</f>
        <v>1287.8375928946891</v>
      </c>
      <c r="K200" s="31"/>
      <c r="L200" s="317">
        <f t="shared" si="70"/>
        <v>2010.1046247114143</v>
      </c>
      <c r="M200" s="318">
        <f t="shared" si="58"/>
        <v>-722.26703181672519</v>
      </c>
      <c r="N200" s="41">
        <f t="shared" si="59"/>
        <v>0.64068187151182776</v>
      </c>
      <c r="O200" s="46"/>
      <c r="P200" s="328">
        <f>IF(D200=0,0,SUM($L$172:L200))</f>
        <v>50252.615617785348</v>
      </c>
      <c r="Q200" s="317">
        <f>IF(D200=0,0,SUM($J$172:J200))</f>
        <v>53543.139387348194</v>
      </c>
      <c r="R200" s="321">
        <f t="shared" si="60"/>
        <v>3290.5237695628457</v>
      </c>
      <c r="S200" s="41">
        <f t="shared" si="61"/>
        <v>1.065479651737735</v>
      </c>
      <c r="T200" s="44"/>
      <c r="U200" s="348">
        <f>IF(D200=0,0,SUM($L$20:L200))</f>
        <v>306205.9378310389</v>
      </c>
      <c r="V200" s="348">
        <f>IF(D200=0,0,SUM($J$20:J200))</f>
        <v>318963.46746420162</v>
      </c>
      <c r="W200" s="349">
        <f t="shared" si="62"/>
        <v>12757.529633162718</v>
      </c>
      <c r="X200" s="41">
        <f t="shared" si="63"/>
        <v>1.0416632339775271</v>
      </c>
      <c r="Y200" s="17"/>
      <c r="Z200" s="23">
        <f t="shared" si="72"/>
        <v>45472</v>
      </c>
      <c r="AA200" s="22">
        <f t="shared" si="72"/>
        <v>45472</v>
      </c>
      <c r="AB200" s="137">
        <v>45472</v>
      </c>
      <c r="AC200" s="137"/>
      <c r="AD200" s="134"/>
      <c r="AE200" s="134"/>
      <c r="AF200" s="139"/>
      <c r="AG200" s="256"/>
      <c r="AH200" s="256"/>
      <c r="AI200" s="256"/>
      <c r="AJ200" s="256"/>
      <c r="AK200" s="134"/>
      <c r="AL200" s="134"/>
      <c r="AM200" s="134"/>
      <c r="AN200" s="18"/>
      <c r="AO200" s="18"/>
      <c r="AP200" s="18"/>
      <c r="AQ200" s="18"/>
      <c r="AR200" s="17"/>
      <c r="AS200" s="21">
        <f t="shared" si="68"/>
        <v>45472</v>
      </c>
      <c r="AT200" s="17"/>
      <c r="AU200" s="17"/>
      <c r="AV200" s="17"/>
      <c r="AW200" s="17"/>
      <c r="AX200" s="17"/>
      <c r="AY200" s="17"/>
      <c r="AZ200" s="17"/>
    </row>
    <row r="201" spans="1:52" ht="21" thickBot="1">
      <c r="A201" s="17"/>
      <c r="B201" s="40"/>
      <c r="C201" s="39">
        <f t="shared" si="64"/>
        <v>182</v>
      </c>
      <c r="D201" s="38">
        <v>0</v>
      </c>
      <c r="E201" s="37" t="str">
        <f t="shared" si="57"/>
        <v>6</v>
      </c>
      <c r="F201" s="36">
        <f t="shared" si="65"/>
        <v>45473</v>
      </c>
      <c r="G201" s="35" t="str">
        <f t="shared" si="66"/>
        <v>Sun</v>
      </c>
      <c r="H201" s="34" t="s">
        <v>46</v>
      </c>
      <c r="I201" s="33"/>
      <c r="J201" s="344"/>
      <c r="K201" s="31"/>
      <c r="L201" s="326">
        <f t="shared" si="70"/>
        <v>0</v>
      </c>
      <c r="M201" s="320">
        <f t="shared" si="58"/>
        <v>0</v>
      </c>
      <c r="N201" s="24" t="str">
        <f t="shared" si="59"/>
        <v>0%</v>
      </c>
      <c r="O201" s="29"/>
      <c r="P201" s="347">
        <f>IF(D201=0,0,SUM($L$172:L201))</f>
        <v>0</v>
      </c>
      <c r="Q201" s="326">
        <f>IF(D201=0,0,SUM($J$172:J201))</f>
        <v>0</v>
      </c>
      <c r="R201" s="327">
        <f t="shared" si="60"/>
        <v>0</v>
      </c>
      <c r="S201" s="24" t="str">
        <f t="shared" si="61"/>
        <v>0%</v>
      </c>
      <c r="T201" s="64"/>
      <c r="U201" s="350">
        <f>IF(D201=0,0,SUM($L$20:L201))</f>
        <v>0</v>
      </c>
      <c r="V201" s="350">
        <f>IF(D201=0,0,SUM($J$20:J201))</f>
        <v>0</v>
      </c>
      <c r="W201" s="351">
        <f t="shared" si="62"/>
        <v>0</v>
      </c>
      <c r="X201" s="24" t="str">
        <f t="shared" si="63"/>
        <v>0%</v>
      </c>
      <c r="Y201" s="17"/>
      <c r="Z201" s="23">
        <f t="shared" si="72"/>
        <v>45473</v>
      </c>
      <c r="AA201" s="22">
        <f t="shared" si="72"/>
        <v>45473</v>
      </c>
      <c r="AB201" s="137">
        <v>45473</v>
      </c>
      <c r="AC201" s="137"/>
      <c r="AD201" s="134"/>
      <c r="AE201" s="134"/>
      <c r="AF201" s="139"/>
      <c r="AG201" s="256"/>
      <c r="AH201" s="256"/>
      <c r="AI201" s="256"/>
      <c r="AJ201" s="256"/>
      <c r="AK201" s="134"/>
      <c r="AL201" s="134"/>
      <c r="AM201" s="134"/>
      <c r="AN201" s="18"/>
      <c r="AO201" s="18"/>
      <c r="AP201" s="18"/>
      <c r="AQ201" s="18"/>
      <c r="AR201" s="17"/>
      <c r="AS201" s="21">
        <f t="shared" si="68"/>
        <v>45473</v>
      </c>
      <c r="AT201" s="17"/>
      <c r="AU201" s="17"/>
      <c r="AV201" s="17"/>
      <c r="AW201" s="17"/>
      <c r="AX201" s="17"/>
      <c r="AY201" s="17"/>
      <c r="AZ201" s="17"/>
    </row>
    <row r="202" spans="1:52" ht="21" thickTop="1">
      <c r="A202" s="17"/>
      <c r="B202" s="40"/>
      <c r="C202" s="55">
        <f t="shared" si="64"/>
        <v>183</v>
      </c>
      <c r="D202" s="62">
        <v>1</v>
      </c>
      <c r="E202" s="53" t="str">
        <f t="shared" si="57"/>
        <v>7</v>
      </c>
      <c r="F202" s="52">
        <f t="shared" si="65"/>
        <v>45474</v>
      </c>
      <c r="G202" s="51" t="str">
        <f t="shared" si="66"/>
        <v>Mon</v>
      </c>
      <c r="H202" s="50"/>
      <c r="I202" s="49"/>
      <c r="J202" s="343">
        <f>225950/$B$13</f>
        <v>2047.7614645640747</v>
      </c>
      <c r="K202" s="31"/>
      <c r="L202" s="317">
        <f t="shared" ref="L202:L232" si="73">IF(D202=0,0,$K$12)</f>
        <v>2121.7771038620481</v>
      </c>
      <c r="M202" s="321">
        <f t="shared" si="58"/>
        <v>-74.015639297973394</v>
      </c>
      <c r="N202" s="60">
        <f t="shared" si="59"/>
        <v>0.96511620416524879</v>
      </c>
      <c r="O202" s="46"/>
      <c r="P202" s="329">
        <f>IF(D202=0,0,$L$202)</f>
        <v>2121.7771038620481</v>
      </c>
      <c r="Q202" s="317">
        <f>IF(D202=0,0,$J$202)</f>
        <v>2047.7614645640747</v>
      </c>
      <c r="R202" s="321">
        <f t="shared" si="60"/>
        <v>-74.015639297973394</v>
      </c>
      <c r="S202" s="60">
        <f t="shared" si="61"/>
        <v>0.96511620416524879</v>
      </c>
      <c r="T202" s="56"/>
      <c r="U202" s="348">
        <f>IF(D202=0,0,SUM($L$20:L202))</f>
        <v>308327.71493490093</v>
      </c>
      <c r="V202" s="348">
        <f>IF(D202=0,0,SUM($J$20:J202))</f>
        <v>321011.22892876569</v>
      </c>
      <c r="W202" s="349">
        <f t="shared" si="62"/>
        <v>12683.513993864763</v>
      </c>
      <c r="X202" s="60">
        <f t="shared" si="63"/>
        <v>1.0411364706430712</v>
      </c>
      <c r="Y202" s="17"/>
      <c r="Z202" s="23">
        <f t="shared" si="72"/>
        <v>45474</v>
      </c>
      <c r="AA202" s="22">
        <f t="shared" si="72"/>
        <v>45474</v>
      </c>
      <c r="AB202" s="137">
        <v>45474</v>
      </c>
      <c r="AC202" s="137"/>
      <c r="AD202" s="134"/>
      <c r="AE202" s="134"/>
      <c r="AF202" s="139"/>
      <c r="AG202" s="256"/>
      <c r="AH202" s="256"/>
      <c r="AI202" s="256"/>
      <c r="AJ202" s="256"/>
      <c r="AK202" s="134"/>
      <c r="AL202" s="134"/>
      <c r="AM202" s="134"/>
      <c r="AN202" s="18"/>
      <c r="AO202" s="18"/>
      <c r="AP202" s="18"/>
      <c r="AQ202" s="18"/>
      <c r="AR202" s="17"/>
      <c r="AS202" s="21">
        <f t="shared" si="68"/>
        <v>45474</v>
      </c>
      <c r="AT202" s="17"/>
      <c r="AU202" s="17"/>
      <c r="AV202" s="17"/>
      <c r="AW202" s="17"/>
      <c r="AX202" s="17"/>
      <c r="AY202" s="17"/>
      <c r="AZ202" s="17"/>
    </row>
    <row r="203" spans="1:52" ht="20">
      <c r="A203" s="17"/>
      <c r="B203" s="40"/>
      <c r="C203" s="55">
        <f t="shared" si="64"/>
        <v>184</v>
      </c>
      <c r="D203" s="54">
        <v>1</v>
      </c>
      <c r="E203" s="53" t="str">
        <f t="shared" si="57"/>
        <v>7</v>
      </c>
      <c r="F203" s="52">
        <f t="shared" si="65"/>
        <v>45475</v>
      </c>
      <c r="G203" s="51" t="str">
        <f t="shared" si="66"/>
        <v>Tue</v>
      </c>
      <c r="H203" s="50"/>
      <c r="I203" s="49"/>
      <c r="J203" s="343">
        <f>195520/$B$13</f>
        <v>1771.9775240166757</v>
      </c>
      <c r="K203" s="31"/>
      <c r="L203" s="317">
        <f t="shared" si="73"/>
        <v>2121.7771038620481</v>
      </c>
      <c r="M203" s="318">
        <f t="shared" si="58"/>
        <v>-349.79957984537236</v>
      </c>
      <c r="N203" s="41">
        <f t="shared" si="59"/>
        <v>0.83513839450493221</v>
      </c>
      <c r="O203" s="46"/>
      <c r="P203" s="328">
        <f>IF(D203=0,0,SUM($L$202:L203))</f>
        <v>4243.5542077240962</v>
      </c>
      <c r="Q203" s="317">
        <f>IF(D203=0,0,SUM($J$202:J203))</f>
        <v>3819.7389885807506</v>
      </c>
      <c r="R203" s="321">
        <f t="shared" si="60"/>
        <v>-423.81521914334553</v>
      </c>
      <c r="S203" s="41">
        <f t="shared" si="61"/>
        <v>0.90012729933509061</v>
      </c>
      <c r="T203" s="56"/>
      <c r="U203" s="348">
        <f>IF(D203=0,0,SUM($L$20:L203))</f>
        <v>310449.49203876295</v>
      </c>
      <c r="V203" s="348">
        <f>IF(D203=0,0,SUM($J$20:J203))</f>
        <v>322783.20645278238</v>
      </c>
      <c r="W203" s="349">
        <f t="shared" si="62"/>
        <v>12333.714414019429</v>
      </c>
      <c r="X203" s="41">
        <f t="shared" si="63"/>
        <v>1.0397285701227028</v>
      </c>
      <c r="Y203" s="17"/>
      <c r="Z203" s="23">
        <f t="shared" si="72"/>
        <v>45475</v>
      </c>
      <c r="AA203" s="22">
        <f t="shared" si="72"/>
        <v>45475</v>
      </c>
      <c r="AB203" s="137">
        <v>45475</v>
      </c>
      <c r="AC203" s="137"/>
      <c r="AD203" s="134"/>
      <c r="AE203" s="134"/>
      <c r="AF203" s="139"/>
      <c r="AG203" s="256"/>
      <c r="AH203" s="256"/>
      <c r="AI203" s="256"/>
      <c r="AJ203" s="256"/>
      <c r="AK203" s="134"/>
      <c r="AL203" s="134"/>
      <c r="AM203" s="134"/>
      <c r="AN203" s="18"/>
      <c r="AO203" s="18"/>
      <c r="AP203" s="18"/>
      <c r="AQ203" s="18"/>
      <c r="AR203" s="17"/>
      <c r="AS203" s="21">
        <f t="shared" si="68"/>
        <v>45475</v>
      </c>
      <c r="AT203" s="17"/>
      <c r="AU203" s="17"/>
      <c r="AV203" s="17"/>
      <c r="AW203" s="17"/>
      <c r="AX203" s="17"/>
      <c r="AY203" s="17"/>
      <c r="AZ203" s="17"/>
    </row>
    <row r="204" spans="1:52" ht="20">
      <c r="A204" s="17"/>
      <c r="B204" s="40"/>
      <c r="C204" s="55">
        <f t="shared" si="64"/>
        <v>185</v>
      </c>
      <c r="D204" s="54">
        <v>1</v>
      </c>
      <c r="E204" s="53" t="str">
        <f t="shared" si="57"/>
        <v>7</v>
      </c>
      <c r="F204" s="52">
        <f t="shared" si="65"/>
        <v>45476</v>
      </c>
      <c r="G204" s="51" t="str">
        <f t="shared" si="66"/>
        <v>Wed</v>
      </c>
      <c r="H204" s="50"/>
      <c r="I204" s="49"/>
      <c r="J204" s="343">
        <f>220150/$B$13</f>
        <v>1995.1966648540872</v>
      </c>
      <c r="K204" s="31"/>
      <c r="L204" s="317">
        <f t="shared" si="73"/>
        <v>2121.7771038620481</v>
      </c>
      <c r="M204" s="318">
        <f t="shared" si="58"/>
        <v>-126.58043900796088</v>
      </c>
      <c r="N204" s="41">
        <f t="shared" si="59"/>
        <v>0.94034225424642404</v>
      </c>
      <c r="O204" s="46"/>
      <c r="P204" s="328">
        <f>IF(D204=0,0,SUM($L$202:L204))</f>
        <v>6365.3313115861438</v>
      </c>
      <c r="Q204" s="317">
        <f>IF(D204=0,0,SUM($J$202:J204))</f>
        <v>5814.9356534348381</v>
      </c>
      <c r="R204" s="321">
        <f t="shared" si="60"/>
        <v>-550.39565815130572</v>
      </c>
      <c r="S204" s="41">
        <f t="shared" si="61"/>
        <v>0.91353228430553512</v>
      </c>
      <c r="T204" s="56"/>
      <c r="U204" s="348">
        <f>IF(D204=0,0,SUM($L$20:L204))</f>
        <v>312571.26914262498</v>
      </c>
      <c r="V204" s="348">
        <f>IF(D204=0,0,SUM($J$20:J204))</f>
        <v>324778.40311763645</v>
      </c>
      <c r="W204" s="349">
        <f t="shared" si="62"/>
        <v>12207.133975011471</v>
      </c>
      <c r="X204" s="41">
        <f t="shared" si="63"/>
        <v>1.0390539220335104</v>
      </c>
      <c r="Y204" s="17"/>
      <c r="Z204" s="23">
        <f t="shared" si="72"/>
        <v>45476</v>
      </c>
      <c r="AA204" s="22">
        <f t="shared" si="72"/>
        <v>45476</v>
      </c>
      <c r="AB204" s="137">
        <v>45476</v>
      </c>
      <c r="AC204" s="137"/>
      <c r="AD204" s="134"/>
      <c r="AE204" s="134"/>
      <c r="AF204" s="139"/>
      <c r="AG204" s="256"/>
      <c r="AH204" s="256"/>
      <c r="AI204" s="256"/>
      <c r="AJ204" s="256"/>
      <c r="AK204" s="134"/>
      <c r="AL204" s="134"/>
      <c r="AM204" s="134"/>
      <c r="AN204" s="18"/>
      <c r="AO204" s="18"/>
      <c r="AP204" s="18"/>
      <c r="AQ204" s="18"/>
      <c r="AR204" s="17"/>
      <c r="AS204" s="21">
        <f t="shared" si="68"/>
        <v>45476</v>
      </c>
      <c r="AT204" s="17"/>
      <c r="AU204" s="17"/>
      <c r="AV204" s="17"/>
      <c r="AW204" s="17"/>
      <c r="AX204" s="17"/>
      <c r="AY204" s="17"/>
      <c r="AZ204" s="17"/>
    </row>
    <row r="205" spans="1:52" ht="20">
      <c r="A205" s="17"/>
      <c r="B205" s="40"/>
      <c r="C205" s="55">
        <f t="shared" si="64"/>
        <v>186</v>
      </c>
      <c r="D205" s="54">
        <v>1</v>
      </c>
      <c r="E205" s="53" t="str">
        <f t="shared" si="57"/>
        <v>7</v>
      </c>
      <c r="F205" s="52">
        <f t="shared" si="65"/>
        <v>45477</v>
      </c>
      <c r="G205" s="51" t="str">
        <f t="shared" si="66"/>
        <v>Thu</v>
      </c>
      <c r="H205" s="50"/>
      <c r="I205" s="49"/>
      <c r="J205" s="343">
        <f>265500/$B$13</f>
        <v>2406.1990212071778</v>
      </c>
      <c r="K205" s="31"/>
      <c r="L205" s="317">
        <f t="shared" si="73"/>
        <v>2121.7771038620481</v>
      </c>
      <c r="M205" s="318">
        <f t="shared" si="58"/>
        <v>284.42191734512971</v>
      </c>
      <c r="N205" s="41">
        <f t="shared" si="59"/>
        <v>1.1340489143875794</v>
      </c>
      <c r="O205" s="46"/>
      <c r="P205" s="328">
        <f>IF(D205=0,0,SUM($L$202:L205))</f>
        <v>8487.1084154481923</v>
      </c>
      <c r="Q205" s="317">
        <f>IF(D205=0,0,SUM($J$202:J205))</f>
        <v>8221.1346746420168</v>
      </c>
      <c r="R205" s="321">
        <f t="shared" si="60"/>
        <v>-265.97374080617556</v>
      </c>
      <c r="S205" s="41">
        <f t="shared" si="61"/>
        <v>0.9686614418260463</v>
      </c>
      <c r="T205" s="56"/>
      <c r="U205" s="348">
        <f>IF(D205=0,0,SUM($L$20:L205))</f>
        <v>314693.04624648701</v>
      </c>
      <c r="V205" s="348">
        <f>IF(D205=0,0,SUM($J$20:J205))</f>
        <v>327184.60213884362</v>
      </c>
      <c r="W205" s="349">
        <f t="shared" si="62"/>
        <v>12491.555892356613</v>
      </c>
      <c r="X205" s="41">
        <f t="shared" si="63"/>
        <v>1.0396944134652804</v>
      </c>
      <c r="Y205" s="17"/>
      <c r="Z205" s="23">
        <f t="shared" si="72"/>
        <v>45477</v>
      </c>
      <c r="AA205" s="22">
        <f t="shared" si="72"/>
        <v>45477</v>
      </c>
      <c r="AB205" s="137">
        <v>45477</v>
      </c>
      <c r="AC205" s="137"/>
      <c r="AD205" s="134"/>
      <c r="AE205" s="134"/>
      <c r="AF205" s="139"/>
      <c r="AG205" s="256"/>
      <c r="AH205" s="256"/>
      <c r="AI205" s="256"/>
      <c r="AJ205" s="256"/>
      <c r="AK205" s="134"/>
      <c r="AL205" s="134"/>
      <c r="AM205" s="134"/>
      <c r="AN205" s="18"/>
      <c r="AO205" s="18"/>
      <c r="AP205" s="18"/>
      <c r="AQ205" s="18"/>
      <c r="AR205" s="17"/>
      <c r="AS205" s="21">
        <f t="shared" si="68"/>
        <v>45477</v>
      </c>
      <c r="AT205" s="17"/>
      <c r="AU205" s="17"/>
      <c r="AV205" s="17"/>
      <c r="AW205" s="17"/>
      <c r="AX205" s="17"/>
      <c r="AY205" s="17"/>
      <c r="AZ205" s="17"/>
    </row>
    <row r="206" spans="1:52" ht="20">
      <c r="A206" s="17"/>
      <c r="B206" s="40"/>
      <c r="C206" s="55">
        <f t="shared" si="64"/>
        <v>187</v>
      </c>
      <c r="D206" s="54">
        <v>1</v>
      </c>
      <c r="E206" s="53" t="str">
        <f t="shared" si="57"/>
        <v>7</v>
      </c>
      <c r="F206" s="52">
        <f t="shared" si="65"/>
        <v>45478</v>
      </c>
      <c r="G206" s="51" t="str">
        <f t="shared" si="66"/>
        <v>Fri</v>
      </c>
      <c r="H206" s="50"/>
      <c r="I206" s="49"/>
      <c r="J206" s="343">
        <f>425150/$B$13</f>
        <v>3853.0904477070872</v>
      </c>
      <c r="K206" s="31"/>
      <c r="L206" s="317">
        <f t="shared" si="73"/>
        <v>2121.7771038620481</v>
      </c>
      <c r="M206" s="318">
        <f t="shared" si="58"/>
        <v>1731.3133438450391</v>
      </c>
      <c r="N206" s="41">
        <f t="shared" si="59"/>
        <v>1.8159732427566078</v>
      </c>
      <c r="O206" s="46"/>
      <c r="P206" s="328">
        <f>IF(D206=0,0,SUM($L$202:L206))</f>
        <v>10608.885519310241</v>
      </c>
      <c r="Q206" s="317">
        <f>IF(D206=0,0,SUM($J$202:J206))</f>
        <v>12074.225122349104</v>
      </c>
      <c r="R206" s="321">
        <f t="shared" si="60"/>
        <v>1465.3396030388631</v>
      </c>
      <c r="S206" s="41">
        <f t="shared" si="61"/>
        <v>1.1381238020121585</v>
      </c>
      <c r="T206" s="56"/>
      <c r="U206" s="348">
        <f>IF(D206=0,0,SUM($L$20:L206))</f>
        <v>316814.82335034903</v>
      </c>
      <c r="V206" s="348">
        <f>IF(D206=0,0,SUM($J$20:J206))</f>
        <v>331037.69258655072</v>
      </c>
      <c r="W206" s="349">
        <f t="shared" si="62"/>
        <v>14222.869236201688</v>
      </c>
      <c r="X206" s="41">
        <f t="shared" si="63"/>
        <v>1.0448933199709325</v>
      </c>
      <c r="Y206" s="17"/>
      <c r="Z206" s="23">
        <f t="shared" si="72"/>
        <v>45478</v>
      </c>
      <c r="AA206" s="22">
        <f t="shared" si="72"/>
        <v>45478</v>
      </c>
      <c r="AB206" s="137">
        <v>45478</v>
      </c>
      <c r="AC206" s="137"/>
      <c r="AD206" s="134"/>
      <c r="AE206" s="134"/>
      <c r="AF206" s="139"/>
      <c r="AG206" s="256"/>
      <c r="AH206" s="256"/>
      <c r="AI206" s="256"/>
      <c r="AJ206" s="256"/>
      <c r="AK206" s="134"/>
      <c r="AL206" s="134"/>
      <c r="AM206" s="134"/>
      <c r="AN206" s="18"/>
      <c r="AO206" s="18"/>
      <c r="AP206" s="18"/>
      <c r="AQ206" s="18"/>
      <c r="AR206" s="17"/>
      <c r="AS206" s="21">
        <f t="shared" si="68"/>
        <v>45478</v>
      </c>
      <c r="AT206" s="17"/>
      <c r="AU206" s="17"/>
      <c r="AV206" s="17"/>
      <c r="AW206" s="17"/>
      <c r="AX206" s="17"/>
      <c r="AY206" s="17"/>
      <c r="AZ206" s="17"/>
    </row>
    <row r="207" spans="1:52" ht="20">
      <c r="A207" s="17"/>
      <c r="B207" s="40"/>
      <c r="C207" s="55">
        <f t="shared" si="64"/>
        <v>188</v>
      </c>
      <c r="D207" s="54">
        <v>1</v>
      </c>
      <c r="E207" s="53" t="str">
        <f t="shared" si="57"/>
        <v>7</v>
      </c>
      <c r="F207" s="52">
        <f t="shared" si="65"/>
        <v>45479</v>
      </c>
      <c r="G207" s="51" t="str">
        <f t="shared" si="66"/>
        <v>Sat</v>
      </c>
      <c r="H207" s="50"/>
      <c r="I207" s="49"/>
      <c r="J207" s="343">
        <f>219710/$B$13</f>
        <v>1991.2089903933297</v>
      </c>
      <c r="K207" s="31"/>
      <c r="L207" s="317">
        <f t="shared" si="73"/>
        <v>2121.7771038620481</v>
      </c>
      <c r="M207" s="318">
        <f t="shared" si="58"/>
        <v>-130.56811346871837</v>
      </c>
      <c r="N207" s="41">
        <f t="shared" si="59"/>
        <v>0.93846285114913397</v>
      </c>
      <c r="O207" s="46"/>
      <c r="P207" s="328">
        <f>IF(D207=0,0,SUM($L$202:L207))</f>
        <v>12730.662623172289</v>
      </c>
      <c r="Q207" s="317">
        <f>IF(D207=0,0,SUM($J$202:J207))</f>
        <v>14065.434112742434</v>
      </c>
      <c r="R207" s="321">
        <f t="shared" si="60"/>
        <v>1334.7714895701447</v>
      </c>
      <c r="S207" s="41">
        <f t="shared" si="61"/>
        <v>1.1048469768683211</v>
      </c>
      <c r="T207" s="44"/>
      <c r="U207" s="348">
        <f>IF(D207=0,0,SUM($L$20:L207))</f>
        <v>318936.60045421106</v>
      </c>
      <c r="V207" s="348">
        <f>IF(D207=0,0,SUM($J$20:J207))</f>
        <v>333028.90157694404</v>
      </c>
      <c r="W207" s="349">
        <f t="shared" si="62"/>
        <v>14092.301122732984</v>
      </c>
      <c r="X207" s="41">
        <f t="shared" si="63"/>
        <v>1.0441852741349331</v>
      </c>
      <c r="Y207" s="17"/>
      <c r="Z207" s="23">
        <f t="shared" si="72"/>
        <v>45479</v>
      </c>
      <c r="AA207" s="22">
        <f t="shared" si="72"/>
        <v>45479</v>
      </c>
      <c r="AB207" s="137">
        <v>45479</v>
      </c>
      <c r="AC207" s="137"/>
      <c r="AD207" s="134"/>
      <c r="AE207" s="134"/>
      <c r="AF207" s="139"/>
      <c r="AG207" s="256"/>
      <c r="AH207" s="256"/>
      <c r="AI207" s="256"/>
      <c r="AJ207" s="256"/>
      <c r="AK207" s="134"/>
      <c r="AL207" s="134"/>
      <c r="AM207" s="134"/>
      <c r="AN207" s="18"/>
      <c r="AO207" s="18"/>
      <c r="AP207" s="18"/>
      <c r="AQ207" s="18"/>
      <c r="AR207" s="17"/>
      <c r="AS207" s="21">
        <f t="shared" si="68"/>
        <v>45479</v>
      </c>
      <c r="AT207" s="17"/>
      <c r="AU207" s="17"/>
      <c r="AV207" s="17"/>
      <c r="AW207" s="17"/>
      <c r="AX207" s="17"/>
      <c r="AY207" s="17"/>
      <c r="AZ207" s="17"/>
    </row>
    <row r="208" spans="1:52" ht="20">
      <c r="A208" s="17"/>
      <c r="B208" s="40"/>
      <c r="C208" s="55">
        <f t="shared" si="64"/>
        <v>189</v>
      </c>
      <c r="D208" s="54">
        <v>0</v>
      </c>
      <c r="E208" s="53" t="str">
        <f t="shared" si="57"/>
        <v>7</v>
      </c>
      <c r="F208" s="52">
        <f t="shared" si="65"/>
        <v>45480</v>
      </c>
      <c r="G208" s="51" t="str">
        <f t="shared" si="66"/>
        <v>Sun</v>
      </c>
      <c r="H208" s="50" t="s">
        <v>46</v>
      </c>
      <c r="I208" s="49"/>
      <c r="J208" s="343"/>
      <c r="K208" s="31"/>
      <c r="L208" s="317">
        <f t="shared" si="73"/>
        <v>0</v>
      </c>
      <c r="M208" s="318">
        <f t="shared" si="58"/>
        <v>0</v>
      </c>
      <c r="N208" s="41" t="str">
        <f t="shared" si="59"/>
        <v>0%</v>
      </c>
      <c r="O208" s="46"/>
      <c r="P208" s="328">
        <f>IF(D208=0,0,SUM($L$202:L208))</f>
        <v>0</v>
      </c>
      <c r="Q208" s="317">
        <f>IF(D208=0,0,SUM($J$202:J208))</f>
        <v>0</v>
      </c>
      <c r="R208" s="321">
        <f t="shared" si="60"/>
        <v>0</v>
      </c>
      <c r="S208" s="41" t="str">
        <f t="shared" si="61"/>
        <v>0%</v>
      </c>
      <c r="T208" s="56"/>
      <c r="U208" s="348">
        <f>IF(D208=0,0,SUM($L$20:L208))</f>
        <v>0</v>
      </c>
      <c r="V208" s="348">
        <f>IF(D208=0,0,SUM($J$20:J208))</f>
        <v>0</v>
      </c>
      <c r="W208" s="349">
        <f t="shared" si="62"/>
        <v>0</v>
      </c>
      <c r="X208" s="41" t="str">
        <f t="shared" si="63"/>
        <v>0%</v>
      </c>
      <c r="Y208" s="17"/>
      <c r="Z208" s="23">
        <f t="shared" si="72"/>
        <v>45480</v>
      </c>
      <c r="AA208" s="22">
        <f t="shared" si="72"/>
        <v>45480</v>
      </c>
      <c r="AB208" s="137">
        <v>45480</v>
      </c>
      <c r="AC208" s="137"/>
      <c r="AD208" s="134"/>
      <c r="AE208" s="134"/>
      <c r="AF208" s="139"/>
      <c r="AG208" s="256"/>
      <c r="AH208" s="256"/>
      <c r="AI208" s="256"/>
      <c r="AJ208" s="256"/>
      <c r="AK208" s="134"/>
      <c r="AL208" s="134"/>
      <c r="AM208" s="134"/>
      <c r="AN208" s="18"/>
      <c r="AO208" s="18"/>
      <c r="AP208" s="18"/>
      <c r="AQ208" s="18"/>
      <c r="AR208" s="17"/>
      <c r="AS208" s="21">
        <f t="shared" si="68"/>
        <v>45480</v>
      </c>
      <c r="AT208" s="17"/>
      <c r="AU208" s="17"/>
      <c r="AV208" s="17"/>
      <c r="AW208" s="17"/>
      <c r="AX208" s="17"/>
      <c r="AY208" s="17"/>
      <c r="AZ208" s="17"/>
    </row>
    <row r="209" spans="1:52" ht="20">
      <c r="A209" s="17"/>
      <c r="B209" s="40"/>
      <c r="C209" s="55">
        <f t="shared" si="64"/>
        <v>190</v>
      </c>
      <c r="D209" s="54">
        <v>1</v>
      </c>
      <c r="E209" s="53" t="str">
        <f t="shared" si="57"/>
        <v>7</v>
      </c>
      <c r="F209" s="52">
        <f t="shared" si="65"/>
        <v>45481</v>
      </c>
      <c r="G209" s="51" t="str">
        <f t="shared" si="66"/>
        <v>Mon</v>
      </c>
      <c r="H209" s="50"/>
      <c r="I209" s="49"/>
      <c r="J209" s="343">
        <f>267650/$B$13</f>
        <v>2425.68424868588</v>
      </c>
      <c r="K209" s="31"/>
      <c r="L209" s="317">
        <f t="shared" si="73"/>
        <v>2121.7771038620481</v>
      </c>
      <c r="M209" s="318">
        <f t="shared" si="58"/>
        <v>303.90714482383191</v>
      </c>
      <c r="N209" s="41">
        <f t="shared" si="59"/>
        <v>1.1432323613402471</v>
      </c>
      <c r="O209" s="46"/>
      <c r="P209" s="328">
        <f>IF(D209=0,0,SUM($L$202:L209))</f>
        <v>14852.439727034338</v>
      </c>
      <c r="Q209" s="317">
        <f>IF(D209=0,0,SUM($J$202:J209))</f>
        <v>16491.118361428315</v>
      </c>
      <c r="R209" s="321">
        <f t="shared" si="60"/>
        <v>1638.6786343939766</v>
      </c>
      <c r="S209" s="41">
        <f t="shared" si="61"/>
        <v>1.1103306032214533</v>
      </c>
      <c r="T209" s="56"/>
      <c r="U209" s="348">
        <f>IF(D209=0,0,SUM($L$20:L209))</f>
        <v>321058.37755807309</v>
      </c>
      <c r="V209" s="348">
        <f>IF(D209=0,0,SUM($J$20:J209))</f>
        <v>335454.58582562994</v>
      </c>
      <c r="W209" s="349">
        <f t="shared" si="62"/>
        <v>14396.208267556853</v>
      </c>
      <c r="X209" s="41">
        <f t="shared" si="63"/>
        <v>1.0448398461895076</v>
      </c>
      <c r="Y209" s="17"/>
      <c r="Z209" s="23">
        <f t="shared" si="72"/>
        <v>45481</v>
      </c>
      <c r="AA209" s="22">
        <f t="shared" si="72"/>
        <v>45481</v>
      </c>
      <c r="AB209" s="137">
        <v>45481</v>
      </c>
      <c r="AC209" s="137"/>
      <c r="AD209" s="134"/>
      <c r="AE209" s="134"/>
      <c r="AF209" s="139"/>
      <c r="AG209" s="256"/>
      <c r="AH209" s="256"/>
      <c r="AI209" s="256"/>
      <c r="AJ209" s="256"/>
      <c r="AK209" s="134"/>
      <c r="AL209" s="134"/>
      <c r="AM209" s="134"/>
      <c r="AN209" s="18"/>
      <c r="AO209" s="18"/>
      <c r="AP209" s="18"/>
      <c r="AQ209" s="18"/>
      <c r="AR209" s="17"/>
      <c r="AS209" s="21">
        <f t="shared" si="68"/>
        <v>45481</v>
      </c>
      <c r="AT209" s="17"/>
      <c r="AU209" s="17"/>
      <c r="AV209" s="17"/>
      <c r="AW209" s="17"/>
      <c r="AX209" s="17"/>
      <c r="AY209" s="17"/>
      <c r="AZ209" s="17"/>
    </row>
    <row r="210" spans="1:52" ht="20">
      <c r="A210" s="17"/>
      <c r="B210" s="40"/>
      <c r="C210" s="55">
        <f t="shared" si="64"/>
        <v>191</v>
      </c>
      <c r="D210" s="54">
        <v>1</v>
      </c>
      <c r="E210" s="53" t="str">
        <f t="shared" si="57"/>
        <v>7</v>
      </c>
      <c r="F210" s="52">
        <f t="shared" si="65"/>
        <v>45482</v>
      </c>
      <c r="G210" s="51" t="str">
        <f t="shared" si="66"/>
        <v>Tue</v>
      </c>
      <c r="H210" s="50"/>
      <c r="I210" s="49"/>
      <c r="J210" s="343">
        <f>185750/$B$13</f>
        <v>1683.4330251948522</v>
      </c>
      <c r="K210" s="31"/>
      <c r="L210" s="317">
        <f t="shared" si="73"/>
        <v>2121.7771038620481</v>
      </c>
      <c r="M210" s="318">
        <f t="shared" si="58"/>
        <v>-438.34407866719584</v>
      </c>
      <c r="N210" s="41">
        <f t="shared" si="59"/>
        <v>0.79340710300373962</v>
      </c>
      <c r="O210" s="46"/>
      <c r="P210" s="328">
        <f>IF(D210=0,0,SUM($L$202:L210))</f>
        <v>16974.216830896385</v>
      </c>
      <c r="Q210" s="317">
        <f>IF(D210=0,0,SUM($J$202:J210))</f>
        <v>18174.551386623167</v>
      </c>
      <c r="R210" s="321">
        <f t="shared" si="60"/>
        <v>1200.3345557267821</v>
      </c>
      <c r="S210" s="41">
        <f t="shared" si="61"/>
        <v>1.0707151656942393</v>
      </c>
      <c r="T210" s="56"/>
      <c r="U210" s="348">
        <f>IF(D210=0,0,SUM($L$20:L210))</f>
        <v>323180.15466193511</v>
      </c>
      <c r="V210" s="348">
        <f>IF(D210=0,0,SUM($J$20:J210))</f>
        <v>337138.0188508248</v>
      </c>
      <c r="W210" s="349">
        <f t="shared" si="62"/>
        <v>13957.864188889682</v>
      </c>
      <c r="X210" s="41">
        <f t="shared" si="63"/>
        <v>1.0431891129066708</v>
      </c>
      <c r="Y210" s="17"/>
      <c r="Z210" s="23">
        <f t="shared" si="72"/>
        <v>45482</v>
      </c>
      <c r="AA210" s="22">
        <f t="shared" si="72"/>
        <v>45482</v>
      </c>
      <c r="AB210" s="137">
        <v>45482</v>
      </c>
      <c r="AC210" s="137"/>
      <c r="AD210" s="134"/>
      <c r="AE210" s="134"/>
      <c r="AF210" s="139"/>
      <c r="AG210" s="256"/>
      <c r="AH210" s="256"/>
      <c r="AI210" s="256"/>
      <c r="AJ210" s="256"/>
      <c r="AK210" s="134"/>
      <c r="AL210" s="134"/>
      <c r="AM210" s="134"/>
      <c r="AN210" s="18"/>
      <c r="AO210" s="18"/>
      <c r="AP210" s="18"/>
      <c r="AQ210" s="18"/>
      <c r="AR210" s="17"/>
      <c r="AS210" s="21">
        <f t="shared" si="68"/>
        <v>45482</v>
      </c>
      <c r="AT210" s="17"/>
      <c r="AU210" s="17"/>
      <c r="AV210" s="17"/>
      <c r="AW210" s="17"/>
      <c r="AX210" s="17"/>
      <c r="AY210" s="17"/>
      <c r="AZ210" s="17"/>
    </row>
    <row r="211" spans="1:52" ht="20">
      <c r="A211" s="17"/>
      <c r="B211" s="40"/>
      <c r="C211" s="55">
        <f t="shared" si="64"/>
        <v>192</v>
      </c>
      <c r="D211" s="54">
        <v>1</v>
      </c>
      <c r="E211" s="53" t="str">
        <f t="shared" si="57"/>
        <v>7</v>
      </c>
      <c r="F211" s="52">
        <f t="shared" si="65"/>
        <v>45483</v>
      </c>
      <c r="G211" s="51" t="str">
        <f t="shared" si="66"/>
        <v>Wed</v>
      </c>
      <c r="H211" s="50"/>
      <c r="I211" s="49"/>
      <c r="J211" s="343">
        <f>198000/$B$13</f>
        <v>1794.4535073409461</v>
      </c>
      <c r="K211" s="31"/>
      <c r="L211" s="317">
        <f t="shared" si="73"/>
        <v>2121.7771038620481</v>
      </c>
      <c r="M211" s="318">
        <f t="shared" si="58"/>
        <v>-327.32359652110199</v>
      </c>
      <c r="N211" s="41">
        <f t="shared" si="59"/>
        <v>0.84573139378056761</v>
      </c>
      <c r="O211" s="46"/>
      <c r="P211" s="328">
        <f>IF(D211=0,0,SUM($L$202:L211))</f>
        <v>19095.993934758433</v>
      </c>
      <c r="Q211" s="317">
        <f>IF(D211=0,0,SUM($J$202:J211))</f>
        <v>19969.004893964113</v>
      </c>
      <c r="R211" s="321">
        <f t="shared" si="60"/>
        <v>873.01095920567968</v>
      </c>
      <c r="S211" s="41">
        <f t="shared" si="61"/>
        <v>1.0457169688149424</v>
      </c>
      <c r="T211" s="56"/>
      <c r="U211" s="348">
        <f>IF(D211=0,0,SUM($L$20:L211))</f>
        <v>325301.93176579714</v>
      </c>
      <c r="V211" s="348">
        <f>IF(D211=0,0,SUM($J$20:J211))</f>
        <v>338932.47235816572</v>
      </c>
      <c r="W211" s="349">
        <f t="shared" si="62"/>
        <v>13630.540592368576</v>
      </c>
      <c r="X211" s="41">
        <f t="shared" si="63"/>
        <v>1.0419011978145336</v>
      </c>
      <c r="Y211" s="17"/>
      <c r="Z211" s="23">
        <f t="shared" si="72"/>
        <v>45483</v>
      </c>
      <c r="AA211" s="22">
        <f t="shared" si="72"/>
        <v>45483</v>
      </c>
      <c r="AB211" s="137">
        <v>45483</v>
      </c>
      <c r="AC211" s="137"/>
      <c r="AD211" s="134"/>
      <c r="AE211" s="134"/>
      <c r="AF211" s="139"/>
      <c r="AG211" s="256"/>
      <c r="AH211" s="256"/>
      <c r="AI211" s="256"/>
      <c r="AJ211" s="256"/>
      <c r="AK211" s="134"/>
      <c r="AL211" s="134"/>
      <c r="AM211" s="134"/>
      <c r="AN211" s="18"/>
      <c r="AO211" s="18"/>
      <c r="AP211" s="18"/>
      <c r="AQ211" s="18"/>
      <c r="AR211" s="17"/>
      <c r="AS211" s="21">
        <f t="shared" si="68"/>
        <v>45483</v>
      </c>
      <c r="AT211" s="17"/>
      <c r="AU211" s="17"/>
      <c r="AV211" s="17"/>
      <c r="AW211" s="17"/>
      <c r="AX211" s="17"/>
      <c r="AY211" s="17"/>
      <c r="AZ211" s="17"/>
    </row>
    <row r="212" spans="1:52" ht="20">
      <c r="A212" s="17"/>
      <c r="B212" s="40"/>
      <c r="C212" s="55">
        <f t="shared" si="64"/>
        <v>193</v>
      </c>
      <c r="D212" s="54">
        <v>1</v>
      </c>
      <c r="E212" s="53" t="str">
        <f t="shared" ref="E212:E275" si="74">TEXT(AA212,"m")</f>
        <v>7</v>
      </c>
      <c r="F212" s="52">
        <f t="shared" si="65"/>
        <v>45484</v>
      </c>
      <c r="G212" s="51" t="str">
        <f t="shared" si="66"/>
        <v>Thu</v>
      </c>
      <c r="H212" s="50"/>
      <c r="I212" s="49"/>
      <c r="J212" s="343">
        <f>436600/$B$13</f>
        <v>3956.8606126518034</v>
      </c>
      <c r="K212" s="31"/>
      <c r="L212" s="317">
        <f t="shared" si="73"/>
        <v>2121.7771038620481</v>
      </c>
      <c r="M212" s="318">
        <f t="shared" ref="M212:M275" si="75">IF(D212=0,0,J212-L212)</f>
        <v>1835.0835087897553</v>
      </c>
      <c r="N212" s="41">
        <f t="shared" ref="N212:N275" si="76">IFERROR(J212/L212,"0%")</f>
        <v>1.8648804369929082</v>
      </c>
      <c r="O212" s="46"/>
      <c r="P212" s="328">
        <f>IF(D212=0,0,SUM($L$202:L212))</f>
        <v>21217.771038620482</v>
      </c>
      <c r="Q212" s="317">
        <f>IF(D212=0,0,SUM($J$202:J212))</f>
        <v>23925.865506615915</v>
      </c>
      <c r="R212" s="321">
        <f t="shared" ref="R212:R275" si="77">IF(D212=0,0,Q212-P212)</f>
        <v>2708.0944679954337</v>
      </c>
      <c r="S212" s="41">
        <f t="shared" ref="S212:S275" si="78">IFERROR(Q212/P212,"0%")</f>
        <v>1.1276333156327389</v>
      </c>
      <c r="T212" s="56"/>
      <c r="U212" s="348">
        <f>IF(D212=0,0,SUM($L$20:L212))</f>
        <v>327423.70886965917</v>
      </c>
      <c r="V212" s="348">
        <f>IF(D212=0,0,SUM($J$20:J212))</f>
        <v>342889.33297081752</v>
      </c>
      <c r="W212" s="349">
        <f t="shared" ref="W212:W275" si="79">IF(D212=0,0,V212-U212)</f>
        <v>15465.624101158348</v>
      </c>
      <c r="X212" s="41">
        <f t="shared" ref="X212:X275" si="80">IFERROR(V212/U212,"0%")</f>
        <v>1.0472342829251711</v>
      </c>
      <c r="Y212" s="17"/>
      <c r="Z212" s="23">
        <f t="shared" si="72"/>
        <v>45484</v>
      </c>
      <c r="AA212" s="22">
        <f t="shared" si="72"/>
        <v>45484</v>
      </c>
      <c r="AB212" s="137">
        <v>45484</v>
      </c>
      <c r="AC212" s="137"/>
      <c r="AD212" s="134"/>
      <c r="AE212" s="134"/>
      <c r="AF212" s="139"/>
      <c r="AG212" s="256"/>
      <c r="AH212" s="256"/>
      <c r="AI212" s="256"/>
      <c r="AJ212" s="256"/>
      <c r="AK212" s="134"/>
      <c r="AL212" s="134"/>
      <c r="AM212" s="134"/>
      <c r="AN212" s="18"/>
      <c r="AO212" s="18"/>
      <c r="AP212" s="18"/>
      <c r="AQ212" s="18"/>
      <c r="AR212" s="17"/>
      <c r="AS212" s="21">
        <f t="shared" si="68"/>
        <v>45484</v>
      </c>
      <c r="AT212" s="17"/>
      <c r="AU212" s="17"/>
      <c r="AV212" s="17"/>
      <c r="AW212" s="17"/>
      <c r="AX212" s="17"/>
      <c r="AY212" s="17"/>
      <c r="AZ212" s="17"/>
    </row>
    <row r="213" spans="1:52" ht="20">
      <c r="A213" s="17"/>
      <c r="B213" s="40"/>
      <c r="C213" s="55">
        <f t="shared" ref="C213:C276" si="81">C212+1</f>
        <v>194</v>
      </c>
      <c r="D213" s="54">
        <v>1</v>
      </c>
      <c r="E213" s="53" t="str">
        <f t="shared" si="74"/>
        <v>7</v>
      </c>
      <c r="F213" s="52">
        <f t="shared" ref="F213:F276" si="82">F212+1</f>
        <v>45485</v>
      </c>
      <c r="G213" s="51" t="str">
        <f t="shared" ref="G213:G276" si="83">TEXT(AS213,"ddd")</f>
        <v>Fri</v>
      </c>
      <c r="H213" s="50"/>
      <c r="I213" s="49"/>
      <c r="J213" s="343">
        <f>436350/$B$13</f>
        <v>3954.5948885263729</v>
      </c>
      <c r="K213" s="31"/>
      <c r="L213" s="317">
        <f t="shared" si="73"/>
        <v>2121.7771038620481</v>
      </c>
      <c r="M213" s="318">
        <f t="shared" si="75"/>
        <v>1832.8177846643248</v>
      </c>
      <c r="N213" s="41">
        <f t="shared" si="76"/>
        <v>1.8638125943239934</v>
      </c>
      <c r="O213" s="46"/>
      <c r="P213" s="328">
        <f>IF(D213=0,0,SUM($L$202:L213))</f>
        <v>23339.54814248253</v>
      </c>
      <c r="Q213" s="317">
        <f>IF(D213=0,0,SUM($J$202:J213))</f>
        <v>27880.460395142287</v>
      </c>
      <c r="R213" s="321">
        <f t="shared" si="77"/>
        <v>4540.9122526597566</v>
      </c>
      <c r="S213" s="41">
        <f t="shared" si="78"/>
        <v>1.1945587046046711</v>
      </c>
      <c r="T213" s="56"/>
      <c r="U213" s="348">
        <f>IF(D213=0,0,SUM($L$20:L213))</f>
        <v>329545.48597352119</v>
      </c>
      <c r="V213" s="348">
        <f>IF(D213=0,0,SUM($J$20:J213))</f>
        <v>346843.92785934388</v>
      </c>
      <c r="W213" s="349">
        <f t="shared" si="79"/>
        <v>17298.441885822685</v>
      </c>
      <c r="X213" s="41">
        <f t="shared" si="80"/>
        <v>1.052491818647495</v>
      </c>
      <c r="Y213" s="17"/>
      <c r="Z213" s="23">
        <f t="shared" ref="Z213:AA228" si="84">Z212+1</f>
        <v>45485</v>
      </c>
      <c r="AA213" s="22">
        <f t="shared" si="84"/>
        <v>45485</v>
      </c>
      <c r="AB213" s="137">
        <v>45485</v>
      </c>
      <c r="AC213" s="137"/>
      <c r="AD213" s="134"/>
      <c r="AE213" s="134"/>
      <c r="AF213" s="139"/>
      <c r="AG213" s="256"/>
      <c r="AH213" s="256"/>
      <c r="AI213" s="256"/>
      <c r="AJ213" s="256"/>
      <c r="AK213" s="134"/>
      <c r="AL213" s="134"/>
      <c r="AM213" s="134"/>
      <c r="AN213" s="18"/>
      <c r="AO213" s="18"/>
      <c r="AP213" s="18"/>
      <c r="AQ213" s="18"/>
      <c r="AR213" s="17"/>
      <c r="AS213" s="21">
        <f t="shared" ref="AS213:AS276" si="85">AS212+1</f>
        <v>45485</v>
      </c>
      <c r="AT213" s="17"/>
      <c r="AU213" s="17"/>
      <c r="AV213" s="17"/>
      <c r="AW213" s="17"/>
      <c r="AX213" s="17"/>
      <c r="AY213" s="17"/>
      <c r="AZ213" s="17"/>
    </row>
    <row r="214" spans="1:52" ht="20">
      <c r="A214" s="17"/>
      <c r="B214" s="40"/>
      <c r="C214" s="55">
        <f t="shared" si="81"/>
        <v>195</v>
      </c>
      <c r="D214" s="54">
        <v>1</v>
      </c>
      <c r="E214" s="53" t="str">
        <f t="shared" si="74"/>
        <v>7</v>
      </c>
      <c r="F214" s="52">
        <f t="shared" si="82"/>
        <v>45486</v>
      </c>
      <c r="G214" s="51" t="str">
        <f t="shared" si="83"/>
        <v>Sat</v>
      </c>
      <c r="H214" s="50"/>
      <c r="I214" s="49"/>
      <c r="J214" s="343">
        <f>157580/$B$13</f>
        <v>1428.1312307413448</v>
      </c>
      <c r="K214" s="31"/>
      <c r="L214" s="317">
        <f t="shared" si="73"/>
        <v>2121.7771038620481</v>
      </c>
      <c r="M214" s="318">
        <f t="shared" si="75"/>
        <v>-693.6458731207033</v>
      </c>
      <c r="N214" s="41">
        <f t="shared" si="76"/>
        <v>0.67308259107041335</v>
      </c>
      <c r="O214" s="46"/>
      <c r="P214" s="328">
        <f>IF(D214=0,0,SUM($L$202:L214))</f>
        <v>25461.325246344579</v>
      </c>
      <c r="Q214" s="317">
        <f>IF(D214=0,0,SUM($J$202:J214))</f>
        <v>29308.591625883633</v>
      </c>
      <c r="R214" s="321">
        <f t="shared" si="77"/>
        <v>3847.2663795390545</v>
      </c>
      <c r="S214" s="41">
        <f t="shared" si="78"/>
        <v>1.1511023618101497</v>
      </c>
      <c r="T214" s="44"/>
      <c r="U214" s="348">
        <f>IF(D214=0,0,SUM($L$20:L214))</f>
        <v>331667.26307738322</v>
      </c>
      <c r="V214" s="348">
        <f>IF(D214=0,0,SUM($J$20:J214))</f>
        <v>348272.05909008521</v>
      </c>
      <c r="W214" s="349">
        <f t="shared" si="79"/>
        <v>16604.796012701991</v>
      </c>
      <c r="X214" s="41">
        <f t="shared" si="80"/>
        <v>1.050064621568719</v>
      </c>
      <c r="Y214" s="17"/>
      <c r="Z214" s="23">
        <f t="shared" si="84"/>
        <v>45486</v>
      </c>
      <c r="AA214" s="22">
        <f t="shared" si="84"/>
        <v>45486</v>
      </c>
      <c r="AB214" s="137">
        <v>45486</v>
      </c>
      <c r="AC214" s="137"/>
      <c r="AD214" s="134"/>
      <c r="AE214" s="134"/>
      <c r="AF214" s="139"/>
      <c r="AG214" s="256"/>
      <c r="AH214" s="256"/>
      <c r="AI214" s="256"/>
      <c r="AJ214" s="256"/>
      <c r="AK214" s="134"/>
      <c r="AL214" s="134"/>
      <c r="AM214" s="134"/>
      <c r="AN214" s="18"/>
      <c r="AO214" s="18"/>
      <c r="AP214" s="18"/>
      <c r="AQ214" s="18"/>
      <c r="AR214" s="17"/>
      <c r="AS214" s="21">
        <f t="shared" si="85"/>
        <v>45486</v>
      </c>
      <c r="AT214" s="17"/>
      <c r="AU214" s="17"/>
      <c r="AV214" s="17"/>
      <c r="AW214" s="17"/>
      <c r="AX214" s="17"/>
      <c r="AY214" s="17"/>
      <c r="AZ214" s="17"/>
    </row>
    <row r="215" spans="1:52" ht="20">
      <c r="A215" s="17"/>
      <c r="B215" s="40"/>
      <c r="C215" s="55">
        <f t="shared" si="81"/>
        <v>196</v>
      </c>
      <c r="D215" s="54">
        <v>0</v>
      </c>
      <c r="E215" s="53" t="str">
        <f t="shared" si="74"/>
        <v>7</v>
      </c>
      <c r="F215" s="52">
        <f t="shared" si="82"/>
        <v>45487</v>
      </c>
      <c r="G215" s="51" t="str">
        <f t="shared" si="83"/>
        <v>Sun</v>
      </c>
      <c r="H215" s="50" t="s">
        <v>46</v>
      </c>
      <c r="I215" s="49"/>
      <c r="J215" s="343"/>
      <c r="K215" s="31"/>
      <c r="L215" s="317">
        <f t="shared" si="73"/>
        <v>0</v>
      </c>
      <c r="M215" s="318">
        <f t="shared" si="75"/>
        <v>0</v>
      </c>
      <c r="N215" s="41" t="str">
        <f t="shared" si="76"/>
        <v>0%</v>
      </c>
      <c r="O215" s="46"/>
      <c r="P215" s="328">
        <f>IF(D215=0,0,SUM($L$202:L215))</f>
        <v>0</v>
      </c>
      <c r="Q215" s="317">
        <f>IF(D215=0,0,SUM($J$202:J215))</f>
        <v>0</v>
      </c>
      <c r="R215" s="321">
        <f t="shared" si="77"/>
        <v>0</v>
      </c>
      <c r="S215" s="41" t="str">
        <f t="shared" si="78"/>
        <v>0%</v>
      </c>
      <c r="T215" s="56"/>
      <c r="U215" s="348">
        <f>IF(D215=0,0,SUM($L$20:L215))</f>
        <v>0</v>
      </c>
      <c r="V215" s="348">
        <f>IF(D215=0,0,SUM($J$20:J215))</f>
        <v>0</v>
      </c>
      <c r="W215" s="349">
        <f t="shared" si="79"/>
        <v>0</v>
      </c>
      <c r="X215" s="41" t="str">
        <f t="shared" si="80"/>
        <v>0%</v>
      </c>
      <c r="Y215" s="17"/>
      <c r="Z215" s="23">
        <f t="shared" si="84"/>
        <v>45487</v>
      </c>
      <c r="AA215" s="22">
        <f t="shared" si="84"/>
        <v>45487</v>
      </c>
      <c r="AB215" s="137">
        <v>45487</v>
      </c>
      <c r="AC215" s="137"/>
      <c r="AD215" s="134"/>
      <c r="AE215" s="134"/>
      <c r="AF215" s="139"/>
      <c r="AG215" s="256"/>
      <c r="AH215" s="256"/>
      <c r="AI215" s="256"/>
      <c r="AJ215" s="256"/>
      <c r="AK215" s="134"/>
      <c r="AL215" s="134"/>
      <c r="AM215" s="134"/>
      <c r="AN215" s="18"/>
      <c r="AO215" s="18"/>
      <c r="AP215" s="18"/>
      <c r="AQ215" s="18"/>
      <c r="AR215" s="17"/>
      <c r="AS215" s="21">
        <f t="shared" si="85"/>
        <v>45487</v>
      </c>
      <c r="AT215" s="17"/>
      <c r="AU215" s="17"/>
      <c r="AV215" s="17"/>
      <c r="AW215" s="17"/>
      <c r="AX215" s="17"/>
      <c r="AY215" s="17"/>
      <c r="AZ215" s="17"/>
    </row>
    <row r="216" spans="1:52" ht="20">
      <c r="A216" s="17"/>
      <c r="B216" s="40"/>
      <c r="C216" s="55">
        <f t="shared" si="81"/>
        <v>197</v>
      </c>
      <c r="D216" s="54">
        <v>0</v>
      </c>
      <c r="E216" s="53" t="str">
        <f t="shared" si="74"/>
        <v>7</v>
      </c>
      <c r="F216" s="52">
        <f t="shared" si="82"/>
        <v>45488</v>
      </c>
      <c r="G216" s="51" t="str">
        <f t="shared" si="83"/>
        <v>Mon</v>
      </c>
      <c r="H216" s="50" t="s">
        <v>47</v>
      </c>
      <c r="I216" s="49"/>
      <c r="J216" s="343"/>
      <c r="K216" s="31"/>
      <c r="L216" s="317">
        <f t="shared" si="73"/>
        <v>0</v>
      </c>
      <c r="M216" s="318">
        <f t="shared" si="75"/>
        <v>0</v>
      </c>
      <c r="N216" s="41" t="str">
        <f t="shared" si="76"/>
        <v>0%</v>
      </c>
      <c r="O216" s="46"/>
      <c r="P216" s="328">
        <f>IF(D216=0,0,SUM($L$202:L216))</f>
        <v>0</v>
      </c>
      <c r="Q216" s="317">
        <f>IF(D216=0,0,SUM($J$202:J216))</f>
        <v>0</v>
      </c>
      <c r="R216" s="321">
        <f t="shared" si="77"/>
        <v>0</v>
      </c>
      <c r="S216" s="41" t="str">
        <f t="shared" si="78"/>
        <v>0%</v>
      </c>
      <c r="T216" s="56"/>
      <c r="U216" s="348">
        <f>IF(D216=0,0,SUM($L$20:L216))</f>
        <v>0</v>
      </c>
      <c r="V216" s="348">
        <f>IF(D216=0,0,SUM($J$20:J216))</f>
        <v>0</v>
      </c>
      <c r="W216" s="349">
        <f t="shared" si="79"/>
        <v>0</v>
      </c>
      <c r="X216" s="41" t="str">
        <f t="shared" si="80"/>
        <v>0%</v>
      </c>
      <c r="Y216" s="17"/>
      <c r="Z216" s="23">
        <f t="shared" si="84"/>
        <v>45488</v>
      </c>
      <c r="AA216" s="22">
        <f t="shared" si="84"/>
        <v>45488</v>
      </c>
      <c r="AB216" s="137">
        <v>45488</v>
      </c>
      <c r="AC216" s="137"/>
      <c r="AD216" s="134"/>
      <c r="AE216" s="134"/>
      <c r="AF216" s="139"/>
      <c r="AG216" s="256"/>
      <c r="AH216" s="256"/>
      <c r="AI216" s="256"/>
      <c r="AJ216" s="256"/>
      <c r="AK216" s="134"/>
      <c r="AL216" s="134"/>
      <c r="AM216" s="134"/>
      <c r="AN216" s="18"/>
      <c r="AO216" s="18"/>
      <c r="AP216" s="18"/>
      <c r="AQ216" s="18"/>
      <c r="AR216" s="17"/>
      <c r="AS216" s="21">
        <f t="shared" si="85"/>
        <v>45488</v>
      </c>
      <c r="AT216" s="17"/>
      <c r="AU216" s="17"/>
      <c r="AV216" s="17"/>
      <c r="AW216" s="17"/>
      <c r="AX216" s="17"/>
      <c r="AY216" s="17"/>
      <c r="AZ216" s="17"/>
    </row>
    <row r="217" spans="1:52" ht="20">
      <c r="A217" s="17"/>
      <c r="B217" s="40"/>
      <c r="C217" s="55">
        <f t="shared" si="81"/>
        <v>198</v>
      </c>
      <c r="D217" s="54">
        <v>1</v>
      </c>
      <c r="E217" s="53" t="str">
        <f t="shared" si="74"/>
        <v>7</v>
      </c>
      <c r="F217" s="52">
        <f t="shared" si="82"/>
        <v>45489</v>
      </c>
      <c r="G217" s="51" t="str">
        <f t="shared" si="83"/>
        <v>Tue</v>
      </c>
      <c r="H217" s="50"/>
      <c r="I217" s="49"/>
      <c r="J217" s="343">
        <f>185350/$B$13</f>
        <v>1679.8078665941634</v>
      </c>
      <c r="K217" s="31"/>
      <c r="L217" s="317">
        <f t="shared" si="73"/>
        <v>2121.7771038620481</v>
      </c>
      <c r="M217" s="318">
        <f t="shared" si="75"/>
        <v>-441.96923726788464</v>
      </c>
      <c r="N217" s="41">
        <f t="shared" si="76"/>
        <v>0.79169855473347583</v>
      </c>
      <c r="O217" s="46"/>
      <c r="P217" s="328">
        <f>IF(D217=0,0,SUM($L$202:L217))</f>
        <v>27583.102350206627</v>
      </c>
      <c r="Q217" s="317">
        <f>IF(D217=0,0,SUM($J$202:J217))</f>
        <v>30988.399492477798</v>
      </c>
      <c r="R217" s="321">
        <f t="shared" si="77"/>
        <v>3405.2971422711707</v>
      </c>
      <c r="S217" s="41">
        <f t="shared" si="78"/>
        <v>1.1234559151119439</v>
      </c>
      <c r="T217" s="56"/>
      <c r="U217" s="348">
        <f>IF(D217=0,0,SUM($L$20:L217))</f>
        <v>333789.04018124525</v>
      </c>
      <c r="V217" s="348">
        <f>IF(D217=0,0,SUM($J$20:J217))</f>
        <v>349951.86695667938</v>
      </c>
      <c r="W217" s="349">
        <f t="shared" si="79"/>
        <v>16162.826775434136</v>
      </c>
      <c r="X217" s="41">
        <f t="shared" si="80"/>
        <v>1.0484222812308572</v>
      </c>
      <c r="Y217" s="17"/>
      <c r="Z217" s="23">
        <f t="shared" si="84"/>
        <v>45489</v>
      </c>
      <c r="AA217" s="22">
        <f t="shared" si="84"/>
        <v>45489</v>
      </c>
      <c r="AB217" s="137">
        <v>45489</v>
      </c>
      <c r="AC217" s="137"/>
      <c r="AD217" s="134"/>
      <c r="AE217" s="134"/>
      <c r="AF217" s="139"/>
      <c r="AG217" s="256"/>
      <c r="AH217" s="256"/>
      <c r="AI217" s="256"/>
      <c r="AJ217" s="256"/>
      <c r="AK217" s="134"/>
      <c r="AL217" s="134"/>
      <c r="AM217" s="134"/>
      <c r="AN217" s="18"/>
      <c r="AO217" s="18"/>
      <c r="AP217" s="18"/>
      <c r="AQ217" s="18"/>
      <c r="AR217" s="17"/>
      <c r="AS217" s="21">
        <f t="shared" si="85"/>
        <v>45489</v>
      </c>
      <c r="AT217" s="17"/>
      <c r="AU217" s="17"/>
      <c r="AV217" s="17"/>
      <c r="AW217" s="17"/>
      <c r="AX217" s="17"/>
      <c r="AY217" s="17"/>
      <c r="AZ217" s="17"/>
    </row>
    <row r="218" spans="1:52" ht="20">
      <c r="A218" s="17"/>
      <c r="B218" s="40"/>
      <c r="C218" s="55">
        <f t="shared" si="81"/>
        <v>199</v>
      </c>
      <c r="D218" s="54">
        <v>1</v>
      </c>
      <c r="E218" s="53" t="str">
        <f t="shared" si="74"/>
        <v>7</v>
      </c>
      <c r="F218" s="52">
        <f t="shared" si="82"/>
        <v>45490</v>
      </c>
      <c r="G218" s="51" t="str">
        <f t="shared" si="83"/>
        <v>Wed</v>
      </c>
      <c r="H218" s="50"/>
      <c r="I218" s="49"/>
      <c r="J218" s="343">
        <f>309450/$B$13</f>
        <v>2804.5133224578576</v>
      </c>
      <c r="K218" s="31"/>
      <c r="L218" s="317">
        <f t="shared" si="73"/>
        <v>2121.7771038620481</v>
      </c>
      <c r="M218" s="318">
        <f t="shared" si="75"/>
        <v>682.73621859580953</v>
      </c>
      <c r="N218" s="41">
        <f t="shared" si="76"/>
        <v>1.3217756555828115</v>
      </c>
      <c r="O218" s="46"/>
      <c r="P218" s="328">
        <f>IF(D218=0,0,SUM($L$202:L218))</f>
        <v>29704.879454068676</v>
      </c>
      <c r="Q218" s="317">
        <f>IF(D218=0,0,SUM($J$202:J218))</f>
        <v>33792.912814935655</v>
      </c>
      <c r="R218" s="321">
        <f t="shared" si="77"/>
        <v>4088.0333608669789</v>
      </c>
      <c r="S218" s="41">
        <f t="shared" si="78"/>
        <v>1.1376216108598629</v>
      </c>
      <c r="T218" s="56"/>
      <c r="U218" s="348">
        <f>IF(D218=0,0,SUM($L$20:L218))</f>
        <v>335910.81728510727</v>
      </c>
      <c r="V218" s="348">
        <f>IF(D218=0,0,SUM($J$20:J218))</f>
        <v>352756.38027913723</v>
      </c>
      <c r="W218" s="349">
        <f t="shared" si="79"/>
        <v>16845.562994029955</v>
      </c>
      <c r="X218" s="41">
        <f t="shared" si="80"/>
        <v>1.0501489149119367</v>
      </c>
      <c r="Y218" s="17"/>
      <c r="Z218" s="23">
        <f t="shared" si="84"/>
        <v>45490</v>
      </c>
      <c r="AA218" s="22">
        <f t="shared" si="84"/>
        <v>45490</v>
      </c>
      <c r="AB218" s="137">
        <v>45490</v>
      </c>
      <c r="AC218" s="137"/>
      <c r="AD218" s="134"/>
      <c r="AE218" s="134"/>
      <c r="AF218" s="139"/>
      <c r="AG218" s="256"/>
      <c r="AH218" s="256"/>
      <c r="AI218" s="256"/>
      <c r="AJ218" s="256"/>
      <c r="AK218" s="134"/>
      <c r="AL218" s="134"/>
      <c r="AM218" s="134"/>
      <c r="AN218" s="18"/>
      <c r="AO218" s="18"/>
      <c r="AP218" s="18"/>
      <c r="AQ218" s="18"/>
      <c r="AR218" s="17"/>
      <c r="AS218" s="21">
        <f t="shared" si="85"/>
        <v>45490</v>
      </c>
      <c r="AT218" s="17"/>
      <c r="AU218" s="17"/>
      <c r="AV218" s="17"/>
      <c r="AW218" s="17"/>
      <c r="AX218" s="17"/>
      <c r="AY218" s="17"/>
      <c r="AZ218" s="17"/>
    </row>
    <row r="219" spans="1:52" ht="20">
      <c r="A219" s="17"/>
      <c r="B219" s="40"/>
      <c r="C219" s="55">
        <f t="shared" si="81"/>
        <v>200</v>
      </c>
      <c r="D219" s="54">
        <v>1</v>
      </c>
      <c r="E219" s="53" t="str">
        <f t="shared" si="74"/>
        <v>7</v>
      </c>
      <c r="F219" s="52">
        <f t="shared" si="82"/>
        <v>45491</v>
      </c>
      <c r="G219" s="51" t="str">
        <f t="shared" si="83"/>
        <v>Thu</v>
      </c>
      <c r="H219" s="50"/>
      <c r="I219" s="49"/>
      <c r="J219" s="343">
        <f>327800/$B$13</f>
        <v>2970.8174732644552</v>
      </c>
      <c r="K219" s="31"/>
      <c r="L219" s="317">
        <f t="shared" si="73"/>
        <v>2121.7771038620481</v>
      </c>
      <c r="M219" s="318">
        <f t="shared" si="75"/>
        <v>849.04036940240712</v>
      </c>
      <c r="N219" s="41">
        <f t="shared" si="76"/>
        <v>1.4001553074811619</v>
      </c>
      <c r="O219" s="46"/>
      <c r="P219" s="328">
        <f>IF(D219=0,0,SUM($L$202:L219))</f>
        <v>31826.656557930724</v>
      </c>
      <c r="Q219" s="317">
        <f>IF(D219=0,0,SUM($J$202:J219))</f>
        <v>36763.730288200109</v>
      </c>
      <c r="R219" s="321">
        <f t="shared" si="77"/>
        <v>4937.0737302693851</v>
      </c>
      <c r="S219" s="41">
        <f t="shared" si="78"/>
        <v>1.155123857301283</v>
      </c>
      <c r="T219" s="56"/>
      <c r="U219" s="348">
        <f>IF(D219=0,0,SUM($L$20:L219))</f>
        <v>338032.5943889693</v>
      </c>
      <c r="V219" s="348">
        <f>IF(D219=0,0,SUM($J$20:J219))</f>
        <v>355727.1977524017</v>
      </c>
      <c r="W219" s="349">
        <f t="shared" si="79"/>
        <v>17694.603363432398</v>
      </c>
      <c r="X219" s="41">
        <f t="shared" si="80"/>
        <v>1.0523458496522127</v>
      </c>
      <c r="Y219" s="17"/>
      <c r="Z219" s="23">
        <f t="shared" si="84"/>
        <v>45491</v>
      </c>
      <c r="AA219" s="22">
        <f t="shared" si="84"/>
        <v>45491</v>
      </c>
      <c r="AB219" s="137">
        <v>45491</v>
      </c>
      <c r="AC219" s="137"/>
      <c r="AD219" s="134"/>
      <c r="AE219" s="134"/>
      <c r="AF219" s="139"/>
      <c r="AG219" s="256"/>
      <c r="AH219" s="256"/>
      <c r="AI219" s="256"/>
      <c r="AJ219" s="256"/>
      <c r="AK219" s="134"/>
      <c r="AL219" s="134"/>
      <c r="AM219" s="134"/>
      <c r="AN219" s="18"/>
      <c r="AO219" s="18"/>
      <c r="AP219" s="18"/>
      <c r="AQ219" s="18"/>
      <c r="AR219" s="17"/>
      <c r="AS219" s="21">
        <f t="shared" si="85"/>
        <v>45491</v>
      </c>
      <c r="AT219" s="17"/>
      <c r="AU219" s="17"/>
      <c r="AV219" s="17"/>
      <c r="AW219" s="17"/>
      <c r="AX219" s="17"/>
      <c r="AY219" s="17"/>
      <c r="AZ219" s="17"/>
    </row>
    <row r="220" spans="1:52" ht="20">
      <c r="A220" s="17"/>
      <c r="B220" s="40"/>
      <c r="C220" s="55">
        <f t="shared" si="81"/>
        <v>201</v>
      </c>
      <c r="D220" s="54">
        <v>1</v>
      </c>
      <c r="E220" s="53" t="str">
        <f t="shared" si="74"/>
        <v>7</v>
      </c>
      <c r="F220" s="52">
        <f t="shared" si="82"/>
        <v>45492</v>
      </c>
      <c r="G220" s="51" t="str">
        <f t="shared" si="83"/>
        <v>Fri</v>
      </c>
      <c r="H220" s="50"/>
      <c r="I220" s="49"/>
      <c r="J220" s="343">
        <f>262250/$B$13</f>
        <v>2376.7446075765815</v>
      </c>
      <c r="K220" s="31"/>
      <c r="L220" s="317">
        <f t="shared" si="73"/>
        <v>2121.7771038620481</v>
      </c>
      <c r="M220" s="318">
        <f t="shared" si="75"/>
        <v>254.96750371453345</v>
      </c>
      <c r="N220" s="41">
        <f t="shared" si="76"/>
        <v>1.1201669596916861</v>
      </c>
      <c r="O220" s="46"/>
      <c r="P220" s="328">
        <f>IF(D220=0,0,SUM($L$202:L220))</f>
        <v>33948.433661792769</v>
      </c>
      <c r="Q220" s="317">
        <f>IF(D220=0,0,SUM($J$202:J220))</f>
        <v>39140.474895776693</v>
      </c>
      <c r="R220" s="321">
        <f t="shared" si="77"/>
        <v>5192.041233983924</v>
      </c>
      <c r="S220" s="41">
        <f t="shared" si="78"/>
        <v>1.1529390512006832</v>
      </c>
      <c r="T220" s="56"/>
      <c r="U220" s="348">
        <f>IF(D220=0,0,SUM($L$20:L220))</f>
        <v>340154.37149283133</v>
      </c>
      <c r="V220" s="348">
        <f>IF(D220=0,0,SUM($J$20:J220))</f>
        <v>358103.94235997827</v>
      </c>
      <c r="W220" s="349">
        <f t="shared" si="79"/>
        <v>17949.570867146947</v>
      </c>
      <c r="X220" s="41">
        <f t="shared" si="80"/>
        <v>1.0527688966288216</v>
      </c>
      <c r="Y220" s="17"/>
      <c r="Z220" s="23">
        <f t="shared" si="84"/>
        <v>45492</v>
      </c>
      <c r="AA220" s="22">
        <f t="shared" si="84"/>
        <v>45492</v>
      </c>
      <c r="AB220" s="137">
        <v>45492</v>
      </c>
      <c r="AC220" s="137"/>
      <c r="AD220" s="134"/>
      <c r="AE220" s="134"/>
      <c r="AF220" s="139"/>
      <c r="AG220" s="256"/>
      <c r="AH220" s="256"/>
      <c r="AI220" s="256"/>
      <c r="AJ220" s="256"/>
      <c r="AK220" s="134"/>
      <c r="AL220" s="134"/>
      <c r="AM220" s="134"/>
      <c r="AN220" s="18"/>
      <c r="AO220" s="18"/>
      <c r="AP220" s="18"/>
      <c r="AQ220" s="18"/>
      <c r="AR220" s="17"/>
      <c r="AS220" s="21">
        <f t="shared" si="85"/>
        <v>45492</v>
      </c>
      <c r="AT220" s="17"/>
      <c r="AU220" s="17"/>
      <c r="AV220" s="17"/>
      <c r="AW220" s="17"/>
      <c r="AX220" s="17"/>
      <c r="AY220" s="17"/>
      <c r="AZ220" s="17"/>
    </row>
    <row r="221" spans="1:52" ht="20">
      <c r="A221" s="17"/>
      <c r="B221" s="40"/>
      <c r="C221" s="55">
        <f t="shared" si="81"/>
        <v>202</v>
      </c>
      <c r="D221" s="54">
        <v>1</v>
      </c>
      <c r="E221" s="53" t="str">
        <f t="shared" si="74"/>
        <v>7</v>
      </c>
      <c r="F221" s="52">
        <f t="shared" si="82"/>
        <v>45493</v>
      </c>
      <c r="G221" s="51" t="str">
        <f t="shared" si="83"/>
        <v>Sat</v>
      </c>
      <c r="H221" s="50"/>
      <c r="I221" s="49"/>
      <c r="J221" s="343">
        <f>106930/$B$13</f>
        <v>969.09552292912815</v>
      </c>
      <c r="K221" s="31"/>
      <c r="L221" s="317">
        <f t="shared" si="73"/>
        <v>2121.7771038620481</v>
      </c>
      <c r="M221" s="318">
        <f t="shared" si="75"/>
        <v>-1152.68158093292</v>
      </c>
      <c r="N221" s="41">
        <f t="shared" si="76"/>
        <v>0.45673766634826313</v>
      </c>
      <c r="O221" s="46"/>
      <c r="P221" s="328">
        <f>IF(D221=0,0,SUM($L$202:L221))</f>
        <v>36070.210765654818</v>
      </c>
      <c r="Q221" s="317">
        <f>IF(D221=0,0,SUM($J$202:J221))</f>
        <v>40109.570418705822</v>
      </c>
      <c r="R221" s="321">
        <f t="shared" si="77"/>
        <v>4039.359653051004</v>
      </c>
      <c r="S221" s="41">
        <f t="shared" si="78"/>
        <v>1.1119860285623056</v>
      </c>
      <c r="T221" s="44"/>
      <c r="U221" s="348">
        <f>IF(D221=0,0,SUM($L$20:L221))</f>
        <v>342276.14859669335</v>
      </c>
      <c r="V221" s="348">
        <f>IF(D221=0,0,SUM($J$20:J221))</f>
        <v>359073.03788290737</v>
      </c>
      <c r="W221" s="349">
        <f t="shared" si="79"/>
        <v>16796.88928621402</v>
      </c>
      <c r="X221" s="41">
        <f t="shared" si="80"/>
        <v>1.0490740863921719</v>
      </c>
      <c r="Y221" s="17"/>
      <c r="Z221" s="23">
        <f t="shared" si="84"/>
        <v>45493</v>
      </c>
      <c r="AA221" s="22">
        <f t="shared" si="84"/>
        <v>45493</v>
      </c>
      <c r="AB221" s="137">
        <v>45493</v>
      </c>
      <c r="AC221" s="137"/>
      <c r="AD221" s="134"/>
      <c r="AE221" s="134"/>
      <c r="AF221" s="139"/>
      <c r="AG221" s="256"/>
      <c r="AH221" s="256"/>
      <c r="AI221" s="256"/>
      <c r="AJ221" s="256"/>
      <c r="AK221" s="134"/>
      <c r="AL221" s="134"/>
      <c r="AM221" s="134"/>
      <c r="AN221" s="18"/>
      <c r="AO221" s="18"/>
      <c r="AP221" s="18"/>
      <c r="AQ221" s="18"/>
      <c r="AR221" s="17"/>
      <c r="AS221" s="21">
        <f t="shared" si="85"/>
        <v>45493</v>
      </c>
      <c r="AT221" s="17"/>
      <c r="AU221" s="17"/>
      <c r="AV221" s="17"/>
      <c r="AW221" s="17"/>
      <c r="AX221" s="17"/>
      <c r="AY221" s="17"/>
      <c r="AZ221" s="17"/>
    </row>
    <row r="222" spans="1:52" ht="20">
      <c r="A222" s="17"/>
      <c r="B222" s="40"/>
      <c r="C222" s="55">
        <f t="shared" si="81"/>
        <v>203</v>
      </c>
      <c r="D222" s="54">
        <v>0</v>
      </c>
      <c r="E222" s="53" t="str">
        <f t="shared" si="74"/>
        <v>7</v>
      </c>
      <c r="F222" s="52">
        <f t="shared" si="82"/>
        <v>45494</v>
      </c>
      <c r="G222" s="51" t="str">
        <f t="shared" si="83"/>
        <v>Sun</v>
      </c>
      <c r="H222" s="50" t="s">
        <v>46</v>
      </c>
      <c r="I222" s="49"/>
      <c r="J222" s="343"/>
      <c r="K222" s="31"/>
      <c r="L222" s="317">
        <f t="shared" si="73"/>
        <v>0</v>
      </c>
      <c r="M222" s="318">
        <f t="shared" si="75"/>
        <v>0</v>
      </c>
      <c r="N222" s="41" t="str">
        <f t="shared" si="76"/>
        <v>0%</v>
      </c>
      <c r="O222" s="46"/>
      <c r="P222" s="328">
        <f>IF(D222=0,0,SUM($L$202:L222))</f>
        <v>0</v>
      </c>
      <c r="Q222" s="317">
        <f>IF(D222=0,0,SUM($J$202:J222))</f>
        <v>0</v>
      </c>
      <c r="R222" s="321">
        <f t="shared" si="77"/>
        <v>0</v>
      </c>
      <c r="S222" s="41" t="str">
        <f t="shared" si="78"/>
        <v>0%</v>
      </c>
      <c r="T222" s="44"/>
      <c r="U222" s="348">
        <f>IF(D222=0,0,SUM($L$20:L222))</f>
        <v>0</v>
      </c>
      <c r="V222" s="348">
        <f>IF(D222=0,0,SUM($J$20:J222))</f>
        <v>0</v>
      </c>
      <c r="W222" s="349">
        <f t="shared" si="79"/>
        <v>0</v>
      </c>
      <c r="X222" s="41" t="str">
        <f t="shared" si="80"/>
        <v>0%</v>
      </c>
      <c r="Y222" s="17"/>
      <c r="Z222" s="23">
        <f t="shared" si="84"/>
        <v>45494</v>
      </c>
      <c r="AA222" s="22">
        <f t="shared" si="84"/>
        <v>45494</v>
      </c>
      <c r="AB222" s="137">
        <v>45494</v>
      </c>
      <c r="AC222" s="137"/>
      <c r="AD222" s="134"/>
      <c r="AE222" s="134"/>
      <c r="AF222" s="139"/>
      <c r="AG222" s="256"/>
      <c r="AH222" s="256"/>
      <c r="AI222" s="256"/>
      <c r="AJ222" s="256"/>
      <c r="AK222" s="134"/>
      <c r="AL222" s="134"/>
      <c r="AM222" s="134"/>
      <c r="AN222" s="18"/>
      <c r="AO222" s="18"/>
      <c r="AP222" s="18"/>
      <c r="AQ222" s="18"/>
      <c r="AR222" s="17"/>
      <c r="AS222" s="21">
        <f t="shared" si="85"/>
        <v>45494</v>
      </c>
      <c r="AT222" s="17"/>
      <c r="AU222" s="17"/>
      <c r="AV222" s="17"/>
      <c r="AW222" s="17"/>
      <c r="AX222" s="17"/>
      <c r="AY222" s="17"/>
      <c r="AZ222" s="17"/>
    </row>
    <row r="223" spans="1:52" ht="20">
      <c r="A223" s="17"/>
      <c r="B223" s="40"/>
      <c r="C223" s="55">
        <f t="shared" si="81"/>
        <v>204</v>
      </c>
      <c r="D223" s="54">
        <v>1</v>
      </c>
      <c r="E223" s="53" t="str">
        <f t="shared" si="74"/>
        <v>7</v>
      </c>
      <c r="F223" s="52">
        <f t="shared" si="82"/>
        <v>45495</v>
      </c>
      <c r="G223" s="51" t="str">
        <f t="shared" si="83"/>
        <v>Mon</v>
      </c>
      <c r="H223" s="50"/>
      <c r="I223" s="49"/>
      <c r="J223" s="343">
        <f>152170/$B$13</f>
        <v>1379.1009606670291</v>
      </c>
      <c r="K223" s="31"/>
      <c r="L223" s="317">
        <f t="shared" si="73"/>
        <v>2121.7771038620481</v>
      </c>
      <c r="M223" s="318">
        <f t="shared" si="75"/>
        <v>-742.67614319501899</v>
      </c>
      <c r="N223" s="41">
        <f t="shared" si="76"/>
        <v>0.64997447571509581</v>
      </c>
      <c r="O223" s="46"/>
      <c r="P223" s="328">
        <f>IF(D223=0,0,SUM($L$202:L223))</f>
        <v>38191.987869516866</v>
      </c>
      <c r="Q223" s="317">
        <f>IF(D223=0,0,SUM($J$202:J223))</f>
        <v>41488.671379372849</v>
      </c>
      <c r="R223" s="321">
        <f t="shared" si="77"/>
        <v>3296.6835098559823</v>
      </c>
      <c r="S223" s="41">
        <f t="shared" si="78"/>
        <v>1.086318720070794</v>
      </c>
      <c r="T223" s="56"/>
      <c r="U223" s="348">
        <f>IF(D223=0,0,SUM($L$20:L223))</f>
        <v>344397.92570055538</v>
      </c>
      <c r="V223" s="348">
        <f>IF(D223=0,0,SUM($J$20:J223))</f>
        <v>360452.13884357439</v>
      </c>
      <c r="W223" s="349">
        <f t="shared" si="79"/>
        <v>16054.213143019006</v>
      </c>
      <c r="X223" s="41">
        <f t="shared" si="80"/>
        <v>1.0466153015014896</v>
      </c>
      <c r="Y223" s="17"/>
      <c r="Z223" s="23">
        <f t="shared" si="84"/>
        <v>45495</v>
      </c>
      <c r="AA223" s="22">
        <f t="shared" si="84"/>
        <v>45495</v>
      </c>
      <c r="AB223" s="137">
        <v>45495</v>
      </c>
      <c r="AC223" s="137"/>
      <c r="AD223" s="134"/>
      <c r="AE223" s="134"/>
      <c r="AF223" s="139"/>
      <c r="AG223" s="256"/>
      <c r="AH223" s="256"/>
      <c r="AI223" s="256"/>
      <c r="AJ223" s="256"/>
      <c r="AK223" s="134"/>
      <c r="AL223" s="134"/>
      <c r="AM223" s="134"/>
      <c r="AN223" s="18"/>
      <c r="AO223" s="18"/>
      <c r="AP223" s="18"/>
      <c r="AQ223" s="18"/>
      <c r="AR223" s="17"/>
      <c r="AS223" s="21">
        <f t="shared" si="85"/>
        <v>45495</v>
      </c>
      <c r="AT223" s="17"/>
      <c r="AU223" s="17"/>
      <c r="AV223" s="17"/>
      <c r="AW223" s="17"/>
      <c r="AX223" s="17"/>
      <c r="AY223" s="17"/>
      <c r="AZ223" s="17"/>
    </row>
    <row r="224" spans="1:52" ht="20">
      <c r="A224" s="17"/>
      <c r="B224" s="40"/>
      <c r="C224" s="55">
        <f t="shared" si="81"/>
        <v>205</v>
      </c>
      <c r="D224" s="54">
        <v>1</v>
      </c>
      <c r="E224" s="53" t="str">
        <f t="shared" si="74"/>
        <v>7</v>
      </c>
      <c r="F224" s="52">
        <f t="shared" si="82"/>
        <v>45496</v>
      </c>
      <c r="G224" s="51" t="str">
        <f t="shared" si="83"/>
        <v>Tue</v>
      </c>
      <c r="H224" s="50"/>
      <c r="I224" s="49"/>
      <c r="J224" s="343">
        <f>178230/$B$13</f>
        <v>1615.2800435019033</v>
      </c>
      <c r="K224" s="31"/>
      <c r="L224" s="317">
        <f t="shared" si="73"/>
        <v>2121.7771038620481</v>
      </c>
      <c r="M224" s="318">
        <f t="shared" si="75"/>
        <v>-506.49706036014481</v>
      </c>
      <c r="N224" s="41">
        <f t="shared" si="76"/>
        <v>0.76128639552278066</v>
      </c>
      <c r="O224" s="46"/>
      <c r="P224" s="328">
        <f>IF(D224=0,0,SUM($L$202:L224))</f>
        <v>40313.764973378915</v>
      </c>
      <c r="Q224" s="317">
        <f>IF(D224=0,0,SUM($J$202:J224))</f>
        <v>43103.95142287475</v>
      </c>
      <c r="R224" s="321">
        <f t="shared" si="77"/>
        <v>2790.1864494958354</v>
      </c>
      <c r="S224" s="41">
        <f t="shared" si="78"/>
        <v>1.0692117556208984</v>
      </c>
      <c r="T224" s="56"/>
      <c r="U224" s="348">
        <f>IF(D224=0,0,SUM($L$20:L224))</f>
        <v>346519.70280441741</v>
      </c>
      <c r="V224" s="348">
        <f>IF(D224=0,0,SUM($J$20:J224))</f>
        <v>362067.41888707632</v>
      </c>
      <c r="W224" s="349">
        <f t="shared" si="79"/>
        <v>15547.71608265891</v>
      </c>
      <c r="X224" s="41">
        <f t="shared" si="80"/>
        <v>1.0448682021738729</v>
      </c>
      <c r="Y224" s="17"/>
      <c r="Z224" s="23">
        <f t="shared" si="84"/>
        <v>45496</v>
      </c>
      <c r="AA224" s="22">
        <f t="shared" si="84"/>
        <v>45496</v>
      </c>
      <c r="AB224" s="137">
        <v>45496</v>
      </c>
      <c r="AC224" s="137"/>
      <c r="AD224" s="134"/>
      <c r="AE224" s="134"/>
      <c r="AF224" s="139"/>
      <c r="AG224" s="256"/>
      <c r="AH224" s="256"/>
      <c r="AI224" s="256"/>
      <c r="AJ224" s="256"/>
      <c r="AK224" s="134"/>
      <c r="AL224" s="134"/>
      <c r="AM224" s="134"/>
      <c r="AN224" s="18"/>
      <c r="AO224" s="18"/>
      <c r="AP224" s="18"/>
      <c r="AQ224" s="18"/>
      <c r="AR224" s="17"/>
      <c r="AS224" s="21">
        <f t="shared" si="85"/>
        <v>45496</v>
      </c>
      <c r="AT224" s="17"/>
      <c r="AU224" s="17"/>
      <c r="AV224" s="17"/>
      <c r="AW224" s="17"/>
      <c r="AX224" s="17"/>
      <c r="AY224" s="17"/>
      <c r="AZ224" s="17"/>
    </row>
    <row r="225" spans="1:52" ht="20">
      <c r="A225" s="17"/>
      <c r="B225" s="40"/>
      <c r="C225" s="55">
        <f t="shared" si="81"/>
        <v>206</v>
      </c>
      <c r="D225" s="54">
        <v>1</v>
      </c>
      <c r="E225" s="53" t="str">
        <f t="shared" si="74"/>
        <v>7</v>
      </c>
      <c r="F225" s="52">
        <f t="shared" si="82"/>
        <v>45497</v>
      </c>
      <c r="G225" s="51" t="str">
        <f t="shared" si="83"/>
        <v>Wed</v>
      </c>
      <c r="H225" s="50"/>
      <c r="I225" s="49"/>
      <c r="J225" s="343">
        <f>216010/$B$13</f>
        <v>1957.6762733369585</v>
      </c>
      <c r="K225" s="31"/>
      <c r="L225" s="317">
        <f t="shared" si="73"/>
        <v>2121.7771038620481</v>
      </c>
      <c r="M225" s="318">
        <f t="shared" si="75"/>
        <v>-164.10083052508958</v>
      </c>
      <c r="N225" s="41">
        <f t="shared" si="76"/>
        <v>0.92265877964919407</v>
      </c>
      <c r="O225" s="46"/>
      <c r="P225" s="328">
        <f>IF(D225=0,0,SUM($L$202:L225))</f>
        <v>42435.542077240963</v>
      </c>
      <c r="Q225" s="317">
        <f>IF(D225=0,0,SUM($J$202:J225))</f>
        <v>45061.627696211712</v>
      </c>
      <c r="R225" s="321">
        <f t="shared" si="77"/>
        <v>2626.0856189707483</v>
      </c>
      <c r="S225" s="41">
        <f t="shared" si="78"/>
        <v>1.0618841068223133</v>
      </c>
      <c r="T225" s="56"/>
      <c r="U225" s="348">
        <f>IF(D225=0,0,SUM($L$20:L225))</f>
        <v>348641.47990827943</v>
      </c>
      <c r="V225" s="348">
        <f>IF(D225=0,0,SUM($J$20:J225))</f>
        <v>364025.0951604133</v>
      </c>
      <c r="W225" s="349">
        <f t="shared" si="79"/>
        <v>15383.615252133866</v>
      </c>
      <c r="X225" s="41">
        <f t="shared" si="80"/>
        <v>1.0441244548875279</v>
      </c>
      <c r="Y225" s="17"/>
      <c r="Z225" s="23">
        <f t="shared" si="84"/>
        <v>45497</v>
      </c>
      <c r="AA225" s="22">
        <f t="shared" si="84"/>
        <v>45497</v>
      </c>
      <c r="AB225" s="137">
        <v>45497</v>
      </c>
      <c r="AC225" s="137"/>
      <c r="AD225" s="134"/>
      <c r="AE225" s="134"/>
      <c r="AF225" s="139"/>
      <c r="AG225" s="256"/>
      <c r="AH225" s="256"/>
      <c r="AI225" s="256"/>
      <c r="AJ225" s="256"/>
      <c r="AK225" s="134"/>
      <c r="AL225" s="134"/>
      <c r="AM225" s="134"/>
      <c r="AN225" s="18"/>
      <c r="AO225" s="18"/>
      <c r="AP225" s="18"/>
      <c r="AQ225" s="18"/>
      <c r="AR225" s="17"/>
      <c r="AS225" s="21">
        <f t="shared" si="85"/>
        <v>45497</v>
      </c>
      <c r="AT225" s="17"/>
      <c r="AU225" s="17"/>
      <c r="AV225" s="17"/>
      <c r="AW225" s="17"/>
      <c r="AX225" s="17"/>
      <c r="AY225" s="17"/>
      <c r="AZ225" s="17"/>
    </row>
    <row r="226" spans="1:52" ht="20">
      <c r="A226" s="17"/>
      <c r="B226" s="40"/>
      <c r="C226" s="55">
        <f t="shared" si="81"/>
        <v>207</v>
      </c>
      <c r="D226" s="54">
        <v>1</v>
      </c>
      <c r="E226" s="53" t="str">
        <f t="shared" si="74"/>
        <v>7</v>
      </c>
      <c r="F226" s="52">
        <f t="shared" si="82"/>
        <v>45498</v>
      </c>
      <c r="G226" s="51" t="str">
        <f t="shared" si="83"/>
        <v>Thu</v>
      </c>
      <c r="H226" s="50"/>
      <c r="I226" s="49"/>
      <c r="J226" s="343">
        <f>179230/$B$13</f>
        <v>1624.342940003625</v>
      </c>
      <c r="K226" s="31"/>
      <c r="L226" s="317">
        <f t="shared" si="73"/>
        <v>2121.7771038620481</v>
      </c>
      <c r="M226" s="318">
        <f t="shared" si="75"/>
        <v>-497.43416385842306</v>
      </c>
      <c r="N226" s="41">
        <f t="shared" si="76"/>
        <v>0.76555776619844007</v>
      </c>
      <c r="O226" s="46"/>
      <c r="P226" s="328">
        <f>IF(D226=0,0,SUM($L$202:L226))</f>
        <v>44557.319181103012</v>
      </c>
      <c r="Q226" s="317">
        <f>IF(D226=0,0,SUM($J$202:J226))</f>
        <v>46685.970636215337</v>
      </c>
      <c r="R226" s="321">
        <f t="shared" si="77"/>
        <v>2128.6514551123255</v>
      </c>
      <c r="S226" s="41">
        <f t="shared" si="78"/>
        <v>1.0477733286973669</v>
      </c>
      <c r="T226" s="56"/>
      <c r="U226" s="348">
        <f>IF(D226=0,0,SUM($L$20:L226))</f>
        <v>350763.25701214146</v>
      </c>
      <c r="V226" s="348">
        <f>IF(D226=0,0,SUM($J$20:J226))</f>
        <v>365649.43810041691</v>
      </c>
      <c r="W226" s="349">
        <f t="shared" si="79"/>
        <v>14886.181088275451</v>
      </c>
      <c r="X226" s="41">
        <f t="shared" si="80"/>
        <v>1.0424393969171069</v>
      </c>
      <c r="Y226" s="17"/>
      <c r="Z226" s="23">
        <f t="shared" si="84"/>
        <v>45498</v>
      </c>
      <c r="AA226" s="22">
        <f t="shared" si="84"/>
        <v>45498</v>
      </c>
      <c r="AB226" s="137">
        <v>45498</v>
      </c>
      <c r="AC226" s="137"/>
      <c r="AD226" s="134"/>
      <c r="AE226" s="134"/>
      <c r="AF226" s="139"/>
      <c r="AG226" s="256"/>
      <c r="AH226" s="256"/>
      <c r="AI226" s="256"/>
      <c r="AJ226" s="256"/>
      <c r="AK226" s="134"/>
      <c r="AL226" s="134"/>
      <c r="AM226" s="134"/>
      <c r="AN226" s="18"/>
      <c r="AO226" s="18"/>
      <c r="AP226" s="18"/>
      <c r="AQ226" s="18"/>
      <c r="AR226" s="17"/>
      <c r="AS226" s="21">
        <f t="shared" si="85"/>
        <v>45498</v>
      </c>
      <c r="AT226" s="17"/>
      <c r="AU226" s="17"/>
      <c r="AV226" s="17"/>
      <c r="AW226" s="17"/>
      <c r="AX226" s="17"/>
      <c r="AY226" s="17"/>
      <c r="AZ226" s="17"/>
    </row>
    <row r="227" spans="1:52" ht="20">
      <c r="A227" s="17"/>
      <c r="B227" s="40"/>
      <c r="C227" s="55">
        <f t="shared" si="81"/>
        <v>208</v>
      </c>
      <c r="D227" s="54">
        <v>1</v>
      </c>
      <c r="E227" s="53" t="str">
        <f t="shared" si="74"/>
        <v>7</v>
      </c>
      <c r="F227" s="52">
        <f t="shared" si="82"/>
        <v>45499</v>
      </c>
      <c r="G227" s="51" t="str">
        <f t="shared" si="83"/>
        <v>Fri</v>
      </c>
      <c r="H227" s="50"/>
      <c r="I227" s="49"/>
      <c r="J227" s="343">
        <f>327300/$B$13</f>
        <v>2966.2860250135941</v>
      </c>
      <c r="K227" s="31"/>
      <c r="L227" s="317">
        <f t="shared" si="73"/>
        <v>2121.7771038620481</v>
      </c>
      <c r="M227" s="318">
        <f t="shared" si="75"/>
        <v>844.50892115154602</v>
      </c>
      <c r="N227" s="41">
        <f t="shared" si="76"/>
        <v>1.3980196221433321</v>
      </c>
      <c r="O227" s="46"/>
      <c r="P227" s="328">
        <f>IF(D227=0,0,SUM($L$202:L227))</f>
        <v>46679.09628496506</v>
      </c>
      <c r="Q227" s="317">
        <f>IF(D227=0,0,SUM($J$202:J227))</f>
        <v>49652.25666122893</v>
      </c>
      <c r="R227" s="321">
        <f t="shared" si="77"/>
        <v>2973.1603762638697</v>
      </c>
      <c r="S227" s="41">
        <f t="shared" si="78"/>
        <v>1.0636936147630927</v>
      </c>
      <c r="T227" s="56"/>
      <c r="U227" s="348">
        <f>IF(D227=0,0,SUM($L$20:L227))</f>
        <v>352885.03411600349</v>
      </c>
      <c r="V227" s="348">
        <f>IF(D227=0,0,SUM($J$20:J227))</f>
        <v>368615.72412543051</v>
      </c>
      <c r="W227" s="349">
        <f t="shared" si="79"/>
        <v>15730.690009427024</v>
      </c>
      <c r="X227" s="41">
        <f t="shared" si="80"/>
        <v>1.0445773792839734</v>
      </c>
      <c r="Y227" s="17"/>
      <c r="Z227" s="23">
        <f t="shared" si="84"/>
        <v>45499</v>
      </c>
      <c r="AA227" s="22">
        <f t="shared" si="84"/>
        <v>45499</v>
      </c>
      <c r="AB227" s="137">
        <v>45499</v>
      </c>
      <c r="AC227" s="137"/>
      <c r="AD227" s="134"/>
      <c r="AE227" s="134"/>
      <c r="AF227" s="139"/>
      <c r="AG227" s="256"/>
      <c r="AH227" s="256"/>
      <c r="AI227" s="256"/>
      <c r="AJ227" s="256"/>
      <c r="AK227" s="134"/>
      <c r="AL227" s="134"/>
      <c r="AM227" s="134"/>
      <c r="AN227" s="18"/>
      <c r="AO227" s="18"/>
      <c r="AP227" s="18"/>
      <c r="AQ227" s="18"/>
      <c r="AR227" s="17"/>
      <c r="AS227" s="21">
        <f t="shared" si="85"/>
        <v>45499</v>
      </c>
      <c r="AT227" s="17"/>
      <c r="AU227" s="17"/>
      <c r="AV227" s="17"/>
      <c r="AW227" s="17"/>
      <c r="AX227" s="17"/>
      <c r="AY227" s="17"/>
      <c r="AZ227" s="17"/>
    </row>
    <row r="228" spans="1:52" ht="20">
      <c r="A228" s="17"/>
      <c r="B228" s="40"/>
      <c r="C228" s="55">
        <f t="shared" si="81"/>
        <v>209</v>
      </c>
      <c r="D228" s="54">
        <v>1</v>
      </c>
      <c r="E228" s="53" t="str">
        <f t="shared" si="74"/>
        <v>7</v>
      </c>
      <c r="F228" s="52">
        <f t="shared" si="82"/>
        <v>45500</v>
      </c>
      <c r="G228" s="51" t="str">
        <f t="shared" si="83"/>
        <v>Sat</v>
      </c>
      <c r="H228" s="50"/>
      <c r="I228" s="49"/>
      <c r="J228" s="343">
        <f>110165/$B$13</f>
        <v>998.41399311219868</v>
      </c>
      <c r="K228" s="31"/>
      <c r="L228" s="317">
        <f t="shared" si="73"/>
        <v>2121.7771038620481</v>
      </c>
      <c r="M228" s="318">
        <f t="shared" si="75"/>
        <v>-1123.3631107498495</v>
      </c>
      <c r="N228" s="41">
        <f t="shared" si="76"/>
        <v>0.47055555048402142</v>
      </c>
      <c r="O228" s="46"/>
      <c r="P228" s="328">
        <f>IF(D228=0,0,SUM($L$202:L228))</f>
        <v>48800.873388827109</v>
      </c>
      <c r="Q228" s="317">
        <f>IF(D228=0,0,SUM($J$202:J228))</f>
        <v>50650.670654341127</v>
      </c>
      <c r="R228" s="321">
        <f t="shared" si="77"/>
        <v>1849.7972655140184</v>
      </c>
      <c r="S228" s="41">
        <f t="shared" si="78"/>
        <v>1.0379050032726982</v>
      </c>
      <c r="T228" s="44"/>
      <c r="U228" s="348">
        <f>IF(D228=0,0,SUM($L$20:L228))</f>
        <v>355006.81121986551</v>
      </c>
      <c r="V228" s="348">
        <f>IF(D228=0,0,SUM($J$20:J228))</f>
        <v>369614.13811854273</v>
      </c>
      <c r="W228" s="349">
        <f t="shared" si="79"/>
        <v>14607.326898677216</v>
      </c>
      <c r="X228" s="41">
        <f t="shared" si="80"/>
        <v>1.0411466102537128</v>
      </c>
      <c r="Y228" s="17"/>
      <c r="Z228" s="23">
        <f t="shared" si="84"/>
        <v>45500</v>
      </c>
      <c r="AA228" s="22">
        <f t="shared" si="84"/>
        <v>45500</v>
      </c>
      <c r="AB228" s="137">
        <v>45500</v>
      </c>
      <c r="AC228" s="137"/>
      <c r="AD228" s="134"/>
      <c r="AE228" s="134"/>
      <c r="AF228" s="139"/>
      <c r="AG228" s="256"/>
      <c r="AH228" s="256"/>
      <c r="AI228" s="256"/>
      <c r="AJ228" s="256"/>
      <c r="AK228" s="134"/>
      <c r="AL228" s="134"/>
      <c r="AM228" s="134"/>
      <c r="AN228" s="18"/>
      <c r="AO228" s="18"/>
      <c r="AP228" s="18"/>
      <c r="AQ228" s="18"/>
      <c r="AR228" s="17"/>
      <c r="AS228" s="21">
        <f t="shared" si="85"/>
        <v>45500</v>
      </c>
      <c r="AT228" s="17"/>
      <c r="AU228" s="17"/>
      <c r="AV228" s="17"/>
      <c r="AW228" s="17"/>
      <c r="AX228" s="17"/>
      <c r="AY228" s="17"/>
      <c r="AZ228" s="17"/>
    </row>
    <row r="229" spans="1:52" ht="20">
      <c r="A229" s="17"/>
      <c r="B229" s="40"/>
      <c r="C229" s="55">
        <f t="shared" si="81"/>
        <v>210</v>
      </c>
      <c r="D229" s="54">
        <v>0</v>
      </c>
      <c r="E229" s="53" t="str">
        <f t="shared" si="74"/>
        <v>7</v>
      </c>
      <c r="F229" s="52">
        <f t="shared" si="82"/>
        <v>45501</v>
      </c>
      <c r="G229" s="51" t="str">
        <f t="shared" si="83"/>
        <v>Sun</v>
      </c>
      <c r="H229" s="50" t="s">
        <v>46</v>
      </c>
      <c r="I229" s="49"/>
      <c r="J229" s="343"/>
      <c r="K229" s="31"/>
      <c r="L229" s="317">
        <f t="shared" si="73"/>
        <v>0</v>
      </c>
      <c r="M229" s="318">
        <f t="shared" si="75"/>
        <v>0</v>
      </c>
      <c r="N229" s="41" t="str">
        <f t="shared" si="76"/>
        <v>0%</v>
      </c>
      <c r="O229" s="46"/>
      <c r="P229" s="328">
        <f>IF(D229=0,0,SUM($L$202:L229))</f>
        <v>0</v>
      </c>
      <c r="Q229" s="317">
        <f>IF(D229=0,0,SUM($J$202:J229))</f>
        <v>0</v>
      </c>
      <c r="R229" s="321">
        <f t="shared" si="77"/>
        <v>0</v>
      </c>
      <c r="S229" s="41" t="str">
        <f t="shared" si="78"/>
        <v>0%</v>
      </c>
      <c r="T229" s="56"/>
      <c r="U229" s="348">
        <f>IF(D229=0,0,SUM($L$20:L229))</f>
        <v>0</v>
      </c>
      <c r="V229" s="348">
        <f>IF(D229=0,0,SUM($J$20:J229))</f>
        <v>0</v>
      </c>
      <c r="W229" s="349">
        <f t="shared" si="79"/>
        <v>0</v>
      </c>
      <c r="X229" s="41" t="str">
        <f t="shared" si="80"/>
        <v>0%</v>
      </c>
      <c r="Y229" s="17"/>
      <c r="Z229" s="23">
        <f t="shared" ref="Z229:AA244" si="86">Z228+1</f>
        <v>45501</v>
      </c>
      <c r="AA229" s="22">
        <f t="shared" si="86"/>
        <v>45501</v>
      </c>
      <c r="AB229" s="137">
        <v>45501</v>
      </c>
      <c r="AC229" s="137"/>
      <c r="AD229" s="134"/>
      <c r="AE229" s="134"/>
      <c r="AF229" s="139"/>
      <c r="AG229" s="256"/>
      <c r="AH229" s="256"/>
      <c r="AI229" s="256"/>
      <c r="AJ229" s="256"/>
      <c r="AK229" s="134"/>
      <c r="AL229" s="134"/>
      <c r="AM229" s="134"/>
      <c r="AN229" s="18"/>
      <c r="AO229" s="18"/>
      <c r="AP229" s="18"/>
      <c r="AQ229" s="18"/>
      <c r="AR229" s="17"/>
      <c r="AS229" s="21">
        <f t="shared" si="85"/>
        <v>45501</v>
      </c>
      <c r="AT229" s="17"/>
      <c r="AU229" s="17"/>
      <c r="AV229" s="17"/>
      <c r="AW229" s="17"/>
      <c r="AX229" s="17"/>
      <c r="AY229" s="17"/>
      <c r="AZ229" s="17"/>
    </row>
    <row r="230" spans="1:52" ht="20">
      <c r="A230" s="17"/>
      <c r="B230" s="40"/>
      <c r="C230" s="55">
        <f t="shared" si="81"/>
        <v>211</v>
      </c>
      <c r="D230" s="54">
        <v>1</v>
      </c>
      <c r="E230" s="53" t="str">
        <f t="shared" si="74"/>
        <v>7</v>
      </c>
      <c r="F230" s="52">
        <f t="shared" si="82"/>
        <v>45502</v>
      </c>
      <c r="G230" s="51" t="str">
        <f t="shared" si="83"/>
        <v>Mon</v>
      </c>
      <c r="H230" s="50"/>
      <c r="I230" s="49"/>
      <c r="J230" s="343">
        <f>342250/$B$13</f>
        <v>3101.7763277143372</v>
      </c>
      <c r="K230" s="31"/>
      <c r="L230" s="317">
        <f t="shared" si="73"/>
        <v>2121.7771038620481</v>
      </c>
      <c r="M230" s="318">
        <f t="shared" si="75"/>
        <v>979.99922385228911</v>
      </c>
      <c r="N230" s="41">
        <f t="shared" si="76"/>
        <v>1.4618766137444406</v>
      </c>
      <c r="O230" s="46"/>
      <c r="P230" s="328">
        <f>IF(D230=0,0,SUM($L$202:L230))</f>
        <v>50922.650492689158</v>
      </c>
      <c r="Q230" s="317">
        <f>IF(D230=0,0,SUM($J$202:J230))</f>
        <v>53752.446982055466</v>
      </c>
      <c r="R230" s="321">
        <f t="shared" si="77"/>
        <v>2829.7964893663084</v>
      </c>
      <c r="S230" s="41">
        <f t="shared" si="78"/>
        <v>1.0555704870423541</v>
      </c>
      <c r="T230" s="56"/>
      <c r="U230" s="348">
        <f>IF(D230=0,0,SUM($L$20:L230))</f>
        <v>357128.58832372754</v>
      </c>
      <c r="V230" s="348">
        <f>IF(D230=0,0,SUM($J$20:J230))</f>
        <v>372715.91444625705</v>
      </c>
      <c r="W230" s="349">
        <f t="shared" si="79"/>
        <v>15587.326122529514</v>
      </c>
      <c r="X230" s="41">
        <f t="shared" si="80"/>
        <v>1.0436462569286109</v>
      </c>
      <c r="Y230" s="17"/>
      <c r="Z230" s="23">
        <f t="shared" si="86"/>
        <v>45502</v>
      </c>
      <c r="AA230" s="22">
        <f t="shared" si="86"/>
        <v>45502</v>
      </c>
      <c r="AB230" s="137">
        <v>45502</v>
      </c>
      <c r="AC230" s="137"/>
      <c r="AD230" s="134"/>
      <c r="AE230" s="134"/>
      <c r="AF230" s="139"/>
      <c r="AG230" s="256"/>
      <c r="AH230" s="256"/>
      <c r="AI230" s="256"/>
      <c r="AJ230" s="256"/>
      <c r="AK230" s="134"/>
      <c r="AL230" s="134"/>
      <c r="AM230" s="134"/>
      <c r="AN230" s="18"/>
      <c r="AO230" s="18"/>
      <c r="AP230" s="18"/>
      <c r="AQ230" s="18"/>
      <c r="AR230" s="17"/>
      <c r="AS230" s="21">
        <f t="shared" si="85"/>
        <v>45502</v>
      </c>
      <c r="AT230" s="17"/>
      <c r="AU230" s="17"/>
      <c r="AV230" s="17"/>
      <c r="AW230" s="17"/>
      <c r="AX230" s="17"/>
      <c r="AY230" s="17"/>
      <c r="AZ230" s="17"/>
    </row>
    <row r="231" spans="1:52" ht="20">
      <c r="A231" s="17"/>
      <c r="B231" s="40"/>
      <c r="C231" s="55">
        <f t="shared" si="81"/>
        <v>212</v>
      </c>
      <c r="D231" s="54">
        <v>1</v>
      </c>
      <c r="E231" s="53" t="str">
        <f t="shared" si="74"/>
        <v>7</v>
      </c>
      <c r="F231" s="52">
        <f t="shared" si="82"/>
        <v>45503</v>
      </c>
      <c r="G231" s="51" t="str">
        <f t="shared" si="83"/>
        <v>Tue</v>
      </c>
      <c r="H231" s="50"/>
      <c r="I231" s="49"/>
      <c r="J231" s="343">
        <f>185890/$B$13</f>
        <v>1684.7018307050932</v>
      </c>
      <c r="K231" s="31"/>
      <c r="L231" s="317">
        <f t="shared" si="73"/>
        <v>2121.7771038620481</v>
      </c>
      <c r="M231" s="318">
        <f t="shared" si="75"/>
        <v>-437.07527315695484</v>
      </c>
      <c r="N231" s="41">
        <f t="shared" si="76"/>
        <v>0.79400509489833182</v>
      </c>
      <c r="O231" s="46"/>
      <c r="P231" s="328">
        <f>IF(D231=0,0,SUM($L$202:L231))</f>
        <v>53044.427596551206</v>
      </c>
      <c r="Q231" s="317">
        <f>IF(D231=0,0,SUM($J$202:J231))</f>
        <v>55437.148812760563</v>
      </c>
      <c r="R231" s="321">
        <f t="shared" si="77"/>
        <v>2392.7212162093565</v>
      </c>
      <c r="S231" s="41">
        <f t="shared" si="78"/>
        <v>1.0451078713565933</v>
      </c>
      <c r="T231" s="56"/>
      <c r="U231" s="348">
        <f>IF(D231=0,0,SUM($L$20:L231))</f>
        <v>359250.36542758957</v>
      </c>
      <c r="V231" s="348">
        <f>IF(D231=0,0,SUM($J$20:J231))</f>
        <v>374400.61627696216</v>
      </c>
      <c r="W231" s="349">
        <f t="shared" si="79"/>
        <v>15150.250849372591</v>
      </c>
      <c r="X231" s="41">
        <f t="shared" si="80"/>
        <v>1.0421718453406175</v>
      </c>
      <c r="Y231" s="17"/>
      <c r="Z231" s="23">
        <f t="shared" si="86"/>
        <v>45503</v>
      </c>
      <c r="AA231" s="22">
        <f t="shared" si="86"/>
        <v>45503</v>
      </c>
      <c r="AB231" s="137">
        <v>45503</v>
      </c>
      <c r="AC231" s="137"/>
      <c r="AD231" s="134"/>
      <c r="AE231" s="134"/>
      <c r="AF231" s="139"/>
      <c r="AG231" s="256"/>
      <c r="AH231" s="256"/>
      <c r="AI231" s="256"/>
      <c r="AJ231" s="256"/>
      <c r="AK231" s="134"/>
      <c r="AL231" s="134"/>
      <c r="AM231" s="134"/>
      <c r="AN231" s="18"/>
      <c r="AO231" s="18"/>
      <c r="AP231" s="18"/>
      <c r="AQ231" s="18"/>
      <c r="AR231" s="17"/>
      <c r="AS231" s="21">
        <f t="shared" si="85"/>
        <v>45503</v>
      </c>
      <c r="AT231" s="17"/>
      <c r="AU231" s="17"/>
      <c r="AV231" s="17"/>
      <c r="AW231" s="17"/>
      <c r="AX231" s="17"/>
      <c r="AY231" s="17"/>
      <c r="AZ231" s="17"/>
    </row>
    <row r="232" spans="1:52" ht="21" thickBot="1">
      <c r="A232" s="17"/>
      <c r="B232" s="40"/>
      <c r="C232" s="39">
        <f t="shared" si="81"/>
        <v>213</v>
      </c>
      <c r="D232" s="38">
        <v>1</v>
      </c>
      <c r="E232" s="37" t="str">
        <f t="shared" si="74"/>
        <v>7</v>
      </c>
      <c r="F232" s="36">
        <f t="shared" si="82"/>
        <v>45504</v>
      </c>
      <c r="G232" s="35" t="str">
        <f t="shared" si="83"/>
        <v>Wed</v>
      </c>
      <c r="H232" s="34"/>
      <c r="I232" s="33"/>
      <c r="J232" s="344">
        <f>405250/$B$13</f>
        <v>3672.7388073228203</v>
      </c>
      <c r="K232" s="31"/>
      <c r="L232" s="326">
        <f t="shared" si="73"/>
        <v>2121.7771038620481</v>
      </c>
      <c r="M232" s="320">
        <f t="shared" si="75"/>
        <v>1550.9617034607722</v>
      </c>
      <c r="N232" s="24">
        <f t="shared" si="76"/>
        <v>1.730972966310985</v>
      </c>
      <c r="O232" s="29"/>
      <c r="P232" s="347">
        <f>IF(D232=0,0,SUM($L$202:L232))</f>
        <v>55166.204700413255</v>
      </c>
      <c r="Q232" s="326">
        <f>IF(D232=0,0,SUM($J$202:J232))</f>
        <v>59109.887620083384</v>
      </c>
      <c r="R232" s="327">
        <f t="shared" si="77"/>
        <v>3943.6829196701292</v>
      </c>
      <c r="S232" s="24">
        <f t="shared" si="78"/>
        <v>1.0714872980856083</v>
      </c>
      <c r="T232" s="64"/>
      <c r="U232" s="350">
        <f>IF(D232=0,0,SUM($L$20:L232))</f>
        <v>361372.14253145159</v>
      </c>
      <c r="V232" s="350">
        <f>IF(D232=0,0,SUM($J$20:J232))</f>
        <v>378073.35508428497</v>
      </c>
      <c r="W232" s="351">
        <f t="shared" si="79"/>
        <v>16701.212552833371</v>
      </c>
      <c r="X232" s="24">
        <f t="shared" si="80"/>
        <v>1.0462161040854991</v>
      </c>
      <c r="Y232" s="17"/>
      <c r="Z232" s="23">
        <f t="shared" si="86"/>
        <v>45504</v>
      </c>
      <c r="AA232" s="22">
        <f t="shared" si="86"/>
        <v>45504</v>
      </c>
      <c r="AB232" s="137">
        <v>45504</v>
      </c>
      <c r="AC232" s="137"/>
      <c r="AD232" s="134"/>
      <c r="AE232" s="134"/>
      <c r="AF232" s="139"/>
      <c r="AG232" s="256"/>
      <c r="AH232" s="256"/>
      <c r="AI232" s="256"/>
      <c r="AJ232" s="256"/>
      <c r="AK232" s="134"/>
      <c r="AL232" s="134"/>
      <c r="AM232" s="134"/>
      <c r="AN232" s="18"/>
      <c r="AO232" s="18"/>
      <c r="AP232" s="18"/>
      <c r="AQ232" s="18"/>
      <c r="AR232" s="17"/>
      <c r="AS232" s="21">
        <f t="shared" si="85"/>
        <v>45504</v>
      </c>
      <c r="AT232" s="17"/>
      <c r="AU232" s="17"/>
      <c r="AV232" s="17"/>
      <c r="AW232" s="17"/>
      <c r="AX232" s="17"/>
      <c r="AY232" s="17"/>
      <c r="AZ232" s="17"/>
    </row>
    <row r="233" spans="1:52" ht="21" thickTop="1">
      <c r="A233" s="17"/>
      <c r="B233" s="40"/>
      <c r="C233" s="55">
        <f t="shared" si="81"/>
        <v>214</v>
      </c>
      <c r="D233" s="62">
        <v>1</v>
      </c>
      <c r="E233" s="53" t="str">
        <f t="shared" si="74"/>
        <v>8</v>
      </c>
      <c r="F233" s="52">
        <f t="shared" si="82"/>
        <v>45505</v>
      </c>
      <c r="G233" s="51" t="str">
        <f t="shared" si="83"/>
        <v>Thu</v>
      </c>
      <c r="H233" s="50"/>
      <c r="I233" s="49"/>
      <c r="J233" s="343">
        <f>147760/$B$13</f>
        <v>1339.1335870944354</v>
      </c>
      <c r="K233" s="31"/>
      <c r="L233" s="317">
        <f t="shared" ref="L233:L263" si="87">IF(D233=0,0,$K$13)</f>
        <v>1786.7596664101461</v>
      </c>
      <c r="M233" s="321">
        <f t="shared" si="75"/>
        <v>-447.62607931571074</v>
      </c>
      <c r="N233" s="60">
        <f t="shared" si="76"/>
        <v>0.74947605560458219</v>
      </c>
      <c r="O233" s="46"/>
      <c r="P233" s="329">
        <f>IF(D233=0,0,$L$233)</f>
        <v>1786.7596664101461</v>
      </c>
      <c r="Q233" s="317">
        <f>IF(D233=0,0,$J$233)</f>
        <v>1339.1335870944354</v>
      </c>
      <c r="R233" s="321">
        <f t="shared" si="77"/>
        <v>-447.62607931571074</v>
      </c>
      <c r="S233" s="60">
        <f t="shared" si="78"/>
        <v>0.74947605560458219</v>
      </c>
      <c r="T233" s="56"/>
      <c r="U233" s="348">
        <f>IF(D233=0,0,SUM($L$20:L233))</f>
        <v>363158.90219786175</v>
      </c>
      <c r="V233" s="348">
        <f>IF(D233=0,0,SUM($J$20:J233))</f>
        <v>379412.4886713794</v>
      </c>
      <c r="W233" s="349">
        <f t="shared" si="79"/>
        <v>16253.586473517644</v>
      </c>
      <c r="X233" s="60">
        <f t="shared" si="80"/>
        <v>1.0447561284472164</v>
      </c>
      <c r="Y233" s="17"/>
      <c r="Z233" s="23">
        <f t="shared" si="86"/>
        <v>45505</v>
      </c>
      <c r="AA233" s="22">
        <f t="shared" si="86"/>
        <v>45505</v>
      </c>
      <c r="AB233" s="137">
        <v>45505</v>
      </c>
      <c r="AC233" s="137"/>
      <c r="AD233" s="134"/>
      <c r="AE233" s="134"/>
      <c r="AF233" s="139"/>
      <c r="AG233" s="256"/>
      <c r="AH233" s="256"/>
      <c r="AI233" s="256"/>
      <c r="AJ233" s="256"/>
      <c r="AK233" s="134"/>
      <c r="AL233" s="134"/>
      <c r="AM233" s="134"/>
      <c r="AN233" s="18"/>
      <c r="AO233" s="18"/>
      <c r="AP233" s="18"/>
      <c r="AQ233" s="18"/>
      <c r="AR233" s="17"/>
      <c r="AS233" s="21">
        <f t="shared" si="85"/>
        <v>45505</v>
      </c>
      <c r="AT233" s="17"/>
      <c r="AU233" s="17"/>
      <c r="AV233" s="17"/>
      <c r="AW233" s="17"/>
      <c r="AX233" s="17"/>
      <c r="AY233" s="17"/>
      <c r="AZ233" s="17"/>
    </row>
    <row r="234" spans="1:52" ht="20">
      <c r="A234" s="17"/>
      <c r="B234" s="40"/>
      <c r="C234" s="55">
        <f t="shared" si="81"/>
        <v>215</v>
      </c>
      <c r="D234" s="54">
        <v>1</v>
      </c>
      <c r="E234" s="53" t="str">
        <f t="shared" si="74"/>
        <v>8</v>
      </c>
      <c r="F234" s="52">
        <f t="shared" si="82"/>
        <v>45506</v>
      </c>
      <c r="G234" s="51" t="str">
        <f t="shared" si="83"/>
        <v>Fri</v>
      </c>
      <c r="H234" s="50"/>
      <c r="I234" s="49"/>
      <c r="J234" s="343">
        <f>311600/$B$13</f>
        <v>2823.9985499365598</v>
      </c>
      <c r="K234" s="31"/>
      <c r="L234" s="317">
        <f t="shared" si="87"/>
        <v>1786.7596664101461</v>
      </c>
      <c r="M234" s="318">
        <f t="shared" si="75"/>
        <v>1037.2388835264137</v>
      </c>
      <c r="N234" s="41">
        <f t="shared" si="76"/>
        <v>1.5805139342608812</v>
      </c>
      <c r="O234" s="46"/>
      <c r="P234" s="328">
        <f>IF(D234=0,0,SUM($L$233:L234))</f>
        <v>3573.5193328202922</v>
      </c>
      <c r="Q234" s="317">
        <f>IF(D234=0,0,SUM($J$233:J234))</f>
        <v>4163.1321370309952</v>
      </c>
      <c r="R234" s="321">
        <f t="shared" si="77"/>
        <v>589.61280421070296</v>
      </c>
      <c r="S234" s="41">
        <f t="shared" si="78"/>
        <v>1.1649949949327316</v>
      </c>
      <c r="T234" s="56"/>
      <c r="U234" s="348">
        <f>IF(D234=0,0,SUM($L$20:L234))</f>
        <v>364945.66186427191</v>
      </c>
      <c r="V234" s="348">
        <f>IF(D234=0,0,SUM($J$20:J234))</f>
        <v>382236.48722131597</v>
      </c>
      <c r="W234" s="349">
        <f t="shared" si="79"/>
        <v>17290.825357044057</v>
      </c>
      <c r="X234" s="41">
        <f t="shared" si="80"/>
        <v>1.0473791776800863</v>
      </c>
      <c r="Y234" s="17"/>
      <c r="Z234" s="23">
        <f t="shared" si="86"/>
        <v>45506</v>
      </c>
      <c r="AA234" s="22">
        <f t="shared" si="86"/>
        <v>45506</v>
      </c>
      <c r="AB234" s="137">
        <v>45506</v>
      </c>
      <c r="AC234" s="137"/>
      <c r="AD234" s="134"/>
      <c r="AE234" s="134"/>
      <c r="AF234" s="139"/>
      <c r="AG234" s="256"/>
      <c r="AH234" s="256"/>
      <c r="AI234" s="256"/>
      <c r="AJ234" s="256"/>
      <c r="AK234" s="134"/>
      <c r="AL234" s="134"/>
      <c r="AM234" s="134"/>
      <c r="AN234" s="18"/>
      <c r="AO234" s="18"/>
      <c r="AP234" s="18"/>
      <c r="AQ234" s="18"/>
      <c r="AR234" s="17"/>
      <c r="AS234" s="21">
        <f t="shared" si="85"/>
        <v>45506</v>
      </c>
      <c r="AT234" s="17"/>
      <c r="AU234" s="17"/>
      <c r="AV234" s="17"/>
      <c r="AW234" s="17"/>
      <c r="AX234" s="17"/>
      <c r="AY234" s="17"/>
      <c r="AZ234" s="17"/>
    </row>
    <row r="235" spans="1:52" ht="20">
      <c r="A235" s="17"/>
      <c r="B235" s="40"/>
      <c r="C235" s="55">
        <f t="shared" si="81"/>
        <v>216</v>
      </c>
      <c r="D235" s="54">
        <v>1</v>
      </c>
      <c r="E235" s="53" t="str">
        <f t="shared" si="74"/>
        <v>8</v>
      </c>
      <c r="F235" s="52">
        <f t="shared" si="82"/>
        <v>45507</v>
      </c>
      <c r="G235" s="51" t="str">
        <f t="shared" si="83"/>
        <v>Sat</v>
      </c>
      <c r="H235" s="50"/>
      <c r="I235" s="49"/>
      <c r="J235" s="343">
        <f>160520/$B$13</f>
        <v>1454.7761464564073</v>
      </c>
      <c r="K235" s="31"/>
      <c r="L235" s="317">
        <f t="shared" si="87"/>
        <v>1786.7596664101461</v>
      </c>
      <c r="M235" s="318">
        <f t="shared" si="75"/>
        <v>-331.98351995373878</v>
      </c>
      <c r="N235" s="41">
        <f t="shared" si="76"/>
        <v>0.81419799976751162</v>
      </c>
      <c r="O235" s="46"/>
      <c r="P235" s="328">
        <f>IF(D235=0,0,SUM($L$233:L235))</f>
        <v>5360.2789992304388</v>
      </c>
      <c r="Q235" s="317">
        <f>IF(D235=0,0,SUM($J$233:J235))</f>
        <v>5617.9082834874025</v>
      </c>
      <c r="R235" s="321">
        <f t="shared" si="77"/>
        <v>257.62928425696373</v>
      </c>
      <c r="S235" s="41">
        <f t="shared" si="78"/>
        <v>1.0480626632109915</v>
      </c>
      <c r="T235" s="44"/>
      <c r="U235" s="348">
        <f>IF(D235=0,0,SUM($L$20:L235))</f>
        <v>366732.42153068207</v>
      </c>
      <c r="V235" s="348">
        <f>IF(D235=0,0,SUM($J$20:J235))</f>
        <v>383691.26336777239</v>
      </c>
      <c r="W235" s="349">
        <f t="shared" si="79"/>
        <v>16958.841837090324</v>
      </c>
      <c r="X235" s="41">
        <f t="shared" si="80"/>
        <v>1.046243093987455</v>
      </c>
      <c r="Y235" s="17"/>
      <c r="Z235" s="23">
        <f t="shared" si="86"/>
        <v>45507</v>
      </c>
      <c r="AA235" s="22">
        <f t="shared" si="86"/>
        <v>45507</v>
      </c>
      <c r="AB235" s="137">
        <v>45507</v>
      </c>
      <c r="AC235" s="137"/>
      <c r="AD235" s="134"/>
      <c r="AE235" s="134"/>
      <c r="AF235" s="139"/>
      <c r="AG235" s="256"/>
      <c r="AH235" s="256"/>
      <c r="AI235" s="256"/>
      <c r="AJ235" s="256"/>
      <c r="AK235" s="134"/>
      <c r="AL235" s="134"/>
      <c r="AM235" s="134"/>
      <c r="AN235" s="18"/>
      <c r="AO235" s="18"/>
      <c r="AP235" s="18"/>
      <c r="AQ235" s="18"/>
      <c r="AR235" s="17"/>
      <c r="AS235" s="21">
        <f t="shared" si="85"/>
        <v>45507</v>
      </c>
      <c r="AT235" s="17"/>
      <c r="AU235" s="17"/>
      <c r="AV235" s="17"/>
      <c r="AW235" s="17"/>
      <c r="AX235" s="17"/>
      <c r="AY235" s="17"/>
      <c r="AZ235" s="17"/>
    </row>
    <row r="236" spans="1:52" ht="20">
      <c r="A236" s="17"/>
      <c r="B236" s="40"/>
      <c r="C236" s="55">
        <f t="shared" si="81"/>
        <v>217</v>
      </c>
      <c r="D236" s="54">
        <v>0</v>
      </c>
      <c r="E236" s="53" t="str">
        <f t="shared" si="74"/>
        <v>8</v>
      </c>
      <c r="F236" s="52">
        <f t="shared" si="82"/>
        <v>45508</v>
      </c>
      <c r="G236" s="51" t="str">
        <f t="shared" si="83"/>
        <v>Sun</v>
      </c>
      <c r="H236" s="50" t="s">
        <v>46</v>
      </c>
      <c r="I236" s="49"/>
      <c r="J236" s="343"/>
      <c r="K236" s="31"/>
      <c r="L236" s="317">
        <f t="shared" si="87"/>
        <v>0</v>
      </c>
      <c r="M236" s="318">
        <f t="shared" si="75"/>
        <v>0</v>
      </c>
      <c r="N236" s="41" t="str">
        <f t="shared" si="76"/>
        <v>0%</v>
      </c>
      <c r="O236" s="46"/>
      <c r="P236" s="328">
        <f>IF(D236=0,0,SUM($L$233:L236))</f>
        <v>0</v>
      </c>
      <c r="Q236" s="317">
        <f>IF(D236=0,0,SUM($J$233:J236))</f>
        <v>0</v>
      </c>
      <c r="R236" s="321">
        <f t="shared" si="77"/>
        <v>0</v>
      </c>
      <c r="S236" s="41" t="str">
        <f t="shared" si="78"/>
        <v>0%</v>
      </c>
      <c r="T236" s="56"/>
      <c r="U236" s="348">
        <f>IF(D236=0,0,SUM($L$20:L236))</f>
        <v>0</v>
      </c>
      <c r="V236" s="348">
        <f>IF(D236=0,0,SUM($J$20:J236))</f>
        <v>0</v>
      </c>
      <c r="W236" s="349">
        <f t="shared" si="79"/>
        <v>0</v>
      </c>
      <c r="X236" s="41" t="str">
        <f t="shared" si="80"/>
        <v>0%</v>
      </c>
      <c r="Y236" s="17"/>
      <c r="Z236" s="23">
        <f t="shared" si="86"/>
        <v>45508</v>
      </c>
      <c r="AA236" s="22">
        <f t="shared" si="86"/>
        <v>45508</v>
      </c>
      <c r="AB236" s="137">
        <v>45508</v>
      </c>
      <c r="AC236" s="137"/>
      <c r="AD236" s="134"/>
      <c r="AE236" s="134"/>
      <c r="AF236" s="139"/>
      <c r="AG236" s="256"/>
      <c r="AH236" s="256"/>
      <c r="AI236" s="256"/>
      <c r="AJ236" s="256"/>
      <c r="AK236" s="134"/>
      <c r="AL236" s="134"/>
      <c r="AM236" s="134"/>
      <c r="AN236" s="18"/>
      <c r="AO236" s="18"/>
      <c r="AP236" s="18"/>
      <c r="AQ236" s="18"/>
      <c r="AR236" s="17"/>
      <c r="AS236" s="21">
        <f t="shared" si="85"/>
        <v>45508</v>
      </c>
      <c r="AT236" s="17"/>
      <c r="AU236" s="17"/>
      <c r="AV236" s="17"/>
      <c r="AW236" s="17"/>
      <c r="AX236" s="17"/>
      <c r="AY236" s="17"/>
      <c r="AZ236" s="17"/>
    </row>
    <row r="237" spans="1:52" ht="20">
      <c r="A237" s="17"/>
      <c r="B237" s="40"/>
      <c r="C237" s="55">
        <f t="shared" si="81"/>
        <v>218</v>
      </c>
      <c r="D237" s="54">
        <v>1</v>
      </c>
      <c r="E237" s="53" t="str">
        <f t="shared" si="74"/>
        <v>8</v>
      </c>
      <c r="F237" s="52">
        <f t="shared" si="82"/>
        <v>45509</v>
      </c>
      <c r="G237" s="51" t="str">
        <f t="shared" si="83"/>
        <v>Mon</v>
      </c>
      <c r="H237" s="50"/>
      <c r="I237" s="49"/>
      <c r="J237" s="343">
        <f>279000/$B$13</f>
        <v>2528.548123980424</v>
      </c>
      <c r="K237" s="31"/>
      <c r="L237" s="317">
        <f t="shared" si="87"/>
        <v>1786.7596664101461</v>
      </c>
      <c r="M237" s="318">
        <f t="shared" si="75"/>
        <v>741.78845757027784</v>
      </c>
      <c r="N237" s="41">
        <f t="shared" si="76"/>
        <v>1.4151584969794153</v>
      </c>
      <c r="O237" s="46"/>
      <c r="P237" s="328">
        <f>IF(D237=0,0,SUM($L$233:L237))</f>
        <v>7147.0386656405844</v>
      </c>
      <c r="Q237" s="317">
        <f>IF(D237=0,0,SUM($J$233:J237))</f>
        <v>8146.4564074678265</v>
      </c>
      <c r="R237" s="321">
        <f t="shared" si="77"/>
        <v>999.41774182724203</v>
      </c>
      <c r="S237" s="41">
        <f t="shared" si="78"/>
        <v>1.1398366216530975</v>
      </c>
      <c r="T237" s="56"/>
      <c r="U237" s="348">
        <f>IF(D237=0,0,SUM($L$20:L237))</f>
        <v>368519.18119709223</v>
      </c>
      <c r="V237" s="348">
        <f>IF(D237=0,0,SUM($J$20:J237))</f>
        <v>386219.8114917528</v>
      </c>
      <c r="W237" s="349">
        <f t="shared" si="79"/>
        <v>17700.630294660572</v>
      </c>
      <c r="X237" s="41">
        <f t="shared" si="80"/>
        <v>1.0480317747292343</v>
      </c>
      <c r="Y237" s="17"/>
      <c r="Z237" s="23">
        <f t="shared" si="86"/>
        <v>45509</v>
      </c>
      <c r="AA237" s="22">
        <f t="shared" si="86"/>
        <v>45509</v>
      </c>
      <c r="AB237" s="137">
        <v>45509</v>
      </c>
      <c r="AC237" s="137"/>
      <c r="AD237" s="134"/>
      <c r="AE237" s="134"/>
      <c r="AF237" s="139"/>
      <c r="AG237" s="256"/>
      <c r="AH237" s="256"/>
      <c r="AI237" s="256"/>
      <c r="AJ237" s="256"/>
      <c r="AK237" s="134"/>
      <c r="AL237" s="134"/>
      <c r="AM237" s="134"/>
      <c r="AN237" s="18"/>
      <c r="AO237" s="18"/>
      <c r="AP237" s="18"/>
      <c r="AQ237" s="18"/>
      <c r="AR237" s="17"/>
      <c r="AS237" s="21">
        <f t="shared" si="85"/>
        <v>45509</v>
      </c>
      <c r="AT237" s="17"/>
      <c r="AU237" s="17"/>
      <c r="AV237" s="17"/>
      <c r="AW237" s="17"/>
      <c r="AX237" s="17"/>
      <c r="AY237" s="17"/>
      <c r="AZ237" s="17"/>
    </row>
    <row r="238" spans="1:52" ht="20">
      <c r="A238" s="17"/>
      <c r="B238" s="40"/>
      <c r="C238" s="55">
        <f t="shared" si="81"/>
        <v>219</v>
      </c>
      <c r="D238" s="54">
        <v>1</v>
      </c>
      <c r="E238" s="53" t="str">
        <f t="shared" si="74"/>
        <v>8</v>
      </c>
      <c r="F238" s="52">
        <f t="shared" si="82"/>
        <v>45510</v>
      </c>
      <c r="G238" s="51" t="str">
        <f t="shared" si="83"/>
        <v>Tue</v>
      </c>
      <c r="H238" s="50"/>
      <c r="I238" s="49"/>
      <c r="J238" s="343">
        <f>121150/$B$13</f>
        <v>1097.9699111836142</v>
      </c>
      <c r="K238" s="31"/>
      <c r="L238" s="317">
        <f t="shared" si="87"/>
        <v>1786.7596664101461</v>
      </c>
      <c r="M238" s="318">
        <f t="shared" si="75"/>
        <v>-688.78975522653195</v>
      </c>
      <c r="N238" s="41">
        <f t="shared" si="76"/>
        <v>0.61450341186041635</v>
      </c>
      <c r="O238" s="46"/>
      <c r="P238" s="328">
        <f>IF(D238=0,0,SUM($L$233:L238))</f>
        <v>8933.7983320507301</v>
      </c>
      <c r="Q238" s="317">
        <f>IF(D238=0,0,SUM($J$233:J238))</f>
        <v>9244.4263186514399</v>
      </c>
      <c r="R238" s="321">
        <f t="shared" si="77"/>
        <v>310.62798660070985</v>
      </c>
      <c r="S238" s="41">
        <f t="shared" si="78"/>
        <v>1.0347699796945613</v>
      </c>
      <c r="T238" s="56"/>
      <c r="U238" s="348">
        <f>IF(D238=0,0,SUM($L$20:L238))</f>
        <v>370305.94086350239</v>
      </c>
      <c r="V238" s="348">
        <f>IF(D238=0,0,SUM($J$20:J238))</f>
        <v>387317.78140293644</v>
      </c>
      <c r="W238" s="349">
        <f t="shared" si="79"/>
        <v>17011.840539434052</v>
      </c>
      <c r="X238" s="41">
        <f t="shared" si="80"/>
        <v>1.0459399611568876</v>
      </c>
      <c r="Y238" s="17"/>
      <c r="Z238" s="23">
        <f t="shared" si="86"/>
        <v>45510</v>
      </c>
      <c r="AA238" s="22">
        <f t="shared" si="86"/>
        <v>45510</v>
      </c>
      <c r="AB238" s="137">
        <v>45510</v>
      </c>
      <c r="AC238" s="137"/>
      <c r="AD238" s="134"/>
      <c r="AE238" s="134"/>
      <c r="AF238" s="139"/>
      <c r="AG238" s="256"/>
      <c r="AH238" s="256"/>
      <c r="AI238" s="256"/>
      <c r="AJ238" s="256"/>
      <c r="AK238" s="134"/>
      <c r="AL238" s="134"/>
      <c r="AM238" s="134"/>
      <c r="AN238" s="18"/>
      <c r="AO238" s="18"/>
      <c r="AP238" s="18"/>
      <c r="AQ238" s="18"/>
      <c r="AR238" s="17"/>
      <c r="AS238" s="21">
        <f t="shared" si="85"/>
        <v>45510</v>
      </c>
      <c r="AT238" s="17"/>
      <c r="AU238" s="17"/>
      <c r="AV238" s="17"/>
      <c r="AW238" s="17"/>
      <c r="AX238" s="17"/>
      <c r="AY238" s="17"/>
      <c r="AZ238" s="17"/>
    </row>
    <row r="239" spans="1:52" ht="20">
      <c r="A239" s="17"/>
      <c r="B239" s="40"/>
      <c r="C239" s="55">
        <f t="shared" si="81"/>
        <v>220</v>
      </c>
      <c r="D239" s="54">
        <v>1</v>
      </c>
      <c r="E239" s="53" t="str">
        <f t="shared" si="74"/>
        <v>8</v>
      </c>
      <c r="F239" s="52">
        <f t="shared" si="82"/>
        <v>45511</v>
      </c>
      <c r="G239" s="51" t="str">
        <f t="shared" si="83"/>
        <v>Wed</v>
      </c>
      <c r="H239" s="50"/>
      <c r="I239" s="49"/>
      <c r="J239" s="343">
        <f>232885/$B$13</f>
        <v>2110.6126518035162</v>
      </c>
      <c r="K239" s="31"/>
      <c r="L239" s="317">
        <f t="shared" si="87"/>
        <v>1786.7596664101461</v>
      </c>
      <c r="M239" s="318">
        <f t="shared" si="75"/>
        <v>323.85298539337009</v>
      </c>
      <c r="N239" s="41">
        <f t="shared" si="76"/>
        <v>1.1812515647636241</v>
      </c>
      <c r="O239" s="46"/>
      <c r="P239" s="328">
        <f>IF(D239=0,0,SUM($L$233:L239))</f>
        <v>10720.557998460876</v>
      </c>
      <c r="Q239" s="317">
        <f>IF(D239=0,0,SUM($J$233:J239))</f>
        <v>11355.038970454956</v>
      </c>
      <c r="R239" s="321">
        <f t="shared" si="77"/>
        <v>634.48097199408039</v>
      </c>
      <c r="S239" s="41">
        <f t="shared" si="78"/>
        <v>1.0591835772060718</v>
      </c>
      <c r="T239" s="56"/>
      <c r="U239" s="348">
        <f>IF(D239=0,0,SUM($L$20:L239))</f>
        <v>372092.70052991254</v>
      </c>
      <c r="V239" s="348">
        <f>IF(D239=0,0,SUM($J$20:J239))</f>
        <v>389428.39405473997</v>
      </c>
      <c r="W239" s="349">
        <f t="shared" si="79"/>
        <v>17335.693524827424</v>
      </c>
      <c r="X239" s="41">
        <f t="shared" si="80"/>
        <v>1.0465897167564397</v>
      </c>
      <c r="Y239" s="17"/>
      <c r="Z239" s="23">
        <f t="shared" si="86"/>
        <v>45511</v>
      </c>
      <c r="AA239" s="22">
        <f t="shared" si="86"/>
        <v>45511</v>
      </c>
      <c r="AB239" s="137">
        <v>45511</v>
      </c>
      <c r="AC239" s="137"/>
      <c r="AD239" s="134"/>
      <c r="AE239" s="134"/>
      <c r="AF239" s="139"/>
      <c r="AG239" s="256"/>
      <c r="AH239" s="256"/>
      <c r="AI239" s="256"/>
      <c r="AJ239" s="256"/>
      <c r="AK239" s="134"/>
      <c r="AL239" s="134"/>
      <c r="AM239" s="134"/>
      <c r="AN239" s="18"/>
      <c r="AO239" s="18"/>
      <c r="AP239" s="18"/>
      <c r="AQ239" s="18"/>
      <c r="AR239" s="17"/>
      <c r="AS239" s="21">
        <f t="shared" si="85"/>
        <v>45511</v>
      </c>
      <c r="AT239" s="17"/>
      <c r="AU239" s="17"/>
      <c r="AV239" s="17"/>
      <c r="AW239" s="17"/>
      <c r="AX239" s="17"/>
      <c r="AY239" s="17"/>
      <c r="AZ239" s="17"/>
    </row>
    <row r="240" spans="1:52" ht="20">
      <c r="A240" s="17"/>
      <c r="B240" s="40"/>
      <c r="C240" s="55">
        <f t="shared" si="81"/>
        <v>221</v>
      </c>
      <c r="D240" s="54">
        <v>1</v>
      </c>
      <c r="E240" s="53" t="str">
        <f t="shared" si="74"/>
        <v>8</v>
      </c>
      <c r="F240" s="52">
        <f t="shared" si="82"/>
        <v>45512</v>
      </c>
      <c r="G240" s="51" t="str">
        <f t="shared" si="83"/>
        <v>Thu</v>
      </c>
      <c r="H240" s="50"/>
      <c r="I240" s="49"/>
      <c r="J240" s="343">
        <f>143660/$B$13</f>
        <v>1301.9757114373754</v>
      </c>
      <c r="K240" s="31"/>
      <c r="L240" s="317">
        <f t="shared" si="87"/>
        <v>1786.7596664101461</v>
      </c>
      <c r="M240" s="318">
        <f t="shared" si="75"/>
        <v>-484.78395497277074</v>
      </c>
      <c r="N240" s="41">
        <f t="shared" si="76"/>
        <v>0.72867981962746531</v>
      </c>
      <c r="O240" s="46"/>
      <c r="P240" s="328">
        <f>IF(D240=0,0,SUM($L$233:L240))</f>
        <v>12507.317664871021</v>
      </c>
      <c r="Q240" s="317">
        <f>IF(D240=0,0,SUM($J$233:J240))</f>
        <v>12657.014681892331</v>
      </c>
      <c r="R240" s="321">
        <f t="shared" si="77"/>
        <v>149.69701702130988</v>
      </c>
      <c r="S240" s="41">
        <f t="shared" si="78"/>
        <v>1.0119687546948424</v>
      </c>
      <c r="T240" s="56"/>
      <c r="U240" s="348">
        <f>IF(D240=0,0,SUM($L$20:L240))</f>
        <v>373879.4601963227</v>
      </c>
      <c r="V240" s="348">
        <f>IF(D240=0,0,SUM($J$20:J240))</f>
        <v>390730.36976617732</v>
      </c>
      <c r="W240" s="349">
        <f t="shared" si="79"/>
        <v>16850.909569854615</v>
      </c>
      <c r="X240" s="41">
        <f t="shared" si="80"/>
        <v>1.0450704340939356</v>
      </c>
      <c r="Y240" s="17"/>
      <c r="Z240" s="23">
        <f t="shared" si="86"/>
        <v>45512</v>
      </c>
      <c r="AA240" s="22">
        <f t="shared" si="86"/>
        <v>45512</v>
      </c>
      <c r="AB240" s="137">
        <v>45512</v>
      </c>
      <c r="AC240" s="137"/>
      <c r="AD240" s="134"/>
      <c r="AE240" s="134"/>
      <c r="AF240" s="139"/>
      <c r="AG240" s="256"/>
      <c r="AH240" s="256"/>
      <c r="AI240" s="256"/>
      <c r="AJ240" s="256"/>
      <c r="AK240" s="134"/>
      <c r="AL240" s="134"/>
      <c r="AM240" s="134"/>
      <c r="AN240" s="18"/>
      <c r="AO240" s="18"/>
      <c r="AP240" s="18"/>
      <c r="AQ240" s="18"/>
      <c r="AR240" s="17"/>
      <c r="AS240" s="21">
        <f t="shared" si="85"/>
        <v>45512</v>
      </c>
      <c r="AT240" s="17"/>
      <c r="AU240" s="17"/>
      <c r="AV240" s="17"/>
      <c r="AW240" s="17"/>
      <c r="AX240" s="17"/>
      <c r="AY240" s="17"/>
      <c r="AZ240" s="17"/>
    </row>
    <row r="241" spans="1:52" ht="20">
      <c r="A241" s="17"/>
      <c r="B241" s="40"/>
      <c r="C241" s="55">
        <f t="shared" si="81"/>
        <v>222</v>
      </c>
      <c r="D241" s="54">
        <v>1</v>
      </c>
      <c r="E241" s="53" t="str">
        <f t="shared" si="74"/>
        <v>8</v>
      </c>
      <c r="F241" s="52">
        <f t="shared" si="82"/>
        <v>45513</v>
      </c>
      <c r="G241" s="51" t="str">
        <f t="shared" si="83"/>
        <v>Fri</v>
      </c>
      <c r="H241" s="50"/>
      <c r="I241" s="49"/>
      <c r="J241" s="343">
        <f>278720/$B$13</f>
        <v>2526.0105129599419</v>
      </c>
      <c r="K241" s="31"/>
      <c r="L241" s="317">
        <f t="shared" si="87"/>
        <v>1786.7596664101461</v>
      </c>
      <c r="M241" s="318">
        <f t="shared" si="75"/>
        <v>739.25084654979582</v>
      </c>
      <c r="N241" s="41">
        <f t="shared" si="76"/>
        <v>1.4137382662297586</v>
      </c>
      <c r="O241" s="46"/>
      <c r="P241" s="328">
        <f>IF(D241=0,0,SUM($L$233:L241))</f>
        <v>14294.077331281167</v>
      </c>
      <c r="Q241" s="317">
        <f>IF(D241=0,0,SUM($J$233:J241))</f>
        <v>15183.025194852273</v>
      </c>
      <c r="R241" s="321">
        <f t="shared" si="77"/>
        <v>888.9478635711057</v>
      </c>
      <c r="S241" s="41">
        <f t="shared" si="78"/>
        <v>1.0621899436367068</v>
      </c>
      <c r="T241" s="56"/>
      <c r="U241" s="348">
        <f>IF(D241=0,0,SUM($L$20:L241))</f>
        <v>375666.21986273286</v>
      </c>
      <c r="V241" s="348">
        <f>IF(D241=0,0,SUM($J$20:J241))</f>
        <v>393256.38027913729</v>
      </c>
      <c r="W241" s="349">
        <f t="shared" si="79"/>
        <v>17590.160416404426</v>
      </c>
      <c r="X241" s="41">
        <f t="shared" si="80"/>
        <v>1.0468239077307291</v>
      </c>
      <c r="Y241" s="17"/>
      <c r="Z241" s="23">
        <f t="shared" si="86"/>
        <v>45513</v>
      </c>
      <c r="AA241" s="22">
        <f t="shared" si="86"/>
        <v>45513</v>
      </c>
      <c r="AB241" s="137">
        <v>45513</v>
      </c>
      <c r="AC241" s="137"/>
      <c r="AD241" s="134"/>
      <c r="AE241" s="134"/>
      <c r="AF241" s="139"/>
      <c r="AG241" s="256"/>
      <c r="AH241" s="256"/>
      <c r="AI241" s="256"/>
      <c r="AJ241" s="256"/>
      <c r="AK241" s="134"/>
      <c r="AL241" s="134"/>
      <c r="AM241" s="134"/>
      <c r="AN241" s="18"/>
      <c r="AO241" s="18"/>
      <c r="AP241" s="18"/>
      <c r="AQ241" s="18"/>
      <c r="AR241" s="17"/>
      <c r="AS241" s="21">
        <f t="shared" si="85"/>
        <v>45513</v>
      </c>
      <c r="AT241" s="17"/>
      <c r="AU241" s="17"/>
      <c r="AV241" s="17"/>
      <c r="AW241" s="17"/>
      <c r="AX241" s="17"/>
      <c r="AY241" s="17"/>
      <c r="AZ241" s="17"/>
    </row>
    <row r="242" spans="1:52" ht="20">
      <c r="A242" s="17"/>
      <c r="B242" s="40"/>
      <c r="C242" s="55">
        <f t="shared" si="81"/>
        <v>223</v>
      </c>
      <c r="D242" s="54">
        <v>1</v>
      </c>
      <c r="E242" s="53" t="str">
        <f t="shared" si="74"/>
        <v>8</v>
      </c>
      <c r="F242" s="52">
        <f t="shared" si="82"/>
        <v>45514</v>
      </c>
      <c r="G242" s="51" t="str">
        <f t="shared" si="83"/>
        <v>Sat</v>
      </c>
      <c r="H242" s="50"/>
      <c r="I242" s="49"/>
      <c r="J242" s="343">
        <f>150510/$B$13</f>
        <v>1364.0565524741708</v>
      </c>
      <c r="K242" s="31"/>
      <c r="L242" s="317">
        <f t="shared" si="87"/>
        <v>1786.7596664101461</v>
      </c>
      <c r="M242" s="318">
        <f t="shared" si="75"/>
        <v>-422.70311393597535</v>
      </c>
      <c r="N242" s="41">
        <f t="shared" si="76"/>
        <v>0.76342475046728253</v>
      </c>
      <c r="O242" s="46"/>
      <c r="P242" s="328">
        <f>IF(D242=0,0,SUM($L$233:L242))</f>
        <v>16080.836997691313</v>
      </c>
      <c r="Q242" s="317">
        <f>IF(D242=0,0,SUM($J$233:J242))</f>
        <v>16547.081747326443</v>
      </c>
      <c r="R242" s="321">
        <f t="shared" si="77"/>
        <v>466.24474963513057</v>
      </c>
      <c r="S242" s="41">
        <f t="shared" si="78"/>
        <v>1.0289938110623265</v>
      </c>
      <c r="T242" s="44"/>
      <c r="U242" s="348">
        <f>IF(D242=0,0,SUM($L$20:L242))</f>
        <v>377452.97952914302</v>
      </c>
      <c r="V242" s="348">
        <f>IF(D242=0,0,SUM($J$20:J242))</f>
        <v>394620.43683161144</v>
      </c>
      <c r="W242" s="349">
        <f t="shared" si="79"/>
        <v>17167.457302468421</v>
      </c>
      <c r="X242" s="41">
        <f t="shared" si="80"/>
        <v>1.0454823732584761</v>
      </c>
      <c r="Y242" s="17"/>
      <c r="Z242" s="23">
        <f t="shared" si="86"/>
        <v>45514</v>
      </c>
      <c r="AA242" s="22">
        <f t="shared" si="86"/>
        <v>45514</v>
      </c>
      <c r="AB242" s="137">
        <v>45514</v>
      </c>
      <c r="AC242" s="137"/>
      <c r="AD242" s="134"/>
      <c r="AE242" s="134"/>
      <c r="AF242" s="139"/>
      <c r="AG242" s="256"/>
      <c r="AH242" s="256"/>
      <c r="AI242" s="256"/>
      <c r="AJ242" s="256"/>
      <c r="AK242" s="134"/>
      <c r="AL242" s="134"/>
      <c r="AM242" s="134"/>
      <c r="AN242" s="18"/>
      <c r="AO242" s="18"/>
      <c r="AP242" s="18"/>
      <c r="AQ242" s="18"/>
      <c r="AR242" s="17"/>
      <c r="AS242" s="21">
        <f t="shared" si="85"/>
        <v>45514</v>
      </c>
      <c r="AT242" s="17"/>
      <c r="AU242" s="17"/>
      <c r="AV242" s="17"/>
      <c r="AW242" s="17"/>
      <c r="AX242" s="17"/>
      <c r="AY242" s="17"/>
      <c r="AZ242" s="17"/>
    </row>
    <row r="243" spans="1:52" ht="20">
      <c r="A243" s="17"/>
      <c r="B243" s="40"/>
      <c r="C243" s="55">
        <f t="shared" si="81"/>
        <v>224</v>
      </c>
      <c r="D243" s="54">
        <v>0</v>
      </c>
      <c r="E243" s="53" t="str">
        <f t="shared" si="74"/>
        <v>8</v>
      </c>
      <c r="F243" s="52">
        <f t="shared" si="82"/>
        <v>45515</v>
      </c>
      <c r="G243" s="51" t="str">
        <f t="shared" si="83"/>
        <v>Sun</v>
      </c>
      <c r="H243" s="50" t="s">
        <v>46</v>
      </c>
      <c r="I243" s="49"/>
      <c r="J243" s="343"/>
      <c r="K243" s="31"/>
      <c r="L243" s="317">
        <f t="shared" si="87"/>
        <v>0</v>
      </c>
      <c r="M243" s="318">
        <f t="shared" si="75"/>
        <v>0</v>
      </c>
      <c r="N243" s="41" t="str">
        <f t="shared" si="76"/>
        <v>0%</v>
      </c>
      <c r="O243" s="46"/>
      <c r="P243" s="328">
        <f>IF(D243=0,0,SUM($L$233:L243))</f>
        <v>0</v>
      </c>
      <c r="Q243" s="317">
        <f>IF(D243=0,0,SUM($J$233:J243))</f>
        <v>0</v>
      </c>
      <c r="R243" s="321">
        <f t="shared" si="77"/>
        <v>0</v>
      </c>
      <c r="S243" s="41" t="str">
        <f t="shared" si="78"/>
        <v>0%</v>
      </c>
      <c r="T243" s="44"/>
      <c r="U243" s="348">
        <f>IF(D243=0,0,SUM($L$20:L243))</f>
        <v>0</v>
      </c>
      <c r="V243" s="348">
        <f>IF(D243=0,0,SUM($J$20:J243))</f>
        <v>0</v>
      </c>
      <c r="W243" s="349">
        <f t="shared" si="79"/>
        <v>0</v>
      </c>
      <c r="X243" s="41" t="str">
        <f t="shared" si="80"/>
        <v>0%</v>
      </c>
      <c r="Y243" s="17"/>
      <c r="Z243" s="23">
        <f t="shared" si="86"/>
        <v>45515</v>
      </c>
      <c r="AA243" s="22">
        <f t="shared" si="86"/>
        <v>45515</v>
      </c>
      <c r="AB243" s="137">
        <v>45515</v>
      </c>
      <c r="AC243" s="137"/>
      <c r="AD243" s="134"/>
      <c r="AE243" s="134"/>
      <c r="AF243" s="139"/>
      <c r="AG243" s="256"/>
      <c r="AH243" s="256"/>
      <c r="AI243" s="256"/>
      <c r="AJ243" s="256"/>
      <c r="AK243" s="134"/>
      <c r="AL243" s="134"/>
      <c r="AM243" s="134"/>
      <c r="AN243" s="18"/>
      <c r="AO243" s="18"/>
      <c r="AP243" s="18"/>
      <c r="AQ243" s="18"/>
      <c r="AR243" s="17"/>
      <c r="AS243" s="21">
        <f t="shared" si="85"/>
        <v>45515</v>
      </c>
      <c r="AT243" s="17"/>
      <c r="AU243" s="17"/>
      <c r="AV243" s="17"/>
      <c r="AW243" s="17"/>
      <c r="AX243" s="17"/>
      <c r="AY243" s="17"/>
      <c r="AZ243" s="17"/>
    </row>
    <row r="244" spans="1:52" ht="20">
      <c r="A244" s="17"/>
      <c r="B244" s="40"/>
      <c r="C244" s="55">
        <f t="shared" si="81"/>
        <v>225</v>
      </c>
      <c r="D244" s="54">
        <v>0</v>
      </c>
      <c r="E244" s="53" t="str">
        <f t="shared" si="74"/>
        <v>8</v>
      </c>
      <c r="F244" s="52">
        <f t="shared" si="82"/>
        <v>45516</v>
      </c>
      <c r="G244" s="51" t="str">
        <f t="shared" si="83"/>
        <v>Mon</v>
      </c>
      <c r="H244" s="50" t="s">
        <v>47</v>
      </c>
      <c r="I244" s="49"/>
      <c r="J244" s="343"/>
      <c r="K244" s="31"/>
      <c r="L244" s="317">
        <f t="shared" si="87"/>
        <v>0</v>
      </c>
      <c r="M244" s="318">
        <f t="shared" si="75"/>
        <v>0</v>
      </c>
      <c r="N244" s="41" t="str">
        <f t="shared" si="76"/>
        <v>0%</v>
      </c>
      <c r="O244" s="46"/>
      <c r="P244" s="328">
        <f>IF(D244=0,0,SUM($L$233:L244))</f>
        <v>0</v>
      </c>
      <c r="Q244" s="317">
        <f>IF(D244=0,0,SUM($J$233:J244))</f>
        <v>0</v>
      </c>
      <c r="R244" s="321">
        <f t="shared" si="77"/>
        <v>0</v>
      </c>
      <c r="S244" s="41" t="str">
        <f t="shared" si="78"/>
        <v>0%</v>
      </c>
      <c r="T244" s="44"/>
      <c r="U244" s="348">
        <f>IF(D244=0,0,SUM($L$20:L244))</f>
        <v>0</v>
      </c>
      <c r="V244" s="348">
        <f>IF(D244=0,0,SUM($J$20:J244))</f>
        <v>0</v>
      </c>
      <c r="W244" s="349">
        <f t="shared" si="79"/>
        <v>0</v>
      </c>
      <c r="X244" s="41" t="str">
        <f t="shared" si="80"/>
        <v>0%</v>
      </c>
      <c r="Y244" s="17"/>
      <c r="Z244" s="23">
        <f t="shared" si="86"/>
        <v>45516</v>
      </c>
      <c r="AA244" s="22">
        <f t="shared" si="86"/>
        <v>45516</v>
      </c>
      <c r="AB244" s="137">
        <v>45516</v>
      </c>
      <c r="AC244" s="137"/>
      <c r="AD244" s="134"/>
      <c r="AE244" s="134"/>
      <c r="AF244" s="139"/>
      <c r="AG244" s="256"/>
      <c r="AH244" s="256"/>
      <c r="AI244" s="256"/>
      <c r="AJ244" s="256"/>
      <c r="AK244" s="134"/>
      <c r="AL244" s="134"/>
      <c r="AM244" s="134"/>
      <c r="AN244" s="18"/>
      <c r="AO244" s="18"/>
      <c r="AP244" s="18"/>
      <c r="AQ244" s="18"/>
      <c r="AR244" s="17"/>
      <c r="AS244" s="21">
        <f t="shared" si="85"/>
        <v>45516</v>
      </c>
      <c r="AT244" s="17"/>
      <c r="AU244" s="17"/>
      <c r="AV244" s="17"/>
      <c r="AW244" s="17"/>
      <c r="AX244" s="17"/>
      <c r="AY244" s="17"/>
      <c r="AZ244" s="17"/>
    </row>
    <row r="245" spans="1:52" ht="20">
      <c r="A245" s="17"/>
      <c r="B245" s="40"/>
      <c r="C245" s="55">
        <f t="shared" si="81"/>
        <v>226</v>
      </c>
      <c r="D245" s="54">
        <v>0</v>
      </c>
      <c r="E245" s="53" t="str">
        <f t="shared" si="74"/>
        <v>8</v>
      </c>
      <c r="F245" s="52">
        <f t="shared" si="82"/>
        <v>45517</v>
      </c>
      <c r="G245" s="51" t="str">
        <f t="shared" si="83"/>
        <v>Tue</v>
      </c>
      <c r="H245" s="50" t="s">
        <v>47</v>
      </c>
      <c r="I245" s="49"/>
      <c r="J245" s="343"/>
      <c r="K245" s="31"/>
      <c r="L245" s="317">
        <f t="shared" si="87"/>
        <v>0</v>
      </c>
      <c r="M245" s="318">
        <f t="shared" si="75"/>
        <v>0</v>
      </c>
      <c r="N245" s="41" t="str">
        <f t="shared" si="76"/>
        <v>0%</v>
      </c>
      <c r="O245" s="46"/>
      <c r="P245" s="328">
        <f>IF(D245=0,0,SUM($L$233:L245))</f>
        <v>0</v>
      </c>
      <c r="Q245" s="317">
        <f>IF(D245=0,0,SUM($J$233:J245))</f>
        <v>0</v>
      </c>
      <c r="R245" s="321">
        <f t="shared" si="77"/>
        <v>0</v>
      </c>
      <c r="S245" s="41" t="str">
        <f t="shared" si="78"/>
        <v>0%</v>
      </c>
      <c r="T245" s="44"/>
      <c r="U245" s="348">
        <f>IF(D245=0,0,SUM($L$20:L245))</f>
        <v>0</v>
      </c>
      <c r="V245" s="348">
        <f>IF(D245=0,0,SUM($J$20:J245))</f>
        <v>0</v>
      </c>
      <c r="W245" s="349">
        <f t="shared" si="79"/>
        <v>0</v>
      </c>
      <c r="X245" s="41" t="str">
        <f t="shared" si="80"/>
        <v>0%</v>
      </c>
      <c r="Y245" s="17"/>
      <c r="Z245" s="23">
        <f t="shared" ref="Z245:AA260" si="88">Z244+1</f>
        <v>45517</v>
      </c>
      <c r="AA245" s="22">
        <f t="shared" si="88"/>
        <v>45517</v>
      </c>
      <c r="AB245" s="137">
        <v>45517</v>
      </c>
      <c r="AC245" s="137"/>
      <c r="AD245" s="134"/>
      <c r="AE245" s="134"/>
      <c r="AF245" s="139"/>
      <c r="AG245" s="256"/>
      <c r="AH245" s="256"/>
      <c r="AI245" s="256"/>
      <c r="AJ245" s="256"/>
      <c r="AK245" s="134"/>
      <c r="AL245" s="134"/>
      <c r="AM245" s="134"/>
      <c r="AN245" s="18"/>
      <c r="AO245" s="18"/>
      <c r="AP245" s="18"/>
      <c r="AQ245" s="18"/>
      <c r="AR245" s="17"/>
      <c r="AS245" s="21">
        <f t="shared" si="85"/>
        <v>45517</v>
      </c>
      <c r="AT245" s="17"/>
      <c r="AU245" s="17"/>
      <c r="AV245" s="17"/>
      <c r="AW245" s="17"/>
      <c r="AX245" s="17"/>
      <c r="AY245" s="17"/>
      <c r="AZ245" s="17"/>
    </row>
    <row r="246" spans="1:52" ht="20">
      <c r="A246" s="17"/>
      <c r="B246" s="40"/>
      <c r="C246" s="55">
        <f t="shared" si="81"/>
        <v>227</v>
      </c>
      <c r="D246" s="54">
        <v>0</v>
      </c>
      <c r="E246" s="53" t="str">
        <f t="shared" si="74"/>
        <v>8</v>
      </c>
      <c r="F246" s="52">
        <f t="shared" si="82"/>
        <v>45518</v>
      </c>
      <c r="G246" s="51" t="str">
        <f t="shared" si="83"/>
        <v>Wed</v>
      </c>
      <c r="H246" s="50" t="s">
        <v>47</v>
      </c>
      <c r="I246" s="49"/>
      <c r="J246" s="343"/>
      <c r="K246" s="31"/>
      <c r="L246" s="317">
        <f t="shared" si="87"/>
        <v>0</v>
      </c>
      <c r="M246" s="318">
        <f t="shared" si="75"/>
        <v>0</v>
      </c>
      <c r="N246" s="41" t="str">
        <f t="shared" si="76"/>
        <v>0%</v>
      </c>
      <c r="O246" s="46"/>
      <c r="P246" s="328">
        <f>IF(D246=0,0,SUM($L$233:L246))</f>
        <v>0</v>
      </c>
      <c r="Q246" s="317">
        <f>IF(D246=0,0,SUM($J$233:J246))</f>
        <v>0</v>
      </c>
      <c r="R246" s="321">
        <f t="shared" si="77"/>
        <v>0</v>
      </c>
      <c r="S246" s="41" t="str">
        <f t="shared" si="78"/>
        <v>0%</v>
      </c>
      <c r="T246" s="44"/>
      <c r="U246" s="348">
        <f>IF(D246=0,0,SUM($L$20:L246))</f>
        <v>0</v>
      </c>
      <c r="V246" s="348">
        <f>IF(D246=0,0,SUM($J$20:J246))</f>
        <v>0</v>
      </c>
      <c r="W246" s="349">
        <f t="shared" si="79"/>
        <v>0</v>
      </c>
      <c r="X246" s="41" t="str">
        <f t="shared" si="80"/>
        <v>0%</v>
      </c>
      <c r="Y246" s="17"/>
      <c r="Z246" s="23">
        <f t="shared" si="88"/>
        <v>45518</v>
      </c>
      <c r="AA246" s="22">
        <f t="shared" si="88"/>
        <v>45518</v>
      </c>
      <c r="AB246" s="137">
        <v>45518</v>
      </c>
      <c r="AC246" s="137"/>
      <c r="AD246" s="134"/>
      <c r="AE246" s="134"/>
      <c r="AF246" s="139"/>
      <c r="AG246" s="256"/>
      <c r="AH246" s="256"/>
      <c r="AI246" s="256"/>
      <c r="AJ246" s="256"/>
      <c r="AK246" s="134"/>
      <c r="AL246" s="134"/>
      <c r="AM246" s="134"/>
      <c r="AN246" s="18"/>
      <c r="AO246" s="18"/>
      <c r="AP246" s="18"/>
      <c r="AQ246" s="18"/>
      <c r="AR246" s="17"/>
      <c r="AS246" s="21">
        <f t="shared" si="85"/>
        <v>45518</v>
      </c>
      <c r="AT246" s="17"/>
      <c r="AU246" s="17"/>
      <c r="AV246" s="17"/>
      <c r="AW246" s="17"/>
      <c r="AX246" s="17"/>
      <c r="AY246" s="17"/>
      <c r="AZ246" s="17"/>
    </row>
    <row r="247" spans="1:52" ht="20">
      <c r="A247" s="17"/>
      <c r="B247" s="40"/>
      <c r="C247" s="55">
        <f t="shared" si="81"/>
        <v>228</v>
      </c>
      <c r="D247" s="54">
        <v>0</v>
      </c>
      <c r="E247" s="53" t="str">
        <f t="shared" si="74"/>
        <v>8</v>
      </c>
      <c r="F247" s="52">
        <f t="shared" si="82"/>
        <v>45519</v>
      </c>
      <c r="G247" s="51" t="str">
        <f t="shared" si="83"/>
        <v>Thu</v>
      </c>
      <c r="H247" s="50" t="s">
        <v>47</v>
      </c>
      <c r="I247" s="49"/>
      <c r="J247" s="343"/>
      <c r="K247" s="31"/>
      <c r="L247" s="317">
        <f t="shared" si="87"/>
        <v>0</v>
      </c>
      <c r="M247" s="318">
        <f t="shared" si="75"/>
        <v>0</v>
      </c>
      <c r="N247" s="41" t="str">
        <f t="shared" si="76"/>
        <v>0%</v>
      </c>
      <c r="O247" s="46"/>
      <c r="P247" s="328">
        <f>IF(D247=0,0,SUM($L$233:L247))</f>
        <v>0</v>
      </c>
      <c r="Q247" s="317">
        <f>IF(D247=0,0,SUM($J$233:J247))</f>
        <v>0</v>
      </c>
      <c r="R247" s="321">
        <f t="shared" si="77"/>
        <v>0</v>
      </c>
      <c r="S247" s="41" t="str">
        <f t="shared" si="78"/>
        <v>0%</v>
      </c>
      <c r="T247" s="44"/>
      <c r="U247" s="348">
        <f>IF(D247=0,0,SUM($L$20:L247))</f>
        <v>0</v>
      </c>
      <c r="V247" s="348">
        <f>IF(D247=0,0,SUM($J$20:J247))</f>
        <v>0</v>
      </c>
      <c r="W247" s="349">
        <f t="shared" si="79"/>
        <v>0</v>
      </c>
      <c r="X247" s="41" t="str">
        <f t="shared" si="80"/>
        <v>0%</v>
      </c>
      <c r="Y247" s="17"/>
      <c r="Z247" s="23">
        <f t="shared" si="88"/>
        <v>45519</v>
      </c>
      <c r="AA247" s="22">
        <f t="shared" si="88"/>
        <v>45519</v>
      </c>
      <c r="AB247" s="137">
        <v>45519</v>
      </c>
      <c r="AC247" s="137"/>
      <c r="AD247" s="134"/>
      <c r="AE247" s="134"/>
      <c r="AF247" s="139"/>
      <c r="AG247" s="256"/>
      <c r="AH247" s="256"/>
      <c r="AI247" s="256"/>
      <c r="AJ247" s="256"/>
      <c r="AK247" s="134"/>
      <c r="AL247" s="134"/>
      <c r="AM247" s="134"/>
      <c r="AN247" s="18"/>
      <c r="AO247" s="18"/>
      <c r="AP247" s="18"/>
      <c r="AQ247" s="18"/>
      <c r="AR247" s="17"/>
      <c r="AS247" s="21">
        <f t="shared" si="85"/>
        <v>45519</v>
      </c>
      <c r="AT247" s="17"/>
      <c r="AU247" s="17"/>
      <c r="AV247" s="17"/>
      <c r="AW247" s="17"/>
      <c r="AX247" s="17"/>
      <c r="AY247" s="17"/>
      <c r="AZ247" s="17"/>
    </row>
    <row r="248" spans="1:52" ht="20">
      <c r="A248" s="17"/>
      <c r="B248" s="40"/>
      <c r="C248" s="55">
        <f t="shared" si="81"/>
        <v>229</v>
      </c>
      <c r="D248" s="54">
        <v>0</v>
      </c>
      <c r="E248" s="53" t="str">
        <f t="shared" si="74"/>
        <v>8</v>
      </c>
      <c r="F248" s="52">
        <f t="shared" si="82"/>
        <v>45520</v>
      </c>
      <c r="G248" s="51" t="str">
        <f t="shared" si="83"/>
        <v>Fri</v>
      </c>
      <c r="H248" s="50" t="s">
        <v>47</v>
      </c>
      <c r="I248" s="49"/>
      <c r="J248" s="343"/>
      <c r="K248" s="31"/>
      <c r="L248" s="317">
        <f t="shared" si="87"/>
        <v>0</v>
      </c>
      <c r="M248" s="318">
        <f t="shared" si="75"/>
        <v>0</v>
      </c>
      <c r="N248" s="41" t="str">
        <f t="shared" si="76"/>
        <v>0%</v>
      </c>
      <c r="O248" s="46"/>
      <c r="P248" s="328">
        <f>IF(D248=0,0,SUM($L$233:L248))</f>
        <v>0</v>
      </c>
      <c r="Q248" s="317">
        <f>IF(D248=0,0,SUM($J$233:J248))</f>
        <v>0</v>
      </c>
      <c r="R248" s="321">
        <f t="shared" si="77"/>
        <v>0</v>
      </c>
      <c r="S248" s="41" t="str">
        <f t="shared" si="78"/>
        <v>0%</v>
      </c>
      <c r="T248" s="44"/>
      <c r="U248" s="348">
        <f>IF(D248=0,0,SUM($L$20:L248))</f>
        <v>0</v>
      </c>
      <c r="V248" s="348">
        <f>IF(D248=0,0,SUM($J$20:J248))</f>
        <v>0</v>
      </c>
      <c r="W248" s="349">
        <f t="shared" si="79"/>
        <v>0</v>
      </c>
      <c r="X248" s="41" t="str">
        <f t="shared" si="80"/>
        <v>0%</v>
      </c>
      <c r="Y248" s="17"/>
      <c r="Z248" s="23">
        <f t="shared" si="88"/>
        <v>45520</v>
      </c>
      <c r="AA248" s="22">
        <f t="shared" si="88"/>
        <v>45520</v>
      </c>
      <c r="AB248" s="137">
        <v>45520</v>
      </c>
      <c r="AC248" s="137"/>
      <c r="AD248" s="134"/>
      <c r="AE248" s="134"/>
      <c r="AF248" s="139"/>
      <c r="AG248" s="256"/>
      <c r="AH248" s="256"/>
      <c r="AI248" s="256"/>
      <c r="AJ248" s="256"/>
      <c r="AK248" s="134"/>
      <c r="AL248" s="134"/>
      <c r="AM248" s="134"/>
      <c r="AN248" s="18"/>
      <c r="AO248" s="18"/>
      <c r="AP248" s="18"/>
      <c r="AQ248" s="18"/>
      <c r="AR248" s="17"/>
      <c r="AS248" s="21">
        <f t="shared" si="85"/>
        <v>45520</v>
      </c>
      <c r="AT248" s="17"/>
      <c r="AU248" s="17"/>
      <c r="AV248" s="17"/>
      <c r="AW248" s="17"/>
      <c r="AX248" s="17"/>
      <c r="AY248" s="17"/>
      <c r="AZ248" s="17"/>
    </row>
    <row r="249" spans="1:52" ht="20">
      <c r="A249" s="17"/>
      <c r="B249" s="40"/>
      <c r="C249" s="55">
        <f t="shared" si="81"/>
        <v>230</v>
      </c>
      <c r="D249" s="54">
        <v>1</v>
      </c>
      <c r="E249" s="53" t="str">
        <f t="shared" si="74"/>
        <v>8</v>
      </c>
      <c r="F249" s="52">
        <f t="shared" si="82"/>
        <v>45521</v>
      </c>
      <c r="G249" s="51" t="str">
        <f t="shared" si="83"/>
        <v>Sat</v>
      </c>
      <c r="H249" s="50"/>
      <c r="I249" s="49"/>
      <c r="J249" s="343">
        <f>67850/$B$13</f>
        <v>614.91752764183434</v>
      </c>
      <c r="K249" s="31"/>
      <c r="L249" s="317">
        <f t="shared" si="87"/>
        <v>1786.7596664101461</v>
      </c>
      <c r="M249" s="318">
        <f t="shared" si="75"/>
        <v>-1171.8421387683118</v>
      </c>
      <c r="N249" s="41">
        <f t="shared" si="76"/>
        <v>0.34415234415789731</v>
      </c>
      <c r="O249" s="46"/>
      <c r="P249" s="328">
        <f>IF(D249=0,0,SUM($L$233:L249))</f>
        <v>17867.59666410146</v>
      </c>
      <c r="Q249" s="317">
        <f>IF(D249=0,0,SUM($J$233:J249))</f>
        <v>17161.999274968279</v>
      </c>
      <c r="R249" s="321">
        <f t="shared" si="77"/>
        <v>-705.59738913318142</v>
      </c>
      <c r="S249" s="41">
        <f t="shared" si="78"/>
        <v>0.96050966437188345</v>
      </c>
      <c r="T249" s="44"/>
      <c r="U249" s="348">
        <f>IF(D249=0,0,SUM($L$20:L249))</f>
        <v>379239.73919555318</v>
      </c>
      <c r="V249" s="348">
        <f>IF(D249=0,0,SUM($J$20:J249))</f>
        <v>395235.35435925325</v>
      </c>
      <c r="W249" s="349">
        <f t="shared" si="79"/>
        <v>15995.615163700073</v>
      </c>
      <c r="X249" s="41">
        <f t="shared" si="80"/>
        <v>1.0421781092815592</v>
      </c>
      <c r="Y249" s="17"/>
      <c r="Z249" s="23">
        <f t="shared" si="88"/>
        <v>45521</v>
      </c>
      <c r="AA249" s="22">
        <f t="shared" si="88"/>
        <v>45521</v>
      </c>
      <c r="AB249" s="137">
        <v>45521</v>
      </c>
      <c r="AC249" s="137"/>
      <c r="AD249" s="134"/>
      <c r="AE249" s="134"/>
      <c r="AF249" s="139"/>
      <c r="AG249" s="256"/>
      <c r="AH249" s="256"/>
      <c r="AI249" s="256"/>
      <c r="AJ249" s="256"/>
      <c r="AK249" s="134"/>
      <c r="AL249" s="134"/>
      <c r="AM249" s="134"/>
      <c r="AN249" s="18"/>
      <c r="AO249" s="18"/>
      <c r="AP249" s="18"/>
      <c r="AQ249" s="18"/>
      <c r="AR249" s="17"/>
      <c r="AS249" s="21">
        <f t="shared" si="85"/>
        <v>45521</v>
      </c>
      <c r="AT249" s="17"/>
      <c r="AU249" s="17"/>
      <c r="AV249" s="17"/>
      <c r="AW249" s="17"/>
      <c r="AX249" s="17"/>
      <c r="AY249" s="17"/>
      <c r="AZ249" s="17"/>
    </row>
    <row r="250" spans="1:52" ht="20">
      <c r="A250" s="17"/>
      <c r="B250" s="40"/>
      <c r="C250" s="55">
        <f t="shared" si="81"/>
        <v>231</v>
      </c>
      <c r="D250" s="54">
        <v>0</v>
      </c>
      <c r="E250" s="53" t="str">
        <f t="shared" si="74"/>
        <v>8</v>
      </c>
      <c r="F250" s="52">
        <f t="shared" si="82"/>
        <v>45522</v>
      </c>
      <c r="G250" s="51" t="str">
        <f t="shared" si="83"/>
        <v>Sun</v>
      </c>
      <c r="H250" s="50" t="s">
        <v>46</v>
      </c>
      <c r="I250" s="49"/>
      <c r="J250" s="343"/>
      <c r="K250" s="31"/>
      <c r="L250" s="317">
        <f t="shared" si="87"/>
        <v>0</v>
      </c>
      <c r="M250" s="318">
        <f t="shared" si="75"/>
        <v>0</v>
      </c>
      <c r="N250" s="41" t="str">
        <f t="shared" si="76"/>
        <v>0%</v>
      </c>
      <c r="O250" s="46"/>
      <c r="P250" s="328">
        <f>IF(D250=0,0,SUM($L$233:L250))</f>
        <v>0</v>
      </c>
      <c r="Q250" s="317">
        <f>IF(D250=0,0,SUM($J$233:J250))</f>
        <v>0</v>
      </c>
      <c r="R250" s="321">
        <f t="shared" si="77"/>
        <v>0</v>
      </c>
      <c r="S250" s="41" t="str">
        <f t="shared" si="78"/>
        <v>0%</v>
      </c>
      <c r="T250" s="56"/>
      <c r="U250" s="348">
        <f>IF(D250=0,0,SUM($L$20:L250))</f>
        <v>0</v>
      </c>
      <c r="V250" s="348">
        <f>IF(D250=0,0,SUM($J$20:J250))</f>
        <v>0</v>
      </c>
      <c r="W250" s="349">
        <f t="shared" si="79"/>
        <v>0</v>
      </c>
      <c r="X250" s="41" t="str">
        <f t="shared" si="80"/>
        <v>0%</v>
      </c>
      <c r="Y250" s="17"/>
      <c r="Z250" s="23">
        <f t="shared" si="88"/>
        <v>45522</v>
      </c>
      <c r="AA250" s="22">
        <f t="shared" si="88"/>
        <v>45522</v>
      </c>
      <c r="AB250" s="137">
        <v>45522</v>
      </c>
      <c r="AC250" s="137"/>
      <c r="AD250" s="134"/>
      <c r="AE250" s="134"/>
      <c r="AF250" s="139"/>
      <c r="AG250" s="256"/>
      <c r="AH250" s="256"/>
      <c r="AI250" s="256"/>
      <c r="AJ250" s="256"/>
      <c r="AK250" s="134"/>
      <c r="AL250" s="134"/>
      <c r="AM250" s="134"/>
      <c r="AN250" s="18"/>
      <c r="AO250" s="18"/>
      <c r="AP250" s="18"/>
      <c r="AQ250" s="18"/>
      <c r="AR250" s="17"/>
      <c r="AS250" s="21">
        <f t="shared" si="85"/>
        <v>45522</v>
      </c>
      <c r="AT250" s="17"/>
      <c r="AU250" s="17"/>
      <c r="AV250" s="17"/>
      <c r="AW250" s="17"/>
      <c r="AX250" s="17"/>
      <c r="AY250" s="17"/>
      <c r="AZ250" s="17"/>
    </row>
    <row r="251" spans="1:52" ht="20">
      <c r="A251" s="17"/>
      <c r="B251" s="40"/>
      <c r="C251" s="55">
        <f t="shared" si="81"/>
        <v>232</v>
      </c>
      <c r="D251" s="54">
        <v>1</v>
      </c>
      <c r="E251" s="53" t="str">
        <f t="shared" si="74"/>
        <v>8</v>
      </c>
      <c r="F251" s="52">
        <f t="shared" si="82"/>
        <v>45523</v>
      </c>
      <c r="G251" s="51" t="str">
        <f t="shared" si="83"/>
        <v>Mon</v>
      </c>
      <c r="H251" s="50"/>
      <c r="I251" s="49"/>
      <c r="J251" s="343">
        <f>148100/$B$13</f>
        <v>1342.2149719050208</v>
      </c>
      <c r="K251" s="31"/>
      <c r="L251" s="317">
        <f t="shared" si="87"/>
        <v>1786.7596664101461</v>
      </c>
      <c r="M251" s="318">
        <f t="shared" si="75"/>
        <v>-444.54469450512534</v>
      </c>
      <c r="N251" s="41">
        <f t="shared" si="76"/>
        <v>0.75120062151487965</v>
      </c>
      <c r="O251" s="46"/>
      <c r="P251" s="328">
        <f>IF(D251=0,0,SUM($L$233:L251))</f>
        <v>19654.356330511608</v>
      </c>
      <c r="Q251" s="317">
        <f>IF(D251=0,0,SUM($J$233:J251))</f>
        <v>18504.2142468733</v>
      </c>
      <c r="R251" s="321">
        <f t="shared" si="77"/>
        <v>-1150.1420836383077</v>
      </c>
      <c r="S251" s="41">
        <f t="shared" si="78"/>
        <v>0.94148156956670126</v>
      </c>
      <c r="T251" s="56"/>
      <c r="U251" s="348">
        <f>IF(D251=0,0,SUM($L$20:L251))</f>
        <v>381026.49886196334</v>
      </c>
      <c r="V251" s="348">
        <f>IF(D251=0,0,SUM($J$20:J251))</f>
        <v>396577.56933115824</v>
      </c>
      <c r="W251" s="349">
        <f t="shared" si="79"/>
        <v>15551.070469194907</v>
      </c>
      <c r="X251" s="41">
        <f t="shared" si="80"/>
        <v>1.0408136193037552</v>
      </c>
      <c r="Y251" s="17"/>
      <c r="Z251" s="23">
        <f t="shared" si="88"/>
        <v>45523</v>
      </c>
      <c r="AA251" s="22">
        <f t="shared" si="88"/>
        <v>45523</v>
      </c>
      <c r="AB251" s="137">
        <v>45523</v>
      </c>
      <c r="AC251" s="137"/>
      <c r="AD251" s="134"/>
      <c r="AE251" s="134"/>
      <c r="AF251" s="139"/>
      <c r="AG251" s="256"/>
      <c r="AH251" s="256"/>
      <c r="AI251" s="256"/>
      <c r="AJ251" s="256"/>
      <c r="AK251" s="134"/>
      <c r="AL251" s="134"/>
      <c r="AM251" s="134"/>
      <c r="AN251" s="18"/>
      <c r="AO251" s="18"/>
      <c r="AP251" s="18"/>
      <c r="AQ251" s="18"/>
      <c r="AR251" s="17"/>
      <c r="AS251" s="21">
        <f t="shared" si="85"/>
        <v>45523</v>
      </c>
      <c r="AT251" s="17"/>
      <c r="AU251" s="17"/>
      <c r="AV251" s="17"/>
      <c r="AW251" s="17"/>
      <c r="AX251" s="17"/>
      <c r="AY251" s="17"/>
      <c r="AZ251" s="17"/>
    </row>
    <row r="252" spans="1:52" ht="20">
      <c r="A252" s="17"/>
      <c r="B252" s="40"/>
      <c r="C252" s="55">
        <f t="shared" si="81"/>
        <v>233</v>
      </c>
      <c r="D252" s="54">
        <v>1</v>
      </c>
      <c r="E252" s="53" t="str">
        <f t="shared" si="74"/>
        <v>8</v>
      </c>
      <c r="F252" s="52">
        <f t="shared" si="82"/>
        <v>45524</v>
      </c>
      <c r="G252" s="51" t="str">
        <f t="shared" si="83"/>
        <v>Tue</v>
      </c>
      <c r="H252" s="50"/>
      <c r="I252" s="49"/>
      <c r="J252" s="343">
        <f>192250/$B$13</f>
        <v>1742.341852456045</v>
      </c>
      <c r="K252" s="31"/>
      <c r="L252" s="317">
        <f t="shared" si="87"/>
        <v>1786.7596664101461</v>
      </c>
      <c r="M252" s="318">
        <f t="shared" si="75"/>
        <v>-44.417813954101121</v>
      </c>
      <c r="N252" s="41">
        <f t="shared" si="76"/>
        <v>0.97514057721968683</v>
      </c>
      <c r="O252" s="46"/>
      <c r="P252" s="328">
        <f>IF(D252=0,0,SUM($L$233:L252))</f>
        <v>21441.115996921755</v>
      </c>
      <c r="Q252" s="317">
        <f>IF(D252=0,0,SUM($J$233:J252))</f>
        <v>20246.556099329344</v>
      </c>
      <c r="R252" s="321">
        <f t="shared" si="77"/>
        <v>-1194.5598975924113</v>
      </c>
      <c r="S252" s="41">
        <f t="shared" si="78"/>
        <v>0.9442864868711166</v>
      </c>
      <c r="T252" s="56"/>
      <c r="U252" s="348">
        <f>IF(D252=0,0,SUM($L$20:L252))</f>
        <v>382813.2585283735</v>
      </c>
      <c r="V252" s="348">
        <f>IF(D252=0,0,SUM($J$20:J252))</f>
        <v>398319.91118361428</v>
      </c>
      <c r="W252" s="349">
        <f t="shared" si="79"/>
        <v>15506.652655240789</v>
      </c>
      <c r="X252" s="41">
        <f t="shared" si="80"/>
        <v>1.0405070940198156</v>
      </c>
      <c r="Y252" s="17"/>
      <c r="Z252" s="23">
        <f t="shared" si="88"/>
        <v>45524</v>
      </c>
      <c r="AA252" s="22">
        <f t="shared" si="88"/>
        <v>45524</v>
      </c>
      <c r="AB252" s="137">
        <v>45524</v>
      </c>
      <c r="AC252" s="137"/>
      <c r="AD252" s="134"/>
      <c r="AE252" s="134"/>
      <c r="AF252" s="139"/>
      <c r="AG252" s="256"/>
      <c r="AH252" s="256"/>
      <c r="AI252" s="256"/>
      <c r="AJ252" s="256"/>
      <c r="AK252" s="134"/>
      <c r="AL252" s="134"/>
      <c r="AM252" s="134"/>
      <c r="AN252" s="18"/>
      <c r="AO252" s="18"/>
      <c r="AP252" s="18"/>
      <c r="AQ252" s="18"/>
      <c r="AR252" s="17"/>
      <c r="AS252" s="21">
        <f t="shared" si="85"/>
        <v>45524</v>
      </c>
      <c r="AT252" s="17"/>
      <c r="AU252" s="17"/>
      <c r="AV252" s="17"/>
      <c r="AW252" s="17"/>
      <c r="AX252" s="17"/>
      <c r="AY252" s="17"/>
      <c r="AZ252" s="17"/>
    </row>
    <row r="253" spans="1:52" ht="20">
      <c r="A253" s="17"/>
      <c r="B253" s="40"/>
      <c r="C253" s="55">
        <f t="shared" si="81"/>
        <v>234</v>
      </c>
      <c r="D253" s="54">
        <v>1</v>
      </c>
      <c r="E253" s="53" t="str">
        <f t="shared" si="74"/>
        <v>8</v>
      </c>
      <c r="F253" s="52">
        <f t="shared" si="82"/>
        <v>45525</v>
      </c>
      <c r="G253" s="51" t="str">
        <f t="shared" si="83"/>
        <v>Wed</v>
      </c>
      <c r="H253" s="50"/>
      <c r="I253" s="49"/>
      <c r="J253" s="343">
        <f>341650/$B$13</f>
        <v>3096.3385898133042</v>
      </c>
      <c r="K253" s="31"/>
      <c r="L253" s="317">
        <f t="shared" si="87"/>
        <v>1786.7596664101461</v>
      </c>
      <c r="M253" s="318">
        <f t="shared" si="75"/>
        <v>1309.5789234031581</v>
      </c>
      <c r="N253" s="41">
        <f t="shared" si="76"/>
        <v>1.7329351272151157</v>
      </c>
      <c r="O253" s="46"/>
      <c r="P253" s="328">
        <f>IF(D253=0,0,SUM($L$233:L253))</f>
        <v>23227.875663331903</v>
      </c>
      <c r="Q253" s="317">
        <f>IF(D253=0,0,SUM($J$233:J253))</f>
        <v>23342.894689142649</v>
      </c>
      <c r="R253" s="321">
        <f t="shared" si="77"/>
        <v>115.01902581074683</v>
      </c>
      <c r="S253" s="41">
        <f t="shared" si="78"/>
        <v>1.004951766897578</v>
      </c>
      <c r="T253" s="56"/>
      <c r="U253" s="348">
        <f>IF(D253=0,0,SUM($L$20:L253))</f>
        <v>384600.01819478365</v>
      </c>
      <c r="V253" s="348">
        <f>IF(D253=0,0,SUM($J$20:J253))</f>
        <v>401416.24977342761</v>
      </c>
      <c r="W253" s="349">
        <f t="shared" si="79"/>
        <v>16816.231578643958</v>
      </c>
      <c r="X253" s="41">
        <f t="shared" si="80"/>
        <v>1.0437239489940098</v>
      </c>
      <c r="Y253" s="17"/>
      <c r="Z253" s="23">
        <f t="shared" si="88"/>
        <v>45525</v>
      </c>
      <c r="AA253" s="22">
        <f t="shared" si="88"/>
        <v>45525</v>
      </c>
      <c r="AB253" s="137">
        <v>45525</v>
      </c>
      <c r="AC253" s="137"/>
      <c r="AD253" s="134"/>
      <c r="AE253" s="134"/>
      <c r="AF253" s="139"/>
      <c r="AG253" s="256"/>
      <c r="AH253" s="256"/>
      <c r="AI253" s="256"/>
      <c r="AJ253" s="256"/>
      <c r="AK253" s="134"/>
      <c r="AL253" s="134"/>
      <c r="AM253" s="134"/>
      <c r="AN253" s="18"/>
      <c r="AO253" s="18"/>
      <c r="AP253" s="18"/>
      <c r="AQ253" s="18"/>
      <c r="AR253" s="17"/>
      <c r="AS253" s="21">
        <f t="shared" si="85"/>
        <v>45525</v>
      </c>
      <c r="AT253" s="17"/>
      <c r="AU253" s="17"/>
      <c r="AV253" s="17"/>
      <c r="AW253" s="17"/>
      <c r="AX253" s="17"/>
      <c r="AY253" s="17"/>
      <c r="AZ253" s="17"/>
    </row>
    <row r="254" spans="1:52" ht="20">
      <c r="A254" s="17"/>
      <c r="B254" s="40"/>
      <c r="C254" s="55">
        <f t="shared" si="81"/>
        <v>235</v>
      </c>
      <c r="D254" s="54">
        <v>1</v>
      </c>
      <c r="E254" s="53" t="str">
        <f t="shared" si="74"/>
        <v>8</v>
      </c>
      <c r="F254" s="52">
        <f t="shared" si="82"/>
        <v>45526</v>
      </c>
      <c r="G254" s="51" t="str">
        <f t="shared" si="83"/>
        <v>Thu</v>
      </c>
      <c r="H254" s="50"/>
      <c r="I254" s="49"/>
      <c r="J254" s="343">
        <f>211250/$B$13</f>
        <v>1914.5368859887619</v>
      </c>
      <c r="K254" s="31"/>
      <c r="L254" s="317">
        <f t="shared" si="87"/>
        <v>1786.7596664101461</v>
      </c>
      <c r="M254" s="318">
        <f t="shared" si="75"/>
        <v>127.77721957861581</v>
      </c>
      <c r="N254" s="41">
        <f t="shared" si="76"/>
        <v>1.0715133780892527</v>
      </c>
      <c r="O254" s="46"/>
      <c r="P254" s="328">
        <f>IF(D254=0,0,SUM($L$233:L254))</f>
        <v>25014.63532974205</v>
      </c>
      <c r="Q254" s="317">
        <f>IF(D254=0,0,SUM($J$233:J254))</f>
        <v>25257.43157513141</v>
      </c>
      <c r="R254" s="321">
        <f t="shared" si="77"/>
        <v>242.79624538935968</v>
      </c>
      <c r="S254" s="41">
        <f t="shared" si="78"/>
        <v>1.0097061676969834</v>
      </c>
      <c r="T254" s="56"/>
      <c r="U254" s="348">
        <f>IF(D254=0,0,SUM($L$20:L254))</f>
        <v>386386.77786119381</v>
      </c>
      <c r="V254" s="348">
        <f>IF(D254=0,0,SUM($J$20:J254))</f>
        <v>403330.78665941639</v>
      </c>
      <c r="W254" s="349">
        <f t="shared" si="79"/>
        <v>16944.008798222581</v>
      </c>
      <c r="X254" s="41">
        <f t="shared" si="80"/>
        <v>1.0438524550245081</v>
      </c>
      <c r="Y254" s="17"/>
      <c r="Z254" s="23">
        <f t="shared" si="88"/>
        <v>45526</v>
      </c>
      <c r="AA254" s="22">
        <f t="shared" si="88"/>
        <v>45526</v>
      </c>
      <c r="AB254" s="137">
        <v>45526</v>
      </c>
      <c r="AC254" s="137"/>
      <c r="AD254" s="134"/>
      <c r="AE254" s="134"/>
      <c r="AF254" s="139"/>
      <c r="AG254" s="256"/>
      <c r="AH254" s="256"/>
      <c r="AI254" s="256"/>
      <c r="AJ254" s="256"/>
      <c r="AK254" s="134"/>
      <c r="AL254" s="134"/>
      <c r="AM254" s="134"/>
      <c r="AN254" s="18"/>
      <c r="AO254" s="18"/>
      <c r="AP254" s="18"/>
      <c r="AQ254" s="18"/>
      <c r="AR254" s="17"/>
      <c r="AS254" s="21">
        <f t="shared" si="85"/>
        <v>45526</v>
      </c>
      <c r="AT254" s="17"/>
      <c r="AU254" s="17"/>
      <c r="AV254" s="17"/>
      <c r="AW254" s="17"/>
      <c r="AX254" s="17"/>
      <c r="AY254" s="17"/>
      <c r="AZ254" s="17"/>
    </row>
    <row r="255" spans="1:52" ht="20">
      <c r="A255" s="17"/>
      <c r="B255" s="40"/>
      <c r="C255" s="55">
        <f t="shared" si="81"/>
        <v>236</v>
      </c>
      <c r="D255" s="54">
        <v>1</v>
      </c>
      <c r="E255" s="53" t="str">
        <f t="shared" si="74"/>
        <v>8</v>
      </c>
      <c r="F255" s="52">
        <f t="shared" si="82"/>
        <v>45527</v>
      </c>
      <c r="G255" s="51" t="str">
        <f t="shared" si="83"/>
        <v>Fri</v>
      </c>
      <c r="H255" s="50"/>
      <c r="I255" s="49"/>
      <c r="J255" s="343">
        <f>346500/$B$13</f>
        <v>3140.2936378466557</v>
      </c>
      <c r="K255" s="31"/>
      <c r="L255" s="317">
        <f t="shared" si="87"/>
        <v>1786.7596664101461</v>
      </c>
      <c r="M255" s="318">
        <f t="shared" si="75"/>
        <v>1353.5339714365095</v>
      </c>
      <c r="N255" s="41">
        <f t="shared" si="76"/>
        <v>1.7575355527002416</v>
      </c>
      <c r="O255" s="46"/>
      <c r="P255" s="328">
        <f>IF(D255=0,0,SUM($L$233:L255))</f>
        <v>26801.394996152198</v>
      </c>
      <c r="Q255" s="317">
        <f>IF(D255=0,0,SUM($J$233:J255))</f>
        <v>28397.725212978065</v>
      </c>
      <c r="R255" s="321">
        <f t="shared" si="77"/>
        <v>1596.330216825867</v>
      </c>
      <c r="S255" s="41">
        <f t="shared" si="78"/>
        <v>1.0595614600305339</v>
      </c>
      <c r="T255" s="56"/>
      <c r="U255" s="348">
        <f>IF(D255=0,0,SUM($L$20:L255))</f>
        <v>388173.53752760397</v>
      </c>
      <c r="V255" s="348">
        <f>IF(D255=0,0,SUM($J$20:J255))</f>
        <v>406471.08029726305</v>
      </c>
      <c r="W255" s="349">
        <f t="shared" si="79"/>
        <v>18297.542769659078</v>
      </c>
      <c r="X255" s="41">
        <f t="shared" si="80"/>
        <v>1.0471375325742236</v>
      </c>
      <c r="Y255" s="17"/>
      <c r="Z255" s="23">
        <f t="shared" si="88"/>
        <v>45527</v>
      </c>
      <c r="AA255" s="22">
        <f t="shared" si="88"/>
        <v>45527</v>
      </c>
      <c r="AB255" s="137">
        <v>45527</v>
      </c>
      <c r="AC255" s="137"/>
      <c r="AD255" s="134"/>
      <c r="AE255" s="134"/>
      <c r="AF255" s="139"/>
      <c r="AG255" s="256"/>
      <c r="AH255" s="256"/>
      <c r="AI255" s="256"/>
      <c r="AJ255" s="256"/>
      <c r="AK255" s="134"/>
      <c r="AL255" s="134"/>
      <c r="AM255" s="134"/>
      <c r="AN255" s="18"/>
      <c r="AO255" s="18"/>
      <c r="AP255" s="18"/>
      <c r="AQ255" s="18"/>
      <c r="AR255" s="17"/>
      <c r="AS255" s="21">
        <f t="shared" si="85"/>
        <v>45527</v>
      </c>
      <c r="AT255" s="17"/>
      <c r="AU255" s="17"/>
      <c r="AV255" s="17"/>
      <c r="AW255" s="17"/>
      <c r="AX255" s="17"/>
      <c r="AY255" s="17"/>
      <c r="AZ255" s="17"/>
    </row>
    <row r="256" spans="1:52" ht="20">
      <c r="A256" s="17"/>
      <c r="B256" s="40"/>
      <c r="C256" s="55">
        <f t="shared" si="81"/>
        <v>237</v>
      </c>
      <c r="D256" s="54">
        <v>1</v>
      </c>
      <c r="E256" s="53" t="str">
        <f t="shared" si="74"/>
        <v>8</v>
      </c>
      <c r="F256" s="52">
        <f t="shared" si="82"/>
        <v>45528</v>
      </c>
      <c r="G256" s="51" t="str">
        <f t="shared" si="83"/>
        <v>Sat</v>
      </c>
      <c r="H256" s="50"/>
      <c r="I256" s="49"/>
      <c r="J256" s="343">
        <f>163470/$B$13</f>
        <v>1481.5116911364871</v>
      </c>
      <c r="K256" s="31"/>
      <c r="L256" s="317">
        <f t="shared" si="87"/>
        <v>1786.7596664101461</v>
      </c>
      <c r="M256" s="318">
        <f t="shared" si="75"/>
        <v>-305.24797527365899</v>
      </c>
      <c r="N256" s="41">
        <f t="shared" si="76"/>
        <v>0.82916114516568107</v>
      </c>
      <c r="O256" s="46"/>
      <c r="P256" s="328">
        <f>IF(D256=0,0,SUM($L$233:L256))</f>
        <v>28588.154662562345</v>
      </c>
      <c r="Q256" s="317">
        <f>IF(D256=0,0,SUM($J$233:J256))</f>
        <v>29879.23690411455</v>
      </c>
      <c r="R256" s="321">
        <f t="shared" si="77"/>
        <v>1291.0822415522052</v>
      </c>
      <c r="S256" s="41">
        <f t="shared" si="78"/>
        <v>1.0451614403514804</v>
      </c>
      <c r="T256" s="44"/>
      <c r="U256" s="348">
        <f>IF(D256=0,0,SUM($L$20:L256))</f>
        <v>389960.29719401413</v>
      </c>
      <c r="V256" s="348">
        <f>IF(D256=0,0,SUM($J$20:J256))</f>
        <v>407952.59198839951</v>
      </c>
      <c r="W256" s="349">
        <f t="shared" si="79"/>
        <v>17992.29479438538</v>
      </c>
      <c r="X256" s="41">
        <f t="shared" si="80"/>
        <v>1.0461387862401639</v>
      </c>
      <c r="Y256" s="17"/>
      <c r="Z256" s="23">
        <f t="shared" si="88"/>
        <v>45528</v>
      </c>
      <c r="AA256" s="22">
        <f t="shared" si="88"/>
        <v>45528</v>
      </c>
      <c r="AB256" s="137">
        <v>45528</v>
      </c>
      <c r="AC256" s="137"/>
      <c r="AD256" s="134"/>
      <c r="AE256" s="134"/>
      <c r="AF256" s="139"/>
      <c r="AG256" s="256"/>
      <c r="AH256" s="256"/>
      <c r="AI256" s="256"/>
      <c r="AJ256" s="256"/>
      <c r="AK256" s="134"/>
      <c r="AL256" s="134"/>
      <c r="AM256" s="134"/>
      <c r="AN256" s="18"/>
      <c r="AO256" s="18"/>
      <c r="AP256" s="18"/>
      <c r="AQ256" s="18"/>
      <c r="AR256" s="17"/>
      <c r="AS256" s="21">
        <f t="shared" si="85"/>
        <v>45528</v>
      </c>
      <c r="AT256" s="17"/>
      <c r="AU256" s="17"/>
      <c r="AV256" s="17"/>
      <c r="AW256" s="17"/>
      <c r="AX256" s="17"/>
      <c r="AY256" s="17"/>
      <c r="AZ256" s="17"/>
    </row>
    <row r="257" spans="1:52" ht="20">
      <c r="A257" s="17"/>
      <c r="B257" s="40"/>
      <c r="C257" s="55">
        <f t="shared" si="81"/>
        <v>238</v>
      </c>
      <c r="D257" s="54">
        <v>0</v>
      </c>
      <c r="E257" s="53" t="str">
        <f t="shared" si="74"/>
        <v>8</v>
      </c>
      <c r="F257" s="52">
        <f t="shared" si="82"/>
        <v>45529</v>
      </c>
      <c r="G257" s="51" t="str">
        <f t="shared" si="83"/>
        <v>Sun</v>
      </c>
      <c r="H257" s="50" t="s">
        <v>46</v>
      </c>
      <c r="I257" s="49"/>
      <c r="J257" s="343"/>
      <c r="K257" s="31"/>
      <c r="L257" s="317">
        <f t="shared" si="87"/>
        <v>0</v>
      </c>
      <c r="M257" s="318">
        <f t="shared" si="75"/>
        <v>0</v>
      </c>
      <c r="N257" s="41" t="str">
        <f t="shared" si="76"/>
        <v>0%</v>
      </c>
      <c r="O257" s="46"/>
      <c r="P257" s="328">
        <f>IF(D257=0,0,SUM($L$233:L257))</f>
        <v>0</v>
      </c>
      <c r="Q257" s="317">
        <f>IF(D257=0,0,SUM($J$233:J257))</f>
        <v>0</v>
      </c>
      <c r="R257" s="321">
        <f t="shared" si="77"/>
        <v>0</v>
      </c>
      <c r="S257" s="41" t="str">
        <f t="shared" si="78"/>
        <v>0%</v>
      </c>
      <c r="T257" s="56"/>
      <c r="U257" s="348">
        <f>IF(D257=0,0,SUM($L$20:L257))</f>
        <v>0</v>
      </c>
      <c r="V257" s="348">
        <f>IF(D257=0,0,SUM($J$20:J257))</f>
        <v>0</v>
      </c>
      <c r="W257" s="349">
        <f t="shared" si="79"/>
        <v>0</v>
      </c>
      <c r="X257" s="41" t="str">
        <f t="shared" si="80"/>
        <v>0%</v>
      </c>
      <c r="Y257" s="17"/>
      <c r="Z257" s="23">
        <f t="shared" si="88"/>
        <v>45529</v>
      </c>
      <c r="AA257" s="22">
        <f t="shared" si="88"/>
        <v>45529</v>
      </c>
      <c r="AB257" s="137">
        <v>45529</v>
      </c>
      <c r="AC257" s="137"/>
      <c r="AD257" s="134"/>
      <c r="AE257" s="134"/>
      <c r="AF257" s="139"/>
      <c r="AG257" s="256"/>
      <c r="AH257" s="256"/>
      <c r="AI257" s="256"/>
      <c r="AJ257" s="256"/>
      <c r="AK257" s="134"/>
      <c r="AL257" s="134"/>
      <c r="AM257" s="134"/>
      <c r="AN257" s="18"/>
      <c r="AO257" s="18"/>
      <c r="AP257" s="18"/>
      <c r="AQ257" s="18"/>
      <c r="AR257" s="17"/>
      <c r="AS257" s="21">
        <f t="shared" si="85"/>
        <v>45529</v>
      </c>
      <c r="AT257" s="17"/>
      <c r="AU257" s="17"/>
      <c r="AV257" s="17"/>
      <c r="AW257" s="17"/>
      <c r="AX257" s="17"/>
      <c r="AY257" s="17"/>
      <c r="AZ257" s="17"/>
    </row>
    <row r="258" spans="1:52" ht="20">
      <c r="A258" s="17"/>
      <c r="B258" s="40"/>
      <c r="C258" s="55">
        <f t="shared" si="81"/>
        <v>239</v>
      </c>
      <c r="D258" s="54">
        <v>1</v>
      </c>
      <c r="E258" s="53" t="str">
        <f t="shared" si="74"/>
        <v>8</v>
      </c>
      <c r="F258" s="52">
        <f t="shared" si="82"/>
        <v>45530</v>
      </c>
      <c r="G258" s="51" t="str">
        <f t="shared" si="83"/>
        <v>Mon</v>
      </c>
      <c r="H258" s="50"/>
      <c r="I258" s="49"/>
      <c r="J258" s="343">
        <f>134000/$B$13</f>
        <v>1214.4281312307412</v>
      </c>
      <c r="K258" s="31"/>
      <c r="L258" s="317">
        <f t="shared" si="87"/>
        <v>1786.7596664101461</v>
      </c>
      <c r="M258" s="318">
        <f t="shared" si="75"/>
        <v>-572.33153517940491</v>
      </c>
      <c r="N258" s="41">
        <f t="shared" si="76"/>
        <v>0.67968185876430698</v>
      </c>
      <c r="O258" s="46"/>
      <c r="P258" s="328">
        <f>IF(D258=0,0,SUM($L$233:L258))</f>
        <v>30374.914328972493</v>
      </c>
      <c r="Q258" s="317">
        <f>IF(D258=0,0,SUM($J$233:J258))</f>
        <v>31093.665035345293</v>
      </c>
      <c r="R258" s="321">
        <f t="shared" si="77"/>
        <v>718.75070637280078</v>
      </c>
      <c r="S258" s="41">
        <f t="shared" si="78"/>
        <v>1.023662641434588</v>
      </c>
      <c r="T258" s="56"/>
      <c r="U258" s="348">
        <f>IF(D258=0,0,SUM($L$20:L258))</f>
        <v>391747.05686042429</v>
      </c>
      <c r="V258" s="348">
        <f>IF(D258=0,0,SUM($J$20:J258))</f>
        <v>409167.02011963027</v>
      </c>
      <c r="W258" s="349">
        <f t="shared" si="79"/>
        <v>17419.963259205979</v>
      </c>
      <c r="X258" s="41">
        <f t="shared" si="80"/>
        <v>1.0444673749403879</v>
      </c>
      <c r="Y258" s="17"/>
      <c r="Z258" s="23">
        <f t="shared" si="88"/>
        <v>45530</v>
      </c>
      <c r="AA258" s="22">
        <f t="shared" si="88"/>
        <v>45530</v>
      </c>
      <c r="AB258" s="137">
        <v>45530</v>
      </c>
      <c r="AC258" s="137"/>
      <c r="AD258" s="134"/>
      <c r="AE258" s="134"/>
      <c r="AF258" s="139"/>
      <c r="AG258" s="256"/>
      <c r="AH258" s="256"/>
      <c r="AI258" s="256"/>
      <c r="AJ258" s="256"/>
      <c r="AK258" s="134"/>
      <c r="AL258" s="134"/>
      <c r="AM258" s="134"/>
      <c r="AN258" s="18"/>
      <c r="AO258" s="18"/>
      <c r="AP258" s="18"/>
      <c r="AQ258" s="18"/>
      <c r="AR258" s="17"/>
      <c r="AS258" s="21">
        <f t="shared" si="85"/>
        <v>45530</v>
      </c>
      <c r="AT258" s="17"/>
      <c r="AU258" s="17"/>
      <c r="AV258" s="17"/>
      <c r="AW258" s="17"/>
      <c r="AX258" s="17"/>
      <c r="AY258" s="17"/>
      <c r="AZ258" s="17"/>
    </row>
    <row r="259" spans="1:52" ht="20">
      <c r="A259" s="17"/>
      <c r="B259" s="40"/>
      <c r="C259" s="55">
        <f t="shared" si="81"/>
        <v>240</v>
      </c>
      <c r="D259" s="54">
        <v>1</v>
      </c>
      <c r="E259" s="53" t="str">
        <f t="shared" si="74"/>
        <v>8</v>
      </c>
      <c r="F259" s="52">
        <f t="shared" si="82"/>
        <v>45531</v>
      </c>
      <c r="G259" s="51" t="str">
        <f t="shared" si="83"/>
        <v>Tue</v>
      </c>
      <c r="H259" s="50"/>
      <c r="I259" s="49"/>
      <c r="J259" s="343">
        <f>157150/$B$13</f>
        <v>1424.2341852456045</v>
      </c>
      <c r="K259" s="31"/>
      <c r="L259" s="317">
        <f t="shared" si="87"/>
        <v>1786.7596664101461</v>
      </c>
      <c r="M259" s="318">
        <f t="shared" si="75"/>
        <v>-362.52548116454159</v>
      </c>
      <c r="N259" s="41">
        <f t="shared" si="76"/>
        <v>0.79710450824485712</v>
      </c>
      <c r="O259" s="46"/>
      <c r="P259" s="328">
        <f>IF(D259=0,0,SUM($L$233:L259))</f>
        <v>32161.67399538264</v>
      </c>
      <c r="Q259" s="317">
        <f>IF(D259=0,0,SUM($J$233:J259))</f>
        <v>32517.899220590898</v>
      </c>
      <c r="R259" s="321">
        <f t="shared" si="77"/>
        <v>356.22522520825805</v>
      </c>
      <c r="S259" s="41">
        <f t="shared" si="78"/>
        <v>1.0110760784796027</v>
      </c>
      <c r="T259" s="56"/>
      <c r="U259" s="348">
        <f>IF(D259=0,0,SUM($L$20:L259))</f>
        <v>393533.81652683445</v>
      </c>
      <c r="V259" s="348">
        <f>IF(D259=0,0,SUM($J$20:J259))</f>
        <v>410591.25430487585</v>
      </c>
      <c r="W259" s="349">
        <f t="shared" si="79"/>
        <v>17057.437778041407</v>
      </c>
      <c r="X259" s="41">
        <f t="shared" si="80"/>
        <v>1.0433442745240631</v>
      </c>
      <c r="Y259" s="17"/>
      <c r="Z259" s="23">
        <f t="shared" si="88"/>
        <v>45531</v>
      </c>
      <c r="AA259" s="22">
        <f t="shared" si="88"/>
        <v>45531</v>
      </c>
      <c r="AB259" s="137">
        <v>45531</v>
      </c>
      <c r="AC259" s="137"/>
      <c r="AD259" s="134"/>
      <c r="AE259" s="134"/>
      <c r="AF259" s="139"/>
      <c r="AG259" s="256"/>
      <c r="AH259" s="256"/>
      <c r="AI259" s="256"/>
      <c r="AJ259" s="256"/>
      <c r="AK259" s="134"/>
      <c r="AL259" s="134"/>
      <c r="AM259" s="134"/>
      <c r="AN259" s="18"/>
      <c r="AO259" s="18"/>
      <c r="AP259" s="18"/>
      <c r="AQ259" s="18"/>
      <c r="AR259" s="17"/>
      <c r="AS259" s="21">
        <f t="shared" si="85"/>
        <v>45531</v>
      </c>
      <c r="AT259" s="17"/>
      <c r="AU259" s="17"/>
      <c r="AV259" s="17"/>
      <c r="AW259" s="17"/>
      <c r="AX259" s="17"/>
      <c r="AY259" s="17"/>
      <c r="AZ259" s="17"/>
    </row>
    <row r="260" spans="1:52" ht="20">
      <c r="A260" s="17"/>
      <c r="B260" s="40"/>
      <c r="C260" s="55">
        <f t="shared" si="81"/>
        <v>241</v>
      </c>
      <c r="D260" s="54">
        <v>1</v>
      </c>
      <c r="E260" s="53" t="str">
        <f t="shared" si="74"/>
        <v>8</v>
      </c>
      <c r="F260" s="52">
        <f t="shared" si="82"/>
        <v>45532</v>
      </c>
      <c r="G260" s="51" t="str">
        <f t="shared" si="83"/>
        <v>Wed</v>
      </c>
      <c r="H260" s="50"/>
      <c r="I260" s="49"/>
      <c r="J260" s="343">
        <f>307544/$B$13</f>
        <v>2787.2394417255755</v>
      </c>
      <c r="K260" s="31"/>
      <c r="L260" s="317">
        <f t="shared" si="87"/>
        <v>1786.7596664101461</v>
      </c>
      <c r="M260" s="318">
        <f t="shared" si="75"/>
        <v>1000.4797753154294</v>
      </c>
      <c r="N260" s="41">
        <f t="shared" si="76"/>
        <v>1.5599408774015675</v>
      </c>
      <c r="O260" s="46"/>
      <c r="P260" s="328">
        <f>IF(D260=0,0,SUM($L$233:L260))</f>
        <v>33948.433661792784</v>
      </c>
      <c r="Q260" s="317">
        <f>IF(D260=0,0,SUM($J$233:J260))</f>
        <v>35305.138662316473</v>
      </c>
      <c r="R260" s="321">
        <f t="shared" si="77"/>
        <v>1356.7050005236888</v>
      </c>
      <c r="S260" s="41">
        <f t="shared" si="78"/>
        <v>1.0399636994754957</v>
      </c>
      <c r="T260" s="56"/>
      <c r="U260" s="348">
        <f>IF(D260=0,0,SUM($L$20:L260))</f>
        <v>395320.5761932446</v>
      </c>
      <c r="V260" s="348">
        <f>IF(D260=0,0,SUM($J$20:J260))</f>
        <v>413378.49374660145</v>
      </c>
      <c r="W260" s="349">
        <f t="shared" si="79"/>
        <v>18057.917553356849</v>
      </c>
      <c r="X260" s="41">
        <f t="shared" si="80"/>
        <v>1.0456791744240745</v>
      </c>
      <c r="Y260" s="17"/>
      <c r="Z260" s="23">
        <f t="shared" si="88"/>
        <v>45532</v>
      </c>
      <c r="AA260" s="22">
        <f t="shared" si="88"/>
        <v>45532</v>
      </c>
      <c r="AB260" s="137">
        <v>45532</v>
      </c>
      <c r="AC260" s="137"/>
      <c r="AD260" s="134"/>
      <c r="AE260" s="134"/>
      <c r="AF260" s="139"/>
      <c r="AG260" s="256"/>
      <c r="AH260" s="256"/>
      <c r="AI260" s="256"/>
      <c r="AJ260" s="256"/>
      <c r="AK260" s="134"/>
      <c r="AL260" s="134"/>
      <c r="AM260" s="134"/>
      <c r="AN260" s="18"/>
      <c r="AO260" s="18"/>
      <c r="AP260" s="18"/>
      <c r="AQ260" s="18"/>
      <c r="AR260" s="17"/>
      <c r="AS260" s="21">
        <f t="shared" si="85"/>
        <v>45532</v>
      </c>
      <c r="AT260" s="17"/>
      <c r="AU260" s="17"/>
      <c r="AV260" s="17"/>
      <c r="AW260" s="17"/>
      <c r="AX260" s="17"/>
      <c r="AY260" s="17"/>
      <c r="AZ260" s="17"/>
    </row>
    <row r="261" spans="1:52" ht="20">
      <c r="A261" s="17"/>
      <c r="B261" s="40"/>
      <c r="C261" s="55">
        <f t="shared" si="81"/>
        <v>242</v>
      </c>
      <c r="D261" s="54">
        <v>1</v>
      </c>
      <c r="E261" s="53" t="str">
        <f t="shared" si="74"/>
        <v>8</v>
      </c>
      <c r="F261" s="52">
        <f t="shared" si="82"/>
        <v>45533</v>
      </c>
      <c r="G261" s="51" t="str">
        <f t="shared" si="83"/>
        <v>Thu</v>
      </c>
      <c r="H261" s="50"/>
      <c r="I261" s="49"/>
      <c r="J261" s="343">
        <f>319443/$B$13</f>
        <v>2895.0788471995647</v>
      </c>
      <c r="K261" s="31"/>
      <c r="L261" s="317">
        <f t="shared" si="87"/>
        <v>1786.7596664101461</v>
      </c>
      <c r="M261" s="318">
        <f t="shared" si="75"/>
        <v>1108.3191807894186</v>
      </c>
      <c r="N261" s="41">
        <f t="shared" si="76"/>
        <v>1.6202956120093024</v>
      </c>
      <c r="O261" s="46"/>
      <c r="P261" s="328">
        <f>IF(D261=0,0,SUM($L$233:L261))</f>
        <v>35735.193328202928</v>
      </c>
      <c r="Q261" s="317">
        <f>IF(D261=0,0,SUM($J$233:J261))</f>
        <v>38200.217509516035</v>
      </c>
      <c r="R261" s="321">
        <f t="shared" si="77"/>
        <v>2465.024181313107</v>
      </c>
      <c r="S261" s="41">
        <f t="shared" si="78"/>
        <v>1.0689802951021861</v>
      </c>
      <c r="T261" s="56"/>
      <c r="U261" s="348">
        <f>IF(D261=0,0,SUM($L$20:L261))</f>
        <v>397107.33585965476</v>
      </c>
      <c r="V261" s="348">
        <f>IF(D261=0,0,SUM($J$20:J261))</f>
        <v>416273.57259380101</v>
      </c>
      <c r="W261" s="349">
        <f t="shared" si="79"/>
        <v>19166.236734146252</v>
      </c>
      <c r="X261" s="41">
        <f t="shared" si="80"/>
        <v>1.0482646252118595</v>
      </c>
      <c r="Y261" s="17"/>
      <c r="Z261" s="23">
        <f t="shared" ref="Z261:AA276" si="89">Z260+1</f>
        <v>45533</v>
      </c>
      <c r="AA261" s="22">
        <f t="shared" si="89"/>
        <v>45533</v>
      </c>
      <c r="AB261" s="137">
        <v>45533</v>
      </c>
      <c r="AC261" s="137"/>
      <c r="AD261" s="134"/>
      <c r="AE261" s="134"/>
      <c r="AF261" s="139"/>
      <c r="AG261" s="256"/>
      <c r="AH261" s="256"/>
      <c r="AI261" s="256"/>
      <c r="AJ261" s="256"/>
      <c r="AK261" s="134"/>
      <c r="AL261" s="134"/>
      <c r="AM261" s="134"/>
      <c r="AN261" s="18"/>
      <c r="AO261" s="18"/>
      <c r="AP261" s="18"/>
      <c r="AQ261" s="18"/>
      <c r="AR261" s="17"/>
      <c r="AS261" s="21">
        <f t="shared" si="85"/>
        <v>45533</v>
      </c>
      <c r="AT261" s="17"/>
      <c r="AU261" s="17"/>
      <c r="AV261" s="17"/>
      <c r="AW261" s="17"/>
      <c r="AX261" s="17"/>
      <c r="AY261" s="17"/>
      <c r="AZ261" s="17"/>
    </row>
    <row r="262" spans="1:52" ht="20">
      <c r="A262" s="17"/>
      <c r="B262" s="40"/>
      <c r="C262" s="55">
        <f t="shared" si="81"/>
        <v>243</v>
      </c>
      <c r="D262" s="54">
        <v>1</v>
      </c>
      <c r="E262" s="53" t="str">
        <f t="shared" si="74"/>
        <v>8</v>
      </c>
      <c r="F262" s="52">
        <f t="shared" si="82"/>
        <v>45534</v>
      </c>
      <c r="G262" s="51" t="str">
        <f t="shared" si="83"/>
        <v>Fri</v>
      </c>
      <c r="H262" s="50"/>
      <c r="I262" s="49"/>
      <c r="J262" s="343">
        <f>213300/$B$13</f>
        <v>1933.115823817292</v>
      </c>
      <c r="K262" s="31"/>
      <c r="L262" s="317">
        <f t="shared" si="87"/>
        <v>1786.7596664101461</v>
      </c>
      <c r="M262" s="318">
        <f t="shared" si="75"/>
        <v>146.35615740714593</v>
      </c>
      <c r="N262" s="41">
        <f t="shared" si="76"/>
        <v>1.0819114960778111</v>
      </c>
      <c r="O262" s="46"/>
      <c r="P262" s="328">
        <f>IF(D262=0,0,SUM($L$233:L262))</f>
        <v>37521.952994613071</v>
      </c>
      <c r="Q262" s="317">
        <f>IF(D262=0,0,SUM($J$233:J262))</f>
        <v>40133.333333333328</v>
      </c>
      <c r="R262" s="321">
        <f t="shared" si="77"/>
        <v>2611.380338720257</v>
      </c>
      <c r="S262" s="41">
        <f t="shared" si="78"/>
        <v>1.069596066577216</v>
      </c>
      <c r="T262" s="56"/>
      <c r="U262" s="348">
        <f>IF(D262=0,0,SUM($L$20:L262))</f>
        <v>398894.09552606492</v>
      </c>
      <c r="V262" s="348">
        <f>IF(D262=0,0,SUM($J$20:J262))</f>
        <v>418206.68841761828</v>
      </c>
      <c r="W262" s="349">
        <f t="shared" si="79"/>
        <v>19312.592891553359</v>
      </c>
      <c r="X262" s="41">
        <f t="shared" si="80"/>
        <v>1.0484153390791202</v>
      </c>
      <c r="Y262" s="17"/>
      <c r="Z262" s="23">
        <f t="shared" si="89"/>
        <v>45534</v>
      </c>
      <c r="AA262" s="22">
        <f t="shared" si="89"/>
        <v>45534</v>
      </c>
      <c r="AB262" s="137">
        <v>45534</v>
      </c>
      <c r="AC262" s="137"/>
      <c r="AD262" s="134"/>
      <c r="AE262" s="134"/>
      <c r="AF262" s="139"/>
      <c r="AG262" s="256"/>
      <c r="AH262" s="256"/>
      <c r="AI262" s="256"/>
      <c r="AJ262" s="256"/>
      <c r="AK262" s="134"/>
      <c r="AL262" s="134"/>
      <c r="AM262" s="134"/>
      <c r="AN262" s="18"/>
      <c r="AO262" s="18"/>
      <c r="AP262" s="18"/>
      <c r="AQ262" s="18"/>
      <c r="AR262" s="17"/>
      <c r="AS262" s="21">
        <f t="shared" si="85"/>
        <v>45534</v>
      </c>
      <c r="AT262" s="17"/>
      <c r="AU262" s="17"/>
      <c r="AV262" s="17"/>
      <c r="AW262" s="17"/>
      <c r="AX262" s="17"/>
      <c r="AY262" s="17"/>
      <c r="AZ262" s="17"/>
    </row>
    <row r="263" spans="1:52" ht="21" thickBot="1">
      <c r="A263" s="17"/>
      <c r="B263" s="40"/>
      <c r="C263" s="39">
        <f t="shared" si="81"/>
        <v>244</v>
      </c>
      <c r="D263" s="38">
        <v>1</v>
      </c>
      <c r="E263" s="37" t="str">
        <f t="shared" si="74"/>
        <v>8</v>
      </c>
      <c r="F263" s="36">
        <f t="shared" si="82"/>
        <v>45535</v>
      </c>
      <c r="G263" s="35" t="str">
        <f t="shared" si="83"/>
        <v>Sat</v>
      </c>
      <c r="H263" s="34"/>
      <c r="I263" s="33"/>
      <c r="J263" s="344">
        <f>83690/$B$13</f>
        <v>758.47380822910998</v>
      </c>
      <c r="K263" s="31"/>
      <c r="L263" s="326">
        <f t="shared" si="87"/>
        <v>1786.7596664101461</v>
      </c>
      <c r="M263" s="320">
        <f t="shared" si="75"/>
        <v>-1028.285858181036</v>
      </c>
      <c r="N263" s="24">
        <f t="shared" si="76"/>
        <v>0.42449682656705118</v>
      </c>
      <c r="O263" s="29"/>
      <c r="P263" s="347">
        <f>IF(D263=0,0,SUM($L$233:L263))</f>
        <v>39308.712661023215</v>
      </c>
      <c r="Q263" s="326">
        <f>IF(D263=0,0,SUM($J$233:J263))</f>
        <v>40891.807141562436</v>
      </c>
      <c r="R263" s="327">
        <f t="shared" si="77"/>
        <v>1583.094480539221</v>
      </c>
      <c r="S263" s="24">
        <f t="shared" si="78"/>
        <v>1.0402733738494812</v>
      </c>
      <c r="T263" s="27"/>
      <c r="U263" s="350">
        <f>IF(D263=0,0,SUM($L$20:L263))</f>
        <v>400680.85519247508</v>
      </c>
      <c r="V263" s="350">
        <f>IF(D263=0,0,SUM($J$20:J263))</f>
        <v>418965.16222584737</v>
      </c>
      <c r="W263" s="351">
        <f t="shared" si="79"/>
        <v>18284.307033372286</v>
      </c>
      <c r="X263" s="24">
        <f t="shared" si="80"/>
        <v>1.0456330937613405</v>
      </c>
      <c r="Y263" s="17"/>
      <c r="Z263" s="23">
        <f t="shared" si="89"/>
        <v>45535</v>
      </c>
      <c r="AA263" s="22">
        <f t="shared" si="89"/>
        <v>45535</v>
      </c>
      <c r="AB263" s="137">
        <v>45535</v>
      </c>
      <c r="AC263" s="137"/>
      <c r="AD263" s="134"/>
      <c r="AE263" s="134"/>
      <c r="AF263" s="139"/>
      <c r="AG263" s="256"/>
      <c r="AH263" s="256"/>
      <c r="AI263" s="256"/>
      <c r="AJ263" s="256"/>
      <c r="AK263" s="134"/>
      <c r="AL263" s="134"/>
      <c r="AM263" s="134"/>
      <c r="AN263" s="18"/>
      <c r="AO263" s="18"/>
      <c r="AP263" s="18"/>
      <c r="AQ263" s="18"/>
      <c r="AR263" s="17"/>
      <c r="AS263" s="21">
        <f t="shared" si="85"/>
        <v>45535</v>
      </c>
      <c r="AT263" s="17"/>
      <c r="AU263" s="17"/>
      <c r="AV263" s="17"/>
      <c r="AW263" s="17"/>
      <c r="AX263" s="17"/>
      <c r="AY263" s="17"/>
      <c r="AZ263" s="17"/>
    </row>
    <row r="264" spans="1:52" ht="21" thickTop="1">
      <c r="A264" s="17"/>
      <c r="B264" s="40"/>
      <c r="C264" s="55">
        <f t="shared" si="81"/>
        <v>245</v>
      </c>
      <c r="D264" s="62">
        <v>0</v>
      </c>
      <c r="E264" s="53" t="str">
        <f t="shared" si="74"/>
        <v>9</v>
      </c>
      <c r="F264" s="52">
        <f t="shared" si="82"/>
        <v>45536</v>
      </c>
      <c r="G264" s="51" t="str">
        <f t="shared" si="83"/>
        <v>Sun</v>
      </c>
      <c r="H264" s="50" t="s">
        <v>46</v>
      </c>
      <c r="I264" s="49"/>
      <c r="J264" s="343"/>
      <c r="K264" s="31"/>
      <c r="L264" s="317">
        <f t="shared" ref="L264:L293" si="90">IF(D264=0,0,$K$14)</f>
        <v>0</v>
      </c>
      <c r="M264" s="321">
        <f t="shared" si="75"/>
        <v>0</v>
      </c>
      <c r="N264" s="60" t="str">
        <f t="shared" si="76"/>
        <v>0%</v>
      </c>
      <c r="O264" s="46"/>
      <c r="P264" s="329">
        <f>IF(D264=0,0,$L$264)</f>
        <v>0</v>
      </c>
      <c r="Q264" s="317">
        <f>IF(D264=0,0,$J$264)</f>
        <v>0</v>
      </c>
      <c r="R264" s="321">
        <f t="shared" si="77"/>
        <v>0</v>
      </c>
      <c r="S264" s="60" t="str">
        <f t="shared" si="78"/>
        <v>0%</v>
      </c>
      <c r="T264" s="56"/>
      <c r="U264" s="348">
        <f>IF(D264=0,0,SUM($L$20:L264))</f>
        <v>0</v>
      </c>
      <c r="V264" s="348">
        <f>IF(D264=0,0,SUM($J$20:J264))</f>
        <v>0</v>
      </c>
      <c r="W264" s="349">
        <f t="shared" si="79"/>
        <v>0</v>
      </c>
      <c r="X264" s="60" t="str">
        <f t="shared" si="80"/>
        <v>0%</v>
      </c>
      <c r="Y264" s="17"/>
      <c r="Z264" s="23">
        <f t="shared" si="89"/>
        <v>45536</v>
      </c>
      <c r="AA264" s="22">
        <f t="shared" si="89"/>
        <v>45536</v>
      </c>
      <c r="AB264" s="137">
        <v>45536</v>
      </c>
      <c r="AC264" s="137"/>
      <c r="AD264" s="134"/>
      <c r="AE264" s="134"/>
      <c r="AF264" s="139"/>
      <c r="AG264" s="256"/>
      <c r="AH264" s="256"/>
      <c r="AI264" s="256"/>
      <c r="AJ264" s="256"/>
      <c r="AK264" s="134"/>
      <c r="AL264" s="134"/>
      <c r="AM264" s="134"/>
      <c r="AN264" s="18"/>
      <c r="AO264" s="18"/>
      <c r="AP264" s="18"/>
      <c r="AQ264" s="18"/>
      <c r="AR264" s="17"/>
      <c r="AS264" s="21">
        <f t="shared" si="85"/>
        <v>45536</v>
      </c>
      <c r="AT264" s="17"/>
      <c r="AU264" s="17"/>
      <c r="AV264" s="17"/>
      <c r="AW264" s="17"/>
      <c r="AX264" s="17"/>
      <c r="AY264" s="17"/>
      <c r="AZ264" s="17"/>
    </row>
    <row r="265" spans="1:52" ht="20">
      <c r="A265" s="17"/>
      <c r="B265" s="40"/>
      <c r="C265" s="55">
        <f t="shared" si="81"/>
        <v>246</v>
      </c>
      <c r="D265" s="54">
        <v>1</v>
      </c>
      <c r="E265" s="53" t="str">
        <f t="shared" si="74"/>
        <v>9</v>
      </c>
      <c r="F265" s="52">
        <f t="shared" si="82"/>
        <v>45537</v>
      </c>
      <c r="G265" s="51" t="str">
        <f t="shared" si="83"/>
        <v>Mon</v>
      </c>
      <c r="H265" s="50"/>
      <c r="I265" s="49"/>
      <c r="J265" s="343">
        <f>279660/$B$13</f>
        <v>2534.5296356715608</v>
      </c>
      <c r="K265" s="31"/>
      <c r="L265" s="317">
        <f t="shared" si="90"/>
        <v>2121.7771038620481</v>
      </c>
      <c r="M265" s="318">
        <f t="shared" si="75"/>
        <v>412.75253180951267</v>
      </c>
      <c r="N265" s="41">
        <f t="shared" si="76"/>
        <v>1.194531523154917</v>
      </c>
      <c r="O265" s="46"/>
      <c r="P265" s="328">
        <f>IF(D265=0,0,SUM($L$264:L265))</f>
        <v>2121.7771038620481</v>
      </c>
      <c r="Q265" s="317">
        <f>IF(D265=0,0,SUM($J$264:J265))</f>
        <v>2534.5296356715608</v>
      </c>
      <c r="R265" s="321">
        <f t="shared" si="77"/>
        <v>412.75253180951267</v>
      </c>
      <c r="S265" s="41">
        <f t="shared" si="78"/>
        <v>1.194531523154917</v>
      </c>
      <c r="T265" s="56"/>
      <c r="U265" s="348">
        <f>IF(D265=0,0,SUM($L$20:L265))</f>
        <v>402802.63229633711</v>
      </c>
      <c r="V265" s="348">
        <f>IF(D265=0,0,SUM($J$20:J265))</f>
        <v>421499.69186151895</v>
      </c>
      <c r="W265" s="349">
        <f t="shared" si="79"/>
        <v>18697.059565181844</v>
      </c>
      <c r="X265" s="41">
        <f t="shared" si="80"/>
        <v>1.0464174215014233</v>
      </c>
      <c r="Y265" s="17"/>
      <c r="Z265" s="23">
        <f t="shared" si="89"/>
        <v>45537</v>
      </c>
      <c r="AA265" s="22">
        <f t="shared" si="89"/>
        <v>45537</v>
      </c>
      <c r="AB265" s="137">
        <v>45537</v>
      </c>
      <c r="AC265" s="137"/>
      <c r="AD265" s="134"/>
      <c r="AE265" s="134"/>
      <c r="AF265" s="139"/>
      <c r="AG265" s="256"/>
      <c r="AH265" s="256"/>
      <c r="AI265" s="256"/>
      <c r="AJ265" s="256"/>
      <c r="AK265" s="134"/>
      <c r="AL265" s="134"/>
      <c r="AM265" s="134"/>
      <c r="AN265" s="18"/>
      <c r="AO265" s="18"/>
      <c r="AP265" s="18"/>
      <c r="AQ265" s="18"/>
      <c r="AR265" s="17"/>
      <c r="AS265" s="21">
        <f t="shared" si="85"/>
        <v>45537</v>
      </c>
      <c r="AT265" s="17"/>
      <c r="AU265" s="17"/>
      <c r="AV265" s="17"/>
      <c r="AW265" s="17"/>
      <c r="AX265" s="17"/>
      <c r="AY265" s="17"/>
      <c r="AZ265" s="17"/>
    </row>
    <row r="266" spans="1:52" ht="20">
      <c r="A266" s="17"/>
      <c r="B266" s="40"/>
      <c r="C266" s="55">
        <f t="shared" si="81"/>
        <v>247</v>
      </c>
      <c r="D266" s="54">
        <v>1</v>
      </c>
      <c r="E266" s="53" t="str">
        <f t="shared" si="74"/>
        <v>9</v>
      </c>
      <c r="F266" s="52">
        <f t="shared" si="82"/>
        <v>45538</v>
      </c>
      <c r="G266" s="51" t="str">
        <f t="shared" si="83"/>
        <v>Tue</v>
      </c>
      <c r="H266" s="50"/>
      <c r="I266" s="49"/>
      <c r="J266" s="343">
        <f>286930/$B$13</f>
        <v>2600.4168932390789</v>
      </c>
      <c r="K266" s="31"/>
      <c r="L266" s="317">
        <f t="shared" si="90"/>
        <v>2121.7771038620481</v>
      </c>
      <c r="M266" s="318">
        <f t="shared" si="75"/>
        <v>478.63978937703087</v>
      </c>
      <c r="N266" s="41">
        <f t="shared" si="76"/>
        <v>1.2255843879669608</v>
      </c>
      <c r="O266" s="46"/>
      <c r="P266" s="328">
        <f>IF(D266=0,0,SUM($L$264:L266))</f>
        <v>4243.5542077240962</v>
      </c>
      <c r="Q266" s="317">
        <f>IF(D266=0,0,SUM($J$264:J266))</f>
        <v>5134.9465289106392</v>
      </c>
      <c r="R266" s="321">
        <f t="shared" si="77"/>
        <v>891.39232118654309</v>
      </c>
      <c r="S266" s="41">
        <f t="shared" si="78"/>
        <v>1.2100579555609388</v>
      </c>
      <c r="T266" s="56"/>
      <c r="U266" s="348">
        <f>IF(D266=0,0,SUM($L$20:L266))</f>
        <v>404924.40940019913</v>
      </c>
      <c r="V266" s="348">
        <f>IF(D266=0,0,SUM($J$20:J266))</f>
        <v>424100.10875475802</v>
      </c>
      <c r="W266" s="349">
        <f t="shared" si="79"/>
        <v>19175.699354558892</v>
      </c>
      <c r="X266" s="41">
        <f t="shared" si="80"/>
        <v>1.0473562445468851</v>
      </c>
      <c r="Y266" s="17"/>
      <c r="Z266" s="23">
        <f t="shared" si="89"/>
        <v>45538</v>
      </c>
      <c r="AA266" s="22">
        <f t="shared" si="89"/>
        <v>45538</v>
      </c>
      <c r="AB266" s="137">
        <v>45538</v>
      </c>
      <c r="AC266" s="137"/>
      <c r="AD266" s="134"/>
      <c r="AE266" s="134"/>
      <c r="AF266" s="139"/>
      <c r="AG266" s="256"/>
      <c r="AH266" s="256"/>
      <c r="AI266" s="256"/>
      <c r="AJ266" s="256"/>
      <c r="AK266" s="134"/>
      <c r="AL266" s="134"/>
      <c r="AM266" s="134"/>
      <c r="AN266" s="18"/>
      <c r="AO266" s="18"/>
      <c r="AP266" s="18"/>
      <c r="AQ266" s="18"/>
      <c r="AR266" s="17"/>
      <c r="AS266" s="21">
        <f t="shared" si="85"/>
        <v>45538</v>
      </c>
      <c r="AT266" s="17"/>
      <c r="AU266" s="17"/>
      <c r="AV266" s="17"/>
      <c r="AW266" s="17"/>
      <c r="AX266" s="17"/>
      <c r="AY266" s="17"/>
      <c r="AZ266" s="17"/>
    </row>
    <row r="267" spans="1:52" ht="20">
      <c r="A267" s="17"/>
      <c r="B267" s="40"/>
      <c r="C267" s="55">
        <f t="shared" si="81"/>
        <v>248</v>
      </c>
      <c r="D267" s="54">
        <v>1</v>
      </c>
      <c r="E267" s="53" t="str">
        <f t="shared" si="74"/>
        <v>9</v>
      </c>
      <c r="F267" s="52">
        <f t="shared" si="82"/>
        <v>45539</v>
      </c>
      <c r="G267" s="51" t="str">
        <f t="shared" si="83"/>
        <v>Wed</v>
      </c>
      <c r="H267" s="50"/>
      <c r="I267" s="49"/>
      <c r="J267" s="343">
        <f>158690/$B$13</f>
        <v>1438.1910458582563</v>
      </c>
      <c r="K267" s="31"/>
      <c r="L267" s="317">
        <f t="shared" si="90"/>
        <v>2121.7771038620481</v>
      </c>
      <c r="M267" s="318">
        <f t="shared" si="75"/>
        <v>-683.58605800379178</v>
      </c>
      <c r="N267" s="41">
        <f t="shared" si="76"/>
        <v>0.67782381252039536</v>
      </c>
      <c r="O267" s="46"/>
      <c r="P267" s="328">
        <f>IF(D267=0,0,SUM($L$264:L267))</f>
        <v>6365.3313115861438</v>
      </c>
      <c r="Q267" s="317">
        <f>IF(D267=0,0,SUM($J$264:J267))</f>
        <v>6573.1375747688953</v>
      </c>
      <c r="R267" s="321">
        <f t="shared" si="77"/>
        <v>207.80626318275154</v>
      </c>
      <c r="S267" s="41">
        <f t="shared" si="78"/>
        <v>1.0326465745474243</v>
      </c>
      <c r="T267" s="56"/>
      <c r="U267" s="348">
        <f>IF(D267=0,0,SUM($L$20:L267))</f>
        <v>407046.18650406116</v>
      </c>
      <c r="V267" s="348">
        <f>IF(D267=0,0,SUM($J$20:J267))</f>
        <v>425538.29980061628</v>
      </c>
      <c r="W267" s="349">
        <f t="shared" si="79"/>
        <v>18492.113296555122</v>
      </c>
      <c r="X267" s="41">
        <f t="shared" si="80"/>
        <v>1.0454300123909173</v>
      </c>
      <c r="Y267" s="17"/>
      <c r="Z267" s="23">
        <f t="shared" si="89"/>
        <v>45539</v>
      </c>
      <c r="AA267" s="22">
        <f t="shared" si="89"/>
        <v>45539</v>
      </c>
      <c r="AB267" s="137">
        <v>45539</v>
      </c>
      <c r="AC267" s="137"/>
      <c r="AD267" s="134"/>
      <c r="AE267" s="134"/>
      <c r="AF267" s="139"/>
      <c r="AG267" s="256"/>
      <c r="AH267" s="256"/>
      <c r="AI267" s="256"/>
      <c r="AJ267" s="256"/>
      <c r="AK267" s="134"/>
      <c r="AL267" s="134"/>
      <c r="AM267" s="134"/>
      <c r="AN267" s="18"/>
      <c r="AO267" s="18"/>
      <c r="AP267" s="18"/>
      <c r="AQ267" s="18"/>
      <c r="AR267" s="17"/>
      <c r="AS267" s="21">
        <f t="shared" si="85"/>
        <v>45539</v>
      </c>
      <c r="AT267" s="17"/>
      <c r="AU267" s="17"/>
      <c r="AV267" s="17"/>
      <c r="AW267" s="17"/>
      <c r="AX267" s="17"/>
      <c r="AY267" s="17"/>
      <c r="AZ267" s="17"/>
    </row>
    <row r="268" spans="1:52" ht="20">
      <c r="A268" s="17"/>
      <c r="B268" s="40"/>
      <c r="C268" s="55">
        <f t="shared" si="81"/>
        <v>249</v>
      </c>
      <c r="D268" s="54">
        <v>1</v>
      </c>
      <c r="E268" s="53" t="str">
        <f t="shared" si="74"/>
        <v>9</v>
      </c>
      <c r="F268" s="52">
        <f t="shared" si="82"/>
        <v>45540</v>
      </c>
      <c r="G268" s="51" t="str">
        <f t="shared" si="83"/>
        <v>Thu</v>
      </c>
      <c r="H268" s="50"/>
      <c r="I268" s="49"/>
      <c r="J268" s="343">
        <f>258350/$B$13</f>
        <v>2341.3993112198659</v>
      </c>
      <c r="K268" s="31"/>
      <c r="L268" s="317">
        <f t="shared" si="90"/>
        <v>2121.7771038620481</v>
      </c>
      <c r="M268" s="318">
        <f t="shared" si="75"/>
        <v>219.62220735781784</v>
      </c>
      <c r="N268" s="41">
        <f t="shared" si="76"/>
        <v>1.1035086140566144</v>
      </c>
      <c r="O268" s="46"/>
      <c r="P268" s="328">
        <f>IF(D268=0,0,SUM($L$264:L268))</f>
        <v>8487.1084154481923</v>
      </c>
      <c r="Q268" s="317">
        <f>IF(D268=0,0,SUM($J$264:J268))</f>
        <v>8914.5368859887603</v>
      </c>
      <c r="R268" s="321">
        <f t="shared" si="77"/>
        <v>427.42847054056801</v>
      </c>
      <c r="S268" s="41">
        <f t="shared" si="78"/>
        <v>1.0503620844247217</v>
      </c>
      <c r="T268" s="56"/>
      <c r="U268" s="348">
        <f>IF(D268=0,0,SUM($L$20:L268))</f>
        <v>409167.96360792319</v>
      </c>
      <c r="V268" s="348">
        <f>IF(D268=0,0,SUM($J$20:J268))</f>
        <v>427879.69911183615</v>
      </c>
      <c r="W268" s="349">
        <f t="shared" si="79"/>
        <v>18711.735503912962</v>
      </c>
      <c r="X268" s="41">
        <f t="shared" si="80"/>
        <v>1.0457311841790309</v>
      </c>
      <c r="Y268" s="17"/>
      <c r="Z268" s="23">
        <f t="shared" si="89"/>
        <v>45540</v>
      </c>
      <c r="AA268" s="22">
        <f t="shared" si="89"/>
        <v>45540</v>
      </c>
      <c r="AB268" s="137">
        <v>45540</v>
      </c>
      <c r="AC268" s="137"/>
      <c r="AD268" s="134"/>
      <c r="AE268" s="134"/>
      <c r="AF268" s="139"/>
      <c r="AG268" s="256"/>
      <c r="AH268" s="256"/>
      <c r="AI268" s="256"/>
      <c r="AJ268" s="256"/>
      <c r="AK268" s="134"/>
      <c r="AL268" s="134"/>
      <c r="AM268" s="134"/>
      <c r="AN268" s="18"/>
      <c r="AO268" s="18"/>
      <c r="AP268" s="18"/>
      <c r="AQ268" s="18"/>
      <c r="AR268" s="17"/>
      <c r="AS268" s="21">
        <f t="shared" si="85"/>
        <v>45540</v>
      </c>
      <c r="AT268" s="17"/>
      <c r="AU268" s="17"/>
      <c r="AV268" s="17"/>
      <c r="AW268" s="17"/>
      <c r="AX268" s="17"/>
      <c r="AY268" s="17"/>
      <c r="AZ268" s="17"/>
    </row>
    <row r="269" spans="1:52" ht="20">
      <c r="A269" s="17"/>
      <c r="B269" s="40"/>
      <c r="C269" s="55">
        <f t="shared" si="81"/>
        <v>250</v>
      </c>
      <c r="D269" s="54">
        <v>1</v>
      </c>
      <c r="E269" s="53" t="str">
        <f t="shared" si="74"/>
        <v>9</v>
      </c>
      <c r="F269" s="52">
        <f t="shared" si="82"/>
        <v>45541</v>
      </c>
      <c r="G269" s="51" t="str">
        <f t="shared" si="83"/>
        <v>Fri</v>
      </c>
      <c r="H269" s="50"/>
      <c r="I269" s="49"/>
      <c r="J269" s="343">
        <f>317100/$B$13</f>
        <v>2873.8444806960306</v>
      </c>
      <c r="K269" s="31"/>
      <c r="L269" s="317">
        <f t="shared" si="90"/>
        <v>2121.7771038620481</v>
      </c>
      <c r="M269" s="318">
        <f t="shared" si="75"/>
        <v>752.06737683398251</v>
      </c>
      <c r="N269" s="41">
        <f t="shared" si="76"/>
        <v>1.3544516412516061</v>
      </c>
      <c r="O269" s="46"/>
      <c r="P269" s="328">
        <f>IF(D269=0,0,SUM($L$264:L269))</f>
        <v>10608.885519310241</v>
      </c>
      <c r="Q269" s="317">
        <f>IF(D269=0,0,SUM($J$264:J269))</f>
        <v>11788.381366684791</v>
      </c>
      <c r="R269" s="321">
        <f t="shared" si="77"/>
        <v>1179.4958473745501</v>
      </c>
      <c r="S269" s="41">
        <f t="shared" si="78"/>
        <v>1.1111799957900985</v>
      </c>
      <c r="T269" s="56"/>
      <c r="U269" s="348">
        <f>IF(D269=0,0,SUM($L$20:L269))</f>
        <v>411289.74071178521</v>
      </c>
      <c r="V269" s="348">
        <f>IF(D269=0,0,SUM($J$20:J269))</f>
        <v>430753.54359253217</v>
      </c>
      <c r="W269" s="349">
        <f t="shared" si="79"/>
        <v>19463.802880746953</v>
      </c>
      <c r="X269" s="41">
        <f t="shared" si="80"/>
        <v>1.0473238229746809</v>
      </c>
      <c r="Y269" s="17"/>
      <c r="Z269" s="23">
        <f t="shared" si="89"/>
        <v>45541</v>
      </c>
      <c r="AA269" s="22">
        <f t="shared" si="89"/>
        <v>45541</v>
      </c>
      <c r="AB269" s="137">
        <v>45541</v>
      </c>
      <c r="AC269" s="137"/>
      <c r="AD269" s="134"/>
      <c r="AE269" s="134"/>
      <c r="AF269" s="139"/>
      <c r="AG269" s="256"/>
      <c r="AH269" s="256"/>
      <c r="AI269" s="256"/>
      <c r="AJ269" s="256"/>
      <c r="AK269" s="134"/>
      <c r="AL269" s="134"/>
      <c r="AM269" s="134"/>
      <c r="AN269" s="18"/>
      <c r="AO269" s="18"/>
      <c r="AP269" s="18"/>
      <c r="AQ269" s="18"/>
      <c r="AR269" s="17"/>
      <c r="AS269" s="21">
        <f t="shared" si="85"/>
        <v>45541</v>
      </c>
      <c r="AT269" s="17"/>
      <c r="AU269" s="17"/>
      <c r="AV269" s="17"/>
      <c r="AW269" s="17"/>
      <c r="AX269" s="17"/>
      <c r="AY269" s="17"/>
      <c r="AZ269" s="17"/>
    </row>
    <row r="270" spans="1:52" ht="20">
      <c r="A270" s="17"/>
      <c r="B270" s="40"/>
      <c r="C270" s="55">
        <f t="shared" si="81"/>
        <v>251</v>
      </c>
      <c r="D270" s="54">
        <v>1</v>
      </c>
      <c r="E270" s="53" t="str">
        <f t="shared" si="74"/>
        <v>9</v>
      </c>
      <c r="F270" s="52">
        <f t="shared" si="82"/>
        <v>45542</v>
      </c>
      <c r="G270" s="51" t="str">
        <f t="shared" si="83"/>
        <v>Sat</v>
      </c>
      <c r="H270" s="50"/>
      <c r="I270" s="49"/>
      <c r="J270" s="343">
        <f>168990/$B$13</f>
        <v>1531.5388798259924</v>
      </c>
      <c r="K270" s="31"/>
      <c r="L270" s="317">
        <f t="shared" si="90"/>
        <v>2121.7771038620481</v>
      </c>
      <c r="M270" s="318">
        <f t="shared" si="75"/>
        <v>-590.23822403605573</v>
      </c>
      <c r="N270" s="41">
        <f t="shared" si="76"/>
        <v>0.72181893047968748</v>
      </c>
      <c r="O270" s="46"/>
      <c r="P270" s="328">
        <f>IF(D270=0,0,SUM($L$264:L270))</f>
        <v>12730.662623172289</v>
      </c>
      <c r="Q270" s="317">
        <f>IF(D270=0,0,SUM($J$264:J270))</f>
        <v>13319.920246510783</v>
      </c>
      <c r="R270" s="321">
        <f t="shared" si="77"/>
        <v>589.25762333849343</v>
      </c>
      <c r="S270" s="41">
        <f t="shared" si="78"/>
        <v>1.04628648490503</v>
      </c>
      <c r="T270" s="44"/>
      <c r="U270" s="348">
        <f>IF(D270=0,0,SUM($L$20:L270))</f>
        <v>413411.51781564724</v>
      </c>
      <c r="V270" s="348">
        <f>IF(D270=0,0,SUM($J$20:J270))</f>
        <v>432285.08247235813</v>
      </c>
      <c r="W270" s="349">
        <f t="shared" si="79"/>
        <v>18873.564656710892</v>
      </c>
      <c r="X270" s="41">
        <f t="shared" si="80"/>
        <v>1.0456532143962356</v>
      </c>
      <c r="Y270" s="17"/>
      <c r="Z270" s="23">
        <f t="shared" si="89"/>
        <v>45542</v>
      </c>
      <c r="AA270" s="22">
        <f t="shared" si="89"/>
        <v>45542</v>
      </c>
      <c r="AB270" s="137">
        <v>45542</v>
      </c>
      <c r="AC270" s="137"/>
      <c r="AD270" s="134"/>
      <c r="AE270" s="134"/>
      <c r="AF270" s="139"/>
      <c r="AG270" s="256"/>
      <c r="AH270" s="256"/>
      <c r="AI270" s="256"/>
      <c r="AJ270" s="256"/>
      <c r="AK270" s="134"/>
      <c r="AL270" s="134"/>
      <c r="AM270" s="134"/>
      <c r="AN270" s="18"/>
      <c r="AO270" s="18"/>
      <c r="AP270" s="18"/>
      <c r="AQ270" s="18"/>
      <c r="AR270" s="17"/>
      <c r="AS270" s="21">
        <f t="shared" si="85"/>
        <v>45542</v>
      </c>
      <c r="AT270" s="17"/>
      <c r="AU270" s="17"/>
      <c r="AV270" s="17"/>
      <c r="AW270" s="17"/>
      <c r="AX270" s="17"/>
      <c r="AY270" s="17"/>
      <c r="AZ270" s="17"/>
    </row>
    <row r="271" spans="1:52" ht="20">
      <c r="A271" s="17"/>
      <c r="B271" s="40"/>
      <c r="C271" s="55">
        <f t="shared" si="81"/>
        <v>252</v>
      </c>
      <c r="D271" s="54">
        <v>0</v>
      </c>
      <c r="E271" s="53" t="str">
        <f t="shared" si="74"/>
        <v>9</v>
      </c>
      <c r="F271" s="52">
        <f t="shared" si="82"/>
        <v>45543</v>
      </c>
      <c r="G271" s="51" t="str">
        <f t="shared" si="83"/>
        <v>Sun</v>
      </c>
      <c r="H271" s="50" t="s">
        <v>46</v>
      </c>
      <c r="I271" s="49"/>
      <c r="J271" s="343"/>
      <c r="K271" s="31"/>
      <c r="L271" s="317">
        <f t="shared" si="90"/>
        <v>0</v>
      </c>
      <c r="M271" s="318">
        <f t="shared" si="75"/>
        <v>0</v>
      </c>
      <c r="N271" s="41" t="str">
        <f t="shared" si="76"/>
        <v>0%</v>
      </c>
      <c r="O271" s="46"/>
      <c r="P271" s="328">
        <f>IF(D271=0,0,SUM($L$264:L271))</f>
        <v>0</v>
      </c>
      <c r="Q271" s="317">
        <f>IF(D271=0,0,SUM($J$264:J271))</f>
        <v>0</v>
      </c>
      <c r="R271" s="321">
        <f t="shared" si="77"/>
        <v>0</v>
      </c>
      <c r="S271" s="41" t="str">
        <f t="shared" si="78"/>
        <v>0%</v>
      </c>
      <c r="T271" s="56"/>
      <c r="U271" s="348">
        <f>IF(D271=0,0,SUM($L$20:L271))</f>
        <v>0</v>
      </c>
      <c r="V271" s="348">
        <f>IF(D271=0,0,SUM($J$20:J271))</f>
        <v>0</v>
      </c>
      <c r="W271" s="349">
        <f t="shared" si="79"/>
        <v>0</v>
      </c>
      <c r="X271" s="41" t="str">
        <f t="shared" si="80"/>
        <v>0%</v>
      </c>
      <c r="Y271" s="17"/>
      <c r="Z271" s="23">
        <f t="shared" si="89"/>
        <v>45543</v>
      </c>
      <c r="AA271" s="22">
        <f t="shared" si="89"/>
        <v>45543</v>
      </c>
      <c r="AB271" s="137">
        <v>45543</v>
      </c>
      <c r="AC271" s="137"/>
      <c r="AD271" s="134"/>
      <c r="AE271" s="134"/>
      <c r="AF271" s="139"/>
      <c r="AG271" s="256"/>
      <c r="AH271" s="256"/>
      <c r="AI271" s="256"/>
      <c r="AJ271" s="256"/>
      <c r="AK271" s="134"/>
      <c r="AL271" s="134"/>
      <c r="AM271" s="134"/>
      <c r="AN271" s="18"/>
      <c r="AO271" s="18"/>
      <c r="AP271" s="18"/>
      <c r="AQ271" s="18"/>
      <c r="AR271" s="17"/>
      <c r="AS271" s="21">
        <f t="shared" si="85"/>
        <v>45543</v>
      </c>
      <c r="AT271" s="17"/>
      <c r="AU271" s="17"/>
      <c r="AV271" s="17"/>
      <c r="AW271" s="17"/>
      <c r="AX271" s="17"/>
      <c r="AY271" s="17"/>
      <c r="AZ271" s="17"/>
    </row>
    <row r="272" spans="1:52" ht="20">
      <c r="A272" s="17"/>
      <c r="B272" s="40"/>
      <c r="C272" s="55">
        <f t="shared" si="81"/>
        <v>253</v>
      </c>
      <c r="D272" s="54">
        <v>1</v>
      </c>
      <c r="E272" s="53" t="str">
        <f t="shared" si="74"/>
        <v>9</v>
      </c>
      <c r="F272" s="52">
        <f t="shared" si="82"/>
        <v>45544</v>
      </c>
      <c r="G272" s="51" t="str">
        <f t="shared" si="83"/>
        <v>Mon</v>
      </c>
      <c r="H272" s="50"/>
      <c r="I272" s="49"/>
      <c r="J272" s="343">
        <f>232040/$B$13</f>
        <v>2102.9545042595614</v>
      </c>
      <c r="K272" s="31"/>
      <c r="L272" s="317">
        <f t="shared" si="90"/>
        <v>2121.7771038620481</v>
      </c>
      <c r="M272" s="318">
        <f t="shared" si="75"/>
        <v>-18.822599602486662</v>
      </c>
      <c r="N272" s="41">
        <f t="shared" si="76"/>
        <v>0.99112885158001474</v>
      </c>
      <c r="O272" s="46"/>
      <c r="P272" s="328">
        <f>IF(D272=0,0,SUM($L$264:L272))</f>
        <v>14852.439727034338</v>
      </c>
      <c r="Q272" s="317">
        <f>IF(D272=0,0,SUM($J$264:J272))</f>
        <v>15422.874750770345</v>
      </c>
      <c r="R272" s="321">
        <f t="shared" si="77"/>
        <v>570.43502373600677</v>
      </c>
      <c r="S272" s="41">
        <f t="shared" si="78"/>
        <v>1.0384068230014563</v>
      </c>
      <c r="T272" s="56"/>
      <c r="U272" s="348">
        <f>IF(D272=0,0,SUM($L$20:L272))</f>
        <v>415533.29491950927</v>
      </c>
      <c r="V272" s="348">
        <f>IF(D272=0,0,SUM($J$20:J272))</f>
        <v>434388.0369766177</v>
      </c>
      <c r="W272" s="349">
        <f t="shared" si="79"/>
        <v>18854.742057108437</v>
      </c>
      <c r="X272" s="41">
        <f t="shared" si="80"/>
        <v>1.0453748045887892</v>
      </c>
      <c r="Y272" s="17"/>
      <c r="Z272" s="23">
        <f t="shared" si="89"/>
        <v>45544</v>
      </c>
      <c r="AA272" s="22">
        <f t="shared" si="89"/>
        <v>45544</v>
      </c>
      <c r="AB272" s="137">
        <v>45544</v>
      </c>
      <c r="AC272" s="137"/>
      <c r="AD272" s="134"/>
      <c r="AE272" s="134"/>
      <c r="AF272" s="139"/>
      <c r="AG272" s="256"/>
      <c r="AH272" s="256"/>
      <c r="AI272" s="256"/>
      <c r="AJ272" s="256"/>
      <c r="AK272" s="134"/>
      <c r="AL272" s="134"/>
      <c r="AM272" s="134"/>
      <c r="AN272" s="18"/>
      <c r="AO272" s="18"/>
      <c r="AP272" s="18"/>
      <c r="AQ272" s="18"/>
      <c r="AR272" s="17"/>
      <c r="AS272" s="21">
        <f t="shared" si="85"/>
        <v>45544</v>
      </c>
      <c r="AT272" s="17"/>
      <c r="AU272" s="17"/>
      <c r="AV272" s="17"/>
      <c r="AW272" s="17"/>
      <c r="AX272" s="17"/>
      <c r="AY272" s="17"/>
      <c r="AZ272" s="17"/>
    </row>
    <row r="273" spans="1:52" ht="20">
      <c r="A273" s="17"/>
      <c r="B273" s="40"/>
      <c r="C273" s="55">
        <f t="shared" si="81"/>
        <v>254</v>
      </c>
      <c r="D273" s="54">
        <v>1</v>
      </c>
      <c r="E273" s="53" t="str">
        <f t="shared" si="74"/>
        <v>9</v>
      </c>
      <c r="F273" s="52">
        <f t="shared" si="82"/>
        <v>45545</v>
      </c>
      <c r="G273" s="51" t="str">
        <f t="shared" si="83"/>
        <v>Tue</v>
      </c>
      <c r="H273" s="50"/>
      <c r="I273" s="49"/>
      <c r="J273" s="343">
        <f>326150/$B$13</f>
        <v>2955.8636940366141</v>
      </c>
      <c r="K273" s="31"/>
      <c r="L273" s="317">
        <f t="shared" si="90"/>
        <v>2121.7771038620481</v>
      </c>
      <c r="M273" s="318">
        <f t="shared" si="75"/>
        <v>834.08659017456603</v>
      </c>
      <c r="N273" s="41">
        <f t="shared" si="76"/>
        <v>1.393107545866324</v>
      </c>
      <c r="O273" s="46"/>
      <c r="P273" s="328">
        <f>IF(D273=0,0,SUM($L$264:L273))</f>
        <v>16974.216830896385</v>
      </c>
      <c r="Q273" s="317">
        <f>IF(D273=0,0,SUM($J$264:J273))</f>
        <v>18378.738444806957</v>
      </c>
      <c r="R273" s="321">
        <f t="shared" si="77"/>
        <v>1404.5216139105723</v>
      </c>
      <c r="S273" s="41">
        <f t="shared" si="78"/>
        <v>1.0827444133595647</v>
      </c>
      <c r="T273" s="56"/>
      <c r="U273" s="348">
        <f>IF(D273=0,0,SUM($L$20:L273))</f>
        <v>417655.07202337129</v>
      </c>
      <c r="V273" s="348">
        <f>IF(D273=0,0,SUM($J$20:J273))</f>
        <v>437343.90067065432</v>
      </c>
      <c r="W273" s="349">
        <f t="shared" si="79"/>
        <v>19688.828647283022</v>
      </c>
      <c r="X273" s="41">
        <f t="shared" si="80"/>
        <v>1.047141361295814</v>
      </c>
      <c r="Y273" s="17"/>
      <c r="Z273" s="23">
        <f t="shared" si="89"/>
        <v>45545</v>
      </c>
      <c r="AA273" s="22">
        <f t="shared" si="89"/>
        <v>45545</v>
      </c>
      <c r="AB273" s="137">
        <v>45545</v>
      </c>
      <c r="AC273" s="137"/>
      <c r="AD273" s="134"/>
      <c r="AE273" s="134"/>
      <c r="AF273" s="139"/>
      <c r="AG273" s="256"/>
      <c r="AH273" s="256"/>
      <c r="AI273" s="256"/>
      <c r="AJ273" s="256"/>
      <c r="AK273" s="134"/>
      <c r="AL273" s="134"/>
      <c r="AM273" s="134"/>
      <c r="AN273" s="18"/>
      <c r="AO273" s="18"/>
      <c r="AP273" s="18"/>
      <c r="AQ273" s="18"/>
      <c r="AR273" s="17"/>
      <c r="AS273" s="21">
        <f t="shared" si="85"/>
        <v>45545</v>
      </c>
      <c r="AT273" s="17"/>
      <c r="AU273" s="17"/>
      <c r="AV273" s="17"/>
      <c r="AW273" s="17"/>
      <c r="AX273" s="17"/>
      <c r="AY273" s="17"/>
      <c r="AZ273" s="17"/>
    </row>
    <row r="274" spans="1:52" ht="20">
      <c r="A274" s="17"/>
      <c r="B274" s="40"/>
      <c r="C274" s="55">
        <f t="shared" si="81"/>
        <v>255</v>
      </c>
      <c r="D274" s="54">
        <v>1</v>
      </c>
      <c r="E274" s="53" t="str">
        <f t="shared" si="74"/>
        <v>9</v>
      </c>
      <c r="F274" s="52">
        <f t="shared" si="82"/>
        <v>45546</v>
      </c>
      <c r="G274" s="51" t="str">
        <f t="shared" si="83"/>
        <v>Wed</v>
      </c>
      <c r="H274" s="50"/>
      <c r="I274" s="49"/>
      <c r="J274" s="343">
        <f>155250/$B$13</f>
        <v>1407.0146818923326</v>
      </c>
      <c r="K274" s="31"/>
      <c r="L274" s="317">
        <f t="shared" si="90"/>
        <v>2121.7771038620481</v>
      </c>
      <c r="M274" s="318">
        <f t="shared" si="75"/>
        <v>-714.76242196971543</v>
      </c>
      <c r="N274" s="41">
        <f t="shared" si="76"/>
        <v>0.66313029739612683</v>
      </c>
      <c r="O274" s="46"/>
      <c r="P274" s="328">
        <f>IF(D274=0,0,SUM($L$264:L274))</f>
        <v>19095.993934758433</v>
      </c>
      <c r="Q274" s="317">
        <f>IF(D274=0,0,SUM($J$264:J274))</f>
        <v>19785.753126699288</v>
      </c>
      <c r="R274" s="321">
        <f t="shared" si="77"/>
        <v>689.75919194085509</v>
      </c>
      <c r="S274" s="41">
        <f t="shared" si="78"/>
        <v>1.0361206226969604</v>
      </c>
      <c r="T274" s="56"/>
      <c r="U274" s="348">
        <f>IF(D274=0,0,SUM($L$20:L274))</f>
        <v>419776.84912723332</v>
      </c>
      <c r="V274" s="348">
        <f>IF(D274=0,0,SUM($J$20:J274))</f>
        <v>438750.91535254667</v>
      </c>
      <c r="W274" s="349">
        <f t="shared" si="79"/>
        <v>18974.066225313349</v>
      </c>
      <c r="X274" s="41">
        <f t="shared" si="80"/>
        <v>1.0452003636331131</v>
      </c>
      <c r="Y274" s="17"/>
      <c r="Z274" s="23">
        <f t="shared" si="89"/>
        <v>45546</v>
      </c>
      <c r="AA274" s="22">
        <f t="shared" si="89"/>
        <v>45546</v>
      </c>
      <c r="AB274" s="137">
        <v>45546</v>
      </c>
      <c r="AC274" s="137"/>
      <c r="AD274" s="134"/>
      <c r="AE274" s="134"/>
      <c r="AF274" s="139"/>
      <c r="AG274" s="256"/>
      <c r="AH274" s="256"/>
      <c r="AI274" s="256"/>
      <c r="AJ274" s="256"/>
      <c r="AK274" s="134"/>
      <c r="AL274" s="134"/>
      <c r="AM274" s="134"/>
      <c r="AN274" s="18"/>
      <c r="AO274" s="18"/>
      <c r="AP274" s="18"/>
      <c r="AQ274" s="18"/>
      <c r="AR274" s="17"/>
      <c r="AS274" s="21">
        <f t="shared" si="85"/>
        <v>45546</v>
      </c>
      <c r="AT274" s="17"/>
      <c r="AU274" s="17"/>
      <c r="AV274" s="17"/>
      <c r="AW274" s="17"/>
      <c r="AX274" s="17"/>
      <c r="AY274" s="17"/>
      <c r="AZ274" s="17"/>
    </row>
    <row r="275" spans="1:52" ht="20">
      <c r="A275" s="17"/>
      <c r="B275" s="40"/>
      <c r="C275" s="55">
        <f t="shared" si="81"/>
        <v>256</v>
      </c>
      <c r="D275" s="54">
        <v>1</v>
      </c>
      <c r="E275" s="53" t="str">
        <f t="shared" si="74"/>
        <v>9</v>
      </c>
      <c r="F275" s="52">
        <f t="shared" si="82"/>
        <v>45547</v>
      </c>
      <c r="G275" s="51" t="str">
        <f t="shared" si="83"/>
        <v>Thu</v>
      </c>
      <c r="H275" s="50"/>
      <c r="I275" s="49"/>
      <c r="J275" s="343">
        <f>242920/$B$13</f>
        <v>2201.5588181982962</v>
      </c>
      <c r="K275" s="31"/>
      <c r="L275" s="317">
        <f t="shared" si="90"/>
        <v>2121.7771038620481</v>
      </c>
      <c r="M275" s="318">
        <f t="shared" si="75"/>
        <v>79.781714336248115</v>
      </c>
      <c r="N275" s="41">
        <f t="shared" si="76"/>
        <v>1.0376013645311895</v>
      </c>
      <c r="O275" s="46"/>
      <c r="P275" s="328">
        <f>IF(D275=0,0,SUM($L$264:L275))</f>
        <v>21217.771038620482</v>
      </c>
      <c r="Q275" s="317">
        <f>IF(D275=0,0,SUM($J$264:J275))</f>
        <v>21987.311944897585</v>
      </c>
      <c r="R275" s="321">
        <f t="shared" si="77"/>
        <v>769.5409062771032</v>
      </c>
      <c r="S275" s="41">
        <f t="shared" si="78"/>
        <v>1.0362686968803834</v>
      </c>
      <c r="T275" s="56"/>
      <c r="U275" s="348">
        <f>IF(D275=0,0,SUM($L$20:L275))</f>
        <v>421898.62623109535</v>
      </c>
      <c r="V275" s="348">
        <f>IF(D275=0,0,SUM($J$20:J275))</f>
        <v>440952.47417074494</v>
      </c>
      <c r="W275" s="349">
        <f t="shared" si="79"/>
        <v>19053.847939649597</v>
      </c>
      <c r="X275" s="41">
        <f t="shared" si="80"/>
        <v>1.0451621473856443</v>
      </c>
      <c r="Y275" s="17"/>
      <c r="Z275" s="23">
        <f t="shared" si="89"/>
        <v>45547</v>
      </c>
      <c r="AA275" s="22">
        <f t="shared" si="89"/>
        <v>45547</v>
      </c>
      <c r="AB275" s="137">
        <v>45547</v>
      </c>
      <c r="AC275" s="137"/>
      <c r="AD275" s="134"/>
      <c r="AE275" s="134"/>
      <c r="AF275" s="139"/>
      <c r="AG275" s="256"/>
      <c r="AH275" s="256"/>
      <c r="AI275" s="256"/>
      <c r="AJ275" s="256"/>
      <c r="AK275" s="134"/>
      <c r="AL275" s="134"/>
      <c r="AM275" s="134"/>
      <c r="AN275" s="18"/>
      <c r="AO275" s="18"/>
      <c r="AP275" s="18"/>
      <c r="AQ275" s="18"/>
      <c r="AR275" s="17"/>
      <c r="AS275" s="21">
        <f t="shared" si="85"/>
        <v>45547</v>
      </c>
      <c r="AT275" s="17"/>
      <c r="AU275" s="17"/>
      <c r="AV275" s="17"/>
      <c r="AW275" s="17"/>
      <c r="AX275" s="17"/>
      <c r="AY275" s="17"/>
      <c r="AZ275" s="17"/>
    </row>
    <row r="276" spans="1:52" ht="20">
      <c r="A276" s="17"/>
      <c r="B276" s="40"/>
      <c r="C276" s="55">
        <f t="shared" si="81"/>
        <v>257</v>
      </c>
      <c r="D276" s="54">
        <v>1</v>
      </c>
      <c r="E276" s="53" t="str">
        <f t="shared" ref="E276:E339" si="91">TEXT(AA276,"m")</f>
        <v>9</v>
      </c>
      <c r="F276" s="52">
        <f t="shared" si="82"/>
        <v>45548</v>
      </c>
      <c r="G276" s="51" t="str">
        <f t="shared" si="83"/>
        <v>Fri</v>
      </c>
      <c r="H276" s="50"/>
      <c r="I276" s="49"/>
      <c r="J276" s="343">
        <f>303730/$B$13</f>
        <v>2752.6735544680078</v>
      </c>
      <c r="K276" s="31"/>
      <c r="L276" s="317">
        <f t="shared" si="90"/>
        <v>2121.7771038620481</v>
      </c>
      <c r="M276" s="318">
        <f t="shared" ref="M276:M339" si="92">IF(D276=0,0,J276-L276)</f>
        <v>630.89645060595967</v>
      </c>
      <c r="N276" s="41">
        <f t="shared" ref="N276:N339" si="93">IFERROR(J276/L276,"0%")</f>
        <v>1.2973434153180394</v>
      </c>
      <c r="O276" s="46"/>
      <c r="P276" s="328">
        <f>IF(D276=0,0,SUM($L$264:L276))</f>
        <v>23339.54814248253</v>
      </c>
      <c r="Q276" s="317">
        <f>IF(D276=0,0,SUM($J$264:J276))</f>
        <v>24739.985499365594</v>
      </c>
      <c r="R276" s="321">
        <f t="shared" ref="R276:R339" si="94">IF(D276=0,0,Q276-P276)</f>
        <v>1400.4373568830633</v>
      </c>
      <c r="S276" s="41">
        <f t="shared" ref="S276:S339" si="95">IFERROR(Q276/P276,"0%")</f>
        <v>1.0600027621928976</v>
      </c>
      <c r="T276" s="56"/>
      <c r="U276" s="348">
        <f>IF(D276=0,0,SUM($L$20:L276))</f>
        <v>424020.40333495737</v>
      </c>
      <c r="V276" s="348">
        <f>IF(D276=0,0,SUM($J$20:J276))</f>
        <v>443705.14772521297</v>
      </c>
      <c r="W276" s="349">
        <f t="shared" ref="W276:W339" si="96">IF(D276=0,0,V276-U276)</f>
        <v>19684.744390255597</v>
      </c>
      <c r="X276" s="41">
        <f t="shared" ref="X276:X339" si="97">IFERROR(V276/U276,"0%")</f>
        <v>1.0464240499641841</v>
      </c>
      <c r="Y276" s="17"/>
      <c r="Z276" s="23">
        <f t="shared" si="89"/>
        <v>45548</v>
      </c>
      <c r="AA276" s="22">
        <f t="shared" si="89"/>
        <v>45548</v>
      </c>
      <c r="AB276" s="137">
        <v>45548</v>
      </c>
      <c r="AC276" s="137"/>
      <c r="AD276" s="134"/>
      <c r="AE276" s="134"/>
      <c r="AF276" s="139"/>
      <c r="AG276" s="256"/>
      <c r="AH276" s="256"/>
      <c r="AI276" s="256"/>
      <c r="AJ276" s="256"/>
      <c r="AK276" s="134"/>
      <c r="AL276" s="134"/>
      <c r="AM276" s="134"/>
      <c r="AN276" s="18"/>
      <c r="AO276" s="18"/>
      <c r="AP276" s="18"/>
      <c r="AQ276" s="18"/>
      <c r="AR276" s="17"/>
      <c r="AS276" s="21">
        <f t="shared" si="85"/>
        <v>45548</v>
      </c>
      <c r="AT276" s="17"/>
      <c r="AU276" s="17"/>
      <c r="AV276" s="17"/>
      <c r="AW276" s="17"/>
      <c r="AX276" s="17"/>
      <c r="AY276" s="17"/>
      <c r="AZ276" s="17"/>
    </row>
    <row r="277" spans="1:52" ht="20">
      <c r="A277" s="17"/>
      <c r="B277" s="40"/>
      <c r="C277" s="55">
        <f t="shared" ref="C277:C340" si="98">C276+1</f>
        <v>258</v>
      </c>
      <c r="D277" s="54">
        <v>1</v>
      </c>
      <c r="E277" s="53" t="str">
        <f t="shared" si="91"/>
        <v>9</v>
      </c>
      <c r="F277" s="52">
        <f t="shared" ref="F277:F340" si="99">F276+1</f>
        <v>45549</v>
      </c>
      <c r="G277" s="51" t="str">
        <f t="shared" ref="G277:G340" si="100">TEXT(AS277,"ddd")</f>
        <v>Sat</v>
      </c>
      <c r="H277" s="50"/>
      <c r="I277" s="49"/>
      <c r="J277" s="343">
        <f>113250/$B$13</f>
        <v>1026.3730288200109</v>
      </c>
      <c r="K277" s="31"/>
      <c r="L277" s="317">
        <f t="shared" si="90"/>
        <v>2121.7771038620481</v>
      </c>
      <c r="M277" s="318">
        <f t="shared" si="92"/>
        <v>-1095.4040750420372</v>
      </c>
      <c r="N277" s="41">
        <f t="shared" si="93"/>
        <v>0.48373272901843073</v>
      </c>
      <c r="O277" s="46"/>
      <c r="P277" s="328">
        <f>IF(D277=0,0,SUM($L$264:L277))</f>
        <v>25461.325246344579</v>
      </c>
      <c r="Q277" s="317">
        <f>IF(D277=0,0,SUM($J$264:J277))</f>
        <v>25766.358528185603</v>
      </c>
      <c r="R277" s="321">
        <f t="shared" si="94"/>
        <v>305.03328184102429</v>
      </c>
      <c r="S277" s="41">
        <f t="shared" si="95"/>
        <v>1.0119802594283587</v>
      </c>
      <c r="T277" s="44"/>
      <c r="U277" s="348">
        <f>IF(D277=0,0,SUM($L$20:L277))</f>
        <v>426142.1804388194</v>
      </c>
      <c r="V277" s="348">
        <f>IF(D277=0,0,SUM($J$20:J277))</f>
        <v>444731.520754033</v>
      </c>
      <c r="W277" s="349">
        <f t="shared" si="96"/>
        <v>18589.340315213602</v>
      </c>
      <c r="X277" s="41">
        <f t="shared" si="97"/>
        <v>1.0436223898232071</v>
      </c>
      <c r="Y277" s="17"/>
      <c r="Z277" s="23">
        <f t="shared" ref="Z277:AA292" si="101">Z276+1</f>
        <v>45549</v>
      </c>
      <c r="AA277" s="22">
        <f t="shared" si="101"/>
        <v>45549</v>
      </c>
      <c r="AB277" s="137">
        <v>45549</v>
      </c>
      <c r="AC277" s="137"/>
      <c r="AD277" s="134"/>
      <c r="AE277" s="134"/>
      <c r="AF277" s="139"/>
      <c r="AG277" s="256"/>
      <c r="AH277" s="256"/>
      <c r="AI277" s="256"/>
      <c r="AJ277" s="256"/>
      <c r="AK277" s="134"/>
      <c r="AL277" s="134"/>
      <c r="AM277" s="134"/>
      <c r="AN277" s="18"/>
      <c r="AO277" s="18"/>
      <c r="AP277" s="18"/>
      <c r="AQ277" s="18"/>
      <c r="AR277" s="17"/>
      <c r="AS277" s="21">
        <f t="shared" ref="AS277:AS340" si="102">AS276+1</f>
        <v>45549</v>
      </c>
      <c r="AT277" s="17"/>
      <c r="AU277" s="17"/>
      <c r="AV277" s="17"/>
      <c r="AW277" s="17"/>
      <c r="AX277" s="17"/>
      <c r="AY277" s="17"/>
      <c r="AZ277" s="17"/>
    </row>
    <row r="278" spans="1:52" ht="20">
      <c r="A278" s="17"/>
      <c r="B278" s="40"/>
      <c r="C278" s="55">
        <f t="shared" si="98"/>
        <v>259</v>
      </c>
      <c r="D278" s="54">
        <v>0</v>
      </c>
      <c r="E278" s="53" t="str">
        <f t="shared" si="91"/>
        <v>9</v>
      </c>
      <c r="F278" s="52">
        <f t="shared" si="99"/>
        <v>45550</v>
      </c>
      <c r="G278" s="51" t="str">
        <f t="shared" si="100"/>
        <v>Sun</v>
      </c>
      <c r="H278" s="50" t="s">
        <v>46</v>
      </c>
      <c r="I278" s="49"/>
      <c r="J278" s="343"/>
      <c r="K278" s="31"/>
      <c r="L278" s="317">
        <f t="shared" si="90"/>
        <v>0</v>
      </c>
      <c r="M278" s="318">
        <f t="shared" si="92"/>
        <v>0</v>
      </c>
      <c r="N278" s="41" t="str">
        <f t="shared" si="93"/>
        <v>0%</v>
      </c>
      <c r="O278" s="46"/>
      <c r="P278" s="328">
        <f>IF(D278=0,0,SUM($L$264:L278))</f>
        <v>0</v>
      </c>
      <c r="Q278" s="317">
        <f>IF(D278=0,0,SUM($J$264:J278))</f>
        <v>0</v>
      </c>
      <c r="R278" s="321">
        <f t="shared" si="94"/>
        <v>0</v>
      </c>
      <c r="S278" s="41" t="str">
        <f t="shared" si="95"/>
        <v>0%</v>
      </c>
      <c r="T278" s="44"/>
      <c r="U278" s="348">
        <f>IF(D278=0,0,SUM($L$20:L278))</f>
        <v>0</v>
      </c>
      <c r="V278" s="348">
        <f>IF(D278=0,0,SUM($J$20:J278))</f>
        <v>0</v>
      </c>
      <c r="W278" s="349">
        <f t="shared" si="96"/>
        <v>0</v>
      </c>
      <c r="X278" s="41" t="str">
        <f t="shared" si="97"/>
        <v>0%</v>
      </c>
      <c r="Y278" s="17"/>
      <c r="Z278" s="23">
        <f t="shared" si="101"/>
        <v>45550</v>
      </c>
      <c r="AA278" s="22">
        <f t="shared" si="101"/>
        <v>45550</v>
      </c>
      <c r="AB278" s="137">
        <v>45550</v>
      </c>
      <c r="AC278" s="137"/>
      <c r="AD278" s="134"/>
      <c r="AE278" s="134"/>
      <c r="AF278" s="139"/>
      <c r="AG278" s="256"/>
      <c r="AH278" s="256"/>
      <c r="AI278" s="256"/>
      <c r="AJ278" s="256"/>
      <c r="AK278" s="134"/>
      <c r="AL278" s="134"/>
      <c r="AM278" s="134"/>
      <c r="AN278" s="18"/>
      <c r="AO278" s="18"/>
      <c r="AP278" s="18"/>
      <c r="AQ278" s="18"/>
      <c r="AR278" s="17"/>
      <c r="AS278" s="21">
        <f t="shared" si="102"/>
        <v>45550</v>
      </c>
      <c r="AT278" s="17"/>
      <c r="AU278" s="17"/>
      <c r="AV278" s="17"/>
      <c r="AW278" s="17"/>
      <c r="AX278" s="17"/>
      <c r="AY278" s="17"/>
      <c r="AZ278" s="17"/>
    </row>
    <row r="279" spans="1:52" ht="20">
      <c r="A279" s="17"/>
      <c r="B279" s="40"/>
      <c r="C279" s="55">
        <f t="shared" si="98"/>
        <v>260</v>
      </c>
      <c r="D279" s="54">
        <v>0</v>
      </c>
      <c r="E279" s="53" t="str">
        <f t="shared" si="91"/>
        <v>9</v>
      </c>
      <c r="F279" s="52">
        <f t="shared" si="99"/>
        <v>45551</v>
      </c>
      <c r="G279" s="51" t="str">
        <f t="shared" si="100"/>
        <v>Mon</v>
      </c>
      <c r="H279" s="50" t="s">
        <v>47</v>
      </c>
      <c r="I279" s="49"/>
      <c r="J279" s="343"/>
      <c r="K279" s="31"/>
      <c r="L279" s="317">
        <f t="shared" si="90"/>
        <v>0</v>
      </c>
      <c r="M279" s="318">
        <f t="shared" si="92"/>
        <v>0</v>
      </c>
      <c r="N279" s="41" t="str">
        <f t="shared" si="93"/>
        <v>0%</v>
      </c>
      <c r="O279" s="46"/>
      <c r="P279" s="328">
        <f>IF(D279=0,0,SUM($L$264:L279))</f>
        <v>0</v>
      </c>
      <c r="Q279" s="317">
        <f>IF(D279=0,0,SUM($J$264:J279))</f>
        <v>0</v>
      </c>
      <c r="R279" s="321">
        <f t="shared" si="94"/>
        <v>0</v>
      </c>
      <c r="S279" s="41" t="str">
        <f t="shared" si="95"/>
        <v>0%</v>
      </c>
      <c r="T279" s="56"/>
      <c r="U279" s="348">
        <f>IF(D279=0,0,SUM($L$20:L279))</f>
        <v>0</v>
      </c>
      <c r="V279" s="348">
        <f>IF(D279=0,0,SUM($J$20:J279))</f>
        <v>0</v>
      </c>
      <c r="W279" s="349">
        <f t="shared" si="96"/>
        <v>0</v>
      </c>
      <c r="X279" s="41" t="str">
        <f t="shared" si="97"/>
        <v>0%</v>
      </c>
      <c r="Y279" s="17"/>
      <c r="Z279" s="23">
        <f t="shared" si="101"/>
        <v>45551</v>
      </c>
      <c r="AA279" s="22">
        <f t="shared" si="101"/>
        <v>45551</v>
      </c>
      <c r="AB279" s="137">
        <v>45551</v>
      </c>
      <c r="AC279" s="137"/>
      <c r="AD279" s="134"/>
      <c r="AE279" s="134"/>
      <c r="AF279" s="139"/>
      <c r="AG279" s="256"/>
      <c r="AH279" s="256"/>
      <c r="AI279" s="256"/>
      <c r="AJ279" s="256"/>
      <c r="AK279" s="134"/>
      <c r="AL279" s="134"/>
      <c r="AM279" s="134"/>
      <c r="AN279" s="18"/>
      <c r="AO279" s="18"/>
      <c r="AP279" s="18"/>
      <c r="AQ279" s="18"/>
      <c r="AR279" s="17"/>
      <c r="AS279" s="21">
        <f t="shared" si="102"/>
        <v>45551</v>
      </c>
      <c r="AT279" s="17"/>
      <c r="AU279" s="17"/>
      <c r="AV279" s="17"/>
      <c r="AW279" s="17"/>
      <c r="AX279" s="17"/>
      <c r="AY279" s="17"/>
      <c r="AZ279" s="17"/>
    </row>
    <row r="280" spans="1:52" ht="20">
      <c r="A280" s="17"/>
      <c r="B280" s="40"/>
      <c r="C280" s="55">
        <f t="shared" si="98"/>
        <v>261</v>
      </c>
      <c r="D280" s="54">
        <v>1</v>
      </c>
      <c r="E280" s="53" t="str">
        <f t="shared" si="91"/>
        <v>9</v>
      </c>
      <c r="F280" s="52">
        <f t="shared" si="99"/>
        <v>45552</v>
      </c>
      <c r="G280" s="51" t="str">
        <f t="shared" si="100"/>
        <v>Tue</v>
      </c>
      <c r="H280" s="50"/>
      <c r="I280" s="49"/>
      <c r="J280" s="343">
        <f>156480/$B$13</f>
        <v>1418.1620445894507</v>
      </c>
      <c r="K280" s="31"/>
      <c r="L280" s="317">
        <f t="shared" si="90"/>
        <v>2121.7771038620481</v>
      </c>
      <c r="M280" s="318">
        <f t="shared" si="92"/>
        <v>-703.61505927259736</v>
      </c>
      <c r="N280" s="41">
        <f t="shared" si="93"/>
        <v>0.66838408332718802</v>
      </c>
      <c r="O280" s="46"/>
      <c r="P280" s="328">
        <f>IF(D280=0,0,SUM($L$264:L280))</f>
        <v>27583.102350206627</v>
      </c>
      <c r="Q280" s="317">
        <f>IF(D280=0,0,SUM($J$264:J280))</f>
        <v>27184.520572775054</v>
      </c>
      <c r="R280" s="321">
        <f t="shared" si="94"/>
        <v>-398.58177743157285</v>
      </c>
      <c r="S280" s="41">
        <f t="shared" si="95"/>
        <v>0.98554978434365315</v>
      </c>
      <c r="T280" s="56"/>
      <c r="U280" s="348">
        <f>IF(D280=0,0,SUM($L$20:L280))</f>
        <v>428263.95754268143</v>
      </c>
      <c r="V280" s="348">
        <f>IF(D280=0,0,SUM($J$20:J280))</f>
        <v>446149.68279862247</v>
      </c>
      <c r="W280" s="349">
        <f t="shared" si="96"/>
        <v>17885.725255941041</v>
      </c>
      <c r="X280" s="41">
        <f t="shared" si="97"/>
        <v>1.0417633212903716</v>
      </c>
      <c r="Y280" s="17"/>
      <c r="Z280" s="23">
        <f t="shared" si="101"/>
        <v>45552</v>
      </c>
      <c r="AA280" s="22">
        <f t="shared" si="101"/>
        <v>45552</v>
      </c>
      <c r="AB280" s="137">
        <v>45552</v>
      </c>
      <c r="AC280" s="137"/>
      <c r="AD280" s="134"/>
      <c r="AE280" s="134"/>
      <c r="AF280" s="139"/>
      <c r="AG280" s="256"/>
      <c r="AH280" s="256"/>
      <c r="AI280" s="256"/>
      <c r="AJ280" s="256"/>
      <c r="AK280" s="134"/>
      <c r="AL280" s="134"/>
      <c r="AM280" s="134"/>
      <c r="AN280" s="18"/>
      <c r="AO280" s="18"/>
      <c r="AP280" s="18"/>
      <c r="AQ280" s="18"/>
      <c r="AR280" s="17"/>
      <c r="AS280" s="21">
        <f t="shared" si="102"/>
        <v>45552</v>
      </c>
      <c r="AT280" s="17"/>
      <c r="AU280" s="17"/>
      <c r="AV280" s="17"/>
      <c r="AW280" s="17"/>
      <c r="AX280" s="17"/>
      <c r="AY280" s="17"/>
      <c r="AZ280" s="17"/>
    </row>
    <row r="281" spans="1:52" ht="20">
      <c r="A281" s="17"/>
      <c r="B281" s="40"/>
      <c r="C281" s="55">
        <f t="shared" si="98"/>
        <v>262</v>
      </c>
      <c r="D281" s="54">
        <v>1</v>
      </c>
      <c r="E281" s="53" t="str">
        <f t="shared" si="91"/>
        <v>9</v>
      </c>
      <c r="F281" s="52">
        <f t="shared" si="99"/>
        <v>45553</v>
      </c>
      <c r="G281" s="51" t="str">
        <f t="shared" si="100"/>
        <v>Wed</v>
      </c>
      <c r="H281" s="50"/>
      <c r="I281" s="49"/>
      <c r="J281" s="343">
        <f>167950/$B$13</f>
        <v>1522.1134674642014</v>
      </c>
      <c r="K281" s="31"/>
      <c r="L281" s="317">
        <f t="shared" si="90"/>
        <v>2121.7771038620481</v>
      </c>
      <c r="M281" s="318">
        <f t="shared" si="92"/>
        <v>-599.66363639784663</v>
      </c>
      <c r="N281" s="41">
        <f t="shared" si="93"/>
        <v>0.71737670497700168</v>
      </c>
      <c r="O281" s="46"/>
      <c r="P281" s="328">
        <f>IF(D281=0,0,SUM($L$264:L281))</f>
        <v>29704.879454068676</v>
      </c>
      <c r="Q281" s="317">
        <f>IF(D281=0,0,SUM($J$264:J281))</f>
        <v>28706.634040239256</v>
      </c>
      <c r="R281" s="321">
        <f t="shared" si="94"/>
        <v>-998.2454138294197</v>
      </c>
      <c r="S281" s="41">
        <f t="shared" si="95"/>
        <v>0.96639456438889237</v>
      </c>
      <c r="T281" s="56"/>
      <c r="U281" s="348">
        <f>IF(D281=0,0,SUM($L$20:L281))</f>
        <v>430385.73464654345</v>
      </c>
      <c r="V281" s="348">
        <f>IF(D281=0,0,SUM($J$20:J281))</f>
        <v>447671.79626608669</v>
      </c>
      <c r="W281" s="349">
        <f t="shared" si="96"/>
        <v>17286.061619543238</v>
      </c>
      <c r="X281" s="41">
        <f t="shared" si="97"/>
        <v>1.0401641137890862</v>
      </c>
      <c r="Y281" s="17"/>
      <c r="Z281" s="23">
        <f t="shared" si="101"/>
        <v>45553</v>
      </c>
      <c r="AA281" s="22">
        <f t="shared" si="101"/>
        <v>45553</v>
      </c>
      <c r="AB281" s="137">
        <v>45553</v>
      </c>
      <c r="AC281" s="137"/>
      <c r="AD281" s="134"/>
      <c r="AE281" s="134"/>
      <c r="AF281" s="139"/>
      <c r="AG281" s="256"/>
      <c r="AH281" s="256"/>
      <c r="AI281" s="256"/>
      <c r="AJ281" s="256"/>
      <c r="AK281" s="134"/>
      <c r="AL281" s="134"/>
      <c r="AM281" s="134"/>
      <c r="AN281" s="18"/>
      <c r="AO281" s="18"/>
      <c r="AP281" s="18"/>
      <c r="AQ281" s="18"/>
      <c r="AR281" s="17"/>
      <c r="AS281" s="21">
        <f t="shared" si="102"/>
        <v>45553</v>
      </c>
      <c r="AT281" s="17"/>
      <c r="AU281" s="17"/>
      <c r="AV281" s="17"/>
      <c r="AW281" s="17"/>
      <c r="AX281" s="17"/>
      <c r="AY281" s="17"/>
      <c r="AZ281" s="17"/>
    </row>
    <row r="282" spans="1:52" ht="20">
      <c r="A282" s="17"/>
      <c r="B282" s="40"/>
      <c r="C282" s="55">
        <f t="shared" si="98"/>
        <v>263</v>
      </c>
      <c r="D282" s="54">
        <v>1</v>
      </c>
      <c r="E282" s="53" t="str">
        <f t="shared" si="91"/>
        <v>9</v>
      </c>
      <c r="F282" s="52">
        <f t="shared" si="99"/>
        <v>45554</v>
      </c>
      <c r="G282" s="51" t="str">
        <f t="shared" si="100"/>
        <v>Thu</v>
      </c>
      <c r="H282" s="50"/>
      <c r="I282" s="49"/>
      <c r="J282" s="343">
        <f>221950/$B$13</f>
        <v>2011.5098785571868</v>
      </c>
      <c r="K282" s="31"/>
      <c r="L282" s="317">
        <f t="shared" si="90"/>
        <v>2121.7771038620481</v>
      </c>
      <c r="M282" s="318">
        <f t="shared" si="92"/>
        <v>-110.26722530486131</v>
      </c>
      <c r="N282" s="41">
        <f t="shared" si="93"/>
        <v>0.94803072146261103</v>
      </c>
      <c r="O282" s="46"/>
      <c r="P282" s="328">
        <f>IF(D282=0,0,SUM($L$264:L282))</f>
        <v>31826.656557930724</v>
      </c>
      <c r="Q282" s="317">
        <f>IF(D282=0,0,SUM($J$264:J282))</f>
        <v>30718.143918796442</v>
      </c>
      <c r="R282" s="321">
        <f t="shared" si="94"/>
        <v>-1108.5126391342819</v>
      </c>
      <c r="S282" s="41">
        <f t="shared" si="95"/>
        <v>0.96517030819380689</v>
      </c>
      <c r="T282" s="56"/>
      <c r="U282" s="348">
        <f>IF(D282=0,0,SUM($L$20:L282))</f>
        <v>432507.51175040548</v>
      </c>
      <c r="V282" s="348">
        <f>IF(D282=0,0,SUM($J$20:J282))</f>
        <v>449683.30614464387</v>
      </c>
      <c r="W282" s="349">
        <f t="shared" si="96"/>
        <v>17175.794394238386</v>
      </c>
      <c r="X282" s="41">
        <f t="shared" si="97"/>
        <v>1.0397121296800744</v>
      </c>
      <c r="Y282" s="17"/>
      <c r="Z282" s="23">
        <f t="shared" si="101"/>
        <v>45554</v>
      </c>
      <c r="AA282" s="22">
        <f t="shared" si="101"/>
        <v>45554</v>
      </c>
      <c r="AB282" s="137">
        <v>45554</v>
      </c>
      <c r="AC282" s="137"/>
      <c r="AD282" s="134"/>
      <c r="AE282" s="134"/>
      <c r="AF282" s="139"/>
      <c r="AG282" s="256"/>
      <c r="AH282" s="256"/>
      <c r="AI282" s="256"/>
      <c r="AJ282" s="256"/>
      <c r="AK282" s="134"/>
      <c r="AL282" s="134"/>
      <c r="AM282" s="134"/>
      <c r="AN282" s="18"/>
      <c r="AO282" s="18"/>
      <c r="AP282" s="18"/>
      <c r="AQ282" s="18"/>
      <c r="AR282" s="17"/>
      <c r="AS282" s="21">
        <f t="shared" si="102"/>
        <v>45554</v>
      </c>
      <c r="AT282" s="17"/>
      <c r="AU282" s="17"/>
      <c r="AV282" s="17"/>
      <c r="AW282" s="17"/>
      <c r="AX282" s="17"/>
      <c r="AY282" s="17"/>
      <c r="AZ282" s="17"/>
    </row>
    <row r="283" spans="1:52" ht="20">
      <c r="A283" s="17"/>
      <c r="B283" s="40"/>
      <c r="C283" s="55">
        <f t="shared" si="98"/>
        <v>264</v>
      </c>
      <c r="D283" s="54">
        <v>1</v>
      </c>
      <c r="E283" s="53" t="str">
        <f t="shared" si="91"/>
        <v>9</v>
      </c>
      <c r="F283" s="52">
        <f t="shared" si="99"/>
        <v>45555</v>
      </c>
      <c r="G283" s="51" t="str">
        <f t="shared" si="100"/>
        <v>Fri</v>
      </c>
      <c r="H283" s="50"/>
      <c r="I283" s="49"/>
      <c r="J283" s="343">
        <f>364650/$B$13</f>
        <v>3304.7852093529091</v>
      </c>
      <c r="K283" s="31"/>
      <c r="L283" s="317">
        <f t="shared" si="90"/>
        <v>2121.7771038620481</v>
      </c>
      <c r="M283" s="318">
        <f t="shared" si="92"/>
        <v>1183.008105490861</v>
      </c>
      <c r="N283" s="41">
        <f t="shared" si="93"/>
        <v>1.557555316879212</v>
      </c>
      <c r="O283" s="46"/>
      <c r="P283" s="328">
        <f>IF(D283=0,0,SUM($L$264:L283))</f>
        <v>33948.433661792769</v>
      </c>
      <c r="Q283" s="317">
        <f>IF(D283=0,0,SUM($J$264:J283))</f>
        <v>34022.92912814935</v>
      </c>
      <c r="R283" s="321">
        <f t="shared" si="94"/>
        <v>74.495466356580437</v>
      </c>
      <c r="S283" s="41">
        <f t="shared" si="95"/>
        <v>1.0021943712366448</v>
      </c>
      <c r="T283" s="56"/>
      <c r="U283" s="348">
        <f>IF(D283=0,0,SUM($L$20:L283))</f>
        <v>434629.28885426751</v>
      </c>
      <c r="V283" s="348">
        <f>IF(D283=0,0,SUM($J$20:J283))</f>
        <v>452988.09135399677</v>
      </c>
      <c r="W283" s="349">
        <f t="shared" si="96"/>
        <v>18358.802499729267</v>
      </c>
      <c r="X283" s="41">
        <f t="shared" si="97"/>
        <v>1.0422401411283744</v>
      </c>
      <c r="Y283" s="17"/>
      <c r="Z283" s="23">
        <f t="shared" si="101"/>
        <v>45555</v>
      </c>
      <c r="AA283" s="22">
        <f t="shared" si="101"/>
        <v>45555</v>
      </c>
      <c r="AB283" s="137">
        <v>45555</v>
      </c>
      <c r="AC283" s="137"/>
      <c r="AD283" s="134"/>
      <c r="AE283" s="134"/>
      <c r="AF283" s="139"/>
      <c r="AG283" s="256"/>
      <c r="AH283" s="256"/>
      <c r="AI283" s="256"/>
      <c r="AJ283" s="256"/>
      <c r="AK283" s="134"/>
      <c r="AL283" s="134"/>
      <c r="AM283" s="134"/>
      <c r="AN283" s="18"/>
      <c r="AO283" s="18"/>
      <c r="AP283" s="18"/>
      <c r="AQ283" s="18"/>
      <c r="AR283" s="17"/>
      <c r="AS283" s="21">
        <f t="shared" si="102"/>
        <v>45555</v>
      </c>
      <c r="AT283" s="17"/>
      <c r="AU283" s="17"/>
      <c r="AV283" s="17"/>
      <c r="AW283" s="17"/>
      <c r="AX283" s="17"/>
      <c r="AY283" s="17"/>
      <c r="AZ283" s="17"/>
    </row>
    <row r="284" spans="1:52" ht="20">
      <c r="A284" s="17"/>
      <c r="B284" s="40"/>
      <c r="C284" s="55">
        <f t="shared" si="98"/>
        <v>265</v>
      </c>
      <c r="D284" s="54">
        <v>1</v>
      </c>
      <c r="E284" s="53" t="str">
        <f t="shared" si="91"/>
        <v>9</v>
      </c>
      <c r="F284" s="52">
        <f t="shared" si="99"/>
        <v>45556</v>
      </c>
      <c r="G284" s="51" t="str">
        <f t="shared" si="100"/>
        <v>Sat</v>
      </c>
      <c r="H284" s="50"/>
      <c r="I284" s="49"/>
      <c r="J284" s="343">
        <f>135400/$B$13</f>
        <v>1227.116186333152</v>
      </c>
      <c r="K284" s="31"/>
      <c r="L284" s="317">
        <f t="shared" si="90"/>
        <v>2121.7771038620481</v>
      </c>
      <c r="M284" s="318">
        <f t="shared" si="92"/>
        <v>-894.66091752889611</v>
      </c>
      <c r="N284" s="41">
        <f t="shared" si="93"/>
        <v>0.5783435894842871</v>
      </c>
      <c r="O284" s="46"/>
      <c r="P284" s="328">
        <f>IF(D284=0,0,SUM($L$264:L284))</f>
        <v>36070.210765654818</v>
      </c>
      <c r="Q284" s="317">
        <f>IF(D284=0,0,SUM($J$264:J284))</f>
        <v>35250.045314482501</v>
      </c>
      <c r="R284" s="321">
        <f t="shared" si="94"/>
        <v>-820.16545117231726</v>
      </c>
      <c r="S284" s="41">
        <f t="shared" si="95"/>
        <v>0.97726197231003542</v>
      </c>
      <c r="T284" s="44"/>
      <c r="U284" s="348">
        <f>IF(D284=0,0,SUM($L$20:L284))</f>
        <v>436751.06595812953</v>
      </c>
      <c r="V284" s="348">
        <f>IF(D284=0,0,SUM($J$20:J284))</f>
        <v>454215.20754032995</v>
      </c>
      <c r="W284" s="349">
        <f t="shared" si="96"/>
        <v>17464.14158220042</v>
      </c>
      <c r="X284" s="41">
        <f t="shared" si="97"/>
        <v>1.039986488742479</v>
      </c>
      <c r="Y284" s="17"/>
      <c r="Z284" s="23">
        <f t="shared" si="101"/>
        <v>45556</v>
      </c>
      <c r="AA284" s="22">
        <f t="shared" si="101"/>
        <v>45556</v>
      </c>
      <c r="AB284" s="137">
        <v>45556</v>
      </c>
      <c r="AC284" s="137"/>
      <c r="AD284" s="134"/>
      <c r="AE284" s="134"/>
      <c r="AF284" s="139"/>
      <c r="AG284" s="256"/>
      <c r="AH284" s="256"/>
      <c r="AI284" s="256"/>
      <c r="AJ284" s="256"/>
      <c r="AK284" s="134"/>
      <c r="AL284" s="134"/>
      <c r="AM284" s="134"/>
      <c r="AN284" s="18"/>
      <c r="AO284" s="18"/>
      <c r="AP284" s="18"/>
      <c r="AQ284" s="18"/>
      <c r="AR284" s="17"/>
      <c r="AS284" s="21">
        <f t="shared" si="102"/>
        <v>45556</v>
      </c>
      <c r="AT284" s="17"/>
      <c r="AU284" s="17"/>
      <c r="AV284" s="17"/>
      <c r="AW284" s="17"/>
      <c r="AX284" s="17"/>
      <c r="AY284" s="17"/>
      <c r="AZ284" s="17"/>
    </row>
    <row r="285" spans="1:52" ht="20">
      <c r="A285" s="17"/>
      <c r="B285" s="40"/>
      <c r="C285" s="55">
        <f t="shared" si="98"/>
        <v>266</v>
      </c>
      <c r="D285" s="54">
        <v>0</v>
      </c>
      <c r="E285" s="53" t="str">
        <f t="shared" si="91"/>
        <v>9</v>
      </c>
      <c r="F285" s="52">
        <f t="shared" si="99"/>
        <v>45557</v>
      </c>
      <c r="G285" s="51" t="str">
        <f t="shared" si="100"/>
        <v>Sun</v>
      </c>
      <c r="H285" s="50" t="s">
        <v>46</v>
      </c>
      <c r="I285" s="49"/>
      <c r="J285" s="343"/>
      <c r="K285" s="31"/>
      <c r="L285" s="317">
        <f t="shared" si="90"/>
        <v>0</v>
      </c>
      <c r="M285" s="318">
        <f t="shared" si="92"/>
        <v>0</v>
      </c>
      <c r="N285" s="41" t="str">
        <f t="shared" si="93"/>
        <v>0%</v>
      </c>
      <c r="O285" s="46"/>
      <c r="P285" s="328">
        <f>IF(D285=0,0,SUM($L$264:L285))</f>
        <v>0</v>
      </c>
      <c r="Q285" s="317">
        <f>IF(D285=0,0,SUM($J$264:J285))</f>
        <v>0</v>
      </c>
      <c r="R285" s="321">
        <f t="shared" si="94"/>
        <v>0</v>
      </c>
      <c r="S285" s="41" t="str">
        <f t="shared" si="95"/>
        <v>0%</v>
      </c>
      <c r="T285" s="56"/>
      <c r="U285" s="348">
        <f>IF(D285=0,0,SUM($L$20:L285))</f>
        <v>0</v>
      </c>
      <c r="V285" s="348">
        <f>IF(D285=0,0,SUM($J$20:J285))</f>
        <v>0</v>
      </c>
      <c r="W285" s="349">
        <f t="shared" si="96"/>
        <v>0</v>
      </c>
      <c r="X285" s="41" t="str">
        <f t="shared" si="97"/>
        <v>0%</v>
      </c>
      <c r="Y285" s="17"/>
      <c r="Z285" s="23">
        <f t="shared" si="101"/>
        <v>45557</v>
      </c>
      <c r="AA285" s="22">
        <f t="shared" si="101"/>
        <v>45557</v>
      </c>
      <c r="AB285" s="137">
        <v>45557</v>
      </c>
      <c r="AC285" s="137"/>
      <c r="AD285" s="134"/>
      <c r="AE285" s="134"/>
      <c r="AF285" s="139"/>
      <c r="AG285" s="256"/>
      <c r="AH285" s="256"/>
      <c r="AI285" s="256"/>
      <c r="AJ285" s="256"/>
      <c r="AK285" s="134"/>
      <c r="AL285" s="134"/>
      <c r="AM285" s="134"/>
      <c r="AN285" s="18"/>
      <c r="AO285" s="18"/>
      <c r="AP285" s="18"/>
      <c r="AQ285" s="18"/>
      <c r="AR285" s="17"/>
      <c r="AS285" s="21">
        <f t="shared" si="102"/>
        <v>45557</v>
      </c>
      <c r="AT285" s="17"/>
      <c r="AU285" s="17"/>
      <c r="AV285" s="17"/>
      <c r="AW285" s="17"/>
      <c r="AX285" s="17"/>
      <c r="AY285" s="17"/>
      <c r="AZ285" s="17"/>
    </row>
    <row r="286" spans="1:52" ht="20">
      <c r="A286" s="17"/>
      <c r="B286" s="40"/>
      <c r="C286" s="55">
        <f t="shared" si="98"/>
        <v>267</v>
      </c>
      <c r="D286" s="54">
        <v>0</v>
      </c>
      <c r="E286" s="53" t="str">
        <f t="shared" si="91"/>
        <v>9</v>
      </c>
      <c r="F286" s="52">
        <f t="shared" si="99"/>
        <v>45558</v>
      </c>
      <c r="G286" s="51" t="str">
        <f t="shared" si="100"/>
        <v>Mon</v>
      </c>
      <c r="H286" s="50" t="s">
        <v>47</v>
      </c>
      <c r="I286" s="49"/>
      <c r="J286" s="343"/>
      <c r="K286" s="31"/>
      <c r="L286" s="317">
        <f t="shared" si="90"/>
        <v>0</v>
      </c>
      <c r="M286" s="318">
        <f t="shared" si="92"/>
        <v>0</v>
      </c>
      <c r="N286" s="41" t="str">
        <f t="shared" si="93"/>
        <v>0%</v>
      </c>
      <c r="O286" s="46"/>
      <c r="P286" s="328">
        <f>IF(D286=0,0,SUM($L$264:L286))</f>
        <v>0</v>
      </c>
      <c r="Q286" s="317">
        <f>IF(D286=0,0,SUM($J$264:J286))</f>
        <v>0</v>
      </c>
      <c r="R286" s="321">
        <f t="shared" si="94"/>
        <v>0</v>
      </c>
      <c r="S286" s="41" t="str">
        <f t="shared" si="95"/>
        <v>0%</v>
      </c>
      <c r="T286" s="44"/>
      <c r="U286" s="348">
        <f>IF(D286=0,0,SUM($L$20:L286))</f>
        <v>0</v>
      </c>
      <c r="V286" s="348">
        <f>IF(D286=0,0,SUM($J$20:J286))</f>
        <v>0</v>
      </c>
      <c r="W286" s="349">
        <f t="shared" si="96"/>
        <v>0</v>
      </c>
      <c r="X286" s="41" t="str">
        <f t="shared" si="97"/>
        <v>0%</v>
      </c>
      <c r="Y286" s="17"/>
      <c r="Z286" s="23">
        <f t="shared" si="101"/>
        <v>45558</v>
      </c>
      <c r="AA286" s="22">
        <f t="shared" si="101"/>
        <v>45558</v>
      </c>
      <c r="AB286" s="137">
        <v>45558</v>
      </c>
      <c r="AC286" s="137"/>
      <c r="AD286" s="134"/>
      <c r="AE286" s="134"/>
      <c r="AF286" s="139"/>
      <c r="AG286" s="256"/>
      <c r="AH286" s="256"/>
      <c r="AI286" s="256"/>
      <c r="AJ286" s="256"/>
      <c r="AK286" s="134"/>
      <c r="AL286" s="134"/>
      <c r="AM286" s="134"/>
      <c r="AN286" s="18"/>
      <c r="AO286" s="18"/>
      <c r="AP286" s="18"/>
      <c r="AQ286" s="18"/>
      <c r="AR286" s="17"/>
      <c r="AS286" s="21">
        <f t="shared" si="102"/>
        <v>45558</v>
      </c>
      <c r="AT286" s="17"/>
      <c r="AU286" s="17"/>
      <c r="AV286" s="17"/>
      <c r="AW286" s="17"/>
      <c r="AX286" s="17"/>
      <c r="AY286" s="17"/>
      <c r="AZ286" s="17"/>
    </row>
    <row r="287" spans="1:52" ht="20">
      <c r="A287" s="17"/>
      <c r="B287" s="40"/>
      <c r="C287" s="55">
        <f t="shared" si="98"/>
        <v>268</v>
      </c>
      <c r="D287" s="54">
        <v>1</v>
      </c>
      <c r="E287" s="53" t="str">
        <f t="shared" si="91"/>
        <v>9</v>
      </c>
      <c r="F287" s="52">
        <f t="shared" si="99"/>
        <v>45559</v>
      </c>
      <c r="G287" s="51" t="str">
        <f t="shared" si="100"/>
        <v>Tue</v>
      </c>
      <c r="H287" s="50"/>
      <c r="I287" s="49"/>
      <c r="J287" s="343">
        <f>403600/$B$13</f>
        <v>3657.7850280949792</v>
      </c>
      <c r="K287" s="31"/>
      <c r="L287" s="317">
        <f t="shared" si="90"/>
        <v>2121.7771038620481</v>
      </c>
      <c r="M287" s="318">
        <f t="shared" si="92"/>
        <v>1536.0079242329311</v>
      </c>
      <c r="N287" s="41">
        <f t="shared" si="93"/>
        <v>1.7239252046961471</v>
      </c>
      <c r="O287" s="46"/>
      <c r="P287" s="328">
        <f>IF(D287=0,0,SUM($L$264:L287))</f>
        <v>38191.987869516866</v>
      </c>
      <c r="Q287" s="317">
        <f>IF(D287=0,0,SUM($J$264:J287))</f>
        <v>38907.830342577479</v>
      </c>
      <c r="R287" s="321">
        <f t="shared" si="94"/>
        <v>715.84247306061297</v>
      </c>
      <c r="S287" s="41">
        <f t="shared" si="95"/>
        <v>1.0187432629981528</v>
      </c>
      <c r="T287" s="56"/>
      <c r="U287" s="348">
        <f>IF(D287=0,0,SUM($L$20:L287))</f>
        <v>438872.84306199156</v>
      </c>
      <c r="V287" s="348">
        <f>IF(D287=0,0,SUM($J$20:J287))</f>
        <v>457872.99256842496</v>
      </c>
      <c r="W287" s="349">
        <f t="shared" si="96"/>
        <v>19000.149506433401</v>
      </c>
      <c r="X287" s="41">
        <f t="shared" si="97"/>
        <v>1.0432930626872932</v>
      </c>
      <c r="Y287" s="17"/>
      <c r="Z287" s="23">
        <f t="shared" si="101"/>
        <v>45559</v>
      </c>
      <c r="AA287" s="22">
        <f t="shared" si="101"/>
        <v>45559</v>
      </c>
      <c r="AB287" s="137">
        <v>45559</v>
      </c>
      <c r="AC287" s="137"/>
      <c r="AD287" s="134"/>
      <c r="AE287" s="134"/>
      <c r="AF287" s="139"/>
      <c r="AG287" s="256"/>
      <c r="AH287" s="256"/>
      <c r="AI287" s="256"/>
      <c r="AJ287" s="256"/>
      <c r="AK287" s="134"/>
      <c r="AL287" s="134"/>
      <c r="AM287" s="134"/>
      <c r="AN287" s="18"/>
      <c r="AO287" s="18"/>
      <c r="AP287" s="18"/>
      <c r="AQ287" s="18"/>
      <c r="AR287" s="17"/>
      <c r="AS287" s="21">
        <f t="shared" si="102"/>
        <v>45559</v>
      </c>
      <c r="AT287" s="17"/>
      <c r="AU287" s="17"/>
      <c r="AV287" s="17"/>
      <c r="AW287" s="17"/>
      <c r="AX287" s="17"/>
      <c r="AY287" s="17"/>
      <c r="AZ287" s="17"/>
    </row>
    <row r="288" spans="1:52" ht="20">
      <c r="A288" s="17"/>
      <c r="B288" s="40"/>
      <c r="C288" s="55">
        <f t="shared" si="98"/>
        <v>269</v>
      </c>
      <c r="D288" s="54">
        <v>1</v>
      </c>
      <c r="E288" s="53" t="str">
        <f t="shared" si="91"/>
        <v>9</v>
      </c>
      <c r="F288" s="52">
        <f t="shared" si="99"/>
        <v>45560</v>
      </c>
      <c r="G288" s="51" t="str">
        <f t="shared" si="100"/>
        <v>Wed</v>
      </c>
      <c r="H288" s="50"/>
      <c r="I288" s="49"/>
      <c r="J288" s="343">
        <f>309400/$B$13</f>
        <v>2804.0601776327712</v>
      </c>
      <c r="K288" s="31"/>
      <c r="L288" s="317">
        <f t="shared" si="90"/>
        <v>2121.7771038620481</v>
      </c>
      <c r="M288" s="318">
        <f t="shared" si="92"/>
        <v>682.28307377072315</v>
      </c>
      <c r="N288" s="41">
        <f t="shared" si="93"/>
        <v>1.3215620870490283</v>
      </c>
      <c r="O288" s="46"/>
      <c r="P288" s="328">
        <f>IF(D288=0,0,SUM($L$264:L288))</f>
        <v>40313.764973378915</v>
      </c>
      <c r="Q288" s="317">
        <f>IF(D288=0,0,SUM($J$264:J288))</f>
        <v>41711.890520210247</v>
      </c>
      <c r="R288" s="321">
        <f t="shared" si="94"/>
        <v>1398.125546831332</v>
      </c>
      <c r="S288" s="41">
        <f t="shared" si="95"/>
        <v>1.0346810958429355</v>
      </c>
      <c r="T288" s="56"/>
      <c r="U288" s="348">
        <f>IF(D288=0,0,SUM($L$20:L288))</f>
        <v>440994.62016585359</v>
      </c>
      <c r="V288" s="348">
        <f>IF(D288=0,0,SUM($J$20:J288))</f>
        <v>460677.05274605774</v>
      </c>
      <c r="W288" s="349">
        <f t="shared" si="96"/>
        <v>19682.432580204157</v>
      </c>
      <c r="X288" s="41">
        <f t="shared" si="97"/>
        <v>1.0446319108673068</v>
      </c>
      <c r="Y288" s="17"/>
      <c r="Z288" s="23">
        <f t="shared" si="101"/>
        <v>45560</v>
      </c>
      <c r="AA288" s="22">
        <f t="shared" si="101"/>
        <v>45560</v>
      </c>
      <c r="AB288" s="137">
        <v>45560</v>
      </c>
      <c r="AC288" s="137"/>
      <c r="AD288" s="134"/>
      <c r="AE288" s="134"/>
      <c r="AF288" s="139"/>
      <c r="AG288" s="256"/>
      <c r="AH288" s="256"/>
      <c r="AI288" s="256"/>
      <c r="AJ288" s="256"/>
      <c r="AK288" s="134"/>
      <c r="AL288" s="134"/>
      <c r="AM288" s="134"/>
      <c r="AN288" s="18"/>
      <c r="AO288" s="18"/>
      <c r="AP288" s="18"/>
      <c r="AQ288" s="18"/>
      <c r="AR288" s="17"/>
      <c r="AS288" s="21">
        <f t="shared" si="102"/>
        <v>45560</v>
      </c>
      <c r="AT288" s="17"/>
      <c r="AU288" s="17"/>
      <c r="AV288" s="17"/>
      <c r="AW288" s="17"/>
      <c r="AX288" s="17"/>
      <c r="AY288" s="17"/>
      <c r="AZ288" s="17"/>
    </row>
    <row r="289" spans="1:52" ht="20">
      <c r="A289" s="17"/>
      <c r="B289" s="40"/>
      <c r="C289" s="55">
        <f t="shared" si="98"/>
        <v>270</v>
      </c>
      <c r="D289" s="54">
        <v>1</v>
      </c>
      <c r="E289" s="53" t="str">
        <f t="shared" si="91"/>
        <v>9</v>
      </c>
      <c r="F289" s="52">
        <f t="shared" si="99"/>
        <v>45561</v>
      </c>
      <c r="G289" s="51" t="str">
        <f t="shared" si="100"/>
        <v>Thu</v>
      </c>
      <c r="H289" s="50"/>
      <c r="I289" s="49"/>
      <c r="J289" s="343">
        <f>168650/$B$13</f>
        <v>1528.4574950154069</v>
      </c>
      <c r="K289" s="31"/>
      <c r="L289" s="317">
        <f t="shared" si="90"/>
        <v>2121.7771038620481</v>
      </c>
      <c r="M289" s="318">
        <f t="shared" si="92"/>
        <v>-593.31960884664113</v>
      </c>
      <c r="N289" s="41">
        <f t="shared" si="93"/>
        <v>0.72036666444996333</v>
      </c>
      <c r="O289" s="46"/>
      <c r="P289" s="328">
        <f>IF(D289=0,0,SUM($L$264:L289))</f>
        <v>42435.542077240963</v>
      </c>
      <c r="Q289" s="317">
        <f>IF(D289=0,0,SUM($J$264:J289))</f>
        <v>43240.348015225652</v>
      </c>
      <c r="R289" s="321">
        <f t="shared" si="94"/>
        <v>804.80593798468908</v>
      </c>
      <c r="S289" s="41">
        <f t="shared" si="95"/>
        <v>1.0189653742732869</v>
      </c>
      <c r="T289" s="56"/>
      <c r="U289" s="348">
        <f>IF(D289=0,0,SUM($L$20:L289))</f>
        <v>443116.39726971561</v>
      </c>
      <c r="V289" s="348">
        <f>IF(D289=0,0,SUM($J$20:J289))</f>
        <v>462205.51024107315</v>
      </c>
      <c r="W289" s="349">
        <f t="shared" si="96"/>
        <v>19089.112971357536</v>
      </c>
      <c r="X289" s="41">
        <f t="shared" si="97"/>
        <v>1.0430792294958529</v>
      </c>
      <c r="Y289" s="17"/>
      <c r="Z289" s="23">
        <f t="shared" si="101"/>
        <v>45561</v>
      </c>
      <c r="AA289" s="22">
        <f t="shared" si="101"/>
        <v>45561</v>
      </c>
      <c r="AB289" s="137">
        <v>45561</v>
      </c>
      <c r="AC289" s="137"/>
      <c r="AD289" s="134"/>
      <c r="AE289" s="134"/>
      <c r="AF289" s="139"/>
      <c r="AG289" s="256"/>
      <c r="AH289" s="256"/>
      <c r="AI289" s="256"/>
      <c r="AJ289" s="256"/>
      <c r="AK289" s="134"/>
      <c r="AL289" s="134"/>
      <c r="AM289" s="134"/>
      <c r="AN289" s="18"/>
      <c r="AO289" s="18"/>
      <c r="AP289" s="18"/>
      <c r="AQ289" s="18"/>
      <c r="AR289" s="17"/>
      <c r="AS289" s="21">
        <f t="shared" si="102"/>
        <v>45561</v>
      </c>
      <c r="AT289" s="17"/>
      <c r="AU289" s="17"/>
      <c r="AV289" s="17"/>
      <c r="AW289" s="17"/>
      <c r="AX289" s="17"/>
      <c r="AY289" s="17"/>
      <c r="AZ289" s="17"/>
    </row>
    <row r="290" spans="1:52" ht="20">
      <c r="A290" s="17"/>
      <c r="B290" s="40"/>
      <c r="C290" s="55">
        <f t="shared" si="98"/>
        <v>271</v>
      </c>
      <c r="D290" s="54">
        <v>1</v>
      </c>
      <c r="E290" s="53" t="str">
        <f t="shared" si="91"/>
        <v>9</v>
      </c>
      <c r="F290" s="52">
        <f t="shared" si="99"/>
        <v>45562</v>
      </c>
      <c r="G290" s="51" t="str">
        <f t="shared" si="100"/>
        <v>Fri</v>
      </c>
      <c r="H290" s="50"/>
      <c r="I290" s="49"/>
      <c r="J290" s="343">
        <f>339485/$B$13</f>
        <v>3076.7174188870763</v>
      </c>
      <c r="K290" s="31"/>
      <c r="L290" s="317">
        <f t="shared" si="90"/>
        <v>2121.7771038620481</v>
      </c>
      <c r="M290" s="318">
        <f t="shared" si="92"/>
        <v>954.94031502502821</v>
      </c>
      <c r="N290" s="41">
        <f t="shared" si="93"/>
        <v>1.4500662738262424</v>
      </c>
      <c r="O290" s="46"/>
      <c r="P290" s="328">
        <f>IF(D290=0,0,SUM($L$264:L290))</f>
        <v>44557.319181103012</v>
      </c>
      <c r="Q290" s="317">
        <f>IF(D290=0,0,SUM($J$264:J290))</f>
        <v>46317.06543411273</v>
      </c>
      <c r="R290" s="321">
        <f t="shared" si="94"/>
        <v>1759.7462530097182</v>
      </c>
      <c r="S290" s="41">
        <f t="shared" si="95"/>
        <v>1.0394939885377135</v>
      </c>
      <c r="T290" s="56"/>
      <c r="U290" s="348">
        <f>IF(D290=0,0,SUM($L$20:L290))</f>
        <v>445238.17437357764</v>
      </c>
      <c r="V290" s="348">
        <f>IF(D290=0,0,SUM($J$20:J290))</f>
        <v>465282.22765996022</v>
      </c>
      <c r="W290" s="349">
        <f t="shared" si="96"/>
        <v>20044.053286382579</v>
      </c>
      <c r="X290" s="41">
        <f t="shared" si="97"/>
        <v>1.0450187213048012</v>
      </c>
      <c r="Y290" s="17"/>
      <c r="Z290" s="23">
        <f t="shared" si="101"/>
        <v>45562</v>
      </c>
      <c r="AA290" s="22">
        <f t="shared" si="101"/>
        <v>45562</v>
      </c>
      <c r="AB290" s="137">
        <v>45562</v>
      </c>
      <c r="AC290" s="137"/>
      <c r="AD290" s="134"/>
      <c r="AE290" s="134"/>
      <c r="AF290" s="139"/>
      <c r="AG290" s="256"/>
      <c r="AH290" s="256"/>
      <c r="AI290" s="256"/>
      <c r="AJ290" s="256"/>
      <c r="AK290" s="134"/>
      <c r="AL290" s="134"/>
      <c r="AM290" s="134"/>
      <c r="AN290" s="18"/>
      <c r="AO290" s="18"/>
      <c r="AP290" s="18"/>
      <c r="AQ290" s="18"/>
      <c r="AR290" s="17"/>
      <c r="AS290" s="21">
        <f t="shared" si="102"/>
        <v>45562</v>
      </c>
      <c r="AT290" s="17"/>
      <c r="AU290" s="17"/>
      <c r="AV290" s="17"/>
      <c r="AW290" s="17"/>
      <c r="AX290" s="17"/>
      <c r="AY290" s="17"/>
      <c r="AZ290" s="17"/>
    </row>
    <row r="291" spans="1:52" ht="20">
      <c r="A291" s="17"/>
      <c r="B291" s="40"/>
      <c r="C291" s="55">
        <f t="shared" si="98"/>
        <v>272</v>
      </c>
      <c r="D291" s="54">
        <v>1</v>
      </c>
      <c r="E291" s="53" t="str">
        <f t="shared" si="91"/>
        <v>9</v>
      </c>
      <c r="F291" s="52">
        <f t="shared" si="99"/>
        <v>45563</v>
      </c>
      <c r="G291" s="51" t="str">
        <f t="shared" si="100"/>
        <v>Sat</v>
      </c>
      <c r="H291" s="50"/>
      <c r="I291" s="49"/>
      <c r="J291" s="343">
        <f>116650/$B$13</f>
        <v>1057.1868769258654</v>
      </c>
      <c r="K291" s="31"/>
      <c r="L291" s="317">
        <f t="shared" si="90"/>
        <v>2121.7771038620481</v>
      </c>
      <c r="M291" s="318">
        <f t="shared" si="92"/>
        <v>-1064.5902269361827</v>
      </c>
      <c r="N291" s="41">
        <f t="shared" si="93"/>
        <v>0.49825538931567276</v>
      </c>
      <c r="O291" s="46"/>
      <c r="P291" s="328">
        <f>IF(D291=0,0,SUM($L$264:L291))</f>
        <v>46679.09628496506</v>
      </c>
      <c r="Q291" s="317">
        <f>IF(D291=0,0,SUM($J$264:J291))</f>
        <v>47374.252311038596</v>
      </c>
      <c r="R291" s="321">
        <f t="shared" si="94"/>
        <v>695.15602607353503</v>
      </c>
      <c r="S291" s="41">
        <f t="shared" si="95"/>
        <v>1.0148922340276205</v>
      </c>
      <c r="T291" s="44"/>
      <c r="U291" s="348">
        <f>IF(D291=0,0,SUM($L$20:L291))</f>
        <v>447359.95147743967</v>
      </c>
      <c r="V291" s="348">
        <f>IF(D291=0,0,SUM($J$20:J291))</f>
        <v>466339.41453688609</v>
      </c>
      <c r="W291" s="349">
        <f t="shared" si="96"/>
        <v>18979.463059446425</v>
      </c>
      <c r="X291" s="41">
        <f t="shared" si="97"/>
        <v>1.0424254853318125</v>
      </c>
      <c r="Y291" s="17"/>
      <c r="Z291" s="23">
        <f t="shared" si="101"/>
        <v>45563</v>
      </c>
      <c r="AA291" s="22">
        <f t="shared" si="101"/>
        <v>45563</v>
      </c>
      <c r="AB291" s="137">
        <v>45563</v>
      </c>
      <c r="AC291" s="137"/>
      <c r="AD291" s="134"/>
      <c r="AE291" s="134"/>
      <c r="AF291" s="139"/>
      <c r="AG291" s="256"/>
      <c r="AH291" s="256"/>
      <c r="AI291" s="256"/>
      <c r="AJ291" s="256"/>
      <c r="AK291" s="134"/>
      <c r="AL291" s="134"/>
      <c r="AM291" s="134"/>
      <c r="AN291" s="18"/>
      <c r="AO291" s="18"/>
      <c r="AP291" s="18"/>
      <c r="AQ291" s="18"/>
      <c r="AR291" s="17"/>
      <c r="AS291" s="21">
        <f t="shared" si="102"/>
        <v>45563</v>
      </c>
      <c r="AT291" s="17"/>
      <c r="AU291" s="17"/>
      <c r="AV291" s="17"/>
      <c r="AW291" s="17"/>
      <c r="AX291" s="17"/>
      <c r="AY291" s="17"/>
      <c r="AZ291" s="17"/>
    </row>
    <row r="292" spans="1:52" ht="20">
      <c r="A292" s="17"/>
      <c r="B292" s="40"/>
      <c r="C292" s="55">
        <f t="shared" si="98"/>
        <v>273</v>
      </c>
      <c r="D292" s="54">
        <v>0</v>
      </c>
      <c r="E292" s="53" t="str">
        <f t="shared" si="91"/>
        <v>9</v>
      </c>
      <c r="F292" s="52">
        <f t="shared" si="99"/>
        <v>45564</v>
      </c>
      <c r="G292" s="51" t="str">
        <f t="shared" si="100"/>
        <v>Sun</v>
      </c>
      <c r="H292" s="50" t="s">
        <v>46</v>
      </c>
      <c r="I292" s="49"/>
      <c r="J292" s="343"/>
      <c r="K292" s="31"/>
      <c r="L292" s="317">
        <f t="shared" si="90"/>
        <v>0</v>
      </c>
      <c r="M292" s="318">
        <f t="shared" si="92"/>
        <v>0</v>
      </c>
      <c r="N292" s="41" t="str">
        <f t="shared" si="93"/>
        <v>0%</v>
      </c>
      <c r="O292" s="46"/>
      <c r="P292" s="328">
        <f>IF(D292=0,0,SUM($L$264:L292))</f>
        <v>0</v>
      </c>
      <c r="Q292" s="317">
        <f>IF(D292=0,0,SUM($J$264:J292))</f>
        <v>0</v>
      </c>
      <c r="R292" s="321">
        <f t="shared" si="94"/>
        <v>0</v>
      </c>
      <c r="S292" s="41" t="str">
        <f t="shared" si="95"/>
        <v>0%</v>
      </c>
      <c r="T292" s="56"/>
      <c r="U292" s="348">
        <f>IF(D292=0,0,SUM($L$20:L292))</f>
        <v>0</v>
      </c>
      <c r="V292" s="348">
        <f>IF(D292=0,0,SUM($J$20:J292))</f>
        <v>0</v>
      </c>
      <c r="W292" s="349">
        <f t="shared" si="96"/>
        <v>0</v>
      </c>
      <c r="X292" s="41" t="str">
        <f t="shared" si="97"/>
        <v>0%</v>
      </c>
      <c r="Y292" s="17"/>
      <c r="Z292" s="23">
        <f t="shared" si="101"/>
        <v>45564</v>
      </c>
      <c r="AA292" s="22">
        <f t="shared" si="101"/>
        <v>45564</v>
      </c>
      <c r="AB292" s="137">
        <v>45564</v>
      </c>
      <c r="AC292" s="137"/>
      <c r="AD292" s="134"/>
      <c r="AE292" s="134"/>
      <c r="AF292" s="139"/>
      <c r="AG292" s="256"/>
      <c r="AH292" s="256"/>
      <c r="AI292" s="256"/>
      <c r="AJ292" s="256"/>
      <c r="AK292" s="134"/>
      <c r="AL292" s="134"/>
      <c r="AM292" s="134"/>
      <c r="AN292" s="18"/>
      <c r="AO292" s="18"/>
      <c r="AP292" s="18"/>
      <c r="AQ292" s="18"/>
      <c r="AR292" s="17"/>
      <c r="AS292" s="21">
        <f t="shared" si="102"/>
        <v>45564</v>
      </c>
      <c r="AT292" s="17"/>
      <c r="AU292" s="17"/>
      <c r="AV292" s="17"/>
      <c r="AW292" s="17"/>
      <c r="AX292" s="17"/>
      <c r="AY292" s="17"/>
      <c r="AZ292" s="17"/>
    </row>
    <row r="293" spans="1:52" ht="21" thickBot="1">
      <c r="A293" s="17"/>
      <c r="B293" s="40"/>
      <c r="C293" s="39">
        <f t="shared" si="98"/>
        <v>274</v>
      </c>
      <c r="D293" s="38">
        <v>1</v>
      </c>
      <c r="E293" s="37" t="str">
        <f t="shared" si="91"/>
        <v>9</v>
      </c>
      <c r="F293" s="36">
        <f t="shared" si="99"/>
        <v>45565</v>
      </c>
      <c r="G293" s="35" t="str">
        <f t="shared" si="100"/>
        <v>Mon</v>
      </c>
      <c r="H293" s="34"/>
      <c r="I293" s="33"/>
      <c r="J293" s="344">
        <f>197800/$B$13</f>
        <v>1792.6409280406017</v>
      </c>
      <c r="K293" s="31"/>
      <c r="L293" s="326">
        <f t="shared" si="90"/>
        <v>2121.7771038620481</v>
      </c>
      <c r="M293" s="320">
        <f t="shared" si="92"/>
        <v>-329.13617582144639</v>
      </c>
      <c r="N293" s="24">
        <f t="shared" si="93"/>
        <v>0.84487711964543577</v>
      </c>
      <c r="O293" s="29"/>
      <c r="P293" s="347">
        <f>IF(D293=0,0,SUM($L$264:L293))</f>
        <v>48800.873388827109</v>
      </c>
      <c r="Q293" s="326">
        <f>IF(D293=0,0,SUM($J$264:J293))</f>
        <v>49166.893239079196</v>
      </c>
      <c r="R293" s="327">
        <f t="shared" si="94"/>
        <v>366.01985025208705</v>
      </c>
      <c r="S293" s="24">
        <f t="shared" si="95"/>
        <v>1.0075002725327429</v>
      </c>
      <c r="T293" s="64"/>
      <c r="U293" s="350">
        <f>IF(D293=0,0,SUM($L$20:L293))</f>
        <v>449481.72858130169</v>
      </c>
      <c r="V293" s="350">
        <f>IF(D293=0,0,SUM($J$20:J293))</f>
        <v>468132.0554649267</v>
      </c>
      <c r="W293" s="351">
        <f t="shared" si="96"/>
        <v>18650.326883625006</v>
      </c>
      <c r="X293" s="24">
        <f t="shared" si="97"/>
        <v>1.0414929588850941</v>
      </c>
      <c r="Y293" s="17"/>
      <c r="Z293" s="23">
        <f t="shared" ref="Z293:AA308" si="103">Z292+1</f>
        <v>45565</v>
      </c>
      <c r="AA293" s="22">
        <f t="shared" si="103"/>
        <v>45565</v>
      </c>
      <c r="AB293" s="137">
        <v>45565</v>
      </c>
      <c r="AC293" s="137"/>
      <c r="AD293" s="134"/>
      <c r="AE293" s="134"/>
      <c r="AF293" s="139"/>
      <c r="AG293" s="256"/>
      <c r="AH293" s="256"/>
      <c r="AI293" s="256"/>
      <c r="AJ293" s="256"/>
      <c r="AK293" s="134"/>
      <c r="AL293" s="134"/>
      <c r="AM293" s="134"/>
      <c r="AN293" s="18"/>
      <c r="AO293" s="18"/>
      <c r="AP293" s="18"/>
      <c r="AQ293" s="18"/>
      <c r="AR293" s="17"/>
      <c r="AS293" s="21">
        <f t="shared" si="102"/>
        <v>45565</v>
      </c>
      <c r="AT293" s="17"/>
      <c r="AU293" s="17"/>
      <c r="AV293" s="17"/>
      <c r="AW293" s="17"/>
      <c r="AX293" s="17"/>
      <c r="AY293" s="17"/>
      <c r="AZ293" s="17"/>
    </row>
    <row r="294" spans="1:52" ht="21" thickTop="1">
      <c r="A294" s="17"/>
      <c r="B294" s="40"/>
      <c r="C294" s="55">
        <f t="shared" si="98"/>
        <v>275</v>
      </c>
      <c r="D294" s="62">
        <v>1</v>
      </c>
      <c r="E294" s="53" t="str">
        <f t="shared" si="91"/>
        <v>10</v>
      </c>
      <c r="F294" s="52">
        <f t="shared" si="99"/>
        <v>45566</v>
      </c>
      <c r="G294" s="51" t="str">
        <f t="shared" si="100"/>
        <v>Tue</v>
      </c>
      <c r="H294" s="50"/>
      <c r="I294" s="49"/>
      <c r="J294" s="343">
        <f>265250/$B$13</f>
        <v>2403.9332970817472</v>
      </c>
      <c r="K294" s="31"/>
      <c r="L294" s="317">
        <f t="shared" ref="L294:L324" si="104">IF(D294=0,0,$K$15)</f>
        <v>2791.8119787658534</v>
      </c>
      <c r="M294" s="321">
        <f t="shared" si="92"/>
        <v>-387.87868168410614</v>
      </c>
      <c r="N294" s="60">
        <f t="shared" si="93"/>
        <v>0.8610656145061848</v>
      </c>
      <c r="O294" s="46"/>
      <c r="P294" s="329">
        <f>IF(D294=0,0,$L$294)</f>
        <v>2791.8119787658534</v>
      </c>
      <c r="Q294" s="317">
        <f>IF(D294=0,0,$J$294)</f>
        <v>2403.9332970817472</v>
      </c>
      <c r="R294" s="321">
        <f t="shared" si="94"/>
        <v>-387.87868168410614</v>
      </c>
      <c r="S294" s="60">
        <f t="shared" si="95"/>
        <v>0.8610656145061848</v>
      </c>
      <c r="T294" s="56"/>
      <c r="U294" s="348">
        <f>IF(D294=0,0,SUM($L$20:L294))</f>
        <v>452273.54056006757</v>
      </c>
      <c r="V294" s="348">
        <f>IF(D294=0,0,SUM($J$20:J294))</f>
        <v>470535.98876200843</v>
      </c>
      <c r="W294" s="349">
        <f t="shared" si="96"/>
        <v>18262.448201940861</v>
      </c>
      <c r="X294" s="60">
        <f t="shared" si="97"/>
        <v>1.0403792098457181</v>
      </c>
      <c r="Y294" s="17"/>
      <c r="Z294" s="23">
        <f t="shared" si="103"/>
        <v>45566</v>
      </c>
      <c r="AA294" s="22">
        <f t="shared" si="103"/>
        <v>45566</v>
      </c>
      <c r="AB294" s="137">
        <v>45566</v>
      </c>
      <c r="AC294" s="137"/>
      <c r="AD294" s="134"/>
      <c r="AE294" s="134"/>
      <c r="AF294" s="139"/>
      <c r="AG294" s="256"/>
      <c r="AH294" s="256"/>
      <c r="AI294" s="256"/>
      <c r="AJ294" s="256"/>
      <c r="AK294" s="134"/>
      <c r="AL294" s="134"/>
      <c r="AM294" s="134"/>
      <c r="AN294" s="18"/>
      <c r="AO294" s="18"/>
      <c r="AP294" s="18"/>
      <c r="AQ294" s="18"/>
      <c r="AR294" s="17"/>
      <c r="AS294" s="21">
        <f t="shared" si="102"/>
        <v>45566</v>
      </c>
      <c r="AT294" s="17"/>
      <c r="AU294" s="17"/>
      <c r="AV294" s="17"/>
      <c r="AW294" s="17"/>
      <c r="AX294" s="17"/>
      <c r="AY294" s="17"/>
      <c r="AZ294" s="17"/>
    </row>
    <row r="295" spans="1:52" ht="20">
      <c r="A295" s="17"/>
      <c r="B295" s="40"/>
      <c r="C295" s="55">
        <f t="shared" si="98"/>
        <v>276</v>
      </c>
      <c r="D295" s="54">
        <v>1</v>
      </c>
      <c r="E295" s="53" t="str">
        <f t="shared" si="91"/>
        <v>10</v>
      </c>
      <c r="F295" s="52">
        <f t="shared" si="99"/>
        <v>45567</v>
      </c>
      <c r="G295" s="51" t="str">
        <f t="shared" si="100"/>
        <v>Wed</v>
      </c>
      <c r="H295" s="50"/>
      <c r="I295" s="49"/>
      <c r="J295" s="343">
        <f>241150/$B$13</f>
        <v>2185.5174913902483</v>
      </c>
      <c r="K295" s="31"/>
      <c r="L295" s="317">
        <f t="shared" si="104"/>
        <v>2791.8119787658534</v>
      </c>
      <c r="M295" s="318">
        <f t="shared" si="92"/>
        <v>-606.29448737560506</v>
      </c>
      <c r="N295" s="41">
        <f t="shared" si="93"/>
        <v>0.78283118921080663</v>
      </c>
      <c r="O295" s="46"/>
      <c r="P295" s="328">
        <f>IF(D295=0,0,SUM($L$294:L295))</f>
        <v>5583.6239575317068</v>
      </c>
      <c r="Q295" s="317">
        <f>IF(D295=0,0,SUM($J$294:J295))</f>
        <v>4589.4507884719951</v>
      </c>
      <c r="R295" s="321">
        <f t="shared" si="94"/>
        <v>-994.17316905971165</v>
      </c>
      <c r="S295" s="41">
        <f t="shared" si="95"/>
        <v>0.8219484018584956</v>
      </c>
      <c r="T295" s="56"/>
      <c r="U295" s="348">
        <f>IF(D295=0,0,SUM($L$20:L295))</f>
        <v>455065.35253883345</v>
      </c>
      <c r="V295" s="348">
        <f>IF(D295=0,0,SUM($J$20:J295))</f>
        <v>472721.50625339866</v>
      </c>
      <c r="W295" s="349">
        <f t="shared" si="96"/>
        <v>17656.153714565211</v>
      </c>
      <c r="X295" s="41">
        <f t="shared" si="97"/>
        <v>1.0387991606393689</v>
      </c>
      <c r="Y295" s="17"/>
      <c r="Z295" s="23">
        <f t="shared" si="103"/>
        <v>45567</v>
      </c>
      <c r="AA295" s="22">
        <f t="shared" si="103"/>
        <v>45567</v>
      </c>
      <c r="AB295" s="137">
        <v>45567</v>
      </c>
      <c r="AC295" s="137"/>
      <c r="AD295" s="134"/>
      <c r="AE295" s="134"/>
      <c r="AF295" s="139"/>
      <c r="AG295" s="256"/>
      <c r="AH295" s="256"/>
      <c r="AI295" s="256"/>
      <c r="AJ295" s="256"/>
      <c r="AK295" s="134"/>
      <c r="AL295" s="134"/>
      <c r="AM295" s="134"/>
      <c r="AN295" s="18"/>
      <c r="AO295" s="18"/>
      <c r="AP295" s="18"/>
      <c r="AQ295" s="18"/>
      <c r="AR295" s="17"/>
      <c r="AS295" s="21">
        <f t="shared" si="102"/>
        <v>45567</v>
      </c>
      <c r="AT295" s="17"/>
      <c r="AU295" s="17"/>
      <c r="AV295" s="17"/>
      <c r="AW295" s="17"/>
      <c r="AX295" s="17"/>
      <c r="AY295" s="17"/>
      <c r="AZ295" s="17"/>
    </row>
    <row r="296" spans="1:52" ht="20">
      <c r="A296" s="17"/>
      <c r="B296" s="40"/>
      <c r="C296" s="55">
        <f t="shared" si="98"/>
        <v>277</v>
      </c>
      <c r="D296" s="54">
        <v>1</v>
      </c>
      <c r="E296" s="53" t="str">
        <f t="shared" si="91"/>
        <v>10</v>
      </c>
      <c r="F296" s="52">
        <f t="shared" si="99"/>
        <v>45568</v>
      </c>
      <c r="G296" s="51" t="str">
        <f t="shared" si="100"/>
        <v>Thu</v>
      </c>
      <c r="H296" s="50"/>
      <c r="I296" s="49"/>
      <c r="J296" s="343">
        <f>229100/$B$13</f>
        <v>2076.3095885444986</v>
      </c>
      <c r="K296" s="31"/>
      <c r="L296" s="317">
        <f t="shared" si="104"/>
        <v>2791.8119787658534</v>
      </c>
      <c r="M296" s="318">
        <f t="shared" si="92"/>
        <v>-715.50239022135474</v>
      </c>
      <c r="N296" s="41">
        <f t="shared" si="93"/>
        <v>0.74371397656311755</v>
      </c>
      <c r="O296" s="46"/>
      <c r="P296" s="328">
        <f>IF(D296=0,0,SUM($L$294:L296))</f>
        <v>8375.4359362975592</v>
      </c>
      <c r="Q296" s="317">
        <f>IF(D296=0,0,SUM($J$294:J296))</f>
        <v>6665.7603770164933</v>
      </c>
      <c r="R296" s="321">
        <f t="shared" si="94"/>
        <v>-1709.6755592810659</v>
      </c>
      <c r="S296" s="41">
        <f t="shared" si="95"/>
        <v>0.79587026009336959</v>
      </c>
      <c r="T296" s="56"/>
      <c r="U296" s="348">
        <f>IF(D296=0,0,SUM($L$20:L296))</f>
        <v>457857.16451759933</v>
      </c>
      <c r="V296" s="348">
        <f>IF(D296=0,0,SUM($J$20:J296))</f>
        <v>474797.81584194314</v>
      </c>
      <c r="W296" s="349">
        <f t="shared" si="96"/>
        <v>16940.651324343809</v>
      </c>
      <c r="X296" s="41">
        <f t="shared" si="97"/>
        <v>1.0369998607364648</v>
      </c>
      <c r="Y296" s="17"/>
      <c r="Z296" s="23">
        <f t="shared" si="103"/>
        <v>45568</v>
      </c>
      <c r="AA296" s="22">
        <f t="shared" si="103"/>
        <v>45568</v>
      </c>
      <c r="AB296" s="137">
        <v>45568</v>
      </c>
      <c r="AC296" s="137"/>
      <c r="AD296" s="134"/>
      <c r="AE296" s="134"/>
      <c r="AF296" s="139"/>
      <c r="AG296" s="256"/>
      <c r="AH296" s="256"/>
      <c r="AI296" s="256"/>
      <c r="AJ296" s="256"/>
      <c r="AK296" s="134"/>
      <c r="AL296" s="134"/>
      <c r="AM296" s="134"/>
      <c r="AN296" s="18"/>
      <c r="AO296" s="18"/>
      <c r="AP296" s="18"/>
      <c r="AQ296" s="18"/>
      <c r="AR296" s="17"/>
      <c r="AS296" s="21">
        <f t="shared" si="102"/>
        <v>45568</v>
      </c>
      <c r="AT296" s="17"/>
      <c r="AU296" s="17"/>
      <c r="AV296" s="17"/>
      <c r="AW296" s="17"/>
      <c r="AX296" s="17"/>
      <c r="AY296" s="17"/>
      <c r="AZ296" s="17"/>
    </row>
    <row r="297" spans="1:52" ht="20">
      <c r="A297" s="17"/>
      <c r="B297" s="40"/>
      <c r="C297" s="55">
        <f t="shared" si="98"/>
        <v>278</v>
      </c>
      <c r="D297" s="54">
        <v>1</v>
      </c>
      <c r="E297" s="53" t="str">
        <f t="shared" si="91"/>
        <v>10</v>
      </c>
      <c r="F297" s="52">
        <f t="shared" si="99"/>
        <v>45569</v>
      </c>
      <c r="G297" s="51" t="str">
        <f t="shared" si="100"/>
        <v>Fri</v>
      </c>
      <c r="H297" s="50"/>
      <c r="I297" s="49"/>
      <c r="J297" s="343">
        <f>293550/$B$13</f>
        <v>2660.4132680804782</v>
      </c>
      <c r="K297" s="31"/>
      <c r="L297" s="317">
        <f t="shared" si="104"/>
        <v>2791.8119787658534</v>
      </c>
      <c r="M297" s="318">
        <f t="shared" si="92"/>
        <v>-131.39871068537514</v>
      </c>
      <c r="N297" s="41">
        <f t="shared" si="93"/>
        <v>0.95293425499826778</v>
      </c>
      <c r="O297" s="46"/>
      <c r="P297" s="328">
        <f>IF(D297=0,0,SUM($L$294:L297))</f>
        <v>11167.247915063414</v>
      </c>
      <c r="Q297" s="317">
        <f>IF(D297=0,0,SUM($J$294:J297))</f>
        <v>9326.1736450969711</v>
      </c>
      <c r="R297" s="321">
        <f t="shared" si="94"/>
        <v>-1841.0742699664424</v>
      </c>
      <c r="S297" s="41">
        <f t="shared" si="95"/>
        <v>0.83513625881959408</v>
      </c>
      <c r="T297" s="56"/>
      <c r="U297" s="348">
        <f>IF(D297=0,0,SUM($L$20:L297))</f>
        <v>460648.97649636521</v>
      </c>
      <c r="V297" s="348">
        <f>IF(D297=0,0,SUM($J$20:J297))</f>
        <v>477458.22911002365</v>
      </c>
      <c r="W297" s="349">
        <f t="shared" si="96"/>
        <v>16809.252613658435</v>
      </c>
      <c r="X297" s="41">
        <f t="shared" si="97"/>
        <v>1.0364903722168393</v>
      </c>
      <c r="Y297" s="17"/>
      <c r="Z297" s="23">
        <f t="shared" si="103"/>
        <v>45569</v>
      </c>
      <c r="AA297" s="22">
        <f t="shared" si="103"/>
        <v>45569</v>
      </c>
      <c r="AB297" s="137">
        <v>45569</v>
      </c>
      <c r="AC297" s="137"/>
      <c r="AD297" s="134"/>
      <c r="AE297" s="134"/>
      <c r="AF297" s="139"/>
      <c r="AG297" s="256"/>
      <c r="AH297" s="256"/>
      <c r="AI297" s="256"/>
      <c r="AJ297" s="256"/>
      <c r="AK297" s="134"/>
      <c r="AL297" s="134"/>
      <c r="AM297" s="134"/>
      <c r="AN297" s="18"/>
      <c r="AO297" s="18"/>
      <c r="AP297" s="18"/>
      <c r="AQ297" s="18"/>
      <c r="AR297" s="17"/>
      <c r="AS297" s="21">
        <f t="shared" si="102"/>
        <v>45569</v>
      </c>
      <c r="AT297" s="17"/>
      <c r="AU297" s="17"/>
      <c r="AV297" s="17"/>
      <c r="AW297" s="17"/>
      <c r="AX297" s="17"/>
      <c r="AY297" s="17"/>
      <c r="AZ297" s="17"/>
    </row>
    <row r="298" spans="1:52" ht="20">
      <c r="A298" s="17"/>
      <c r="B298" s="40"/>
      <c r="C298" s="55">
        <f t="shared" si="98"/>
        <v>279</v>
      </c>
      <c r="D298" s="54">
        <v>1</v>
      </c>
      <c r="E298" s="53" t="str">
        <f t="shared" si="91"/>
        <v>10</v>
      </c>
      <c r="F298" s="52">
        <f t="shared" si="99"/>
        <v>45570</v>
      </c>
      <c r="G298" s="51" t="str">
        <f t="shared" si="100"/>
        <v>Sat</v>
      </c>
      <c r="H298" s="50"/>
      <c r="I298" s="49"/>
      <c r="J298" s="343">
        <f>76900/$B$13</f>
        <v>696.93674098241797</v>
      </c>
      <c r="K298" s="31"/>
      <c r="L298" s="317">
        <f t="shared" si="104"/>
        <v>2791.8119787658534</v>
      </c>
      <c r="M298" s="318">
        <f t="shared" si="92"/>
        <v>-2094.8752377834353</v>
      </c>
      <c r="N298" s="41">
        <f t="shared" si="93"/>
        <v>0.24963598776823981</v>
      </c>
      <c r="O298" s="46"/>
      <c r="P298" s="328">
        <f>IF(D298=0,0,SUM($L$294:L298))</f>
        <v>13959.059893829268</v>
      </c>
      <c r="Q298" s="317">
        <f>IF(D298=0,0,SUM($J$294:J298))</f>
        <v>10023.110386079388</v>
      </c>
      <c r="R298" s="321">
        <f t="shared" si="94"/>
        <v>-3935.9495077498796</v>
      </c>
      <c r="S298" s="41">
        <f t="shared" si="95"/>
        <v>0.71803620460932316</v>
      </c>
      <c r="T298" s="44"/>
      <c r="U298" s="348">
        <f>IF(D298=0,0,SUM($L$20:L298))</f>
        <v>463440.78847513109</v>
      </c>
      <c r="V298" s="348">
        <f>IF(D298=0,0,SUM($J$20:J298))</f>
        <v>478155.16585100605</v>
      </c>
      <c r="W298" s="349">
        <f t="shared" si="96"/>
        <v>14714.377375874959</v>
      </c>
      <c r="X298" s="41">
        <f t="shared" si="97"/>
        <v>1.0317502855635343</v>
      </c>
      <c r="Y298" s="17"/>
      <c r="Z298" s="23">
        <f t="shared" si="103"/>
        <v>45570</v>
      </c>
      <c r="AA298" s="22">
        <f t="shared" si="103"/>
        <v>45570</v>
      </c>
      <c r="AB298" s="137">
        <v>45570</v>
      </c>
      <c r="AC298" s="137"/>
      <c r="AD298" s="134"/>
      <c r="AE298" s="134"/>
      <c r="AF298" s="139"/>
      <c r="AG298" s="256"/>
      <c r="AH298" s="256"/>
      <c r="AI298" s="256"/>
      <c r="AJ298" s="256"/>
      <c r="AK298" s="134"/>
      <c r="AL298" s="134"/>
      <c r="AM298" s="134"/>
      <c r="AN298" s="18"/>
      <c r="AO298" s="18"/>
      <c r="AP298" s="18"/>
      <c r="AQ298" s="18"/>
      <c r="AR298" s="17"/>
      <c r="AS298" s="21">
        <f t="shared" si="102"/>
        <v>45570</v>
      </c>
      <c r="AT298" s="17"/>
      <c r="AU298" s="17"/>
      <c r="AV298" s="17"/>
      <c r="AW298" s="17"/>
      <c r="AX298" s="17"/>
      <c r="AY298" s="17"/>
      <c r="AZ298" s="17"/>
    </row>
    <row r="299" spans="1:52" ht="20">
      <c r="A299" s="17"/>
      <c r="B299" s="40"/>
      <c r="C299" s="55">
        <f t="shared" si="98"/>
        <v>280</v>
      </c>
      <c r="D299" s="54">
        <v>0</v>
      </c>
      <c r="E299" s="53" t="str">
        <f t="shared" si="91"/>
        <v>10</v>
      </c>
      <c r="F299" s="52">
        <f t="shared" si="99"/>
        <v>45571</v>
      </c>
      <c r="G299" s="51" t="str">
        <f t="shared" si="100"/>
        <v>Sun</v>
      </c>
      <c r="H299" s="50" t="s">
        <v>46</v>
      </c>
      <c r="I299" s="49"/>
      <c r="J299" s="343"/>
      <c r="K299" s="31"/>
      <c r="L299" s="317">
        <f t="shared" si="104"/>
        <v>0</v>
      </c>
      <c r="M299" s="318">
        <f t="shared" si="92"/>
        <v>0</v>
      </c>
      <c r="N299" s="41" t="str">
        <f t="shared" si="93"/>
        <v>0%</v>
      </c>
      <c r="O299" s="46"/>
      <c r="P299" s="328">
        <f>IF(D299=0,0,SUM($L$294:L299))</f>
        <v>0</v>
      </c>
      <c r="Q299" s="317">
        <f>IF(D299=0,0,SUM($J$294:J299))</f>
        <v>0</v>
      </c>
      <c r="R299" s="321">
        <f t="shared" si="94"/>
        <v>0</v>
      </c>
      <c r="S299" s="41" t="str">
        <f t="shared" si="95"/>
        <v>0%</v>
      </c>
      <c r="T299" s="56"/>
      <c r="U299" s="348">
        <f>IF(D299=0,0,SUM($L$20:L299))</f>
        <v>0</v>
      </c>
      <c r="V299" s="348">
        <f>IF(D299=0,0,SUM($J$20:J299))</f>
        <v>0</v>
      </c>
      <c r="W299" s="349">
        <f t="shared" si="96"/>
        <v>0</v>
      </c>
      <c r="X299" s="41" t="str">
        <f t="shared" si="97"/>
        <v>0%</v>
      </c>
      <c r="Y299" s="17"/>
      <c r="Z299" s="23">
        <f t="shared" si="103"/>
        <v>45571</v>
      </c>
      <c r="AA299" s="22">
        <f t="shared" si="103"/>
        <v>45571</v>
      </c>
      <c r="AB299" s="137">
        <v>45571</v>
      </c>
      <c r="AC299" s="137"/>
      <c r="AD299" s="134"/>
      <c r="AE299" s="134"/>
      <c r="AF299" s="139"/>
      <c r="AG299" s="256"/>
      <c r="AH299" s="256"/>
      <c r="AI299" s="256"/>
      <c r="AJ299" s="256"/>
      <c r="AK299" s="134"/>
      <c r="AL299" s="134"/>
      <c r="AM299" s="134"/>
      <c r="AN299" s="18"/>
      <c r="AO299" s="18"/>
      <c r="AP299" s="18"/>
      <c r="AQ299" s="18"/>
      <c r="AR299" s="17"/>
      <c r="AS299" s="21">
        <f t="shared" si="102"/>
        <v>45571</v>
      </c>
      <c r="AT299" s="17"/>
      <c r="AU299" s="17"/>
      <c r="AV299" s="17"/>
      <c r="AW299" s="17"/>
      <c r="AX299" s="17"/>
      <c r="AY299" s="17"/>
      <c r="AZ299" s="17"/>
    </row>
    <row r="300" spans="1:52" ht="20">
      <c r="A300" s="17"/>
      <c r="B300" s="40"/>
      <c r="C300" s="55">
        <f t="shared" si="98"/>
        <v>281</v>
      </c>
      <c r="D300" s="54">
        <v>1</v>
      </c>
      <c r="E300" s="53" t="str">
        <f t="shared" si="91"/>
        <v>10</v>
      </c>
      <c r="F300" s="52">
        <f t="shared" si="99"/>
        <v>45572</v>
      </c>
      <c r="G300" s="51" t="str">
        <f t="shared" si="100"/>
        <v>Mon</v>
      </c>
      <c r="H300" s="50"/>
      <c r="I300" s="49"/>
      <c r="J300" s="343">
        <f>292800/$B$13</f>
        <v>2653.616095704187</v>
      </c>
      <c r="K300" s="31"/>
      <c r="L300" s="317">
        <f t="shared" si="104"/>
        <v>2791.8119787658534</v>
      </c>
      <c r="M300" s="318">
        <f t="shared" si="92"/>
        <v>-138.19588306166634</v>
      </c>
      <c r="N300" s="41">
        <f t="shared" si="93"/>
        <v>0.95049957371314198</v>
      </c>
      <c r="O300" s="46"/>
      <c r="P300" s="328">
        <f>IF(D300=0,0,SUM($L$294:L300))</f>
        <v>16750.871872595122</v>
      </c>
      <c r="Q300" s="317">
        <f>IF(D300=0,0,SUM($J$294:J300))</f>
        <v>12676.726481783575</v>
      </c>
      <c r="R300" s="321">
        <f t="shared" si="94"/>
        <v>-4074.1453908115473</v>
      </c>
      <c r="S300" s="41">
        <f t="shared" si="95"/>
        <v>0.7567800994599595</v>
      </c>
      <c r="T300" s="56"/>
      <c r="U300" s="348">
        <f>IF(D300=0,0,SUM($L$20:L300))</f>
        <v>466232.60045389697</v>
      </c>
      <c r="V300" s="348">
        <f>IF(D300=0,0,SUM($J$20:J300))</f>
        <v>480808.78194671025</v>
      </c>
      <c r="W300" s="349">
        <f t="shared" si="96"/>
        <v>14576.181492813281</v>
      </c>
      <c r="X300" s="41">
        <f t="shared" si="97"/>
        <v>1.0312637543548493</v>
      </c>
      <c r="Y300" s="17"/>
      <c r="Z300" s="23">
        <f t="shared" si="103"/>
        <v>45572</v>
      </c>
      <c r="AA300" s="22">
        <f t="shared" si="103"/>
        <v>45572</v>
      </c>
      <c r="AB300" s="137">
        <v>45572</v>
      </c>
      <c r="AC300" s="137"/>
      <c r="AD300" s="134"/>
      <c r="AE300" s="134"/>
      <c r="AF300" s="139"/>
      <c r="AG300" s="256"/>
      <c r="AH300" s="256"/>
      <c r="AI300" s="256"/>
      <c r="AJ300" s="256"/>
      <c r="AK300" s="134"/>
      <c r="AL300" s="134"/>
      <c r="AM300" s="134"/>
      <c r="AN300" s="18"/>
      <c r="AO300" s="18"/>
      <c r="AP300" s="18"/>
      <c r="AQ300" s="18"/>
      <c r="AR300" s="17"/>
      <c r="AS300" s="21">
        <f t="shared" si="102"/>
        <v>45572</v>
      </c>
      <c r="AT300" s="17"/>
      <c r="AU300" s="17"/>
      <c r="AV300" s="17"/>
      <c r="AW300" s="17"/>
      <c r="AX300" s="17"/>
      <c r="AY300" s="17"/>
      <c r="AZ300" s="17"/>
    </row>
    <row r="301" spans="1:52" ht="20">
      <c r="A301" s="17"/>
      <c r="B301" s="40"/>
      <c r="C301" s="55">
        <f t="shared" si="98"/>
        <v>282</v>
      </c>
      <c r="D301" s="54">
        <v>1</v>
      </c>
      <c r="E301" s="53" t="str">
        <f t="shared" si="91"/>
        <v>10</v>
      </c>
      <c r="F301" s="52">
        <f t="shared" si="99"/>
        <v>45573</v>
      </c>
      <c r="G301" s="51" t="str">
        <f t="shared" si="100"/>
        <v>Tue</v>
      </c>
      <c r="H301" s="50"/>
      <c r="I301" s="49"/>
      <c r="J301" s="343">
        <f>172250/$B$13</f>
        <v>1561.0839224216058</v>
      </c>
      <c r="K301" s="31"/>
      <c r="L301" s="317">
        <f t="shared" si="104"/>
        <v>2791.8119787658534</v>
      </c>
      <c r="M301" s="318">
        <f t="shared" si="92"/>
        <v>-1230.7280563442475</v>
      </c>
      <c r="N301" s="41">
        <f t="shared" si="93"/>
        <v>0.5591651351505762</v>
      </c>
      <c r="O301" s="46"/>
      <c r="P301" s="328">
        <f>IF(D301=0,0,SUM($L$294:L301))</f>
        <v>19542.683851360976</v>
      </c>
      <c r="Q301" s="317">
        <f>IF(D301=0,0,SUM($J$294:J301))</f>
        <v>14237.81040420518</v>
      </c>
      <c r="R301" s="321">
        <f t="shared" si="94"/>
        <v>-5304.8734471557964</v>
      </c>
      <c r="S301" s="41">
        <f t="shared" si="95"/>
        <v>0.72854939027290466</v>
      </c>
      <c r="T301" s="56"/>
      <c r="U301" s="348">
        <f>IF(D301=0,0,SUM($L$20:L301))</f>
        <v>469024.41243266285</v>
      </c>
      <c r="V301" s="348">
        <f>IF(D301=0,0,SUM($J$20:J301))</f>
        <v>482369.86586913187</v>
      </c>
      <c r="W301" s="349">
        <f t="shared" si="96"/>
        <v>13345.453436469019</v>
      </c>
      <c r="X301" s="41">
        <f t="shared" si="97"/>
        <v>1.0284536435262526</v>
      </c>
      <c r="Y301" s="17"/>
      <c r="Z301" s="23">
        <f t="shared" si="103"/>
        <v>45573</v>
      </c>
      <c r="AA301" s="22">
        <f t="shared" si="103"/>
        <v>45573</v>
      </c>
      <c r="AB301" s="137">
        <v>45573</v>
      </c>
      <c r="AC301" s="137"/>
      <c r="AD301" s="134"/>
      <c r="AE301" s="134"/>
      <c r="AF301" s="139"/>
      <c r="AG301" s="256"/>
      <c r="AH301" s="256"/>
      <c r="AI301" s="256"/>
      <c r="AJ301" s="256"/>
      <c r="AK301" s="134"/>
      <c r="AL301" s="134"/>
      <c r="AM301" s="134"/>
      <c r="AN301" s="18"/>
      <c r="AO301" s="18"/>
      <c r="AP301" s="18"/>
      <c r="AQ301" s="18"/>
      <c r="AR301" s="17"/>
      <c r="AS301" s="21">
        <f t="shared" si="102"/>
        <v>45573</v>
      </c>
      <c r="AT301" s="17"/>
      <c r="AU301" s="17"/>
      <c r="AV301" s="17"/>
      <c r="AW301" s="17"/>
      <c r="AX301" s="17"/>
      <c r="AY301" s="17"/>
      <c r="AZ301" s="17"/>
    </row>
    <row r="302" spans="1:52" ht="20">
      <c r="A302" s="17"/>
      <c r="B302" s="40"/>
      <c r="C302" s="55">
        <f t="shared" si="98"/>
        <v>283</v>
      </c>
      <c r="D302" s="54">
        <v>1</v>
      </c>
      <c r="E302" s="53" t="str">
        <f t="shared" si="91"/>
        <v>10</v>
      </c>
      <c r="F302" s="52">
        <f t="shared" si="99"/>
        <v>45574</v>
      </c>
      <c r="G302" s="51" t="str">
        <f t="shared" si="100"/>
        <v>Wed</v>
      </c>
      <c r="H302" s="50"/>
      <c r="I302" s="49"/>
      <c r="J302" s="343">
        <f>160180/$B$13</f>
        <v>1451.6947616458219</v>
      </c>
      <c r="K302" s="31"/>
      <c r="L302" s="317">
        <f t="shared" si="104"/>
        <v>2791.8119787658534</v>
      </c>
      <c r="M302" s="318">
        <f t="shared" si="92"/>
        <v>-1340.1172171200315</v>
      </c>
      <c r="N302" s="41">
        <f t="shared" si="93"/>
        <v>0.51998299766861711</v>
      </c>
      <c r="O302" s="46"/>
      <c r="P302" s="328">
        <f>IF(D302=0,0,SUM($L$294:L302))</f>
        <v>22334.495830126831</v>
      </c>
      <c r="Q302" s="317">
        <f>IF(D302=0,0,SUM($J$294:J302))</f>
        <v>15689.505165851002</v>
      </c>
      <c r="R302" s="321">
        <f t="shared" si="94"/>
        <v>-6644.9906642758287</v>
      </c>
      <c r="S302" s="41">
        <f t="shared" si="95"/>
        <v>0.70247859119736866</v>
      </c>
      <c r="T302" s="56"/>
      <c r="U302" s="348">
        <f>IF(D302=0,0,SUM($L$20:L302))</f>
        <v>471816.22441142873</v>
      </c>
      <c r="V302" s="348">
        <f>IF(D302=0,0,SUM($J$20:J302))</f>
        <v>483821.56063077768</v>
      </c>
      <c r="W302" s="349">
        <f t="shared" si="96"/>
        <v>12005.336219348945</v>
      </c>
      <c r="X302" s="41">
        <f t="shared" si="97"/>
        <v>1.0254449414797575</v>
      </c>
      <c r="Y302" s="17"/>
      <c r="Z302" s="23">
        <f t="shared" si="103"/>
        <v>45574</v>
      </c>
      <c r="AA302" s="22">
        <f t="shared" si="103"/>
        <v>45574</v>
      </c>
      <c r="AB302" s="137">
        <v>45574</v>
      </c>
      <c r="AC302" s="137"/>
      <c r="AD302" s="134"/>
      <c r="AE302" s="134"/>
      <c r="AF302" s="139"/>
      <c r="AG302" s="256"/>
      <c r="AH302" s="256"/>
      <c r="AI302" s="256"/>
      <c r="AJ302" s="256"/>
      <c r="AK302" s="134"/>
      <c r="AL302" s="134"/>
      <c r="AM302" s="134"/>
      <c r="AN302" s="18"/>
      <c r="AO302" s="18"/>
      <c r="AP302" s="18"/>
      <c r="AQ302" s="18"/>
      <c r="AR302" s="17"/>
      <c r="AS302" s="21">
        <f t="shared" si="102"/>
        <v>45574</v>
      </c>
      <c r="AT302" s="17"/>
      <c r="AU302" s="17"/>
      <c r="AV302" s="17"/>
      <c r="AW302" s="17"/>
      <c r="AX302" s="17"/>
      <c r="AY302" s="17"/>
      <c r="AZ302" s="17"/>
    </row>
    <row r="303" spans="1:52" ht="20">
      <c r="A303" s="17"/>
      <c r="B303" s="40"/>
      <c r="C303" s="55">
        <f t="shared" si="98"/>
        <v>284</v>
      </c>
      <c r="D303" s="54">
        <v>1</v>
      </c>
      <c r="E303" s="53" t="str">
        <f t="shared" si="91"/>
        <v>10</v>
      </c>
      <c r="F303" s="52">
        <f t="shared" si="99"/>
        <v>45575</v>
      </c>
      <c r="G303" s="51" t="str">
        <f t="shared" si="100"/>
        <v>Thu</v>
      </c>
      <c r="H303" s="50"/>
      <c r="I303" s="49"/>
      <c r="J303" s="343">
        <f>316700/$B$13</f>
        <v>2870.2193220953418</v>
      </c>
      <c r="K303" s="31"/>
      <c r="L303" s="317">
        <f t="shared" si="104"/>
        <v>2791.8119787658534</v>
      </c>
      <c r="M303" s="318">
        <f t="shared" si="92"/>
        <v>78.407343329488413</v>
      </c>
      <c r="N303" s="41">
        <f t="shared" si="93"/>
        <v>1.0280847506658199</v>
      </c>
      <c r="O303" s="46"/>
      <c r="P303" s="328">
        <f>IF(D303=0,0,SUM($L$294:L303))</f>
        <v>25126.307808892685</v>
      </c>
      <c r="Q303" s="317">
        <f>IF(D303=0,0,SUM($J$294:J303))</f>
        <v>18559.724487946343</v>
      </c>
      <c r="R303" s="321">
        <f t="shared" si="94"/>
        <v>-6566.5833209463417</v>
      </c>
      <c r="S303" s="41">
        <f t="shared" si="95"/>
        <v>0.73865705336052989</v>
      </c>
      <c r="T303" s="56"/>
      <c r="U303" s="348">
        <f>IF(D303=0,0,SUM($L$20:L303))</f>
        <v>474608.03639019461</v>
      </c>
      <c r="V303" s="348">
        <f>IF(D303=0,0,SUM($J$20:J303))</f>
        <v>486691.77995287301</v>
      </c>
      <c r="W303" s="349">
        <f t="shared" si="96"/>
        <v>12083.743562678399</v>
      </c>
      <c r="X303" s="41">
        <f t="shared" si="97"/>
        <v>1.0254604697690872</v>
      </c>
      <c r="Y303" s="17"/>
      <c r="Z303" s="23">
        <f t="shared" si="103"/>
        <v>45575</v>
      </c>
      <c r="AA303" s="22">
        <f t="shared" si="103"/>
        <v>45575</v>
      </c>
      <c r="AB303" s="137">
        <v>45575</v>
      </c>
      <c r="AC303" s="137"/>
      <c r="AD303" s="134"/>
      <c r="AE303" s="134"/>
      <c r="AF303" s="139"/>
      <c r="AG303" s="256"/>
      <c r="AH303" s="256"/>
      <c r="AI303" s="256"/>
      <c r="AJ303" s="256"/>
      <c r="AK303" s="134"/>
      <c r="AL303" s="134"/>
      <c r="AM303" s="134"/>
      <c r="AN303" s="18"/>
      <c r="AO303" s="18"/>
      <c r="AP303" s="18"/>
      <c r="AQ303" s="18"/>
      <c r="AR303" s="17"/>
      <c r="AS303" s="21">
        <f t="shared" si="102"/>
        <v>45575</v>
      </c>
      <c r="AT303" s="17"/>
      <c r="AU303" s="17"/>
      <c r="AV303" s="17"/>
      <c r="AW303" s="17"/>
      <c r="AX303" s="17"/>
      <c r="AY303" s="17"/>
      <c r="AZ303" s="17"/>
    </row>
    <row r="304" spans="1:52" ht="20">
      <c r="A304" s="17"/>
      <c r="B304" s="40"/>
      <c r="C304" s="55">
        <f t="shared" si="98"/>
        <v>285</v>
      </c>
      <c r="D304" s="54">
        <v>1</v>
      </c>
      <c r="E304" s="53" t="str">
        <f t="shared" si="91"/>
        <v>10</v>
      </c>
      <c r="F304" s="52">
        <f t="shared" si="99"/>
        <v>45576</v>
      </c>
      <c r="G304" s="51" t="str">
        <f t="shared" si="100"/>
        <v>Fri</v>
      </c>
      <c r="H304" s="50"/>
      <c r="I304" s="49"/>
      <c r="J304" s="343">
        <f>205250/$B$13</f>
        <v>1860.1595069784303</v>
      </c>
      <c r="K304" s="31"/>
      <c r="L304" s="317">
        <f t="shared" si="104"/>
        <v>2791.8119787658534</v>
      </c>
      <c r="M304" s="318">
        <f t="shared" si="92"/>
        <v>-931.65247178742311</v>
      </c>
      <c r="N304" s="41">
        <f t="shared" si="93"/>
        <v>0.66629111169611477</v>
      </c>
      <c r="O304" s="46"/>
      <c r="P304" s="328">
        <f>IF(D304=0,0,SUM($L$294:L304))</f>
        <v>27918.119787658539</v>
      </c>
      <c r="Q304" s="317">
        <f>IF(D304=0,0,SUM($J$294:J304))</f>
        <v>20419.883994924774</v>
      </c>
      <c r="R304" s="321">
        <f t="shared" si="94"/>
        <v>-7498.2357927337653</v>
      </c>
      <c r="S304" s="41">
        <f t="shared" si="95"/>
        <v>0.73142045919408838</v>
      </c>
      <c r="T304" s="56"/>
      <c r="U304" s="348">
        <f>IF(D304=0,0,SUM($L$20:L304))</f>
        <v>477399.84836896049</v>
      </c>
      <c r="V304" s="348">
        <f>IF(D304=0,0,SUM($J$20:J304))</f>
        <v>488551.93945985142</v>
      </c>
      <c r="W304" s="349">
        <f t="shared" si="96"/>
        <v>11152.091090890928</v>
      </c>
      <c r="X304" s="41">
        <f t="shared" si="97"/>
        <v>1.0233600641663212</v>
      </c>
      <c r="Y304" s="17"/>
      <c r="Z304" s="23">
        <f t="shared" si="103"/>
        <v>45576</v>
      </c>
      <c r="AA304" s="22">
        <f t="shared" si="103"/>
        <v>45576</v>
      </c>
      <c r="AB304" s="137">
        <v>45576</v>
      </c>
      <c r="AC304" s="137"/>
      <c r="AD304" s="134"/>
      <c r="AE304" s="134"/>
      <c r="AF304" s="139"/>
      <c r="AG304" s="256"/>
      <c r="AH304" s="256"/>
      <c r="AI304" s="256"/>
      <c r="AJ304" s="256"/>
      <c r="AK304" s="134"/>
      <c r="AL304" s="134"/>
      <c r="AM304" s="134"/>
      <c r="AN304" s="18"/>
      <c r="AO304" s="18"/>
      <c r="AP304" s="18"/>
      <c r="AQ304" s="18"/>
      <c r="AR304" s="17"/>
      <c r="AS304" s="21">
        <f t="shared" si="102"/>
        <v>45576</v>
      </c>
      <c r="AT304" s="17"/>
      <c r="AU304" s="17"/>
      <c r="AV304" s="17"/>
      <c r="AW304" s="17"/>
      <c r="AX304" s="17"/>
      <c r="AY304" s="17"/>
      <c r="AZ304" s="17"/>
    </row>
    <row r="305" spans="1:52" ht="20">
      <c r="A305" s="17"/>
      <c r="B305" s="40"/>
      <c r="C305" s="55">
        <f t="shared" si="98"/>
        <v>286</v>
      </c>
      <c r="D305" s="54">
        <v>1</v>
      </c>
      <c r="E305" s="53" t="str">
        <f t="shared" si="91"/>
        <v>10</v>
      </c>
      <c r="F305" s="52">
        <f t="shared" si="99"/>
        <v>45577</v>
      </c>
      <c r="G305" s="51" t="str">
        <f t="shared" si="100"/>
        <v>Sat</v>
      </c>
      <c r="H305" s="50"/>
      <c r="I305" s="49"/>
      <c r="J305" s="343">
        <f>174460/$B$13</f>
        <v>1581.1129236904114</v>
      </c>
      <c r="K305" s="31"/>
      <c r="L305" s="317">
        <f t="shared" si="104"/>
        <v>2791.8119787658534</v>
      </c>
      <c r="M305" s="318">
        <f t="shared" si="92"/>
        <v>-1210.6990550754419</v>
      </c>
      <c r="N305" s="41">
        <f t="shared" si="93"/>
        <v>0.56633932933741371</v>
      </c>
      <c r="O305" s="46"/>
      <c r="P305" s="328">
        <f>IF(D305=0,0,SUM($L$294:L305))</f>
        <v>30709.931766424394</v>
      </c>
      <c r="Q305" s="317">
        <f>IF(D305=0,0,SUM($J$294:J305))</f>
        <v>22000.996918615187</v>
      </c>
      <c r="R305" s="321">
        <f t="shared" si="94"/>
        <v>-8708.934847809207</v>
      </c>
      <c r="S305" s="41">
        <f t="shared" si="95"/>
        <v>0.71641308375257251</v>
      </c>
      <c r="T305" s="44"/>
      <c r="U305" s="348">
        <f>IF(D305=0,0,SUM($L$20:L305))</f>
        <v>480191.66034772637</v>
      </c>
      <c r="V305" s="348">
        <f>IF(D305=0,0,SUM($J$20:J305))</f>
        <v>490133.05238354183</v>
      </c>
      <c r="W305" s="349">
        <f t="shared" si="96"/>
        <v>9941.3920358154573</v>
      </c>
      <c r="X305" s="41">
        <f t="shared" si="97"/>
        <v>1.0207029668708043</v>
      </c>
      <c r="Y305" s="17"/>
      <c r="Z305" s="23">
        <f t="shared" si="103"/>
        <v>45577</v>
      </c>
      <c r="AA305" s="22">
        <f t="shared" si="103"/>
        <v>45577</v>
      </c>
      <c r="AB305" s="137">
        <v>45577</v>
      </c>
      <c r="AC305" s="137"/>
      <c r="AD305" s="134"/>
      <c r="AE305" s="134"/>
      <c r="AF305" s="139"/>
      <c r="AG305" s="256"/>
      <c r="AH305" s="256"/>
      <c r="AI305" s="256"/>
      <c r="AJ305" s="256"/>
      <c r="AK305" s="134"/>
      <c r="AL305" s="134"/>
      <c r="AM305" s="134"/>
      <c r="AN305" s="18"/>
      <c r="AO305" s="18"/>
      <c r="AP305" s="18"/>
      <c r="AQ305" s="18"/>
      <c r="AR305" s="17"/>
      <c r="AS305" s="21">
        <f t="shared" si="102"/>
        <v>45577</v>
      </c>
      <c r="AT305" s="17"/>
      <c r="AU305" s="17"/>
      <c r="AV305" s="17"/>
      <c r="AW305" s="17"/>
      <c r="AX305" s="17"/>
      <c r="AY305" s="17"/>
      <c r="AZ305" s="17"/>
    </row>
    <row r="306" spans="1:52" ht="20">
      <c r="A306" s="17"/>
      <c r="B306" s="40"/>
      <c r="C306" s="55">
        <f t="shared" si="98"/>
        <v>287</v>
      </c>
      <c r="D306" s="54">
        <v>0</v>
      </c>
      <c r="E306" s="53" t="str">
        <f t="shared" si="91"/>
        <v>10</v>
      </c>
      <c r="F306" s="52">
        <f t="shared" si="99"/>
        <v>45578</v>
      </c>
      <c r="G306" s="51" t="str">
        <f t="shared" si="100"/>
        <v>Sun</v>
      </c>
      <c r="H306" s="50" t="s">
        <v>46</v>
      </c>
      <c r="I306" s="49"/>
      <c r="J306" s="343"/>
      <c r="K306" s="31"/>
      <c r="L306" s="317">
        <f t="shared" si="104"/>
        <v>0</v>
      </c>
      <c r="M306" s="318">
        <f t="shared" si="92"/>
        <v>0</v>
      </c>
      <c r="N306" s="41" t="str">
        <f t="shared" si="93"/>
        <v>0%</v>
      </c>
      <c r="O306" s="46"/>
      <c r="P306" s="328">
        <f>IF(D306=0,0,SUM($L$294:L306))</f>
        <v>0</v>
      </c>
      <c r="Q306" s="317">
        <f>IF(D306=0,0,SUM($J$294:J306))</f>
        <v>0</v>
      </c>
      <c r="R306" s="321">
        <f t="shared" si="94"/>
        <v>0</v>
      </c>
      <c r="S306" s="41" t="str">
        <f t="shared" si="95"/>
        <v>0%</v>
      </c>
      <c r="T306" s="44"/>
      <c r="U306" s="348">
        <f>IF(D306=0,0,SUM($L$20:L306))</f>
        <v>0</v>
      </c>
      <c r="V306" s="348">
        <f>IF(D306=0,0,SUM($J$20:J306))</f>
        <v>0</v>
      </c>
      <c r="W306" s="349">
        <f t="shared" si="96"/>
        <v>0</v>
      </c>
      <c r="X306" s="41" t="str">
        <f t="shared" si="97"/>
        <v>0%</v>
      </c>
      <c r="Y306" s="17"/>
      <c r="Z306" s="23">
        <f t="shared" si="103"/>
        <v>45578</v>
      </c>
      <c r="AA306" s="22">
        <f t="shared" si="103"/>
        <v>45578</v>
      </c>
      <c r="AB306" s="137">
        <v>45578</v>
      </c>
      <c r="AC306" s="137"/>
      <c r="AD306" s="134"/>
      <c r="AE306" s="134"/>
      <c r="AF306" s="139"/>
      <c r="AG306" s="256"/>
      <c r="AH306" s="256"/>
      <c r="AI306" s="256"/>
      <c r="AJ306" s="256"/>
      <c r="AK306" s="134"/>
      <c r="AL306" s="134"/>
      <c r="AM306" s="134"/>
      <c r="AN306" s="18"/>
      <c r="AO306" s="18"/>
      <c r="AP306" s="18"/>
      <c r="AQ306" s="18"/>
      <c r="AR306" s="17"/>
      <c r="AS306" s="21">
        <f t="shared" si="102"/>
        <v>45578</v>
      </c>
      <c r="AT306" s="17"/>
      <c r="AU306" s="17"/>
      <c r="AV306" s="17"/>
      <c r="AW306" s="17"/>
      <c r="AX306" s="17"/>
      <c r="AY306" s="17"/>
      <c r="AZ306" s="17"/>
    </row>
    <row r="307" spans="1:52" ht="20">
      <c r="A307" s="17"/>
      <c r="B307" s="40"/>
      <c r="C307" s="55">
        <f t="shared" si="98"/>
        <v>288</v>
      </c>
      <c r="D307" s="54">
        <v>0</v>
      </c>
      <c r="E307" s="53" t="str">
        <f t="shared" si="91"/>
        <v>10</v>
      </c>
      <c r="F307" s="52">
        <f t="shared" si="99"/>
        <v>45579</v>
      </c>
      <c r="G307" s="51" t="str">
        <f t="shared" si="100"/>
        <v>Mon</v>
      </c>
      <c r="H307" s="50" t="s">
        <v>47</v>
      </c>
      <c r="I307" s="49"/>
      <c r="J307" s="343"/>
      <c r="K307" s="31"/>
      <c r="L307" s="317">
        <f t="shared" si="104"/>
        <v>0</v>
      </c>
      <c r="M307" s="318">
        <f t="shared" si="92"/>
        <v>0</v>
      </c>
      <c r="N307" s="41" t="str">
        <f t="shared" si="93"/>
        <v>0%</v>
      </c>
      <c r="O307" s="46"/>
      <c r="P307" s="328">
        <f>IF(D307=0,0,SUM($L$294:L307))</f>
        <v>0</v>
      </c>
      <c r="Q307" s="317">
        <f>IF(D307=0,0,SUM($J$294:J307))</f>
        <v>0</v>
      </c>
      <c r="R307" s="321">
        <f t="shared" si="94"/>
        <v>0</v>
      </c>
      <c r="S307" s="41" t="str">
        <f t="shared" si="95"/>
        <v>0%</v>
      </c>
      <c r="T307" s="56"/>
      <c r="U307" s="348">
        <f>IF(D307=0,0,SUM($L$20:L307))</f>
        <v>0</v>
      </c>
      <c r="V307" s="348">
        <f>IF(D307=0,0,SUM($J$20:J307))</f>
        <v>0</v>
      </c>
      <c r="W307" s="349">
        <f t="shared" si="96"/>
        <v>0</v>
      </c>
      <c r="X307" s="41" t="str">
        <f t="shared" si="97"/>
        <v>0%</v>
      </c>
      <c r="Y307" s="17"/>
      <c r="Z307" s="23">
        <f t="shared" si="103"/>
        <v>45579</v>
      </c>
      <c r="AA307" s="22">
        <f t="shared" si="103"/>
        <v>45579</v>
      </c>
      <c r="AB307" s="137">
        <v>45579</v>
      </c>
      <c r="AC307" s="137"/>
      <c r="AD307" s="134"/>
      <c r="AE307" s="134"/>
      <c r="AF307" s="139"/>
      <c r="AG307" s="256"/>
      <c r="AH307" s="256"/>
      <c r="AI307" s="256"/>
      <c r="AJ307" s="256"/>
      <c r="AK307" s="134"/>
      <c r="AL307" s="134"/>
      <c r="AM307" s="134"/>
      <c r="AN307" s="18"/>
      <c r="AO307" s="18"/>
      <c r="AP307" s="18"/>
      <c r="AQ307" s="18"/>
      <c r="AR307" s="17"/>
      <c r="AS307" s="21">
        <f t="shared" si="102"/>
        <v>45579</v>
      </c>
      <c r="AT307" s="17"/>
      <c r="AU307" s="17"/>
      <c r="AV307" s="17"/>
      <c r="AW307" s="17"/>
      <c r="AX307" s="17"/>
      <c r="AY307" s="17"/>
      <c r="AZ307" s="17"/>
    </row>
    <row r="308" spans="1:52" ht="20">
      <c r="A308" s="17"/>
      <c r="B308" s="40"/>
      <c r="C308" s="55">
        <f t="shared" si="98"/>
        <v>289</v>
      </c>
      <c r="D308" s="54">
        <v>1</v>
      </c>
      <c r="E308" s="53" t="str">
        <f t="shared" si="91"/>
        <v>10</v>
      </c>
      <c r="F308" s="52">
        <f t="shared" si="99"/>
        <v>45580</v>
      </c>
      <c r="G308" s="51" t="str">
        <f t="shared" si="100"/>
        <v>Tue</v>
      </c>
      <c r="H308" s="50"/>
      <c r="I308" s="49"/>
      <c r="J308" s="343">
        <f>214800/$B$13</f>
        <v>1946.7101685698749</v>
      </c>
      <c r="K308" s="31"/>
      <c r="L308" s="317">
        <f t="shared" si="104"/>
        <v>2791.8119787658534</v>
      </c>
      <c r="M308" s="318">
        <f t="shared" si="92"/>
        <v>-845.10181019597849</v>
      </c>
      <c r="N308" s="41">
        <f t="shared" si="93"/>
        <v>0.69729272006005083</v>
      </c>
      <c r="O308" s="46"/>
      <c r="P308" s="328">
        <f>IF(D308=0,0,SUM($L$294:L308))</f>
        <v>33501.743745190244</v>
      </c>
      <c r="Q308" s="317">
        <f>IF(D308=0,0,SUM($J$294:J308))</f>
        <v>23947.707087185063</v>
      </c>
      <c r="R308" s="321">
        <f t="shared" si="94"/>
        <v>-9554.0366580051814</v>
      </c>
      <c r="S308" s="41">
        <f t="shared" si="95"/>
        <v>0.71481972011152917</v>
      </c>
      <c r="T308" s="56"/>
      <c r="U308" s="348">
        <f>IF(D308=0,0,SUM($L$20:L308))</f>
        <v>482983.47232649225</v>
      </c>
      <c r="V308" s="348">
        <f>IF(D308=0,0,SUM($J$20:J308))</f>
        <v>492079.7625521117</v>
      </c>
      <c r="W308" s="349">
        <f t="shared" si="96"/>
        <v>9096.2902256194502</v>
      </c>
      <c r="X308" s="41">
        <f t="shared" si="97"/>
        <v>1.0188335434788345</v>
      </c>
      <c r="Y308" s="17"/>
      <c r="Z308" s="23">
        <f t="shared" si="103"/>
        <v>45580</v>
      </c>
      <c r="AA308" s="22">
        <f t="shared" si="103"/>
        <v>45580</v>
      </c>
      <c r="AB308" s="137">
        <v>45580</v>
      </c>
      <c r="AC308" s="137"/>
      <c r="AD308" s="134"/>
      <c r="AE308" s="134"/>
      <c r="AF308" s="139"/>
      <c r="AG308" s="256"/>
      <c r="AH308" s="256"/>
      <c r="AI308" s="256"/>
      <c r="AJ308" s="256"/>
      <c r="AK308" s="134"/>
      <c r="AL308" s="134"/>
      <c r="AM308" s="134"/>
      <c r="AN308" s="18"/>
      <c r="AO308" s="18"/>
      <c r="AP308" s="18"/>
      <c r="AQ308" s="18"/>
      <c r="AR308" s="17"/>
      <c r="AS308" s="21">
        <f t="shared" si="102"/>
        <v>45580</v>
      </c>
      <c r="AT308" s="17"/>
      <c r="AU308" s="17"/>
      <c r="AV308" s="17"/>
      <c r="AW308" s="17"/>
      <c r="AX308" s="17"/>
      <c r="AY308" s="17"/>
      <c r="AZ308" s="17"/>
    </row>
    <row r="309" spans="1:52" ht="20">
      <c r="A309" s="17"/>
      <c r="B309" s="40"/>
      <c r="C309" s="55">
        <f t="shared" si="98"/>
        <v>290</v>
      </c>
      <c r="D309" s="54">
        <v>1</v>
      </c>
      <c r="E309" s="53" t="str">
        <f t="shared" si="91"/>
        <v>10</v>
      </c>
      <c r="F309" s="52">
        <f t="shared" si="99"/>
        <v>45581</v>
      </c>
      <c r="G309" s="51" t="str">
        <f t="shared" si="100"/>
        <v>Wed</v>
      </c>
      <c r="H309" s="50"/>
      <c r="I309" s="49"/>
      <c r="J309" s="343">
        <f>166400/$B$13</f>
        <v>1508.0659778865324</v>
      </c>
      <c r="K309" s="31"/>
      <c r="L309" s="317">
        <f t="shared" si="104"/>
        <v>2791.8119787658534</v>
      </c>
      <c r="M309" s="318">
        <f t="shared" si="92"/>
        <v>-1283.7460008793209</v>
      </c>
      <c r="N309" s="41">
        <f t="shared" si="93"/>
        <v>0.54017462112659431</v>
      </c>
      <c r="O309" s="46"/>
      <c r="P309" s="328">
        <f>IF(D309=0,0,SUM($L$294:L309))</f>
        <v>36293.555723956095</v>
      </c>
      <c r="Q309" s="317">
        <f>IF(D309=0,0,SUM($J$294:J309))</f>
        <v>25455.773065071597</v>
      </c>
      <c r="R309" s="321">
        <f t="shared" si="94"/>
        <v>-10837.782658884498</v>
      </c>
      <c r="S309" s="41">
        <f t="shared" si="95"/>
        <v>0.70138548172807269</v>
      </c>
      <c r="T309" s="56"/>
      <c r="U309" s="348">
        <f>IF(D309=0,0,SUM($L$20:L309))</f>
        <v>485775.28430525813</v>
      </c>
      <c r="V309" s="348">
        <f>IF(D309=0,0,SUM($J$20:J309))</f>
        <v>493587.82852999825</v>
      </c>
      <c r="W309" s="349">
        <f t="shared" si="96"/>
        <v>7812.5442247401224</v>
      </c>
      <c r="X309" s="41">
        <f t="shared" si="97"/>
        <v>1.0160826301319825</v>
      </c>
      <c r="Y309" s="17"/>
      <c r="Z309" s="23">
        <f t="shared" ref="Z309:AA324" si="105">Z308+1</f>
        <v>45581</v>
      </c>
      <c r="AA309" s="22">
        <f t="shared" si="105"/>
        <v>45581</v>
      </c>
      <c r="AB309" s="137">
        <v>45581</v>
      </c>
      <c r="AC309" s="137"/>
      <c r="AD309" s="134"/>
      <c r="AE309" s="134"/>
      <c r="AF309" s="139"/>
      <c r="AG309" s="256"/>
      <c r="AH309" s="256"/>
      <c r="AI309" s="256"/>
      <c r="AJ309" s="256"/>
      <c r="AK309" s="134"/>
      <c r="AL309" s="134"/>
      <c r="AM309" s="134"/>
      <c r="AN309" s="18"/>
      <c r="AO309" s="18"/>
      <c r="AP309" s="18"/>
      <c r="AQ309" s="18"/>
      <c r="AR309" s="17"/>
      <c r="AS309" s="21">
        <f t="shared" si="102"/>
        <v>45581</v>
      </c>
      <c r="AT309" s="17"/>
      <c r="AU309" s="17"/>
      <c r="AV309" s="17"/>
      <c r="AW309" s="17"/>
      <c r="AX309" s="17"/>
      <c r="AY309" s="17"/>
      <c r="AZ309" s="17"/>
    </row>
    <row r="310" spans="1:52" ht="20">
      <c r="A310" s="17"/>
      <c r="B310" s="40"/>
      <c r="C310" s="55">
        <f t="shared" si="98"/>
        <v>291</v>
      </c>
      <c r="D310" s="54">
        <v>1</v>
      </c>
      <c r="E310" s="53" t="str">
        <f t="shared" si="91"/>
        <v>10</v>
      </c>
      <c r="F310" s="52">
        <f t="shared" si="99"/>
        <v>45582</v>
      </c>
      <c r="G310" s="51" t="str">
        <f t="shared" si="100"/>
        <v>Thu</v>
      </c>
      <c r="H310" s="50"/>
      <c r="I310" s="49"/>
      <c r="J310" s="343">
        <f>95000/$B$13</f>
        <v>860.97516766358524</v>
      </c>
      <c r="K310" s="31"/>
      <c r="L310" s="317">
        <f t="shared" si="104"/>
        <v>2791.8119787658534</v>
      </c>
      <c r="M310" s="318">
        <f t="shared" si="92"/>
        <v>-1930.8368111022683</v>
      </c>
      <c r="N310" s="41">
        <f t="shared" si="93"/>
        <v>0.30839296278261097</v>
      </c>
      <c r="O310" s="46"/>
      <c r="P310" s="328">
        <f>IF(D310=0,0,SUM($L$294:L310))</f>
        <v>39085.367702721946</v>
      </c>
      <c r="Q310" s="317">
        <f>IF(D310=0,0,SUM($J$294:J310))</f>
        <v>26316.748232735183</v>
      </c>
      <c r="R310" s="321">
        <f t="shared" si="94"/>
        <v>-12768.619469986763</v>
      </c>
      <c r="S310" s="41">
        <f t="shared" si="95"/>
        <v>0.67331458751768269</v>
      </c>
      <c r="T310" s="56"/>
      <c r="U310" s="348">
        <f>IF(D310=0,0,SUM($L$20:L310))</f>
        <v>488567.09628402401</v>
      </c>
      <c r="V310" s="348">
        <f>IF(D310=0,0,SUM($J$20:J310))</f>
        <v>494448.80369766185</v>
      </c>
      <c r="W310" s="349">
        <f t="shared" si="96"/>
        <v>5881.707413637836</v>
      </c>
      <c r="X310" s="41">
        <f t="shared" si="97"/>
        <v>1.0120386891757003</v>
      </c>
      <c r="Y310" s="17"/>
      <c r="Z310" s="23">
        <f t="shared" si="105"/>
        <v>45582</v>
      </c>
      <c r="AA310" s="22">
        <f t="shared" si="105"/>
        <v>45582</v>
      </c>
      <c r="AB310" s="137">
        <v>45582</v>
      </c>
      <c r="AC310" s="137"/>
      <c r="AD310" s="134"/>
      <c r="AE310" s="134"/>
      <c r="AF310" s="139"/>
      <c r="AG310" s="256"/>
      <c r="AH310" s="256"/>
      <c r="AI310" s="256"/>
      <c r="AJ310" s="256"/>
      <c r="AK310" s="134"/>
      <c r="AL310" s="134"/>
      <c r="AM310" s="134"/>
      <c r="AN310" s="18"/>
      <c r="AO310" s="18"/>
      <c r="AP310" s="18"/>
      <c r="AQ310" s="18"/>
      <c r="AR310" s="17"/>
      <c r="AS310" s="21">
        <f t="shared" si="102"/>
        <v>45582</v>
      </c>
      <c r="AT310" s="17"/>
      <c r="AU310" s="17"/>
      <c r="AV310" s="17"/>
      <c r="AW310" s="17"/>
      <c r="AX310" s="17"/>
      <c r="AY310" s="17"/>
      <c r="AZ310" s="17"/>
    </row>
    <row r="311" spans="1:52" ht="20">
      <c r="A311" s="17"/>
      <c r="B311" s="40"/>
      <c r="C311" s="55">
        <f t="shared" si="98"/>
        <v>292</v>
      </c>
      <c r="D311" s="54">
        <v>1</v>
      </c>
      <c r="E311" s="53" t="str">
        <f t="shared" si="91"/>
        <v>10</v>
      </c>
      <c r="F311" s="52">
        <f t="shared" si="99"/>
        <v>45583</v>
      </c>
      <c r="G311" s="51" t="str">
        <f t="shared" si="100"/>
        <v>Fri</v>
      </c>
      <c r="H311" s="50"/>
      <c r="I311" s="49"/>
      <c r="J311" s="343">
        <f>148400/$B$13</f>
        <v>1344.9338408555375</v>
      </c>
      <c r="K311" s="31"/>
      <c r="L311" s="317">
        <f t="shared" si="104"/>
        <v>2791.8119787658534</v>
      </c>
      <c r="M311" s="318">
        <f t="shared" si="92"/>
        <v>-1446.8781379103159</v>
      </c>
      <c r="N311" s="41">
        <f t="shared" si="93"/>
        <v>0.48174227028357336</v>
      </c>
      <c r="O311" s="46"/>
      <c r="P311" s="328">
        <f>IF(D311=0,0,SUM($L$294:L311))</f>
        <v>41877.179681487796</v>
      </c>
      <c r="Q311" s="317">
        <f>IF(D311=0,0,SUM($J$294:J311))</f>
        <v>27661.68207359072</v>
      </c>
      <c r="R311" s="321">
        <f t="shared" si="94"/>
        <v>-14215.497607897076</v>
      </c>
      <c r="S311" s="41">
        <f t="shared" si="95"/>
        <v>0.66054309970207548</v>
      </c>
      <c r="T311" s="56"/>
      <c r="U311" s="348">
        <f>IF(D311=0,0,SUM($L$20:L311))</f>
        <v>491358.90826278989</v>
      </c>
      <c r="V311" s="348">
        <f>IF(D311=0,0,SUM($J$20:J311))</f>
        <v>495793.73753851739</v>
      </c>
      <c r="W311" s="349">
        <f t="shared" si="96"/>
        <v>4434.8292757275049</v>
      </c>
      <c r="X311" s="41">
        <f t="shared" si="97"/>
        <v>1.0090256413410861</v>
      </c>
      <c r="Y311" s="17"/>
      <c r="Z311" s="23">
        <f t="shared" si="105"/>
        <v>45583</v>
      </c>
      <c r="AA311" s="22">
        <f t="shared" si="105"/>
        <v>45583</v>
      </c>
      <c r="AB311" s="137">
        <v>45583</v>
      </c>
      <c r="AC311" s="137"/>
      <c r="AD311" s="134"/>
      <c r="AE311" s="134"/>
      <c r="AF311" s="139"/>
      <c r="AG311" s="256"/>
      <c r="AH311" s="256"/>
      <c r="AI311" s="256"/>
      <c r="AJ311" s="256"/>
      <c r="AK311" s="134"/>
      <c r="AL311" s="134"/>
      <c r="AM311" s="134"/>
      <c r="AN311" s="18"/>
      <c r="AO311" s="18"/>
      <c r="AP311" s="18"/>
      <c r="AQ311" s="18"/>
      <c r="AR311" s="17"/>
      <c r="AS311" s="21">
        <f t="shared" si="102"/>
        <v>45583</v>
      </c>
      <c r="AT311" s="17"/>
      <c r="AU311" s="17"/>
      <c r="AV311" s="17"/>
      <c r="AW311" s="17"/>
      <c r="AX311" s="17"/>
      <c r="AY311" s="17"/>
      <c r="AZ311" s="17"/>
    </row>
    <row r="312" spans="1:52" ht="20">
      <c r="A312" s="17"/>
      <c r="B312" s="40"/>
      <c r="C312" s="55">
        <f t="shared" si="98"/>
        <v>293</v>
      </c>
      <c r="D312" s="54">
        <v>1</v>
      </c>
      <c r="E312" s="53" t="str">
        <f t="shared" si="91"/>
        <v>10</v>
      </c>
      <c r="F312" s="52">
        <f t="shared" si="99"/>
        <v>45584</v>
      </c>
      <c r="G312" s="51" t="str">
        <f t="shared" si="100"/>
        <v>Sat</v>
      </c>
      <c r="H312" s="50"/>
      <c r="I312" s="49"/>
      <c r="J312" s="343">
        <f>105860/$B$13</f>
        <v>959.39822367228567</v>
      </c>
      <c r="K312" s="31"/>
      <c r="L312" s="317">
        <f t="shared" si="104"/>
        <v>2791.8119787658534</v>
      </c>
      <c r="M312" s="318">
        <f t="shared" si="92"/>
        <v>-1832.4137550935677</v>
      </c>
      <c r="N312" s="41">
        <f t="shared" si="93"/>
        <v>0.34364714779123362</v>
      </c>
      <c r="O312" s="46"/>
      <c r="P312" s="328">
        <f>IF(D312=0,0,SUM($L$294:L312))</f>
        <v>44668.991660253647</v>
      </c>
      <c r="Q312" s="317">
        <f>IF(D312=0,0,SUM($J$294:J312))</f>
        <v>28621.080297263004</v>
      </c>
      <c r="R312" s="321">
        <f t="shared" si="94"/>
        <v>-16047.911362990642</v>
      </c>
      <c r="S312" s="41">
        <f t="shared" si="95"/>
        <v>0.64073710270764783</v>
      </c>
      <c r="T312" s="44"/>
      <c r="U312" s="348">
        <f>IF(D312=0,0,SUM($L$20:L312))</f>
        <v>494150.72024155577</v>
      </c>
      <c r="V312" s="348">
        <f>IF(D312=0,0,SUM($J$20:J312))</f>
        <v>496753.13576218969</v>
      </c>
      <c r="W312" s="349">
        <f t="shared" si="96"/>
        <v>2602.4155206339201</v>
      </c>
      <c r="X312" s="41">
        <f t="shared" si="97"/>
        <v>1.0052664408125558</v>
      </c>
      <c r="Y312" s="17"/>
      <c r="Z312" s="23">
        <f t="shared" si="105"/>
        <v>45584</v>
      </c>
      <c r="AA312" s="22">
        <f t="shared" si="105"/>
        <v>45584</v>
      </c>
      <c r="AB312" s="137">
        <v>45584</v>
      </c>
      <c r="AC312" s="137"/>
      <c r="AD312" s="134"/>
      <c r="AE312" s="134"/>
      <c r="AF312" s="139"/>
      <c r="AG312" s="256"/>
      <c r="AH312" s="256"/>
      <c r="AI312" s="256"/>
      <c r="AJ312" s="256"/>
      <c r="AK312" s="134"/>
      <c r="AL312" s="134"/>
      <c r="AM312" s="134"/>
      <c r="AN312" s="18"/>
      <c r="AO312" s="18"/>
      <c r="AP312" s="18"/>
      <c r="AQ312" s="18"/>
      <c r="AR312" s="17"/>
      <c r="AS312" s="21">
        <f t="shared" si="102"/>
        <v>45584</v>
      </c>
      <c r="AT312" s="17"/>
      <c r="AU312" s="17"/>
      <c r="AV312" s="17"/>
      <c r="AW312" s="17"/>
      <c r="AX312" s="17"/>
      <c r="AY312" s="17"/>
      <c r="AZ312" s="17"/>
    </row>
    <row r="313" spans="1:52" ht="20">
      <c r="A313" s="17"/>
      <c r="B313" s="40"/>
      <c r="C313" s="55">
        <f t="shared" si="98"/>
        <v>294</v>
      </c>
      <c r="D313" s="54">
        <v>0</v>
      </c>
      <c r="E313" s="53" t="str">
        <f t="shared" si="91"/>
        <v>10</v>
      </c>
      <c r="F313" s="52">
        <f t="shared" si="99"/>
        <v>45585</v>
      </c>
      <c r="G313" s="51" t="str">
        <f t="shared" si="100"/>
        <v>Sun</v>
      </c>
      <c r="H313" s="50" t="s">
        <v>46</v>
      </c>
      <c r="I313" s="49"/>
      <c r="J313" s="343"/>
      <c r="K313" s="31"/>
      <c r="L313" s="317">
        <f t="shared" si="104"/>
        <v>0</v>
      </c>
      <c r="M313" s="318">
        <f t="shared" si="92"/>
        <v>0</v>
      </c>
      <c r="N313" s="41" t="str">
        <f t="shared" si="93"/>
        <v>0%</v>
      </c>
      <c r="O313" s="46"/>
      <c r="P313" s="328">
        <f>IF(D313=0,0,SUM($L$294:L313))</f>
        <v>0</v>
      </c>
      <c r="Q313" s="317">
        <f>IF(D313=0,0,SUM($J$294:J313))</f>
        <v>0</v>
      </c>
      <c r="R313" s="321">
        <f t="shared" si="94"/>
        <v>0</v>
      </c>
      <c r="S313" s="41" t="str">
        <f t="shared" si="95"/>
        <v>0%</v>
      </c>
      <c r="T313" s="56"/>
      <c r="U313" s="348">
        <f>IF(D313=0,0,SUM($L$20:L313))</f>
        <v>0</v>
      </c>
      <c r="V313" s="348">
        <f>IF(D313=0,0,SUM($J$20:J313))</f>
        <v>0</v>
      </c>
      <c r="W313" s="349">
        <f t="shared" si="96"/>
        <v>0</v>
      </c>
      <c r="X313" s="41" t="str">
        <f t="shared" si="97"/>
        <v>0%</v>
      </c>
      <c r="Y313" s="17"/>
      <c r="Z313" s="23">
        <f t="shared" si="105"/>
        <v>45585</v>
      </c>
      <c r="AA313" s="22">
        <f t="shared" si="105"/>
        <v>45585</v>
      </c>
      <c r="AB313" s="137">
        <v>45585</v>
      </c>
      <c r="AC313" s="137"/>
      <c r="AD313" s="134"/>
      <c r="AE313" s="134"/>
      <c r="AF313" s="139"/>
      <c r="AG313" s="256"/>
      <c r="AH313" s="256"/>
      <c r="AI313" s="256"/>
      <c r="AJ313" s="256"/>
      <c r="AK313" s="134"/>
      <c r="AL313" s="134"/>
      <c r="AM313" s="134"/>
      <c r="AN313" s="18"/>
      <c r="AO313" s="18"/>
      <c r="AP313" s="18"/>
      <c r="AQ313" s="18"/>
      <c r="AR313" s="17"/>
      <c r="AS313" s="21">
        <f t="shared" si="102"/>
        <v>45585</v>
      </c>
      <c r="AT313" s="17"/>
      <c r="AU313" s="17"/>
      <c r="AV313" s="17"/>
      <c r="AW313" s="17"/>
      <c r="AX313" s="17"/>
      <c r="AY313" s="17"/>
      <c r="AZ313" s="17"/>
    </row>
    <row r="314" spans="1:52" ht="20">
      <c r="A314" s="17"/>
      <c r="B314" s="40"/>
      <c r="C314" s="55">
        <f t="shared" si="98"/>
        <v>295</v>
      </c>
      <c r="D314" s="54">
        <v>1</v>
      </c>
      <c r="E314" s="53" t="str">
        <f t="shared" si="91"/>
        <v>10</v>
      </c>
      <c r="F314" s="52">
        <f t="shared" si="99"/>
        <v>45586</v>
      </c>
      <c r="G314" s="51" t="str">
        <f t="shared" si="100"/>
        <v>Mon</v>
      </c>
      <c r="H314" s="50"/>
      <c r="I314" s="49"/>
      <c r="J314" s="343">
        <f>234050/$B$13</f>
        <v>2121.1709262280224</v>
      </c>
      <c r="K314" s="31"/>
      <c r="L314" s="317">
        <f t="shared" si="104"/>
        <v>2791.8119787658534</v>
      </c>
      <c r="M314" s="318">
        <f t="shared" si="92"/>
        <v>-670.641052537831</v>
      </c>
      <c r="N314" s="41">
        <f t="shared" si="93"/>
        <v>0.75978287304494829</v>
      </c>
      <c r="O314" s="46"/>
      <c r="P314" s="328">
        <f>IF(D314=0,0,SUM($L$294:L314))</f>
        <v>47460.803639019497</v>
      </c>
      <c r="Q314" s="317">
        <f>IF(D314=0,0,SUM($J$294:J314))</f>
        <v>30742.251223491028</v>
      </c>
      <c r="R314" s="321">
        <f t="shared" si="94"/>
        <v>-16718.552415528469</v>
      </c>
      <c r="S314" s="41">
        <f t="shared" si="95"/>
        <v>0.64773979508043023</v>
      </c>
      <c r="T314" s="56"/>
      <c r="U314" s="348">
        <f>IF(D314=0,0,SUM($L$20:L314))</f>
        <v>496942.53222032165</v>
      </c>
      <c r="V314" s="348">
        <f>IF(D314=0,0,SUM($J$20:J314))</f>
        <v>498874.30668841774</v>
      </c>
      <c r="W314" s="349">
        <f t="shared" si="96"/>
        <v>1931.7744680960895</v>
      </c>
      <c r="X314" s="41">
        <f t="shared" si="97"/>
        <v>1.003887319645322</v>
      </c>
      <c r="Y314" s="17"/>
      <c r="Z314" s="23">
        <f t="shared" si="105"/>
        <v>45586</v>
      </c>
      <c r="AA314" s="22">
        <f t="shared" si="105"/>
        <v>45586</v>
      </c>
      <c r="AB314" s="137">
        <v>45586</v>
      </c>
      <c r="AC314" s="137"/>
      <c r="AD314" s="134"/>
      <c r="AE314" s="134"/>
      <c r="AF314" s="139"/>
      <c r="AG314" s="256"/>
      <c r="AH314" s="256"/>
      <c r="AI314" s="256"/>
      <c r="AJ314" s="256"/>
      <c r="AK314" s="134"/>
      <c r="AL314" s="134"/>
      <c r="AM314" s="134"/>
      <c r="AN314" s="18"/>
      <c r="AO314" s="18"/>
      <c r="AP314" s="18"/>
      <c r="AQ314" s="18"/>
      <c r="AR314" s="17"/>
      <c r="AS314" s="21">
        <f t="shared" si="102"/>
        <v>45586</v>
      </c>
      <c r="AT314" s="17"/>
      <c r="AU314" s="17"/>
      <c r="AV314" s="17"/>
      <c r="AW314" s="17"/>
      <c r="AX314" s="17"/>
      <c r="AY314" s="17"/>
      <c r="AZ314" s="17"/>
    </row>
    <row r="315" spans="1:52" ht="20">
      <c r="A315" s="17"/>
      <c r="B315" s="40"/>
      <c r="C315" s="55">
        <f t="shared" si="98"/>
        <v>296</v>
      </c>
      <c r="D315" s="54">
        <v>1</v>
      </c>
      <c r="E315" s="53" t="str">
        <f t="shared" si="91"/>
        <v>10</v>
      </c>
      <c r="F315" s="52">
        <f t="shared" si="99"/>
        <v>45587</v>
      </c>
      <c r="G315" s="51" t="str">
        <f t="shared" si="100"/>
        <v>Tue</v>
      </c>
      <c r="H315" s="50"/>
      <c r="I315" s="49"/>
      <c r="J315" s="343">
        <f>173600/$B$13</f>
        <v>1573.3188326989305</v>
      </c>
      <c r="K315" s="31"/>
      <c r="L315" s="317">
        <f t="shared" si="104"/>
        <v>2791.8119787658534</v>
      </c>
      <c r="M315" s="318">
        <f t="shared" si="92"/>
        <v>-1218.4931460669229</v>
      </c>
      <c r="N315" s="41">
        <f t="shared" si="93"/>
        <v>0.56354756146380269</v>
      </c>
      <c r="O315" s="46"/>
      <c r="P315" s="328">
        <f>IF(D315=0,0,SUM($L$294:L315))</f>
        <v>50252.615617785348</v>
      </c>
      <c r="Q315" s="317">
        <f>IF(D315=0,0,SUM($J$294:J315))</f>
        <v>32315.570056189958</v>
      </c>
      <c r="R315" s="321">
        <f t="shared" si="94"/>
        <v>-17937.045561595391</v>
      </c>
      <c r="S315" s="41">
        <f t="shared" si="95"/>
        <v>0.64306244876839536</v>
      </c>
      <c r="T315" s="56"/>
      <c r="U315" s="348">
        <f>IF(D315=0,0,SUM($L$20:L315))</f>
        <v>499734.34419908753</v>
      </c>
      <c r="V315" s="348">
        <f>IF(D315=0,0,SUM($J$20:J315))</f>
        <v>500447.62552111666</v>
      </c>
      <c r="W315" s="349">
        <f t="shared" si="96"/>
        <v>713.28132202912821</v>
      </c>
      <c r="X315" s="41">
        <f t="shared" si="97"/>
        <v>1.0014273209962632</v>
      </c>
      <c r="Y315" s="17"/>
      <c r="Z315" s="23">
        <f t="shared" si="105"/>
        <v>45587</v>
      </c>
      <c r="AA315" s="22">
        <f t="shared" si="105"/>
        <v>45587</v>
      </c>
      <c r="AB315" s="137">
        <v>45587</v>
      </c>
      <c r="AC315" s="137"/>
      <c r="AD315" s="134"/>
      <c r="AE315" s="134"/>
      <c r="AF315" s="139"/>
      <c r="AG315" s="256"/>
      <c r="AH315" s="256"/>
      <c r="AI315" s="256"/>
      <c r="AJ315" s="256"/>
      <c r="AK315" s="134"/>
      <c r="AL315" s="134"/>
      <c r="AM315" s="134"/>
      <c r="AN315" s="18"/>
      <c r="AO315" s="18"/>
      <c r="AP315" s="18"/>
      <c r="AQ315" s="18"/>
      <c r="AR315" s="17"/>
      <c r="AS315" s="21">
        <f t="shared" si="102"/>
        <v>45587</v>
      </c>
      <c r="AT315" s="17"/>
      <c r="AU315" s="17"/>
      <c r="AV315" s="17"/>
      <c r="AW315" s="17"/>
      <c r="AX315" s="17"/>
      <c r="AY315" s="17"/>
      <c r="AZ315" s="17"/>
    </row>
    <row r="316" spans="1:52" ht="20">
      <c r="A316" s="17"/>
      <c r="B316" s="40"/>
      <c r="C316" s="55">
        <f t="shared" si="98"/>
        <v>297</v>
      </c>
      <c r="D316" s="54">
        <v>1</v>
      </c>
      <c r="E316" s="53" t="str">
        <f t="shared" si="91"/>
        <v>10</v>
      </c>
      <c r="F316" s="52">
        <f t="shared" si="99"/>
        <v>45588</v>
      </c>
      <c r="G316" s="51" t="str">
        <f t="shared" si="100"/>
        <v>Wed</v>
      </c>
      <c r="H316" s="50"/>
      <c r="I316" s="49"/>
      <c r="J316" s="343">
        <f>330800/$B$13</f>
        <v>2998.0061627696209</v>
      </c>
      <c r="K316" s="31"/>
      <c r="L316" s="317">
        <f t="shared" si="104"/>
        <v>2791.8119787658534</v>
      </c>
      <c r="M316" s="318">
        <f t="shared" si="92"/>
        <v>206.19418400376753</v>
      </c>
      <c r="N316" s="41">
        <f t="shared" si="93"/>
        <v>1.0738567588261863</v>
      </c>
      <c r="O316" s="46"/>
      <c r="P316" s="328">
        <f>IF(D316=0,0,SUM($L$294:L316))</f>
        <v>53044.427596551199</v>
      </c>
      <c r="Q316" s="317">
        <f>IF(D316=0,0,SUM($J$294:J316))</f>
        <v>35313.576218959577</v>
      </c>
      <c r="R316" s="321">
        <f t="shared" si="94"/>
        <v>-17730.851377591622</v>
      </c>
      <c r="S316" s="41">
        <f t="shared" si="95"/>
        <v>0.66573583350827914</v>
      </c>
      <c r="T316" s="56"/>
      <c r="U316" s="348">
        <f>IF(D316=0,0,SUM($L$20:L316))</f>
        <v>502526.15617785341</v>
      </c>
      <c r="V316" s="348">
        <f>IF(D316=0,0,SUM($J$20:J316))</f>
        <v>503445.63168388628</v>
      </c>
      <c r="W316" s="349">
        <f t="shared" si="96"/>
        <v>919.47550603287527</v>
      </c>
      <c r="X316" s="41">
        <f t="shared" si="97"/>
        <v>1.0018297067619848</v>
      </c>
      <c r="Y316" s="17"/>
      <c r="Z316" s="23">
        <f t="shared" si="105"/>
        <v>45588</v>
      </c>
      <c r="AA316" s="22">
        <f t="shared" si="105"/>
        <v>45588</v>
      </c>
      <c r="AB316" s="137">
        <v>45588</v>
      </c>
      <c r="AC316" s="137"/>
      <c r="AD316" s="134"/>
      <c r="AE316" s="134"/>
      <c r="AF316" s="139"/>
      <c r="AG316" s="256"/>
      <c r="AH316" s="256"/>
      <c r="AI316" s="256"/>
      <c r="AJ316" s="256"/>
      <c r="AK316" s="134"/>
      <c r="AL316" s="134"/>
      <c r="AM316" s="134"/>
      <c r="AN316" s="18"/>
      <c r="AO316" s="18"/>
      <c r="AP316" s="18"/>
      <c r="AQ316" s="18"/>
      <c r="AR316" s="17"/>
      <c r="AS316" s="21">
        <f t="shared" si="102"/>
        <v>45588</v>
      </c>
      <c r="AT316" s="17"/>
      <c r="AU316" s="17"/>
      <c r="AV316" s="17"/>
      <c r="AW316" s="17"/>
      <c r="AX316" s="17"/>
      <c r="AY316" s="17"/>
      <c r="AZ316" s="17"/>
    </row>
    <row r="317" spans="1:52" ht="20">
      <c r="A317" s="17"/>
      <c r="B317" s="40"/>
      <c r="C317" s="55">
        <f t="shared" si="98"/>
        <v>298</v>
      </c>
      <c r="D317" s="54">
        <v>1</v>
      </c>
      <c r="E317" s="53" t="str">
        <f t="shared" si="91"/>
        <v>10</v>
      </c>
      <c r="F317" s="52">
        <f t="shared" si="99"/>
        <v>45589</v>
      </c>
      <c r="G317" s="51" t="str">
        <f t="shared" si="100"/>
        <v>Thu</v>
      </c>
      <c r="H317" s="50"/>
      <c r="I317" s="49"/>
      <c r="J317" s="343">
        <f>279200/$B$13</f>
        <v>2530.3607032807686</v>
      </c>
      <c r="K317" s="31"/>
      <c r="L317" s="317">
        <f t="shared" si="104"/>
        <v>2791.8119787658534</v>
      </c>
      <c r="M317" s="318">
        <f t="shared" si="92"/>
        <v>-261.45127548508481</v>
      </c>
      <c r="N317" s="41">
        <f t="shared" si="93"/>
        <v>0.9063506864095261</v>
      </c>
      <c r="O317" s="46"/>
      <c r="P317" s="328">
        <f>IF(D317=0,0,SUM($L$294:L317))</f>
        <v>55836.239575317049</v>
      </c>
      <c r="Q317" s="317">
        <f>IF(D317=0,0,SUM($J$294:J317))</f>
        <v>37843.936922240347</v>
      </c>
      <c r="R317" s="321">
        <f t="shared" si="94"/>
        <v>-17992.302653076702</v>
      </c>
      <c r="S317" s="41">
        <f t="shared" si="95"/>
        <v>0.67776657615334157</v>
      </c>
      <c r="T317" s="56"/>
      <c r="U317" s="348">
        <f>IF(D317=0,0,SUM($L$20:L317))</f>
        <v>505317.96815661929</v>
      </c>
      <c r="V317" s="348">
        <f>IF(D317=0,0,SUM($J$20:J317))</f>
        <v>505975.99238716706</v>
      </c>
      <c r="W317" s="349">
        <f t="shared" si="96"/>
        <v>658.02423054777319</v>
      </c>
      <c r="X317" s="41">
        <f t="shared" si="97"/>
        <v>1.0013021983622474</v>
      </c>
      <c r="Y317" s="17"/>
      <c r="Z317" s="23">
        <f t="shared" si="105"/>
        <v>45589</v>
      </c>
      <c r="AA317" s="22">
        <f t="shared" si="105"/>
        <v>45589</v>
      </c>
      <c r="AB317" s="137">
        <v>45589</v>
      </c>
      <c r="AC317" s="137"/>
      <c r="AD317" s="134"/>
      <c r="AE317" s="134"/>
      <c r="AF317" s="139"/>
      <c r="AG317" s="256"/>
      <c r="AH317" s="256"/>
      <c r="AI317" s="256"/>
      <c r="AJ317" s="256"/>
      <c r="AK317" s="134"/>
      <c r="AL317" s="134"/>
      <c r="AM317" s="134"/>
      <c r="AN317" s="18"/>
      <c r="AO317" s="18"/>
      <c r="AP317" s="18"/>
      <c r="AQ317" s="18"/>
      <c r="AR317" s="17"/>
      <c r="AS317" s="21">
        <f t="shared" si="102"/>
        <v>45589</v>
      </c>
      <c r="AT317" s="17"/>
      <c r="AU317" s="17"/>
      <c r="AV317" s="17"/>
      <c r="AW317" s="17"/>
      <c r="AX317" s="17"/>
      <c r="AY317" s="17"/>
      <c r="AZ317" s="17"/>
    </row>
    <row r="318" spans="1:52" ht="20">
      <c r="A318" s="17"/>
      <c r="B318" s="40"/>
      <c r="C318" s="55">
        <f t="shared" si="98"/>
        <v>299</v>
      </c>
      <c r="D318" s="54">
        <v>1</v>
      </c>
      <c r="E318" s="53" t="str">
        <f t="shared" si="91"/>
        <v>10</v>
      </c>
      <c r="F318" s="52">
        <f t="shared" si="99"/>
        <v>45590</v>
      </c>
      <c r="G318" s="51" t="str">
        <f t="shared" si="100"/>
        <v>Fri</v>
      </c>
      <c r="H318" s="50"/>
      <c r="I318" s="49"/>
      <c r="J318" s="343">
        <f>356530/$B$13</f>
        <v>3231.1944897589269</v>
      </c>
      <c r="K318" s="31"/>
      <c r="L318" s="317">
        <f t="shared" si="104"/>
        <v>2791.8119787658534</v>
      </c>
      <c r="M318" s="318">
        <f t="shared" si="92"/>
        <v>439.38251099307354</v>
      </c>
      <c r="N318" s="41">
        <f t="shared" si="93"/>
        <v>1.1573825581145714</v>
      </c>
      <c r="O318" s="46"/>
      <c r="P318" s="328">
        <f>IF(D318=0,0,SUM($L$294:L318))</f>
        <v>58628.0515540829</v>
      </c>
      <c r="Q318" s="317">
        <f>IF(D318=0,0,SUM($J$294:J318))</f>
        <v>41075.131411999275</v>
      </c>
      <c r="R318" s="321">
        <f t="shared" si="94"/>
        <v>-17552.920142083625</v>
      </c>
      <c r="S318" s="41">
        <f t="shared" si="95"/>
        <v>0.70060543243720974</v>
      </c>
      <c r="T318" s="56"/>
      <c r="U318" s="348">
        <f>IF(D318=0,0,SUM($L$20:L318))</f>
        <v>508109.78013538517</v>
      </c>
      <c r="V318" s="348">
        <f>IF(D318=0,0,SUM($J$20:J318))</f>
        <v>509207.18687692599</v>
      </c>
      <c r="W318" s="349">
        <f t="shared" si="96"/>
        <v>1097.4067415408208</v>
      </c>
      <c r="X318" s="41">
        <f t="shared" si="97"/>
        <v>1.002159782756491</v>
      </c>
      <c r="Y318" s="17"/>
      <c r="Z318" s="23">
        <f t="shared" si="105"/>
        <v>45590</v>
      </c>
      <c r="AA318" s="22">
        <f t="shared" si="105"/>
        <v>45590</v>
      </c>
      <c r="AB318" s="137">
        <v>45590</v>
      </c>
      <c r="AC318" s="137"/>
      <c r="AD318" s="134"/>
      <c r="AE318" s="134"/>
      <c r="AF318" s="139"/>
      <c r="AG318" s="256"/>
      <c r="AH318" s="256"/>
      <c r="AI318" s="256"/>
      <c r="AJ318" s="256"/>
      <c r="AK318" s="134"/>
      <c r="AL318" s="134"/>
      <c r="AM318" s="134"/>
      <c r="AN318" s="18"/>
      <c r="AO318" s="18"/>
      <c r="AP318" s="18"/>
      <c r="AQ318" s="18"/>
      <c r="AR318" s="17"/>
      <c r="AS318" s="21">
        <f t="shared" si="102"/>
        <v>45590</v>
      </c>
      <c r="AT318" s="17"/>
      <c r="AU318" s="17"/>
      <c r="AV318" s="17"/>
      <c r="AW318" s="17"/>
      <c r="AX318" s="17"/>
      <c r="AY318" s="17"/>
      <c r="AZ318" s="17"/>
    </row>
    <row r="319" spans="1:52" ht="20">
      <c r="A319" s="17"/>
      <c r="B319" s="40"/>
      <c r="C319" s="55">
        <f t="shared" si="98"/>
        <v>300</v>
      </c>
      <c r="D319" s="54">
        <v>1</v>
      </c>
      <c r="E319" s="53" t="str">
        <f t="shared" si="91"/>
        <v>10</v>
      </c>
      <c r="F319" s="52">
        <f t="shared" si="99"/>
        <v>45591</v>
      </c>
      <c r="G319" s="51" t="str">
        <f t="shared" si="100"/>
        <v>Sat</v>
      </c>
      <c r="H319" s="50"/>
      <c r="I319" s="49"/>
      <c r="J319" s="343">
        <f>187950/$B$13</f>
        <v>1703.3713974986406</v>
      </c>
      <c r="K319" s="31"/>
      <c r="L319" s="317">
        <f t="shared" si="104"/>
        <v>2791.8119787658534</v>
      </c>
      <c r="M319" s="318">
        <f t="shared" si="92"/>
        <v>-1088.4405812672128</v>
      </c>
      <c r="N319" s="41">
        <f t="shared" si="93"/>
        <v>0.61013113005254449</v>
      </c>
      <c r="O319" s="46"/>
      <c r="P319" s="328">
        <f>IF(D319=0,0,SUM($L$294:L319))</f>
        <v>61419.863532848751</v>
      </c>
      <c r="Q319" s="317">
        <f>IF(D319=0,0,SUM($J$294:J319))</f>
        <v>42778.502809497913</v>
      </c>
      <c r="R319" s="321">
        <f t="shared" si="94"/>
        <v>-18641.360723350837</v>
      </c>
      <c r="S319" s="41">
        <f t="shared" si="95"/>
        <v>0.69649296414699768</v>
      </c>
      <c r="T319" s="44"/>
      <c r="U319" s="348">
        <f>IF(D319=0,0,SUM($L$20:L319))</f>
        <v>510901.59211415105</v>
      </c>
      <c r="V319" s="348">
        <f>IF(D319=0,0,SUM($J$20:J319))</f>
        <v>510910.55827442463</v>
      </c>
      <c r="W319" s="349">
        <f t="shared" si="96"/>
        <v>8.9661602735868655</v>
      </c>
      <c r="X319" s="41">
        <f t="shared" si="97"/>
        <v>1.0000175496816059</v>
      </c>
      <c r="Y319" s="17"/>
      <c r="Z319" s="23">
        <f t="shared" si="105"/>
        <v>45591</v>
      </c>
      <c r="AA319" s="22">
        <f t="shared" si="105"/>
        <v>45591</v>
      </c>
      <c r="AB319" s="137">
        <v>45591</v>
      </c>
      <c r="AC319" s="137"/>
      <c r="AD319" s="134"/>
      <c r="AE319" s="134"/>
      <c r="AF319" s="139"/>
      <c r="AG319" s="256"/>
      <c r="AH319" s="256"/>
      <c r="AI319" s="256"/>
      <c r="AJ319" s="256"/>
      <c r="AK319" s="134"/>
      <c r="AL319" s="134"/>
      <c r="AM319" s="134"/>
      <c r="AN319" s="18"/>
      <c r="AO319" s="18"/>
      <c r="AP319" s="18"/>
      <c r="AQ319" s="18"/>
      <c r="AR319" s="17"/>
      <c r="AS319" s="21">
        <f t="shared" si="102"/>
        <v>45591</v>
      </c>
      <c r="AT319" s="17"/>
      <c r="AU319" s="17"/>
      <c r="AV319" s="17"/>
      <c r="AW319" s="17"/>
      <c r="AX319" s="17"/>
      <c r="AY319" s="17"/>
      <c r="AZ319" s="17"/>
    </row>
    <row r="320" spans="1:52" ht="20">
      <c r="A320" s="17"/>
      <c r="B320" s="40"/>
      <c r="C320" s="55">
        <f t="shared" si="98"/>
        <v>301</v>
      </c>
      <c r="D320" s="54">
        <v>0</v>
      </c>
      <c r="E320" s="53" t="str">
        <f t="shared" si="91"/>
        <v>10</v>
      </c>
      <c r="F320" s="52">
        <f t="shared" si="99"/>
        <v>45592</v>
      </c>
      <c r="G320" s="51" t="str">
        <f t="shared" si="100"/>
        <v>Sun</v>
      </c>
      <c r="H320" s="50" t="s">
        <v>46</v>
      </c>
      <c r="I320" s="49"/>
      <c r="J320" s="343"/>
      <c r="K320" s="31"/>
      <c r="L320" s="317">
        <f t="shared" si="104"/>
        <v>0</v>
      </c>
      <c r="M320" s="318">
        <f t="shared" si="92"/>
        <v>0</v>
      </c>
      <c r="N320" s="41" t="str">
        <f t="shared" si="93"/>
        <v>0%</v>
      </c>
      <c r="O320" s="46"/>
      <c r="P320" s="328">
        <f>IF(D320=0,0,SUM($L$294:L320))</f>
        <v>0</v>
      </c>
      <c r="Q320" s="317">
        <f>IF(D320=0,0,SUM($J$294:J320))</f>
        <v>0</v>
      </c>
      <c r="R320" s="321">
        <f t="shared" si="94"/>
        <v>0</v>
      </c>
      <c r="S320" s="41" t="str">
        <f t="shared" si="95"/>
        <v>0%</v>
      </c>
      <c r="T320" s="56"/>
      <c r="U320" s="348">
        <f>IF(D320=0,0,SUM($L$20:L320))</f>
        <v>0</v>
      </c>
      <c r="V320" s="348">
        <f>IF(D320=0,0,SUM($J$20:J320))</f>
        <v>0</v>
      </c>
      <c r="W320" s="349">
        <f t="shared" si="96"/>
        <v>0</v>
      </c>
      <c r="X320" s="41" t="str">
        <f t="shared" si="97"/>
        <v>0%</v>
      </c>
      <c r="Y320" s="17"/>
      <c r="Z320" s="23">
        <f t="shared" si="105"/>
        <v>45592</v>
      </c>
      <c r="AA320" s="22">
        <f t="shared" si="105"/>
        <v>45592</v>
      </c>
      <c r="AB320" s="137">
        <v>45592</v>
      </c>
      <c r="AC320" s="137"/>
      <c r="AD320" s="134"/>
      <c r="AE320" s="134"/>
      <c r="AF320" s="139"/>
      <c r="AG320" s="256"/>
      <c r="AH320" s="256"/>
      <c r="AI320" s="256"/>
      <c r="AJ320" s="256"/>
      <c r="AK320" s="134"/>
      <c r="AL320" s="134"/>
      <c r="AM320" s="134"/>
      <c r="AN320" s="18"/>
      <c r="AO320" s="18"/>
      <c r="AP320" s="18"/>
      <c r="AQ320" s="18"/>
      <c r="AR320" s="17"/>
      <c r="AS320" s="21">
        <f t="shared" si="102"/>
        <v>45592</v>
      </c>
      <c r="AT320" s="17"/>
      <c r="AU320" s="17"/>
      <c r="AV320" s="17"/>
      <c r="AW320" s="17"/>
      <c r="AX320" s="17"/>
      <c r="AY320" s="17"/>
      <c r="AZ320" s="17"/>
    </row>
    <row r="321" spans="1:52" ht="20">
      <c r="A321" s="17"/>
      <c r="B321" s="40"/>
      <c r="C321" s="55">
        <f t="shared" si="98"/>
        <v>302</v>
      </c>
      <c r="D321" s="54">
        <v>1</v>
      </c>
      <c r="E321" s="53" t="str">
        <f t="shared" si="91"/>
        <v>10</v>
      </c>
      <c r="F321" s="52">
        <f t="shared" si="99"/>
        <v>45593</v>
      </c>
      <c r="G321" s="51" t="str">
        <f t="shared" si="100"/>
        <v>Mon</v>
      </c>
      <c r="H321" s="50"/>
      <c r="I321" s="49"/>
      <c r="J321" s="343">
        <f>177200/$B$13</f>
        <v>1605.9452601051296</v>
      </c>
      <c r="K321" s="31"/>
      <c r="L321" s="317">
        <f t="shared" si="104"/>
        <v>2791.8119787658534</v>
      </c>
      <c r="M321" s="318">
        <f t="shared" si="92"/>
        <v>-1185.8667186607238</v>
      </c>
      <c r="N321" s="41">
        <f t="shared" si="93"/>
        <v>0.57523403163240694</v>
      </c>
      <c r="O321" s="46"/>
      <c r="P321" s="328">
        <f>IF(D321=0,0,SUM($L$294:L321))</f>
        <v>64211.675511614601</v>
      </c>
      <c r="Q321" s="317">
        <f>IF(D321=0,0,SUM($J$294:J321))</f>
        <v>44384.448069603044</v>
      </c>
      <c r="R321" s="321">
        <f t="shared" si="94"/>
        <v>-19827.227442011557</v>
      </c>
      <c r="S321" s="41">
        <f t="shared" si="95"/>
        <v>0.69122083664636336</v>
      </c>
      <c r="T321" s="56"/>
      <c r="U321" s="348">
        <f>IF(D321=0,0,SUM($L$20:L321))</f>
        <v>513693.40409291693</v>
      </c>
      <c r="V321" s="348">
        <f>IF(D321=0,0,SUM($J$20:J321))</f>
        <v>512516.50353452977</v>
      </c>
      <c r="W321" s="349">
        <f t="shared" si="96"/>
        <v>-1176.9005583871622</v>
      </c>
      <c r="X321" s="41">
        <f t="shared" si="97"/>
        <v>0.99770894360525153</v>
      </c>
      <c r="Y321" s="17"/>
      <c r="Z321" s="23">
        <f t="shared" si="105"/>
        <v>45593</v>
      </c>
      <c r="AA321" s="22">
        <f t="shared" si="105"/>
        <v>45593</v>
      </c>
      <c r="AB321" s="137">
        <v>45593</v>
      </c>
      <c r="AC321" s="137"/>
      <c r="AD321" s="134"/>
      <c r="AE321" s="134"/>
      <c r="AF321" s="139"/>
      <c r="AG321" s="256"/>
      <c r="AH321" s="256"/>
      <c r="AI321" s="256"/>
      <c r="AJ321" s="256"/>
      <c r="AK321" s="134"/>
      <c r="AL321" s="134"/>
      <c r="AM321" s="134"/>
      <c r="AN321" s="18"/>
      <c r="AO321" s="18"/>
      <c r="AP321" s="18"/>
      <c r="AQ321" s="18"/>
      <c r="AR321" s="17"/>
      <c r="AS321" s="21">
        <f t="shared" si="102"/>
        <v>45593</v>
      </c>
      <c r="AT321" s="17"/>
      <c r="AU321" s="17"/>
      <c r="AV321" s="17"/>
      <c r="AW321" s="17"/>
      <c r="AX321" s="17"/>
      <c r="AY321" s="17"/>
      <c r="AZ321" s="17"/>
    </row>
    <row r="322" spans="1:52" ht="20">
      <c r="A322" s="17"/>
      <c r="B322" s="40"/>
      <c r="C322" s="55">
        <f t="shared" si="98"/>
        <v>303</v>
      </c>
      <c r="D322" s="54">
        <v>1</v>
      </c>
      <c r="E322" s="53" t="str">
        <f t="shared" si="91"/>
        <v>10</v>
      </c>
      <c r="F322" s="52">
        <f t="shared" si="99"/>
        <v>45594</v>
      </c>
      <c r="G322" s="51" t="str">
        <f t="shared" si="100"/>
        <v>Tue</v>
      </c>
      <c r="H322" s="50"/>
      <c r="I322" s="49"/>
      <c r="J322" s="343">
        <f>163850/$B$13</f>
        <v>1484.9555918071414</v>
      </c>
      <c r="K322" s="31"/>
      <c r="L322" s="317">
        <f t="shared" si="104"/>
        <v>2791.8119787658534</v>
      </c>
      <c r="M322" s="318">
        <f t="shared" si="92"/>
        <v>-1306.8563869587119</v>
      </c>
      <c r="N322" s="41">
        <f t="shared" si="93"/>
        <v>0.53189670475716633</v>
      </c>
      <c r="O322" s="46"/>
      <c r="P322" s="328">
        <f>IF(D322=0,0,SUM($L$294:L322))</f>
        <v>67003.487490380459</v>
      </c>
      <c r="Q322" s="317">
        <f>IF(D322=0,0,SUM($J$294:J322))</f>
        <v>45869.403661410186</v>
      </c>
      <c r="R322" s="321">
        <f t="shared" si="94"/>
        <v>-21134.083828970273</v>
      </c>
      <c r="S322" s="41">
        <f t="shared" si="95"/>
        <v>0.68458233115098011</v>
      </c>
      <c r="T322" s="56"/>
      <c r="U322" s="348">
        <f>IF(D322=0,0,SUM($L$20:L322))</f>
        <v>516485.21607168281</v>
      </c>
      <c r="V322" s="348">
        <f>IF(D322=0,0,SUM($J$20:J322))</f>
        <v>514001.45912633691</v>
      </c>
      <c r="W322" s="349">
        <f t="shared" si="96"/>
        <v>-2483.7569453459</v>
      </c>
      <c r="X322" s="41">
        <f t="shared" si="97"/>
        <v>0.99519103961147815</v>
      </c>
      <c r="Y322" s="17"/>
      <c r="Z322" s="23">
        <f t="shared" si="105"/>
        <v>45594</v>
      </c>
      <c r="AA322" s="22">
        <f t="shared" si="105"/>
        <v>45594</v>
      </c>
      <c r="AB322" s="137">
        <v>45594</v>
      </c>
      <c r="AC322" s="137"/>
      <c r="AD322" s="134"/>
      <c r="AE322" s="134"/>
      <c r="AF322" s="139"/>
      <c r="AG322" s="256"/>
      <c r="AH322" s="256"/>
      <c r="AI322" s="256"/>
      <c r="AJ322" s="256"/>
      <c r="AK322" s="134"/>
      <c r="AL322" s="134"/>
      <c r="AM322" s="134"/>
      <c r="AN322" s="18"/>
      <c r="AO322" s="18"/>
      <c r="AP322" s="18"/>
      <c r="AQ322" s="18"/>
      <c r="AR322" s="17"/>
      <c r="AS322" s="21">
        <f t="shared" si="102"/>
        <v>45594</v>
      </c>
      <c r="AT322" s="17"/>
      <c r="AU322" s="17"/>
      <c r="AV322" s="17"/>
      <c r="AW322" s="17"/>
      <c r="AX322" s="17"/>
      <c r="AY322" s="17"/>
      <c r="AZ322" s="17"/>
    </row>
    <row r="323" spans="1:52" ht="20">
      <c r="A323" s="17"/>
      <c r="B323" s="40"/>
      <c r="C323" s="55">
        <f t="shared" si="98"/>
        <v>304</v>
      </c>
      <c r="D323" s="54">
        <v>1</v>
      </c>
      <c r="E323" s="53" t="str">
        <f t="shared" si="91"/>
        <v>10</v>
      </c>
      <c r="F323" s="52">
        <f t="shared" si="99"/>
        <v>45595</v>
      </c>
      <c r="G323" s="51" t="str">
        <f t="shared" si="100"/>
        <v>Wed</v>
      </c>
      <c r="H323" s="50"/>
      <c r="I323" s="49"/>
      <c r="J323" s="343">
        <f>169200/$B$13</f>
        <v>1533.442088091354</v>
      </c>
      <c r="K323" s="31"/>
      <c r="L323" s="317">
        <f t="shared" si="104"/>
        <v>2791.8119787658534</v>
      </c>
      <c r="M323" s="318">
        <f t="shared" si="92"/>
        <v>-1258.3698906744994</v>
      </c>
      <c r="N323" s="41">
        <f t="shared" si="93"/>
        <v>0.54926409792439757</v>
      </c>
      <c r="O323" s="46"/>
      <c r="P323" s="328">
        <f>IF(D323=0,0,SUM($L$294:L323))</f>
        <v>69795.29946914631</v>
      </c>
      <c r="Q323" s="317">
        <f>IF(D323=0,0,SUM($J$294:J323))</f>
        <v>47402.845749501539</v>
      </c>
      <c r="R323" s="321">
        <f t="shared" si="94"/>
        <v>-22392.453719644771</v>
      </c>
      <c r="S323" s="41">
        <f t="shared" si="95"/>
        <v>0.67916960182191677</v>
      </c>
      <c r="T323" s="56"/>
      <c r="U323" s="348">
        <f>IF(D323=0,0,SUM($L$20:L323))</f>
        <v>519277.02805044869</v>
      </c>
      <c r="V323" s="348">
        <f>IF(D323=0,0,SUM($J$20:J323))</f>
        <v>515534.90121442825</v>
      </c>
      <c r="W323" s="349">
        <f t="shared" si="96"/>
        <v>-3742.1268360204413</v>
      </c>
      <c r="X323" s="41">
        <f t="shared" si="97"/>
        <v>0.99279358293574105</v>
      </c>
      <c r="Y323" s="17"/>
      <c r="Z323" s="23">
        <f t="shared" si="105"/>
        <v>45595</v>
      </c>
      <c r="AA323" s="22">
        <f t="shared" si="105"/>
        <v>45595</v>
      </c>
      <c r="AB323" s="137">
        <v>45595</v>
      </c>
      <c r="AC323" s="137"/>
      <c r="AD323" s="134"/>
      <c r="AE323" s="134"/>
      <c r="AF323" s="139"/>
      <c r="AG323" s="256"/>
      <c r="AH323" s="256"/>
      <c r="AI323" s="256"/>
      <c r="AJ323" s="256"/>
      <c r="AK323" s="134"/>
      <c r="AL323" s="134"/>
      <c r="AM323" s="134"/>
      <c r="AN323" s="18"/>
      <c r="AO323" s="18"/>
      <c r="AP323" s="18"/>
      <c r="AQ323" s="18"/>
      <c r="AR323" s="17"/>
      <c r="AS323" s="21">
        <f t="shared" si="102"/>
        <v>45595</v>
      </c>
      <c r="AT323" s="17"/>
      <c r="AU323" s="17"/>
      <c r="AV323" s="17"/>
      <c r="AW323" s="17"/>
      <c r="AX323" s="17"/>
      <c r="AY323" s="17"/>
      <c r="AZ323" s="17"/>
    </row>
    <row r="324" spans="1:52" ht="21" thickBot="1">
      <c r="A324" s="17"/>
      <c r="B324" s="40"/>
      <c r="C324" s="39">
        <f t="shared" si="98"/>
        <v>305</v>
      </c>
      <c r="D324" s="38">
        <v>1</v>
      </c>
      <c r="E324" s="37" t="str">
        <f t="shared" si="91"/>
        <v>10</v>
      </c>
      <c r="F324" s="36">
        <f t="shared" si="99"/>
        <v>45596</v>
      </c>
      <c r="G324" s="35" t="str">
        <f t="shared" si="100"/>
        <v>Thu</v>
      </c>
      <c r="H324" s="34"/>
      <c r="I324" s="33"/>
      <c r="J324" s="344">
        <f>325100/$B$13</f>
        <v>2946.347652709806</v>
      </c>
      <c r="K324" s="31"/>
      <c r="L324" s="326">
        <f t="shared" si="104"/>
        <v>2791.8119787658534</v>
      </c>
      <c r="M324" s="320">
        <f t="shared" si="92"/>
        <v>154.53567394395259</v>
      </c>
      <c r="N324" s="24">
        <f t="shared" si="93"/>
        <v>1.0553531810592296</v>
      </c>
      <c r="O324" s="29"/>
      <c r="P324" s="347">
        <f>IF(D324=0,0,SUM($L$294:L324))</f>
        <v>72587.111447912161</v>
      </c>
      <c r="Q324" s="326">
        <f>IF(D324=0,0,SUM($J$294:J324))</f>
        <v>50349.193402211342</v>
      </c>
      <c r="R324" s="327">
        <f t="shared" si="94"/>
        <v>-22237.918045700819</v>
      </c>
      <c r="S324" s="24">
        <f t="shared" si="95"/>
        <v>0.69363820102335183</v>
      </c>
      <c r="T324" s="64"/>
      <c r="U324" s="350">
        <f>IF(D324=0,0,SUM($L$20:L324))</f>
        <v>522068.84002921457</v>
      </c>
      <c r="V324" s="350">
        <f>IF(D324=0,0,SUM($J$20:J324))</f>
        <v>518481.24886713806</v>
      </c>
      <c r="W324" s="351">
        <f t="shared" si="96"/>
        <v>-3587.591162076511</v>
      </c>
      <c r="X324" s="24">
        <f t="shared" si="97"/>
        <v>0.99312812624121416</v>
      </c>
      <c r="Y324" s="17"/>
      <c r="Z324" s="23">
        <f t="shared" si="105"/>
        <v>45596</v>
      </c>
      <c r="AA324" s="22">
        <f t="shared" si="105"/>
        <v>45596</v>
      </c>
      <c r="AB324" s="137">
        <v>45596</v>
      </c>
      <c r="AC324" s="137"/>
      <c r="AD324" s="134"/>
      <c r="AE324" s="134"/>
      <c r="AF324" s="139"/>
      <c r="AG324" s="256"/>
      <c r="AH324" s="256"/>
      <c r="AI324" s="256"/>
      <c r="AJ324" s="256"/>
      <c r="AK324" s="134"/>
      <c r="AL324" s="134"/>
      <c r="AM324" s="134"/>
      <c r="AN324" s="18"/>
      <c r="AO324" s="18"/>
      <c r="AP324" s="18"/>
      <c r="AQ324" s="18"/>
      <c r="AR324" s="17"/>
      <c r="AS324" s="21">
        <f t="shared" si="102"/>
        <v>45596</v>
      </c>
      <c r="AT324" s="17"/>
      <c r="AU324" s="17"/>
      <c r="AV324" s="17"/>
      <c r="AW324" s="17"/>
      <c r="AX324" s="17"/>
      <c r="AY324" s="17"/>
      <c r="AZ324" s="17"/>
    </row>
    <row r="325" spans="1:52" ht="21" thickTop="1">
      <c r="A325" s="17"/>
      <c r="B325" s="40"/>
      <c r="C325" s="55">
        <f t="shared" si="98"/>
        <v>306</v>
      </c>
      <c r="D325" s="62">
        <v>1</v>
      </c>
      <c r="E325" s="53" t="str">
        <f t="shared" si="91"/>
        <v>11</v>
      </c>
      <c r="F325" s="52">
        <f t="shared" si="99"/>
        <v>45597</v>
      </c>
      <c r="G325" s="51" t="str">
        <f t="shared" si="100"/>
        <v>Fri</v>
      </c>
      <c r="H325" s="50"/>
      <c r="I325" s="49"/>
      <c r="J325" s="343">
        <f>288850/$B$13</f>
        <v>2617.8176545223851</v>
      </c>
      <c r="K325" s="31"/>
      <c r="L325" s="317">
        <f t="shared" ref="L325:L354" si="106">IF(D325=0,0,$K$16)</f>
        <v>2345.122062163317</v>
      </c>
      <c r="M325" s="321">
        <f t="shared" si="92"/>
        <v>272.69559235906809</v>
      </c>
      <c r="N325" s="60">
        <f t="shared" si="93"/>
        <v>1.1162820463628718</v>
      </c>
      <c r="O325" s="46"/>
      <c r="P325" s="329">
        <f>IF(D325=0,0,$L$325)</f>
        <v>2345.122062163317</v>
      </c>
      <c r="Q325" s="317">
        <f>IF(D325=0,0,$J$325)</f>
        <v>2617.8176545223851</v>
      </c>
      <c r="R325" s="321">
        <f t="shared" si="94"/>
        <v>272.69559235906809</v>
      </c>
      <c r="S325" s="60">
        <f t="shared" si="95"/>
        <v>1.1162820463628718</v>
      </c>
      <c r="T325" s="56"/>
      <c r="U325" s="348">
        <f>IF(D325=0,0,SUM($L$20:L325))</f>
        <v>524413.96209137794</v>
      </c>
      <c r="V325" s="348">
        <f>IF(D325=0,0,SUM($J$20:J325))</f>
        <v>521099.06652166042</v>
      </c>
      <c r="W325" s="349">
        <f t="shared" si="96"/>
        <v>-3314.8955697175115</v>
      </c>
      <c r="X325" s="60">
        <f t="shared" si="97"/>
        <v>0.9936788571446542</v>
      </c>
      <c r="Y325" s="17"/>
      <c r="Z325" s="23">
        <f t="shared" ref="Z325:AA340" si="107">Z324+1</f>
        <v>45597</v>
      </c>
      <c r="AA325" s="22">
        <f t="shared" si="107"/>
        <v>45597</v>
      </c>
      <c r="AB325" s="137">
        <v>45597</v>
      </c>
      <c r="AC325" s="137"/>
      <c r="AD325" s="134"/>
      <c r="AE325" s="134"/>
      <c r="AF325" s="139"/>
      <c r="AG325" s="256"/>
      <c r="AH325" s="256"/>
      <c r="AI325" s="256"/>
      <c r="AJ325" s="256"/>
      <c r="AK325" s="134"/>
      <c r="AL325" s="134"/>
      <c r="AM325" s="134"/>
      <c r="AN325" s="18"/>
      <c r="AO325" s="18"/>
      <c r="AP325" s="18"/>
      <c r="AQ325" s="18"/>
      <c r="AR325" s="17"/>
      <c r="AS325" s="21">
        <f t="shared" si="102"/>
        <v>45597</v>
      </c>
      <c r="AT325" s="17"/>
      <c r="AU325" s="17"/>
      <c r="AV325" s="17"/>
      <c r="AW325" s="17"/>
      <c r="AX325" s="17"/>
      <c r="AY325" s="17"/>
      <c r="AZ325" s="17"/>
    </row>
    <row r="326" spans="1:52" ht="20">
      <c r="A326" s="17"/>
      <c r="B326" s="40"/>
      <c r="C326" s="55">
        <f t="shared" si="98"/>
        <v>307</v>
      </c>
      <c r="D326" s="54">
        <v>1</v>
      </c>
      <c r="E326" s="53" t="str">
        <f t="shared" si="91"/>
        <v>11</v>
      </c>
      <c r="F326" s="52">
        <f t="shared" si="99"/>
        <v>45598</v>
      </c>
      <c r="G326" s="51" t="str">
        <f t="shared" si="100"/>
        <v>Sat</v>
      </c>
      <c r="H326" s="50"/>
      <c r="I326" s="49"/>
      <c r="J326" s="343">
        <f>202450/$B$13</f>
        <v>1834.7833967736087</v>
      </c>
      <c r="K326" s="31"/>
      <c r="L326" s="317">
        <f t="shared" si="106"/>
        <v>2345.122062163317</v>
      </c>
      <c r="M326" s="318">
        <f t="shared" si="92"/>
        <v>-510.33866538970824</v>
      </c>
      <c r="N326" s="41">
        <f t="shared" si="93"/>
        <v>0.78238289868846589</v>
      </c>
      <c r="O326" s="46"/>
      <c r="P326" s="328">
        <f>IF(D326=0,0,SUM($L$325:L326))</f>
        <v>4690.2441243266339</v>
      </c>
      <c r="Q326" s="317">
        <f>IF(D326=0,0,SUM($J$325:J326))</f>
        <v>4452.6010512959938</v>
      </c>
      <c r="R326" s="321">
        <f t="shared" si="94"/>
        <v>-237.64307303064015</v>
      </c>
      <c r="S326" s="41">
        <f t="shared" si="95"/>
        <v>0.94933247252566877</v>
      </c>
      <c r="T326" s="44"/>
      <c r="U326" s="348">
        <f>IF(D326=0,0,SUM($L$20:L326))</f>
        <v>526759.08415354125</v>
      </c>
      <c r="V326" s="348">
        <f>IF(D326=0,0,SUM($J$20:J326))</f>
        <v>522933.84991843405</v>
      </c>
      <c r="W326" s="349">
        <f t="shared" si="96"/>
        <v>-3825.2342351072002</v>
      </c>
      <c r="X326" s="41">
        <f t="shared" si="97"/>
        <v>0.99273817130035069</v>
      </c>
      <c r="Y326" s="17"/>
      <c r="Z326" s="23">
        <f t="shared" si="107"/>
        <v>45598</v>
      </c>
      <c r="AA326" s="22">
        <f t="shared" si="107"/>
        <v>45598</v>
      </c>
      <c r="AB326" s="137">
        <v>45598</v>
      </c>
      <c r="AC326" s="137"/>
      <c r="AD326" s="134"/>
      <c r="AE326" s="134"/>
      <c r="AF326" s="139"/>
      <c r="AG326" s="256"/>
      <c r="AH326" s="256"/>
      <c r="AI326" s="256"/>
      <c r="AJ326" s="256"/>
      <c r="AK326" s="134"/>
      <c r="AL326" s="134"/>
      <c r="AM326" s="134"/>
      <c r="AN326" s="18"/>
      <c r="AO326" s="18"/>
      <c r="AP326" s="18"/>
      <c r="AQ326" s="18"/>
      <c r="AR326" s="17"/>
      <c r="AS326" s="21">
        <f t="shared" si="102"/>
        <v>45598</v>
      </c>
      <c r="AT326" s="17"/>
      <c r="AU326" s="17"/>
      <c r="AV326" s="17"/>
      <c r="AW326" s="17"/>
      <c r="AX326" s="17"/>
      <c r="AY326" s="17"/>
      <c r="AZ326" s="17"/>
    </row>
    <row r="327" spans="1:52" ht="20">
      <c r="A327" s="17"/>
      <c r="B327" s="40"/>
      <c r="C327" s="55">
        <f t="shared" si="98"/>
        <v>308</v>
      </c>
      <c r="D327" s="54">
        <v>0</v>
      </c>
      <c r="E327" s="53" t="str">
        <f t="shared" si="91"/>
        <v>11</v>
      </c>
      <c r="F327" s="52">
        <f t="shared" si="99"/>
        <v>45599</v>
      </c>
      <c r="G327" s="51" t="str">
        <f t="shared" si="100"/>
        <v>Sun</v>
      </c>
      <c r="H327" s="50" t="s">
        <v>46</v>
      </c>
      <c r="I327" s="49"/>
      <c r="J327" s="343"/>
      <c r="K327" s="31"/>
      <c r="L327" s="317">
        <f t="shared" si="106"/>
        <v>0</v>
      </c>
      <c r="M327" s="318">
        <f t="shared" si="92"/>
        <v>0</v>
      </c>
      <c r="N327" s="41" t="str">
        <f t="shared" si="93"/>
        <v>0%</v>
      </c>
      <c r="O327" s="46"/>
      <c r="P327" s="328">
        <f>IF(D327=0,0,SUM($L$325:L327))</f>
        <v>0</v>
      </c>
      <c r="Q327" s="317">
        <f>IF(D327=0,0,SUM($J$325:J327))</f>
        <v>0</v>
      </c>
      <c r="R327" s="321">
        <f t="shared" si="94"/>
        <v>0</v>
      </c>
      <c r="S327" s="41" t="str">
        <f t="shared" si="95"/>
        <v>0%</v>
      </c>
      <c r="T327" s="44"/>
      <c r="U327" s="348">
        <f>IF(D327=0,0,SUM($L$20:L327))</f>
        <v>0</v>
      </c>
      <c r="V327" s="348">
        <f>IF(D327=0,0,SUM($J$20:J327))</f>
        <v>0</v>
      </c>
      <c r="W327" s="349">
        <f t="shared" si="96"/>
        <v>0</v>
      </c>
      <c r="X327" s="41" t="str">
        <f t="shared" si="97"/>
        <v>0%</v>
      </c>
      <c r="Y327" s="17"/>
      <c r="Z327" s="23">
        <f t="shared" si="107"/>
        <v>45599</v>
      </c>
      <c r="AA327" s="22">
        <f t="shared" si="107"/>
        <v>45599</v>
      </c>
      <c r="AB327" s="137">
        <v>45599</v>
      </c>
      <c r="AC327" s="137"/>
      <c r="AD327" s="134"/>
      <c r="AE327" s="134"/>
      <c r="AF327" s="139"/>
      <c r="AG327" s="256"/>
      <c r="AH327" s="256"/>
      <c r="AI327" s="256"/>
      <c r="AJ327" s="256"/>
      <c r="AK327" s="134"/>
      <c r="AL327" s="134"/>
      <c r="AM327" s="134"/>
      <c r="AN327" s="18"/>
      <c r="AO327" s="18"/>
      <c r="AP327" s="18"/>
      <c r="AQ327" s="18"/>
      <c r="AR327" s="17"/>
      <c r="AS327" s="21">
        <f t="shared" si="102"/>
        <v>45599</v>
      </c>
      <c r="AT327" s="17"/>
      <c r="AU327" s="17"/>
      <c r="AV327" s="17"/>
      <c r="AW327" s="17"/>
      <c r="AX327" s="17"/>
      <c r="AY327" s="17"/>
      <c r="AZ327" s="17"/>
    </row>
    <row r="328" spans="1:52" ht="20">
      <c r="A328" s="17"/>
      <c r="B328" s="40"/>
      <c r="C328" s="55">
        <f t="shared" si="98"/>
        <v>309</v>
      </c>
      <c r="D328" s="54">
        <v>0</v>
      </c>
      <c r="E328" s="53" t="str">
        <f t="shared" si="91"/>
        <v>11</v>
      </c>
      <c r="F328" s="52">
        <f t="shared" si="99"/>
        <v>45600</v>
      </c>
      <c r="G328" s="51" t="str">
        <f t="shared" si="100"/>
        <v>Mon</v>
      </c>
      <c r="H328" s="50" t="s">
        <v>47</v>
      </c>
      <c r="I328" s="49"/>
      <c r="J328" s="343"/>
      <c r="K328" s="31"/>
      <c r="L328" s="317">
        <f t="shared" si="106"/>
        <v>0</v>
      </c>
      <c r="M328" s="318">
        <f t="shared" si="92"/>
        <v>0</v>
      </c>
      <c r="N328" s="41" t="str">
        <f t="shared" si="93"/>
        <v>0%</v>
      </c>
      <c r="O328" s="46"/>
      <c r="P328" s="328">
        <f>IF(D328=0,0,SUM($L$325:L328))</f>
        <v>0</v>
      </c>
      <c r="Q328" s="317">
        <f>IF(D328=0,0,SUM($J$325:J328))</f>
        <v>0</v>
      </c>
      <c r="R328" s="321">
        <f t="shared" si="94"/>
        <v>0</v>
      </c>
      <c r="S328" s="41" t="str">
        <f t="shared" si="95"/>
        <v>0%</v>
      </c>
      <c r="T328" s="56"/>
      <c r="U328" s="348">
        <f>IF(D328=0,0,SUM($L$20:L328))</f>
        <v>0</v>
      </c>
      <c r="V328" s="348">
        <f>IF(D328=0,0,SUM($J$20:J328))</f>
        <v>0</v>
      </c>
      <c r="W328" s="349">
        <f t="shared" si="96"/>
        <v>0</v>
      </c>
      <c r="X328" s="41" t="str">
        <f t="shared" si="97"/>
        <v>0%</v>
      </c>
      <c r="Y328" s="17"/>
      <c r="Z328" s="23">
        <f t="shared" si="107"/>
        <v>45600</v>
      </c>
      <c r="AA328" s="22">
        <f t="shared" si="107"/>
        <v>45600</v>
      </c>
      <c r="AB328" s="137">
        <v>45600</v>
      </c>
      <c r="AC328" s="137"/>
      <c r="AD328" s="134"/>
      <c r="AE328" s="134"/>
      <c r="AF328" s="139"/>
      <c r="AG328" s="256"/>
      <c r="AH328" s="256"/>
      <c r="AI328" s="256"/>
      <c r="AJ328" s="256"/>
      <c r="AK328" s="134"/>
      <c r="AL328" s="134"/>
      <c r="AM328" s="134"/>
      <c r="AN328" s="18"/>
      <c r="AO328" s="18"/>
      <c r="AP328" s="18"/>
      <c r="AQ328" s="18"/>
      <c r="AR328" s="17"/>
      <c r="AS328" s="21">
        <f t="shared" si="102"/>
        <v>45600</v>
      </c>
      <c r="AT328" s="17"/>
      <c r="AU328" s="17"/>
      <c r="AV328" s="17"/>
      <c r="AW328" s="17"/>
      <c r="AX328" s="17"/>
      <c r="AY328" s="17"/>
      <c r="AZ328" s="17"/>
    </row>
    <row r="329" spans="1:52" ht="20">
      <c r="A329" s="17"/>
      <c r="B329" s="40"/>
      <c r="C329" s="55">
        <f t="shared" si="98"/>
        <v>310</v>
      </c>
      <c r="D329" s="54">
        <v>1</v>
      </c>
      <c r="E329" s="53" t="str">
        <f t="shared" si="91"/>
        <v>11</v>
      </c>
      <c r="F329" s="52">
        <f t="shared" si="99"/>
        <v>45601</v>
      </c>
      <c r="G329" s="51" t="str">
        <f t="shared" si="100"/>
        <v>Tue</v>
      </c>
      <c r="H329" s="50"/>
      <c r="I329" s="49"/>
      <c r="J329" s="343">
        <f>212150/$B$13</f>
        <v>1922.6934928403116</v>
      </c>
      <c r="K329" s="31"/>
      <c r="L329" s="317">
        <f t="shared" si="106"/>
        <v>2345.122062163317</v>
      </c>
      <c r="M329" s="318">
        <f t="shared" si="92"/>
        <v>-422.42856932300538</v>
      </c>
      <c r="N329" s="41">
        <f t="shared" si="93"/>
        <v>0.81986926133246751</v>
      </c>
      <c r="O329" s="46"/>
      <c r="P329" s="328">
        <f>IF(D329=0,0,SUM($L$325:L329))</f>
        <v>7035.3661864899514</v>
      </c>
      <c r="Q329" s="317">
        <f>IF(D329=0,0,SUM($J$325:J329))</f>
        <v>6375.2945441363054</v>
      </c>
      <c r="R329" s="321">
        <f t="shared" si="94"/>
        <v>-660.07164235364598</v>
      </c>
      <c r="S329" s="41">
        <f t="shared" si="95"/>
        <v>0.90617806879460161</v>
      </c>
      <c r="T329" s="56"/>
      <c r="U329" s="348">
        <f>IF(D329=0,0,SUM($L$20:L329))</f>
        <v>529104.20621570456</v>
      </c>
      <c r="V329" s="348">
        <f>IF(D329=0,0,SUM($J$20:J329))</f>
        <v>524856.54341127432</v>
      </c>
      <c r="W329" s="349">
        <f t="shared" si="96"/>
        <v>-4247.6628044302342</v>
      </c>
      <c r="X329" s="41">
        <f t="shared" si="97"/>
        <v>0.99197197309238827</v>
      </c>
      <c r="Y329" s="17"/>
      <c r="Z329" s="23">
        <f t="shared" si="107"/>
        <v>45601</v>
      </c>
      <c r="AA329" s="22">
        <f t="shared" si="107"/>
        <v>45601</v>
      </c>
      <c r="AB329" s="137">
        <v>45601</v>
      </c>
      <c r="AC329" s="137"/>
      <c r="AD329" s="134"/>
      <c r="AE329" s="134"/>
      <c r="AF329" s="139"/>
      <c r="AG329" s="256"/>
      <c r="AH329" s="256"/>
      <c r="AI329" s="256"/>
      <c r="AJ329" s="256"/>
      <c r="AK329" s="134"/>
      <c r="AL329" s="134"/>
      <c r="AM329" s="134"/>
      <c r="AN329" s="18"/>
      <c r="AO329" s="18"/>
      <c r="AP329" s="18"/>
      <c r="AQ329" s="18"/>
      <c r="AR329" s="17"/>
      <c r="AS329" s="21">
        <f t="shared" si="102"/>
        <v>45601</v>
      </c>
      <c r="AT329" s="17"/>
      <c r="AU329" s="17"/>
      <c r="AV329" s="17"/>
      <c r="AW329" s="17"/>
      <c r="AX329" s="17"/>
      <c r="AY329" s="17"/>
      <c r="AZ329" s="17"/>
    </row>
    <row r="330" spans="1:52" ht="20">
      <c r="A330" s="17"/>
      <c r="B330" s="40"/>
      <c r="C330" s="55">
        <f t="shared" si="98"/>
        <v>311</v>
      </c>
      <c r="D330" s="54">
        <v>1</v>
      </c>
      <c r="E330" s="53" t="str">
        <f t="shared" si="91"/>
        <v>11</v>
      </c>
      <c r="F330" s="52">
        <f t="shared" si="99"/>
        <v>45602</v>
      </c>
      <c r="G330" s="51" t="str">
        <f t="shared" si="100"/>
        <v>Wed</v>
      </c>
      <c r="H330" s="50"/>
      <c r="I330" s="49"/>
      <c r="J330" s="343">
        <f>268780/$B$13</f>
        <v>2435.9253217328255</v>
      </c>
      <c r="K330" s="31"/>
      <c r="L330" s="317">
        <f t="shared" si="106"/>
        <v>2345.122062163317</v>
      </c>
      <c r="M330" s="318">
        <f t="shared" si="92"/>
        <v>90.803259569508555</v>
      </c>
      <c r="N330" s="41">
        <f t="shared" si="93"/>
        <v>1.0387200568510044</v>
      </c>
      <c r="O330" s="46"/>
      <c r="P330" s="328">
        <f>IF(D330=0,0,SUM($L$325:L330))</f>
        <v>9380.4882486532679</v>
      </c>
      <c r="Q330" s="317">
        <f>IF(D330=0,0,SUM($J$325:J330))</f>
        <v>8811.2198658691304</v>
      </c>
      <c r="R330" s="321">
        <f t="shared" si="94"/>
        <v>-569.26838278413743</v>
      </c>
      <c r="S330" s="41">
        <f t="shared" si="95"/>
        <v>0.9393135658087024</v>
      </c>
      <c r="T330" s="56"/>
      <c r="U330" s="348">
        <f>IF(D330=0,0,SUM($L$20:L330))</f>
        <v>531449.32827786787</v>
      </c>
      <c r="V330" s="348">
        <f>IF(D330=0,0,SUM($J$20:J330))</f>
        <v>527292.4687330072</v>
      </c>
      <c r="W330" s="349">
        <f t="shared" si="96"/>
        <v>-4156.8595448606648</v>
      </c>
      <c r="X330" s="41">
        <f t="shared" si="97"/>
        <v>0.9921782579755426</v>
      </c>
      <c r="Y330" s="17"/>
      <c r="Z330" s="23">
        <f t="shared" si="107"/>
        <v>45602</v>
      </c>
      <c r="AA330" s="22">
        <f t="shared" si="107"/>
        <v>45602</v>
      </c>
      <c r="AB330" s="137">
        <v>45602</v>
      </c>
      <c r="AC330" s="137"/>
      <c r="AD330" s="134"/>
      <c r="AE330" s="134"/>
      <c r="AF330" s="139"/>
      <c r="AG330" s="256"/>
      <c r="AH330" s="256"/>
      <c r="AI330" s="256"/>
      <c r="AJ330" s="256"/>
      <c r="AK330" s="134"/>
      <c r="AL330" s="134"/>
      <c r="AM330" s="134"/>
      <c r="AN330" s="18"/>
      <c r="AO330" s="18"/>
      <c r="AP330" s="18"/>
      <c r="AQ330" s="18"/>
      <c r="AR330" s="17"/>
      <c r="AS330" s="21">
        <f t="shared" si="102"/>
        <v>45602</v>
      </c>
      <c r="AT330" s="17"/>
      <c r="AU330" s="17"/>
      <c r="AV330" s="17"/>
      <c r="AW330" s="17"/>
      <c r="AX330" s="17"/>
      <c r="AY330" s="17"/>
      <c r="AZ330" s="17"/>
    </row>
    <row r="331" spans="1:52" ht="20">
      <c r="A331" s="17"/>
      <c r="B331" s="40"/>
      <c r="C331" s="55">
        <f t="shared" si="98"/>
        <v>312</v>
      </c>
      <c r="D331" s="54">
        <v>1</v>
      </c>
      <c r="E331" s="53" t="str">
        <f t="shared" si="91"/>
        <v>11</v>
      </c>
      <c r="F331" s="52">
        <f t="shared" si="99"/>
        <v>45603</v>
      </c>
      <c r="G331" s="51" t="str">
        <f t="shared" si="100"/>
        <v>Thu</v>
      </c>
      <c r="H331" s="50"/>
      <c r="I331" s="49"/>
      <c r="J331" s="343">
        <f>280080/$B$13</f>
        <v>2538.3360522022836</v>
      </c>
      <c r="K331" s="31"/>
      <c r="L331" s="317">
        <f t="shared" si="106"/>
        <v>2345.122062163317</v>
      </c>
      <c r="M331" s="318">
        <f t="shared" si="92"/>
        <v>193.21399003896659</v>
      </c>
      <c r="N331" s="41">
        <f t="shared" si="93"/>
        <v>1.0823897370445321</v>
      </c>
      <c r="O331" s="46"/>
      <c r="P331" s="328">
        <f>IF(D331=0,0,SUM($L$325:L331))</f>
        <v>11725.610310816584</v>
      </c>
      <c r="Q331" s="317">
        <f>IF(D331=0,0,SUM($J$325:J331))</f>
        <v>11349.555918071414</v>
      </c>
      <c r="R331" s="321">
        <f t="shared" si="94"/>
        <v>-376.05439274517084</v>
      </c>
      <c r="S331" s="41">
        <f t="shared" si="95"/>
        <v>0.96792880005586834</v>
      </c>
      <c r="T331" s="56"/>
      <c r="U331" s="348">
        <f>IF(D331=0,0,SUM($L$20:L331))</f>
        <v>533794.45034003118</v>
      </c>
      <c r="V331" s="348">
        <f>IF(D331=0,0,SUM($J$20:J331))</f>
        <v>529830.80478520948</v>
      </c>
      <c r="W331" s="349">
        <f t="shared" si="96"/>
        <v>-3963.6455548217054</v>
      </c>
      <c r="X331" s="41">
        <f t="shared" si="97"/>
        <v>0.99257458455722647</v>
      </c>
      <c r="Y331" s="17"/>
      <c r="Z331" s="23">
        <f t="shared" si="107"/>
        <v>45603</v>
      </c>
      <c r="AA331" s="22">
        <f t="shared" si="107"/>
        <v>45603</v>
      </c>
      <c r="AB331" s="137">
        <v>45603</v>
      </c>
      <c r="AC331" s="137"/>
      <c r="AD331" s="134"/>
      <c r="AE331" s="134"/>
      <c r="AF331" s="139"/>
      <c r="AG331" s="256"/>
      <c r="AH331" s="256"/>
      <c r="AI331" s="256"/>
      <c r="AJ331" s="256"/>
      <c r="AK331" s="134"/>
      <c r="AL331" s="134"/>
      <c r="AM331" s="134"/>
      <c r="AN331" s="18"/>
      <c r="AO331" s="18"/>
      <c r="AP331" s="18"/>
      <c r="AQ331" s="18"/>
      <c r="AR331" s="17"/>
      <c r="AS331" s="21">
        <f t="shared" si="102"/>
        <v>45603</v>
      </c>
      <c r="AT331" s="17"/>
      <c r="AU331" s="17"/>
      <c r="AV331" s="17"/>
      <c r="AW331" s="17"/>
      <c r="AX331" s="17"/>
      <c r="AY331" s="17"/>
      <c r="AZ331" s="17"/>
    </row>
    <row r="332" spans="1:52" ht="20">
      <c r="A332" s="17"/>
      <c r="B332" s="40"/>
      <c r="C332" s="55">
        <f t="shared" si="98"/>
        <v>313</v>
      </c>
      <c r="D332" s="54">
        <v>1</v>
      </c>
      <c r="E332" s="53" t="str">
        <f t="shared" si="91"/>
        <v>11</v>
      </c>
      <c r="F332" s="52">
        <f t="shared" si="99"/>
        <v>45604</v>
      </c>
      <c r="G332" s="51" t="str">
        <f t="shared" si="100"/>
        <v>Fri</v>
      </c>
      <c r="H332" s="50"/>
      <c r="I332" s="49"/>
      <c r="J332" s="343">
        <f>393950/$B$13</f>
        <v>3570.3280768533623</v>
      </c>
      <c r="K332" s="31"/>
      <c r="L332" s="317">
        <f t="shared" si="106"/>
        <v>2345.122062163317</v>
      </c>
      <c r="M332" s="318">
        <f t="shared" si="92"/>
        <v>1225.2060146900453</v>
      </c>
      <c r="N332" s="41">
        <f t="shared" si="93"/>
        <v>1.5224487178973631</v>
      </c>
      <c r="O332" s="46"/>
      <c r="P332" s="328">
        <f>IF(D332=0,0,SUM($L$325:L332))</f>
        <v>14070.732372979901</v>
      </c>
      <c r="Q332" s="317">
        <f>IF(D332=0,0,SUM($J$325:J332))</f>
        <v>14919.883994924776</v>
      </c>
      <c r="R332" s="321">
        <f t="shared" si="94"/>
        <v>849.15162194487493</v>
      </c>
      <c r="S332" s="41">
        <f t="shared" si="95"/>
        <v>1.0603487863627841</v>
      </c>
      <c r="T332" s="56"/>
      <c r="U332" s="348">
        <f>IF(D332=0,0,SUM($L$20:L332))</f>
        <v>536139.57240219449</v>
      </c>
      <c r="V332" s="348">
        <f>IF(D332=0,0,SUM($J$20:J332))</f>
        <v>533401.13286206289</v>
      </c>
      <c r="W332" s="349">
        <f t="shared" si="96"/>
        <v>-2738.4395401315996</v>
      </c>
      <c r="X332" s="41">
        <f t="shared" si="97"/>
        <v>0.99489230103299053</v>
      </c>
      <c r="Y332" s="17"/>
      <c r="Z332" s="23">
        <f t="shared" si="107"/>
        <v>45604</v>
      </c>
      <c r="AA332" s="22">
        <f t="shared" si="107"/>
        <v>45604</v>
      </c>
      <c r="AB332" s="137">
        <v>45604</v>
      </c>
      <c r="AC332" s="137"/>
      <c r="AD332" s="134"/>
      <c r="AE332" s="134"/>
      <c r="AF332" s="139"/>
      <c r="AG332" s="256"/>
      <c r="AH332" s="256"/>
      <c r="AI332" s="256"/>
      <c r="AJ332" s="256"/>
      <c r="AK332" s="134"/>
      <c r="AL332" s="134"/>
      <c r="AM332" s="134"/>
      <c r="AN332" s="18"/>
      <c r="AO332" s="18"/>
      <c r="AP332" s="18"/>
      <c r="AQ332" s="18"/>
      <c r="AR332" s="17"/>
      <c r="AS332" s="21">
        <f t="shared" si="102"/>
        <v>45604</v>
      </c>
      <c r="AT332" s="17"/>
      <c r="AU332" s="17"/>
      <c r="AV332" s="17"/>
      <c r="AW332" s="17"/>
      <c r="AX332" s="17"/>
      <c r="AY332" s="17"/>
      <c r="AZ332" s="17"/>
    </row>
    <row r="333" spans="1:52" ht="20">
      <c r="A333" s="17"/>
      <c r="B333" s="40"/>
      <c r="C333" s="55">
        <f t="shared" si="98"/>
        <v>314</v>
      </c>
      <c r="D333" s="54">
        <v>1</v>
      </c>
      <c r="E333" s="53" t="str">
        <f t="shared" si="91"/>
        <v>11</v>
      </c>
      <c r="F333" s="52">
        <f t="shared" si="99"/>
        <v>45605</v>
      </c>
      <c r="G333" s="51" t="str">
        <f t="shared" si="100"/>
        <v>Sat</v>
      </c>
      <c r="H333" s="50"/>
      <c r="I333" s="49"/>
      <c r="J333" s="343">
        <f>320900/$B$13</f>
        <v>2908.2834874025739</v>
      </c>
      <c r="K333" s="31"/>
      <c r="L333" s="317">
        <f t="shared" si="106"/>
        <v>2345.122062163317</v>
      </c>
      <c r="M333" s="318">
        <f t="shared" si="92"/>
        <v>563.16142523925691</v>
      </c>
      <c r="N333" s="41">
        <f t="shared" si="93"/>
        <v>1.2401416260268152</v>
      </c>
      <c r="O333" s="46"/>
      <c r="P333" s="328">
        <f>IF(D333=0,0,SUM($L$325:L333))</f>
        <v>16415.854435143217</v>
      </c>
      <c r="Q333" s="317">
        <f>IF(D333=0,0,SUM($J$325:J333))</f>
        <v>17828.16748232735</v>
      </c>
      <c r="R333" s="321">
        <f t="shared" si="94"/>
        <v>1412.3130471841323</v>
      </c>
      <c r="S333" s="41">
        <f t="shared" si="95"/>
        <v>1.08603347774336</v>
      </c>
      <c r="T333" s="44"/>
      <c r="U333" s="348">
        <f>IF(D333=0,0,SUM($L$20:L333))</f>
        <v>538484.6944643578</v>
      </c>
      <c r="V333" s="348">
        <f>IF(D333=0,0,SUM($J$20:J333))</f>
        <v>536309.41634946549</v>
      </c>
      <c r="W333" s="349">
        <f t="shared" si="96"/>
        <v>-2175.2781148923095</v>
      </c>
      <c r="X333" s="41">
        <f t="shared" si="97"/>
        <v>0.99596037150683348</v>
      </c>
      <c r="Y333" s="17"/>
      <c r="Z333" s="23">
        <f t="shared" si="107"/>
        <v>45605</v>
      </c>
      <c r="AA333" s="22">
        <f t="shared" si="107"/>
        <v>45605</v>
      </c>
      <c r="AB333" s="137">
        <v>45605</v>
      </c>
      <c r="AC333" s="137"/>
      <c r="AD333" s="134"/>
      <c r="AE333" s="134"/>
      <c r="AF333" s="139"/>
      <c r="AG333" s="256"/>
      <c r="AH333" s="256"/>
      <c r="AI333" s="256"/>
      <c r="AJ333" s="256"/>
      <c r="AK333" s="134"/>
      <c r="AL333" s="134"/>
      <c r="AM333" s="134"/>
      <c r="AN333" s="18"/>
      <c r="AO333" s="18"/>
      <c r="AP333" s="18"/>
      <c r="AQ333" s="18"/>
      <c r="AR333" s="17"/>
      <c r="AS333" s="21">
        <f t="shared" si="102"/>
        <v>45605</v>
      </c>
      <c r="AT333" s="17"/>
      <c r="AU333" s="17"/>
      <c r="AV333" s="17"/>
      <c r="AW333" s="17"/>
      <c r="AX333" s="17"/>
      <c r="AY333" s="17"/>
      <c r="AZ333" s="17"/>
    </row>
    <row r="334" spans="1:52" ht="20">
      <c r="A334" s="17"/>
      <c r="B334" s="40"/>
      <c r="C334" s="55">
        <f t="shared" si="98"/>
        <v>315</v>
      </c>
      <c r="D334" s="54">
        <v>0</v>
      </c>
      <c r="E334" s="53" t="str">
        <f t="shared" si="91"/>
        <v>11</v>
      </c>
      <c r="F334" s="52">
        <f t="shared" si="99"/>
        <v>45606</v>
      </c>
      <c r="G334" s="51" t="str">
        <f t="shared" si="100"/>
        <v>Sun</v>
      </c>
      <c r="H334" s="50" t="s">
        <v>46</v>
      </c>
      <c r="I334" s="49"/>
      <c r="J334" s="343"/>
      <c r="K334" s="31"/>
      <c r="L334" s="317">
        <f t="shared" si="106"/>
        <v>0</v>
      </c>
      <c r="M334" s="318">
        <f t="shared" si="92"/>
        <v>0</v>
      </c>
      <c r="N334" s="41" t="str">
        <f t="shared" si="93"/>
        <v>0%</v>
      </c>
      <c r="O334" s="46"/>
      <c r="P334" s="328">
        <f>IF(D334=0,0,SUM($L$325:L334))</f>
        <v>0</v>
      </c>
      <c r="Q334" s="317">
        <f>IF(D334=0,0,SUM($J$325:J334))</f>
        <v>0</v>
      </c>
      <c r="R334" s="321">
        <f t="shared" si="94"/>
        <v>0</v>
      </c>
      <c r="S334" s="41" t="str">
        <f t="shared" si="95"/>
        <v>0%</v>
      </c>
      <c r="T334" s="56"/>
      <c r="U334" s="348">
        <f>IF(D334=0,0,SUM($L$20:L334))</f>
        <v>0</v>
      </c>
      <c r="V334" s="348">
        <f>IF(D334=0,0,SUM($J$20:J334))</f>
        <v>0</v>
      </c>
      <c r="W334" s="349">
        <f t="shared" si="96"/>
        <v>0</v>
      </c>
      <c r="X334" s="41" t="str">
        <f t="shared" si="97"/>
        <v>0%</v>
      </c>
      <c r="Y334" s="17"/>
      <c r="Z334" s="23">
        <f t="shared" si="107"/>
        <v>45606</v>
      </c>
      <c r="AA334" s="22">
        <f t="shared" si="107"/>
        <v>45606</v>
      </c>
      <c r="AB334" s="137">
        <v>45606</v>
      </c>
      <c r="AC334" s="137"/>
      <c r="AD334" s="134"/>
      <c r="AE334" s="134"/>
      <c r="AF334" s="139"/>
      <c r="AG334" s="256"/>
      <c r="AH334" s="256"/>
      <c r="AI334" s="256"/>
      <c r="AJ334" s="256"/>
      <c r="AK334" s="134"/>
      <c r="AL334" s="134"/>
      <c r="AM334" s="134"/>
      <c r="AN334" s="18"/>
      <c r="AO334" s="18"/>
      <c r="AP334" s="18"/>
      <c r="AQ334" s="18"/>
      <c r="AR334" s="17"/>
      <c r="AS334" s="21">
        <f t="shared" si="102"/>
        <v>45606</v>
      </c>
      <c r="AT334" s="17"/>
      <c r="AU334" s="17"/>
      <c r="AV334" s="17"/>
      <c r="AW334" s="17"/>
      <c r="AX334" s="17"/>
      <c r="AY334" s="17"/>
      <c r="AZ334" s="17"/>
    </row>
    <row r="335" spans="1:52" ht="20">
      <c r="A335" s="17"/>
      <c r="B335" s="40"/>
      <c r="C335" s="55">
        <f t="shared" si="98"/>
        <v>316</v>
      </c>
      <c r="D335" s="54">
        <v>1</v>
      </c>
      <c r="E335" s="53" t="str">
        <f t="shared" si="91"/>
        <v>11</v>
      </c>
      <c r="F335" s="52">
        <f t="shared" si="99"/>
        <v>45607</v>
      </c>
      <c r="G335" s="51" t="str">
        <f t="shared" si="100"/>
        <v>Mon</v>
      </c>
      <c r="H335" s="50"/>
      <c r="I335" s="49"/>
      <c r="J335" s="343">
        <f>171150/$B$13</f>
        <v>1551.1147362697118</v>
      </c>
      <c r="K335" s="31"/>
      <c r="L335" s="317">
        <f t="shared" si="106"/>
        <v>2345.122062163317</v>
      </c>
      <c r="M335" s="318">
        <f t="shared" si="92"/>
        <v>-794.00732589360518</v>
      </c>
      <c r="N335" s="41">
        <f t="shared" si="93"/>
        <v>0.66142174912586293</v>
      </c>
      <c r="O335" s="46"/>
      <c r="P335" s="328">
        <f>IF(D335=0,0,SUM($L$325:L335))</f>
        <v>18760.976497306536</v>
      </c>
      <c r="Q335" s="317">
        <f>IF(D335=0,0,SUM($J$325:J335))</f>
        <v>19379.282218597062</v>
      </c>
      <c r="R335" s="321">
        <f t="shared" si="94"/>
        <v>618.30572129052598</v>
      </c>
      <c r="S335" s="41">
        <f t="shared" si="95"/>
        <v>1.0329570116661728</v>
      </c>
      <c r="T335" s="56"/>
      <c r="U335" s="348">
        <f>IF(D335=0,0,SUM($L$20:L335))</f>
        <v>540829.81652652111</v>
      </c>
      <c r="V335" s="348">
        <f>IF(D335=0,0,SUM($J$20:J335))</f>
        <v>537860.53108573519</v>
      </c>
      <c r="W335" s="349">
        <f t="shared" si="96"/>
        <v>-2969.2854407859268</v>
      </c>
      <c r="X335" s="41">
        <f t="shared" si="97"/>
        <v>0.99450976009448566</v>
      </c>
      <c r="Y335" s="17"/>
      <c r="Z335" s="23">
        <f t="shared" si="107"/>
        <v>45607</v>
      </c>
      <c r="AA335" s="22">
        <f t="shared" si="107"/>
        <v>45607</v>
      </c>
      <c r="AB335" s="137">
        <v>45607</v>
      </c>
      <c r="AC335" s="137"/>
      <c r="AD335" s="134"/>
      <c r="AE335" s="134"/>
      <c r="AF335" s="139"/>
      <c r="AG335" s="256"/>
      <c r="AH335" s="256"/>
      <c r="AI335" s="256"/>
      <c r="AJ335" s="256"/>
      <c r="AK335" s="134"/>
      <c r="AL335" s="134"/>
      <c r="AM335" s="134"/>
      <c r="AN335" s="18"/>
      <c r="AO335" s="18"/>
      <c r="AP335" s="18"/>
      <c r="AQ335" s="18"/>
      <c r="AR335" s="17"/>
      <c r="AS335" s="21">
        <f t="shared" si="102"/>
        <v>45607</v>
      </c>
      <c r="AT335" s="17"/>
      <c r="AU335" s="17"/>
      <c r="AV335" s="17"/>
      <c r="AW335" s="17"/>
      <c r="AX335" s="17"/>
      <c r="AY335" s="17"/>
      <c r="AZ335" s="17"/>
    </row>
    <row r="336" spans="1:52" ht="20">
      <c r="A336" s="17"/>
      <c r="B336" s="40"/>
      <c r="C336" s="55">
        <f t="shared" si="98"/>
        <v>317</v>
      </c>
      <c r="D336" s="54">
        <v>1</v>
      </c>
      <c r="E336" s="53" t="str">
        <f t="shared" si="91"/>
        <v>11</v>
      </c>
      <c r="F336" s="52">
        <f t="shared" si="99"/>
        <v>45608</v>
      </c>
      <c r="G336" s="51" t="str">
        <f t="shared" si="100"/>
        <v>Tue</v>
      </c>
      <c r="H336" s="50"/>
      <c r="I336" s="49"/>
      <c r="J336" s="343">
        <f>259350/$B$13</f>
        <v>2350.4622077215877</v>
      </c>
      <c r="K336" s="31"/>
      <c r="L336" s="317">
        <f t="shared" si="106"/>
        <v>2345.122062163317</v>
      </c>
      <c r="M336" s="318">
        <f t="shared" si="92"/>
        <v>5.3401455582707058</v>
      </c>
      <c r="N336" s="41">
        <f t="shared" si="93"/>
        <v>1.0022771290434855</v>
      </c>
      <c r="O336" s="46"/>
      <c r="P336" s="328">
        <f>IF(D336=0,0,SUM($L$325:L336))</f>
        <v>21106.098559469854</v>
      </c>
      <c r="Q336" s="317">
        <f>IF(D336=0,0,SUM($J$325:J336))</f>
        <v>21729.744426318648</v>
      </c>
      <c r="R336" s="321">
        <f t="shared" si="94"/>
        <v>623.64586684879396</v>
      </c>
      <c r="S336" s="41">
        <f t="shared" si="95"/>
        <v>1.0295481358192073</v>
      </c>
      <c r="T336" s="56"/>
      <c r="U336" s="348">
        <f>IF(D336=0,0,SUM($L$20:L336))</f>
        <v>543174.93858868442</v>
      </c>
      <c r="V336" s="348">
        <f>IF(D336=0,0,SUM($J$20:J336))</f>
        <v>540210.99329345673</v>
      </c>
      <c r="W336" s="349">
        <f t="shared" si="96"/>
        <v>-2963.9452952276915</v>
      </c>
      <c r="X336" s="41">
        <f t="shared" si="97"/>
        <v>0.99454329519891171</v>
      </c>
      <c r="Y336" s="17"/>
      <c r="Z336" s="23">
        <f t="shared" si="107"/>
        <v>45608</v>
      </c>
      <c r="AA336" s="22">
        <f t="shared" si="107"/>
        <v>45608</v>
      </c>
      <c r="AB336" s="137">
        <v>45608</v>
      </c>
      <c r="AC336" s="137"/>
      <c r="AD336" s="134"/>
      <c r="AE336" s="134"/>
      <c r="AF336" s="139"/>
      <c r="AG336" s="256"/>
      <c r="AH336" s="256"/>
      <c r="AI336" s="256"/>
      <c r="AJ336" s="256"/>
      <c r="AK336" s="134"/>
      <c r="AL336" s="134"/>
      <c r="AM336" s="134"/>
      <c r="AN336" s="18"/>
      <c r="AO336" s="18"/>
      <c r="AP336" s="18"/>
      <c r="AQ336" s="18"/>
      <c r="AR336" s="17"/>
      <c r="AS336" s="21">
        <f t="shared" si="102"/>
        <v>45608</v>
      </c>
      <c r="AT336" s="17"/>
      <c r="AU336" s="17"/>
      <c r="AV336" s="17"/>
      <c r="AW336" s="17"/>
      <c r="AX336" s="17"/>
      <c r="AY336" s="17"/>
      <c r="AZ336" s="17"/>
    </row>
    <row r="337" spans="1:52" ht="20">
      <c r="A337" s="17"/>
      <c r="B337" s="40"/>
      <c r="C337" s="55">
        <f t="shared" si="98"/>
        <v>318</v>
      </c>
      <c r="D337" s="54">
        <v>1</v>
      </c>
      <c r="E337" s="53" t="str">
        <f t="shared" si="91"/>
        <v>11</v>
      </c>
      <c r="F337" s="52">
        <f t="shared" si="99"/>
        <v>45609</v>
      </c>
      <c r="G337" s="51" t="str">
        <f t="shared" si="100"/>
        <v>Wed</v>
      </c>
      <c r="H337" s="50"/>
      <c r="I337" s="49"/>
      <c r="J337" s="343">
        <f>216530/$B$13</f>
        <v>1962.3889795178538</v>
      </c>
      <c r="K337" s="31"/>
      <c r="L337" s="317">
        <f t="shared" si="106"/>
        <v>2345.122062163317</v>
      </c>
      <c r="M337" s="318">
        <f t="shared" si="92"/>
        <v>-382.73308264546313</v>
      </c>
      <c r="N337" s="41">
        <f t="shared" si="93"/>
        <v>0.83679609312429504</v>
      </c>
      <c r="O337" s="46"/>
      <c r="P337" s="328">
        <f>IF(D337=0,0,SUM($L$325:L337))</f>
        <v>23451.220621633172</v>
      </c>
      <c r="Q337" s="317">
        <f>IF(D337=0,0,SUM($J$325:J337))</f>
        <v>23692.133405836503</v>
      </c>
      <c r="R337" s="321">
        <f t="shared" si="94"/>
        <v>240.91278420333038</v>
      </c>
      <c r="S337" s="41">
        <f t="shared" si="95"/>
        <v>1.0102729315497161</v>
      </c>
      <c r="T337" s="56"/>
      <c r="U337" s="348">
        <f>IF(D337=0,0,SUM($L$20:L337))</f>
        <v>545520.06065084774</v>
      </c>
      <c r="V337" s="348">
        <f>IF(D337=0,0,SUM($J$20:J337))</f>
        <v>542173.38227297459</v>
      </c>
      <c r="W337" s="349">
        <f t="shared" si="96"/>
        <v>-3346.6783778731478</v>
      </c>
      <c r="X337" s="41">
        <f t="shared" si="97"/>
        <v>0.9938651598368714</v>
      </c>
      <c r="Y337" s="17"/>
      <c r="Z337" s="23">
        <f t="shared" si="107"/>
        <v>45609</v>
      </c>
      <c r="AA337" s="22">
        <f t="shared" si="107"/>
        <v>45609</v>
      </c>
      <c r="AB337" s="137">
        <v>45609</v>
      </c>
      <c r="AC337" s="137"/>
      <c r="AD337" s="134"/>
      <c r="AE337" s="134"/>
      <c r="AF337" s="139"/>
      <c r="AG337" s="256"/>
      <c r="AH337" s="256"/>
      <c r="AI337" s="256"/>
      <c r="AJ337" s="256"/>
      <c r="AK337" s="134"/>
      <c r="AL337" s="134"/>
      <c r="AM337" s="134"/>
      <c r="AN337" s="18"/>
      <c r="AO337" s="18"/>
      <c r="AP337" s="18"/>
      <c r="AQ337" s="18"/>
      <c r="AR337" s="17"/>
      <c r="AS337" s="21">
        <f t="shared" si="102"/>
        <v>45609</v>
      </c>
      <c r="AT337" s="17"/>
      <c r="AU337" s="17"/>
      <c r="AV337" s="17"/>
      <c r="AW337" s="17"/>
      <c r="AX337" s="17"/>
      <c r="AY337" s="17"/>
      <c r="AZ337" s="17"/>
    </row>
    <row r="338" spans="1:52" ht="20">
      <c r="A338" s="17"/>
      <c r="B338" s="40"/>
      <c r="C338" s="55">
        <f t="shared" si="98"/>
        <v>319</v>
      </c>
      <c r="D338" s="54">
        <v>1</v>
      </c>
      <c r="E338" s="53" t="str">
        <f t="shared" si="91"/>
        <v>11</v>
      </c>
      <c r="F338" s="52">
        <f t="shared" si="99"/>
        <v>45610</v>
      </c>
      <c r="G338" s="51" t="str">
        <f t="shared" si="100"/>
        <v>Thu</v>
      </c>
      <c r="H338" s="50"/>
      <c r="I338" s="49"/>
      <c r="J338" s="343">
        <f>187300/$B$13</f>
        <v>1697.4805147725212</v>
      </c>
      <c r="K338" s="31"/>
      <c r="L338" s="317">
        <f t="shared" si="106"/>
        <v>2345.122062163317</v>
      </c>
      <c r="M338" s="318">
        <f t="shared" si="92"/>
        <v>-647.64154739079572</v>
      </c>
      <c r="N338" s="41">
        <f t="shared" si="93"/>
        <v>0.72383461064139132</v>
      </c>
      <c r="O338" s="46"/>
      <c r="P338" s="328">
        <f>IF(D338=0,0,SUM($L$325:L338))</f>
        <v>25796.342683796491</v>
      </c>
      <c r="Q338" s="317">
        <f>IF(D338=0,0,SUM($J$325:J338))</f>
        <v>25389.613920609023</v>
      </c>
      <c r="R338" s="321">
        <f t="shared" si="94"/>
        <v>-406.72876318746785</v>
      </c>
      <c r="S338" s="41">
        <f t="shared" si="95"/>
        <v>0.9842330841944138</v>
      </c>
      <c r="T338" s="56"/>
      <c r="U338" s="348">
        <f>IF(D338=0,0,SUM($L$20:L338))</f>
        <v>547865.18271301105</v>
      </c>
      <c r="V338" s="348">
        <f>IF(D338=0,0,SUM($J$20:J338))</f>
        <v>543870.86278774706</v>
      </c>
      <c r="W338" s="349">
        <f t="shared" si="96"/>
        <v>-3994.3199252639897</v>
      </c>
      <c r="X338" s="41">
        <f t="shared" si="97"/>
        <v>0.99270930139147695</v>
      </c>
      <c r="Y338" s="17"/>
      <c r="Z338" s="23">
        <f t="shared" si="107"/>
        <v>45610</v>
      </c>
      <c r="AA338" s="22">
        <f t="shared" si="107"/>
        <v>45610</v>
      </c>
      <c r="AB338" s="137">
        <v>45610</v>
      </c>
      <c r="AC338" s="137"/>
      <c r="AD338" s="134"/>
      <c r="AE338" s="134"/>
      <c r="AF338" s="139"/>
      <c r="AG338" s="256"/>
      <c r="AH338" s="256"/>
      <c r="AI338" s="256"/>
      <c r="AJ338" s="256"/>
      <c r="AK338" s="134"/>
      <c r="AL338" s="134"/>
      <c r="AM338" s="134"/>
      <c r="AN338" s="18"/>
      <c r="AO338" s="18"/>
      <c r="AP338" s="18"/>
      <c r="AQ338" s="18"/>
      <c r="AR338" s="17"/>
      <c r="AS338" s="21">
        <f t="shared" si="102"/>
        <v>45610</v>
      </c>
      <c r="AT338" s="17"/>
      <c r="AU338" s="17"/>
      <c r="AV338" s="17"/>
      <c r="AW338" s="17"/>
      <c r="AX338" s="17"/>
      <c r="AY338" s="17"/>
      <c r="AZ338" s="17"/>
    </row>
    <row r="339" spans="1:52" ht="20">
      <c r="A339" s="17"/>
      <c r="B339" s="40"/>
      <c r="C339" s="55">
        <f t="shared" si="98"/>
        <v>320</v>
      </c>
      <c r="D339" s="54">
        <v>1</v>
      </c>
      <c r="E339" s="53" t="str">
        <f t="shared" si="91"/>
        <v>11</v>
      </c>
      <c r="F339" s="52">
        <f t="shared" si="99"/>
        <v>45611</v>
      </c>
      <c r="G339" s="51" t="str">
        <f t="shared" si="100"/>
        <v>Fri</v>
      </c>
      <c r="H339" s="50"/>
      <c r="I339" s="49"/>
      <c r="J339" s="343">
        <f>385100/$B$13</f>
        <v>3490.1214428131229</v>
      </c>
      <c r="K339" s="31"/>
      <c r="L339" s="317">
        <f t="shared" si="106"/>
        <v>2345.122062163317</v>
      </c>
      <c r="M339" s="318">
        <f t="shared" si="92"/>
        <v>1144.999380649806</v>
      </c>
      <c r="N339" s="41">
        <f t="shared" si="93"/>
        <v>1.4882472427015472</v>
      </c>
      <c r="O339" s="46"/>
      <c r="P339" s="328">
        <f>IF(D339=0,0,SUM($L$325:L339))</f>
        <v>28141.464745959809</v>
      </c>
      <c r="Q339" s="317">
        <f>IF(D339=0,0,SUM($J$325:J339))</f>
        <v>28879.735363422147</v>
      </c>
      <c r="R339" s="321">
        <f t="shared" si="94"/>
        <v>738.27061746233812</v>
      </c>
      <c r="S339" s="41">
        <f t="shared" si="95"/>
        <v>1.0262342640700082</v>
      </c>
      <c r="T339" s="56"/>
      <c r="U339" s="348">
        <f>IF(D339=0,0,SUM($L$20:L339))</f>
        <v>550210.30477517436</v>
      </c>
      <c r="V339" s="348">
        <f>IF(D339=0,0,SUM($J$20:J339))</f>
        <v>547360.98423056013</v>
      </c>
      <c r="W339" s="349">
        <f t="shared" si="96"/>
        <v>-2849.3205446142238</v>
      </c>
      <c r="X339" s="41">
        <f t="shared" si="97"/>
        <v>0.9948213973459139</v>
      </c>
      <c r="Y339" s="17"/>
      <c r="Z339" s="23">
        <f t="shared" si="107"/>
        <v>45611</v>
      </c>
      <c r="AA339" s="22">
        <f t="shared" si="107"/>
        <v>45611</v>
      </c>
      <c r="AB339" s="137">
        <v>45611</v>
      </c>
      <c r="AC339" s="137"/>
      <c r="AD339" s="134"/>
      <c r="AE339" s="134"/>
      <c r="AF339" s="139"/>
      <c r="AG339" s="256"/>
      <c r="AH339" s="256"/>
      <c r="AI339" s="256"/>
      <c r="AJ339" s="256"/>
      <c r="AK339" s="134"/>
      <c r="AL339" s="134"/>
      <c r="AM339" s="134"/>
      <c r="AN339" s="18"/>
      <c r="AO339" s="18"/>
      <c r="AP339" s="18"/>
      <c r="AQ339" s="18"/>
      <c r="AR339" s="17"/>
      <c r="AS339" s="21">
        <f t="shared" si="102"/>
        <v>45611</v>
      </c>
      <c r="AT339" s="17"/>
      <c r="AU339" s="17"/>
      <c r="AV339" s="17"/>
      <c r="AW339" s="17"/>
      <c r="AX339" s="17"/>
      <c r="AY339" s="17"/>
      <c r="AZ339" s="17"/>
    </row>
    <row r="340" spans="1:52" ht="20">
      <c r="A340" s="17"/>
      <c r="B340" s="40"/>
      <c r="C340" s="55">
        <f t="shared" si="98"/>
        <v>321</v>
      </c>
      <c r="D340" s="54">
        <v>1</v>
      </c>
      <c r="E340" s="53" t="str">
        <f t="shared" ref="E340:E385" si="108">TEXT(AA340,"m")</f>
        <v>11</v>
      </c>
      <c r="F340" s="52">
        <f t="shared" si="99"/>
        <v>45612</v>
      </c>
      <c r="G340" s="51" t="str">
        <f t="shared" si="100"/>
        <v>Sat</v>
      </c>
      <c r="H340" s="50"/>
      <c r="I340" s="49"/>
      <c r="J340" s="343">
        <f>205350/$B$13</f>
        <v>1861.0657966286024</v>
      </c>
      <c r="K340" s="31"/>
      <c r="L340" s="317">
        <f t="shared" si="106"/>
        <v>2345.122062163317</v>
      </c>
      <c r="M340" s="318">
        <f t="shared" ref="M340:M385" si="109">IF(D340=0,0,J340-L340)</f>
        <v>-484.05626553471461</v>
      </c>
      <c r="N340" s="41">
        <f t="shared" ref="N340:N385" si="110">IFERROR(J340/L340,"0%")</f>
        <v>0.79359016174698183</v>
      </c>
      <c r="O340" s="46"/>
      <c r="P340" s="328">
        <f>IF(D340=0,0,SUM($L$325:L340))</f>
        <v>30486.586808123127</v>
      </c>
      <c r="Q340" s="317">
        <f>IF(D340=0,0,SUM($J$325:J340))</f>
        <v>30740.801160050749</v>
      </c>
      <c r="R340" s="321">
        <f t="shared" ref="R340:R385" si="111">IF(D340=0,0,Q340-P340)</f>
        <v>254.21435192762146</v>
      </c>
      <c r="S340" s="41">
        <f t="shared" ref="S340:S385" si="112">IFERROR(Q340/P340,"0%")</f>
        <v>1.0083385638913138</v>
      </c>
      <c r="T340" s="44"/>
      <c r="U340" s="348">
        <f>IF(D340=0,0,SUM($L$20:L340))</f>
        <v>552555.42683733767</v>
      </c>
      <c r="V340" s="348">
        <f>IF(D340=0,0,SUM($J$20:J340))</f>
        <v>549222.05002718873</v>
      </c>
      <c r="W340" s="349">
        <f t="shared" ref="W340:W385" si="113">IF(D340=0,0,V340-U340)</f>
        <v>-3333.3768101489404</v>
      </c>
      <c r="X340" s="41">
        <f t="shared" ref="X340:X385" si="114">IFERROR(V340/U340,"0%")</f>
        <v>0.99396734400161768</v>
      </c>
      <c r="Y340" s="17"/>
      <c r="Z340" s="23">
        <f t="shared" si="107"/>
        <v>45612</v>
      </c>
      <c r="AA340" s="22">
        <f t="shared" si="107"/>
        <v>45612</v>
      </c>
      <c r="AB340" s="137">
        <v>45612</v>
      </c>
      <c r="AC340" s="137"/>
      <c r="AD340" s="134"/>
      <c r="AE340" s="134"/>
      <c r="AF340" s="139"/>
      <c r="AG340" s="256"/>
      <c r="AH340" s="256"/>
      <c r="AI340" s="256"/>
      <c r="AJ340" s="256"/>
      <c r="AK340" s="134"/>
      <c r="AL340" s="134"/>
      <c r="AM340" s="134"/>
      <c r="AN340" s="18"/>
      <c r="AO340" s="18"/>
      <c r="AP340" s="18"/>
      <c r="AQ340" s="18"/>
      <c r="AR340" s="17"/>
      <c r="AS340" s="21">
        <f t="shared" si="102"/>
        <v>45612</v>
      </c>
      <c r="AT340" s="17"/>
      <c r="AU340" s="17"/>
      <c r="AV340" s="17"/>
      <c r="AW340" s="17"/>
      <c r="AX340" s="17"/>
      <c r="AY340" s="17"/>
      <c r="AZ340" s="17"/>
    </row>
    <row r="341" spans="1:52" ht="20">
      <c r="A341" s="17"/>
      <c r="B341" s="40"/>
      <c r="C341" s="55">
        <f t="shared" ref="C341:C385" si="115">C340+1</f>
        <v>322</v>
      </c>
      <c r="D341" s="54">
        <v>0</v>
      </c>
      <c r="E341" s="53" t="str">
        <f t="shared" si="108"/>
        <v>11</v>
      </c>
      <c r="F341" s="52">
        <f t="shared" ref="F341:F385" si="116">F340+1</f>
        <v>45613</v>
      </c>
      <c r="G341" s="51" t="str">
        <f t="shared" ref="G341:G385" si="117">TEXT(AS341,"ddd")</f>
        <v>Sun</v>
      </c>
      <c r="H341" s="50" t="s">
        <v>46</v>
      </c>
      <c r="I341" s="49"/>
      <c r="J341" s="343"/>
      <c r="K341" s="31"/>
      <c r="L341" s="317">
        <f t="shared" si="106"/>
        <v>0</v>
      </c>
      <c r="M341" s="318">
        <f t="shared" si="109"/>
        <v>0</v>
      </c>
      <c r="N341" s="41" t="str">
        <f t="shared" si="110"/>
        <v>0%</v>
      </c>
      <c r="O341" s="46"/>
      <c r="P341" s="328">
        <f>IF(D341=0,0,SUM($L$325:L341))</f>
        <v>0</v>
      </c>
      <c r="Q341" s="317">
        <f>IF(D341=0,0,SUM($J$325:J341))</f>
        <v>0</v>
      </c>
      <c r="R341" s="321">
        <f t="shared" si="111"/>
        <v>0</v>
      </c>
      <c r="S341" s="41" t="str">
        <f t="shared" si="112"/>
        <v>0%</v>
      </c>
      <c r="T341" s="56"/>
      <c r="U341" s="348">
        <f>IF(D341=0,0,SUM($L$20:L341))</f>
        <v>0</v>
      </c>
      <c r="V341" s="348">
        <f>IF(D341=0,0,SUM($J$20:J341))</f>
        <v>0</v>
      </c>
      <c r="W341" s="349">
        <f t="shared" si="113"/>
        <v>0</v>
      </c>
      <c r="X341" s="41" t="str">
        <f t="shared" si="114"/>
        <v>0%</v>
      </c>
      <c r="Y341" s="17"/>
      <c r="Z341" s="23">
        <f t="shared" ref="Z341:AA356" si="118">Z340+1</f>
        <v>45613</v>
      </c>
      <c r="AA341" s="22">
        <f t="shared" si="118"/>
        <v>45613</v>
      </c>
      <c r="AB341" s="137">
        <v>45613</v>
      </c>
      <c r="AC341" s="137"/>
      <c r="AD341" s="134"/>
      <c r="AE341" s="134"/>
      <c r="AF341" s="139"/>
      <c r="AG341" s="256"/>
      <c r="AH341" s="256"/>
      <c r="AI341" s="256"/>
      <c r="AJ341" s="256"/>
      <c r="AK341" s="134"/>
      <c r="AL341" s="134"/>
      <c r="AM341" s="134"/>
      <c r="AN341" s="18"/>
      <c r="AO341" s="18"/>
      <c r="AP341" s="18"/>
      <c r="AQ341" s="18"/>
      <c r="AR341" s="17"/>
      <c r="AS341" s="21">
        <f t="shared" ref="AS341:AS385" si="119">AS340+1</f>
        <v>45613</v>
      </c>
      <c r="AT341" s="17"/>
      <c r="AU341" s="17"/>
      <c r="AV341" s="17"/>
      <c r="AW341" s="17"/>
      <c r="AX341" s="17"/>
      <c r="AY341" s="17"/>
      <c r="AZ341" s="17"/>
    </row>
    <row r="342" spans="1:52" ht="20">
      <c r="A342" s="17"/>
      <c r="B342" s="40"/>
      <c r="C342" s="55">
        <f t="shared" si="115"/>
        <v>323</v>
      </c>
      <c r="D342" s="54">
        <v>1</v>
      </c>
      <c r="E342" s="53" t="str">
        <f t="shared" si="108"/>
        <v>11</v>
      </c>
      <c r="F342" s="52">
        <f t="shared" si="116"/>
        <v>45614</v>
      </c>
      <c r="G342" s="51" t="str">
        <f t="shared" si="117"/>
        <v>Mon</v>
      </c>
      <c r="H342" s="50"/>
      <c r="I342" s="49"/>
      <c r="J342" s="343">
        <f>193400/$B$13</f>
        <v>1752.7641834330252</v>
      </c>
      <c r="K342" s="31"/>
      <c r="L342" s="317">
        <f t="shared" si="106"/>
        <v>2345.122062163317</v>
      </c>
      <c r="M342" s="318">
        <f t="shared" si="109"/>
        <v>-592.35787873029176</v>
      </c>
      <c r="N342" s="41">
        <f t="shared" si="110"/>
        <v>0.74740850879895937</v>
      </c>
      <c r="O342" s="46"/>
      <c r="P342" s="328">
        <f>IF(D342=0,0,SUM($L$325:L342))</f>
        <v>32831.708870286442</v>
      </c>
      <c r="Q342" s="317">
        <f>IF(D342=0,0,SUM($J$325:J342))</f>
        <v>32493.565343483773</v>
      </c>
      <c r="R342" s="321">
        <f t="shared" si="111"/>
        <v>-338.14352680266893</v>
      </c>
      <c r="S342" s="41">
        <f t="shared" si="112"/>
        <v>0.98970070281328859</v>
      </c>
      <c r="T342" s="56"/>
      <c r="U342" s="348">
        <f>IF(D342=0,0,SUM($L$20:L342))</f>
        <v>554900.54889950098</v>
      </c>
      <c r="V342" s="348">
        <f>IF(D342=0,0,SUM($J$20:J342))</f>
        <v>550974.81421062176</v>
      </c>
      <c r="W342" s="349">
        <f t="shared" si="113"/>
        <v>-3925.7346888792235</v>
      </c>
      <c r="X342" s="41">
        <f t="shared" si="114"/>
        <v>0.99292533644692749</v>
      </c>
      <c r="Y342" s="17"/>
      <c r="Z342" s="23">
        <f t="shared" si="118"/>
        <v>45614</v>
      </c>
      <c r="AA342" s="22">
        <f t="shared" si="118"/>
        <v>45614</v>
      </c>
      <c r="AB342" s="137">
        <v>45614</v>
      </c>
      <c r="AC342" s="137"/>
      <c r="AD342" s="134"/>
      <c r="AE342" s="134"/>
      <c r="AF342" s="139"/>
      <c r="AG342" s="256"/>
      <c r="AH342" s="256"/>
      <c r="AI342" s="256"/>
      <c r="AJ342" s="256"/>
      <c r="AK342" s="134"/>
      <c r="AL342" s="134"/>
      <c r="AM342" s="134"/>
      <c r="AN342" s="18"/>
      <c r="AO342" s="18"/>
      <c r="AP342" s="18"/>
      <c r="AQ342" s="18"/>
      <c r="AR342" s="17"/>
      <c r="AS342" s="21">
        <f t="shared" si="119"/>
        <v>45614</v>
      </c>
      <c r="AT342" s="17"/>
      <c r="AU342" s="17"/>
      <c r="AV342" s="17"/>
      <c r="AW342" s="17"/>
      <c r="AX342" s="17"/>
      <c r="AY342" s="17"/>
      <c r="AZ342" s="17"/>
    </row>
    <row r="343" spans="1:52" ht="20">
      <c r="A343" s="17"/>
      <c r="B343" s="40"/>
      <c r="C343" s="55">
        <f t="shared" si="115"/>
        <v>324</v>
      </c>
      <c r="D343" s="54">
        <v>1</v>
      </c>
      <c r="E343" s="53" t="str">
        <f t="shared" si="108"/>
        <v>11</v>
      </c>
      <c r="F343" s="52">
        <f t="shared" si="116"/>
        <v>45615</v>
      </c>
      <c r="G343" s="51" t="str">
        <f t="shared" si="117"/>
        <v>Tue</v>
      </c>
      <c r="H343" s="50"/>
      <c r="I343" s="49"/>
      <c r="J343" s="343">
        <f>211410/$B$13</f>
        <v>1915.9869494290374</v>
      </c>
      <c r="K343" s="31"/>
      <c r="L343" s="317">
        <f t="shared" si="106"/>
        <v>2345.122062163317</v>
      </c>
      <c r="M343" s="318">
        <f t="shared" si="109"/>
        <v>-429.13511273427957</v>
      </c>
      <c r="N343" s="41">
        <f t="shared" si="110"/>
        <v>0.81700947696581172</v>
      </c>
      <c r="O343" s="46"/>
      <c r="P343" s="328">
        <f>IF(D343=0,0,SUM($L$325:L343))</f>
        <v>35176.83093244976</v>
      </c>
      <c r="Q343" s="317">
        <f>IF(D343=0,0,SUM($J$325:J343))</f>
        <v>34409.552292912813</v>
      </c>
      <c r="R343" s="321">
        <f t="shared" si="111"/>
        <v>-767.27863953694759</v>
      </c>
      <c r="S343" s="41">
        <f t="shared" si="112"/>
        <v>0.97818795442345685</v>
      </c>
      <c r="T343" s="56"/>
      <c r="U343" s="348">
        <f>IF(D343=0,0,SUM($L$20:L343))</f>
        <v>557245.67096166429</v>
      </c>
      <c r="V343" s="348">
        <f>IF(D343=0,0,SUM($J$20:J343))</f>
        <v>552890.80116005079</v>
      </c>
      <c r="W343" s="349">
        <f t="shared" si="113"/>
        <v>-4354.8698016135022</v>
      </c>
      <c r="X343" s="41">
        <f t="shared" si="114"/>
        <v>0.99218500918257813</v>
      </c>
      <c r="Y343" s="17"/>
      <c r="Z343" s="23">
        <f t="shared" si="118"/>
        <v>45615</v>
      </c>
      <c r="AA343" s="22">
        <f t="shared" si="118"/>
        <v>45615</v>
      </c>
      <c r="AB343" s="137">
        <v>45615</v>
      </c>
      <c r="AC343" s="137"/>
      <c r="AD343" s="134"/>
      <c r="AE343" s="134"/>
      <c r="AF343" s="139"/>
      <c r="AG343" s="256"/>
      <c r="AH343" s="256"/>
      <c r="AI343" s="256"/>
      <c r="AJ343" s="256"/>
      <c r="AK343" s="134"/>
      <c r="AL343" s="134"/>
      <c r="AM343" s="134"/>
      <c r="AN343" s="18"/>
      <c r="AO343" s="18"/>
      <c r="AP343" s="18"/>
      <c r="AQ343" s="18"/>
      <c r="AR343" s="17"/>
      <c r="AS343" s="21">
        <f t="shared" si="119"/>
        <v>45615</v>
      </c>
      <c r="AT343" s="17"/>
      <c r="AU343" s="17"/>
      <c r="AV343" s="17"/>
      <c r="AW343" s="17"/>
      <c r="AX343" s="17"/>
      <c r="AY343" s="17"/>
      <c r="AZ343" s="17"/>
    </row>
    <row r="344" spans="1:52" ht="20">
      <c r="A344" s="17"/>
      <c r="B344" s="40"/>
      <c r="C344" s="55">
        <f t="shared" si="115"/>
        <v>325</v>
      </c>
      <c r="D344" s="54">
        <v>1</v>
      </c>
      <c r="E344" s="53" t="str">
        <f t="shared" si="108"/>
        <v>11</v>
      </c>
      <c r="F344" s="52">
        <f t="shared" si="116"/>
        <v>45616</v>
      </c>
      <c r="G344" s="51" t="str">
        <f t="shared" si="117"/>
        <v>Wed</v>
      </c>
      <c r="H344" s="50"/>
      <c r="I344" s="49"/>
      <c r="J344" s="343">
        <f>240450/$B$13</f>
        <v>2179.1734638390431</v>
      </c>
      <c r="K344" s="31"/>
      <c r="L344" s="317">
        <f t="shared" si="106"/>
        <v>2345.122062163317</v>
      </c>
      <c r="M344" s="318">
        <f t="shared" si="109"/>
        <v>-165.94859832427392</v>
      </c>
      <c r="N344" s="41">
        <f t="shared" si="110"/>
        <v>0.92923669048970936</v>
      </c>
      <c r="O344" s="46"/>
      <c r="P344" s="328">
        <f>IF(D344=0,0,SUM($L$325:L344))</f>
        <v>37521.952994613079</v>
      </c>
      <c r="Q344" s="317">
        <f>IF(D344=0,0,SUM($J$325:J344))</f>
        <v>36588.725756751854</v>
      </c>
      <c r="R344" s="321">
        <f t="shared" si="111"/>
        <v>-933.22723786122515</v>
      </c>
      <c r="S344" s="41">
        <f t="shared" si="112"/>
        <v>0.97512850042759747</v>
      </c>
      <c r="T344" s="56"/>
      <c r="U344" s="348">
        <f>IF(D344=0,0,SUM($L$20:L344))</f>
        <v>559590.7930238276</v>
      </c>
      <c r="V344" s="348">
        <f>IF(D344=0,0,SUM($J$20:J344))</f>
        <v>555069.97462388978</v>
      </c>
      <c r="W344" s="349">
        <f t="shared" si="113"/>
        <v>-4520.8183999378234</v>
      </c>
      <c r="X344" s="41">
        <f t="shared" si="114"/>
        <v>0.99192120660972827</v>
      </c>
      <c r="Y344" s="17"/>
      <c r="Z344" s="23">
        <f t="shared" si="118"/>
        <v>45616</v>
      </c>
      <c r="AA344" s="22">
        <f t="shared" si="118"/>
        <v>45616</v>
      </c>
      <c r="AB344" s="137">
        <v>45616</v>
      </c>
      <c r="AC344" s="137"/>
      <c r="AD344" s="134"/>
      <c r="AE344" s="134"/>
      <c r="AF344" s="139"/>
      <c r="AG344" s="256"/>
      <c r="AH344" s="256"/>
      <c r="AI344" s="256"/>
      <c r="AJ344" s="256"/>
      <c r="AK344" s="134"/>
      <c r="AL344" s="134"/>
      <c r="AM344" s="134"/>
      <c r="AN344" s="18"/>
      <c r="AO344" s="18"/>
      <c r="AP344" s="18"/>
      <c r="AQ344" s="18"/>
      <c r="AR344" s="17"/>
      <c r="AS344" s="21">
        <f t="shared" si="119"/>
        <v>45616</v>
      </c>
      <c r="AT344" s="17"/>
      <c r="AU344" s="17"/>
      <c r="AV344" s="17"/>
      <c r="AW344" s="17"/>
      <c r="AX344" s="17"/>
      <c r="AY344" s="17"/>
      <c r="AZ344" s="17"/>
    </row>
    <row r="345" spans="1:52" ht="20">
      <c r="A345" s="17"/>
      <c r="B345" s="40"/>
      <c r="C345" s="55">
        <f t="shared" si="115"/>
        <v>326</v>
      </c>
      <c r="D345" s="54">
        <v>1</v>
      </c>
      <c r="E345" s="53" t="str">
        <f t="shared" si="108"/>
        <v>11</v>
      </c>
      <c r="F345" s="52">
        <f t="shared" si="116"/>
        <v>45617</v>
      </c>
      <c r="G345" s="51" t="str">
        <f t="shared" si="117"/>
        <v>Thu</v>
      </c>
      <c r="H345" s="50"/>
      <c r="I345" s="49"/>
      <c r="J345" s="343">
        <f>354680/$B$13</f>
        <v>3214.4281312307412</v>
      </c>
      <c r="K345" s="31"/>
      <c r="L345" s="317">
        <f t="shared" si="106"/>
        <v>2345.122062163317</v>
      </c>
      <c r="M345" s="318">
        <f t="shared" si="109"/>
        <v>869.30606906742423</v>
      </c>
      <c r="N345" s="41">
        <f t="shared" si="110"/>
        <v>1.3706869177911836</v>
      </c>
      <c r="O345" s="46"/>
      <c r="P345" s="328">
        <f>IF(D345=0,0,SUM($L$325:L345))</f>
        <v>39867.075056776397</v>
      </c>
      <c r="Q345" s="317">
        <f>IF(D345=0,0,SUM($J$325:J345))</f>
        <v>39803.153887982597</v>
      </c>
      <c r="R345" s="321">
        <f t="shared" si="111"/>
        <v>-63.921168793800462</v>
      </c>
      <c r="S345" s="41">
        <f t="shared" si="112"/>
        <v>0.99839664262545558</v>
      </c>
      <c r="T345" s="56"/>
      <c r="U345" s="348">
        <f>IF(D345=0,0,SUM($L$20:L345))</f>
        <v>561935.91508599091</v>
      </c>
      <c r="V345" s="348">
        <f>IF(D345=0,0,SUM($J$20:J345))</f>
        <v>558284.40275512054</v>
      </c>
      <c r="W345" s="349">
        <f t="shared" si="113"/>
        <v>-3651.5123308703769</v>
      </c>
      <c r="X345" s="41">
        <f t="shared" si="114"/>
        <v>0.99350190611982581</v>
      </c>
      <c r="Y345" s="17"/>
      <c r="Z345" s="23">
        <f t="shared" si="118"/>
        <v>45617</v>
      </c>
      <c r="AA345" s="22">
        <f t="shared" si="118"/>
        <v>45617</v>
      </c>
      <c r="AB345" s="137">
        <v>45617</v>
      </c>
      <c r="AC345" s="137"/>
      <c r="AD345" s="134"/>
      <c r="AE345" s="134"/>
      <c r="AF345" s="139"/>
      <c r="AG345" s="256"/>
      <c r="AH345" s="256"/>
      <c r="AI345" s="256"/>
      <c r="AJ345" s="256"/>
      <c r="AK345" s="134"/>
      <c r="AL345" s="134"/>
      <c r="AM345" s="134"/>
      <c r="AN345" s="18"/>
      <c r="AO345" s="18"/>
      <c r="AP345" s="18"/>
      <c r="AQ345" s="18"/>
      <c r="AR345" s="17"/>
      <c r="AS345" s="21">
        <f t="shared" si="119"/>
        <v>45617</v>
      </c>
      <c r="AT345" s="17"/>
      <c r="AU345" s="17"/>
      <c r="AV345" s="17"/>
      <c r="AW345" s="17"/>
      <c r="AX345" s="17"/>
      <c r="AY345" s="17"/>
      <c r="AZ345" s="17"/>
    </row>
    <row r="346" spans="1:52" ht="20">
      <c r="A346" s="17"/>
      <c r="B346" s="40"/>
      <c r="C346" s="55">
        <f t="shared" si="115"/>
        <v>327</v>
      </c>
      <c r="D346" s="54">
        <v>1</v>
      </c>
      <c r="E346" s="53" t="str">
        <f t="shared" si="108"/>
        <v>11</v>
      </c>
      <c r="F346" s="52">
        <f t="shared" si="116"/>
        <v>45618</v>
      </c>
      <c r="G346" s="51" t="str">
        <f t="shared" si="117"/>
        <v>Fri</v>
      </c>
      <c r="H346" s="50"/>
      <c r="I346" s="49"/>
      <c r="J346" s="343">
        <f>197200/$B$13</f>
        <v>1787.2031901395685</v>
      </c>
      <c r="K346" s="31"/>
      <c r="L346" s="317">
        <f t="shared" si="106"/>
        <v>2345.122062163317</v>
      </c>
      <c r="M346" s="318">
        <f t="shared" si="109"/>
        <v>-557.91887202374846</v>
      </c>
      <c r="N346" s="41">
        <f t="shared" si="110"/>
        <v>0.76209388797908362</v>
      </c>
      <c r="O346" s="46"/>
      <c r="P346" s="328">
        <f>IF(D346=0,0,SUM($L$325:L346))</f>
        <v>42212.197118939715</v>
      </c>
      <c r="Q346" s="317">
        <f>IF(D346=0,0,SUM($J$325:J346))</f>
        <v>41590.357078122164</v>
      </c>
      <c r="R346" s="321">
        <f t="shared" si="111"/>
        <v>-621.8400408175512</v>
      </c>
      <c r="S346" s="41">
        <f t="shared" si="112"/>
        <v>0.98526871181176812</v>
      </c>
      <c r="T346" s="56"/>
      <c r="U346" s="348">
        <f>IF(D346=0,0,SUM($L$20:L346))</f>
        <v>564281.03714815422</v>
      </c>
      <c r="V346" s="348">
        <f>IF(D346=0,0,SUM($J$20:J346))</f>
        <v>560071.60594526015</v>
      </c>
      <c r="W346" s="349">
        <f t="shared" si="113"/>
        <v>-4209.4312028940767</v>
      </c>
      <c r="X346" s="41">
        <f t="shared" si="114"/>
        <v>0.99254018666980492</v>
      </c>
      <c r="Y346" s="17"/>
      <c r="Z346" s="23">
        <f t="shared" si="118"/>
        <v>45618</v>
      </c>
      <c r="AA346" s="22">
        <f t="shared" si="118"/>
        <v>45618</v>
      </c>
      <c r="AB346" s="137">
        <v>45618</v>
      </c>
      <c r="AC346" s="137"/>
      <c r="AD346" s="134"/>
      <c r="AE346" s="134"/>
      <c r="AF346" s="139"/>
      <c r="AG346" s="256"/>
      <c r="AH346" s="256"/>
      <c r="AI346" s="256"/>
      <c r="AJ346" s="256"/>
      <c r="AK346" s="134"/>
      <c r="AL346" s="134"/>
      <c r="AM346" s="134"/>
      <c r="AN346" s="18"/>
      <c r="AO346" s="18"/>
      <c r="AP346" s="18"/>
      <c r="AQ346" s="18"/>
      <c r="AR346" s="17"/>
      <c r="AS346" s="21">
        <f t="shared" si="119"/>
        <v>45618</v>
      </c>
      <c r="AT346" s="17"/>
      <c r="AU346" s="17"/>
      <c r="AV346" s="17"/>
      <c r="AW346" s="17"/>
      <c r="AX346" s="17"/>
      <c r="AY346" s="17"/>
      <c r="AZ346" s="17"/>
    </row>
    <row r="347" spans="1:52" ht="20">
      <c r="A347" s="17"/>
      <c r="B347" s="40"/>
      <c r="C347" s="55">
        <f t="shared" si="115"/>
        <v>328</v>
      </c>
      <c r="D347" s="54">
        <v>0</v>
      </c>
      <c r="E347" s="53" t="str">
        <f t="shared" si="108"/>
        <v>11</v>
      </c>
      <c r="F347" s="52">
        <f t="shared" si="116"/>
        <v>45619</v>
      </c>
      <c r="G347" s="51" t="str">
        <f t="shared" si="117"/>
        <v>Sat</v>
      </c>
      <c r="H347" s="50" t="s">
        <v>47</v>
      </c>
      <c r="I347" s="49"/>
      <c r="J347" s="343"/>
      <c r="K347" s="31"/>
      <c r="L347" s="317">
        <f t="shared" si="106"/>
        <v>0</v>
      </c>
      <c r="M347" s="318">
        <f t="shared" si="109"/>
        <v>0</v>
      </c>
      <c r="N347" s="41" t="str">
        <f t="shared" si="110"/>
        <v>0%</v>
      </c>
      <c r="O347" s="46"/>
      <c r="P347" s="328">
        <f>IF(D347=0,0,SUM($L$325:L347))</f>
        <v>0</v>
      </c>
      <c r="Q347" s="317">
        <f>IF(D347=0,0,SUM($J$325:J347))</f>
        <v>0</v>
      </c>
      <c r="R347" s="321">
        <f t="shared" si="111"/>
        <v>0</v>
      </c>
      <c r="S347" s="41" t="str">
        <f t="shared" si="112"/>
        <v>0%</v>
      </c>
      <c r="T347" s="44"/>
      <c r="U347" s="348">
        <f>IF(D347=0,0,SUM($L$20:L347))</f>
        <v>0</v>
      </c>
      <c r="V347" s="348">
        <f>IF(D347=0,0,SUM($J$20:J347))</f>
        <v>0</v>
      </c>
      <c r="W347" s="349">
        <f t="shared" si="113"/>
        <v>0</v>
      </c>
      <c r="X347" s="41" t="str">
        <f t="shared" si="114"/>
        <v>0%</v>
      </c>
      <c r="Y347" s="17"/>
      <c r="Z347" s="23">
        <f t="shared" si="118"/>
        <v>45619</v>
      </c>
      <c r="AA347" s="22">
        <f t="shared" si="118"/>
        <v>45619</v>
      </c>
      <c r="AB347" s="137">
        <v>45619</v>
      </c>
      <c r="AC347" s="137"/>
      <c r="AD347" s="134"/>
      <c r="AE347" s="134"/>
      <c r="AF347" s="139"/>
      <c r="AG347" s="256"/>
      <c r="AH347" s="256"/>
      <c r="AI347" s="256"/>
      <c r="AJ347" s="256"/>
      <c r="AK347" s="134"/>
      <c r="AL347" s="134"/>
      <c r="AM347" s="134"/>
      <c r="AN347" s="18"/>
      <c r="AO347" s="18"/>
      <c r="AP347" s="18"/>
      <c r="AQ347" s="18"/>
      <c r="AR347" s="17"/>
      <c r="AS347" s="21">
        <f t="shared" si="119"/>
        <v>45619</v>
      </c>
      <c r="AT347" s="17"/>
      <c r="AU347" s="17"/>
      <c r="AV347" s="17"/>
      <c r="AW347" s="17"/>
      <c r="AX347" s="17"/>
      <c r="AY347" s="17"/>
      <c r="AZ347" s="17"/>
    </row>
    <row r="348" spans="1:52" ht="20">
      <c r="A348" s="17"/>
      <c r="B348" s="40"/>
      <c r="C348" s="55">
        <f t="shared" si="115"/>
        <v>329</v>
      </c>
      <c r="D348" s="54">
        <v>0</v>
      </c>
      <c r="E348" s="53" t="str">
        <f t="shared" si="108"/>
        <v>11</v>
      </c>
      <c r="F348" s="52">
        <f t="shared" si="116"/>
        <v>45620</v>
      </c>
      <c r="G348" s="51" t="str">
        <f t="shared" si="117"/>
        <v>Sun</v>
      </c>
      <c r="H348" s="50" t="s">
        <v>46</v>
      </c>
      <c r="I348" s="49"/>
      <c r="J348" s="343"/>
      <c r="K348" s="31"/>
      <c r="L348" s="317">
        <f t="shared" si="106"/>
        <v>0</v>
      </c>
      <c r="M348" s="318">
        <f t="shared" si="109"/>
        <v>0</v>
      </c>
      <c r="N348" s="41" t="str">
        <f t="shared" si="110"/>
        <v>0%</v>
      </c>
      <c r="O348" s="46"/>
      <c r="P348" s="328">
        <f>IF(D348=0,0,SUM($L$325:L348))</f>
        <v>0</v>
      </c>
      <c r="Q348" s="317">
        <f>IF(D348=0,0,SUM($J$325:J348))</f>
        <v>0</v>
      </c>
      <c r="R348" s="321">
        <f t="shared" si="111"/>
        <v>0</v>
      </c>
      <c r="S348" s="41" t="str">
        <f t="shared" si="112"/>
        <v>0%</v>
      </c>
      <c r="T348" s="44"/>
      <c r="U348" s="348">
        <f>IF(D348=0,0,SUM($L$20:L348))</f>
        <v>0</v>
      </c>
      <c r="V348" s="348">
        <f>IF(D348=0,0,SUM($J$20:J348))</f>
        <v>0</v>
      </c>
      <c r="W348" s="349">
        <f t="shared" si="113"/>
        <v>0</v>
      </c>
      <c r="X348" s="41" t="str">
        <f t="shared" si="114"/>
        <v>0%</v>
      </c>
      <c r="Y348" s="17"/>
      <c r="Z348" s="23">
        <f t="shared" si="118"/>
        <v>45620</v>
      </c>
      <c r="AA348" s="22">
        <f t="shared" si="118"/>
        <v>45620</v>
      </c>
      <c r="AB348" s="137">
        <v>45620</v>
      </c>
      <c r="AC348" s="137"/>
      <c r="AD348" s="134"/>
      <c r="AE348" s="134"/>
      <c r="AF348" s="139"/>
      <c r="AG348" s="256"/>
      <c r="AH348" s="256"/>
      <c r="AI348" s="256"/>
      <c r="AJ348" s="256"/>
      <c r="AK348" s="134"/>
      <c r="AL348" s="134"/>
      <c r="AM348" s="134"/>
      <c r="AN348" s="18"/>
      <c r="AO348" s="18"/>
      <c r="AP348" s="18"/>
      <c r="AQ348" s="18"/>
      <c r="AR348" s="17"/>
      <c r="AS348" s="21">
        <f t="shared" si="119"/>
        <v>45620</v>
      </c>
      <c r="AT348" s="17"/>
      <c r="AU348" s="17"/>
      <c r="AV348" s="17"/>
      <c r="AW348" s="17"/>
      <c r="AX348" s="17"/>
      <c r="AY348" s="17"/>
      <c r="AZ348" s="17"/>
    </row>
    <row r="349" spans="1:52" ht="20">
      <c r="A349" s="17"/>
      <c r="B349" s="40"/>
      <c r="C349" s="55">
        <f t="shared" si="115"/>
        <v>330</v>
      </c>
      <c r="D349" s="54">
        <v>1</v>
      </c>
      <c r="E349" s="53" t="str">
        <f t="shared" si="108"/>
        <v>11</v>
      </c>
      <c r="F349" s="52">
        <f t="shared" si="116"/>
        <v>45621</v>
      </c>
      <c r="G349" s="51" t="str">
        <f t="shared" si="117"/>
        <v>Mon</v>
      </c>
      <c r="H349" s="50"/>
      <c r="I349" s="49"/>
      <c r="J349" s="343">
        <f>164400/$B$13</f>
        <v>1489.9401848830885</v>
      </c>
      <c r="K349" s="31"/>
      <c r="L349" s="317">
        <f t="shared" si="106"/>
        <v>2345.122062163317</v>
      </c>
      <c r="M349" s="318">
        <f t="shared" si="109"/>
        <v>-855.18187728022849</v>
      </c>
      <c r="N349" s="41">
        <f t="shared" si="110"/>
        <v>0.63533587821379989</v>
      </c>
      <c r="O349" s="46"/>
      <c r="P349" s="328">
        <f>IF(D349=0,0,SUM($L$325:L349))</f>
        <v>44557.319181103034</v>
      </c>
      <c r="Q349" s="317">
        <f>IF(D349=0,0,SUM($J$325:J349))</f>
        <v>43080.297263005254</v>
      </c>
      <c r="R349" s="321">
        <f t="shared" si="111"/>
        <v>-1477.0219180977801</v>
      </c>
      <c r="S349" s="41">
        <f t="shared" si="112"/>
        <v>0.96685119425398036</v>
      </c>
      <c r="T349" s="56"/>
      <c r="U349" s="348">
        <f>IF(D349=0,0,SUM($L$20:L349))</f>
        <v>566626.15921031754</v>
      </c>
      <c r="V349" s="348">
        <f>IF(D349=0,0,SUM($J$20:J349))</f>
        <v>561561.54613014322</v>
      </c>
      <c r="W349" s="349">
        <f t="shared" si="113"/>
        <v>-5064.6130801743129</v>
      </c>
      <c r="X349" s="41">
        <f t="shared" si="114"/>
        <v>0.99106180857016446</v>
      </c>
      <c r="Y349" s="17"/>
      <c r="Z349" s="23">
        <f t="shared" si="118"/>
        <v>45621</v>
      </c>
      <c r="AA349" s="22">
        <f t="shared" si="118"/>
        <v>45621</v>
      </c>
      <c r="AB349" s="137">
        <v>45621</v>
      </c>
      <c r="AC349" s="137"/>
      <c r="AD349" s="134"/>
      <c r="AE349" s="134"/>
      <c r="AF349" s="139"/>
      <c r="AG349" s="256"/>
      <c r="AH349" s="256"/>
      <c r="AI349" s="256"/>
      <c r="AJ349" s="256"/>
      <c r="AK349" s="134"/>
      <c r="AL349" s="134"/>
      <c r="AM349" s="134"/>
      <c r="AN349" s="18"/>
      <c r="AO349" s="18"/>
      <c r="AP349" s="18"/>
      <c r="AQ349" s="18"/>
      <c r="AR349" s="17"/>
      <c r="AS349" s="21">
        <f t="shared" si="119"/>
        <v>45621</v>
      </c>
      <c r="AT349" s="17"/>
      <c r="AU349" s="17"/>
      <c r="AV349" s="17"/>
      <c r="AW349" s="17"/>
      <c r="AX349" s="17"/>
      <c r="AY349" s="17"/>
      <c r="AZ349" s="17"/>
    </row>
    <row r="350" spans="1:52" ht="20">
      <c r="A350" s="17"/>
      <c r="B350" s="40"/>
      <c r="C350" s="55">
        <f t="shared" si="115"/>
        <v>331</v>
      </c>
      <c r="D350" s="54">
        <v>1</v>
      </c>
      <c r="E350" s="53" t="str">
        <f t="shared" si="108"/>
        <v>11</v>
      </c>
      <c r="F350" s="52">
        <f t="shared" si="116"/>
        <v>45622</v>
      </c>
      <c r="G350" s="51" t="str">
        <f t="shared" si="117"/>
        <v>Tue</v>
      </c>
      <c r="H350" s="50"/>
      <c r="I350" s="49"/>
      <c r="J350" s="343">
        <f>243350/$B$13</f>
        <v>2205.4558636940365</v>
      </c>
      <c r="K350" s="31"/>
      <c r="L350" s="317">
        <f t="shared" si="106"/>
        <v>2345.122062163317</v>
      </c>
      <c r="M350" s="318">
        <f t="shared" si="109"/>
        <v>-139.66619846928052</v>
      </c>
      <c r="N350" s="41">
        <f t="shared" si="110"/>
        <v>0.94044395354822519</v>
      </c>
      <c r="O350" s="46"/>
      <c r="P350" s="328">
        <f>IF(D350=0,0,SUM($L$325:L350))</f>
        <v>46902.441243266352</v>
      </c>
      <c r="Q350" s="317">
        <f>IF(D350=0,0,SUM($J$325:J350))</f>
        <v>45285.753126699288</v>
      </c>
      <c r="R350" s="321">
        <f t="shared" si="111"/>
        <v>-1616.6881165670638</v>
      </c>
      <c r="S350" s="41">
        <f t="shared" si="112"/>
        <v>0.96553083221869251</v>
      </c>
      <c r="T350" s="56"/>
      <c r="U350" s="348">
        <f>IF(D350=0,0,SUM($L$20:L350))</f>
        <v>568971.28127248085</v>
      </c>
      <c r="V350" s="348">
        <f>IF(D350=0,0,SUM($J$20:J350))</f>
        <v>563767.0019938373</v>
      </c>
      <c r="W350" s="349">
        <f t="shared" si="113"/>
        <v>-5204.2792786435457</v>
      </c>
      <c r="X350" s="41">
        <f t="shared" si="114"/>
        <v>0.99085317756811142</v>
      </c>
      <c r="Y350" s="17"/>
      <c r="Z350" s="23">
        <f t="shared" si="118"/>
        <v>45622</v>
      </c>
      <c r="AA350" s="22">
        <f t="shared" si="118"/>
        <v>45622</v>
      </c>
      <c r="AB350" s="137">
        <v>45622</v>
      </c>
      <c r="AC350" s="137"/>
      <c r="AD350" s="134"/>
      <c r="AE350" s="134"/>
      <c r="AF350" s="139"/>
      <c r="AG350" s="256"/>
      <c r="AH350" s="256"/>
      <c r="AI350" s="256"/>
      <c r="AJ350" s="256"/>
      <c r="AK350" s="134"/>
      <c r="AL350" s="134"/>
      <c r="AM350" s="134"/>
      <c r="AN350" s="18"/>
      <c r="AO350" s="18"/>
      <c r="AP350" s="18"/>
      <c r="AQ350" s="18"/>
      <c r="AR350" s="17"/>
      <c r="AS350" s="21">
        <f t="shared" si="119"/>
        <v>45622</v>
      </c>
      <c r="AT350" s="17"/>
      <c r="AU350" s="17"/>
      <c r="AV350" s="17"/>
      <c r="AW350" s="17"/>
      <c r="AX350" s="17"/>
      <c r="AY350" s="17"/>
      <c r="AZ350" s="17"/>
    </row>
    <row r="351" spans="1:52" ht="20">
      <c r="A351" s="17"/>
      <c r="B351" s="40"/>
      <c r="C351" s="55">
        <f t="shared" si="115"/>
        <v>332</v>
      </c>
      <c r="D351" s="54">
        <v>1</v>
      </c>
      <c r="E351" s="53" t="str">
        <f t="shared" si="108"/>
        <v>11</v>
      </c>
      <c r="F351" s="52">
        <f t="shared" si="116"/>
        <v>45623</v>
      </c>
      <c r="G351" s="51" t="str">
        <f t="shared" si="117"/>
        <v>Wed</v>
      </c>
      <c r="H351" s="50"/>
      <c r="I351" s="49"/>
      <c r="J351" s="343">
        <f>342250/$B$13</f>
        <v>3101.7763277143372</v>
      </c>
      <c r="K351" s="31"/>
      <c r="L351" s="317">
        <f t="shared" si="106"/>
        <v>2345.122062163317</v>
      </c>
      <c r="M351" s="318">
        <f t="shared" si="109"/>
        <v>756.65426555102022</v>
      </c>
      <c r="N351" s="41">
        <f t="shared" si="110"/>
        <v>1.3226502695783031</v>
      </c>
      <c r="O351" s="46"/>
      <c r="P351" s="328">
        <f>IF(D351=0,0,SUM($L$325:L351))</f>
        <v>49247.56330542967</v>
      </c>
      <c r="Q351" s="317">
        <f>IF(D351=0,0,SUM($J$325:J351))</f>
        <v>48387.529454413627</v>
      </c>
      <c r="R351" s="321">
        <f t="shared" si="111"/>
        <v>-860.03385101604363</v>
      </c>
      <c r="S351" s="41">
        <f t="shared" si="112"/>
        <v>0.98253651971200728</v>
      </c>
      <c r="T351" s="56"/>
      <c r="U351" s="348">
        <f>IF(D351=0,0,SUM($L$20:L351))</f>
        <v>571316.40333464416</v>
      </c>
      <c r="V351" s="348">
        <f>IF(D351=0,0,SUM($J$20:J351))</f>
        <v>566868.77832155162</v>
      </c>
      <c r="W351" s="349">
        <f t="shared" si="113"/>
        <v>-4447.6250130925328</v>
      </c>
      <c r="X351" s="41">
        <f t="shared" si="114"/>
        <v>0.99221512810216417</v>
      </c>
      <c r="Y351" s="17"/>
      <c r="Z351" s="23">
        <f t="shared" si="118"/>
        <v>45623</v>
      </c>
      <c r="AA351" s="22">
        <f t="shared" si="118"/>
        <v>45623</v>
      </c>
      <c r="AB351" s="137">
        <v>45623</v>
      </c>
      <c r="AC351" s="137"/>
      <c r="AD351" s="134"/>
      <c r="AE351" s="134"/>
      <c r="AF351" s="139"/>
      <c r="AG351" s="256"/>
      <c r="AH351" s="256"/>
      <c r="AI351" s="256"/>
      <c r="AJ351" s="256"/>
      <c r="AK351" s="134"/>
      <c r="AL351" s="134"/>
      <c r="AM351" s="134"/>
      <c r="AN351" s="18"/>
      <c r="AO351" s="18"/>
      <c r="AP351" s="18"/>
      <c r="AQ351" s="18"/>
      <c r="AR351" s="17"/>
      <c r="AS351" s="21">
        <f t="shared" si="119"/>
        <v>45623</v>
      </c>
      <c r="AT351" s="17"/>
      <c r="AU351" s="17"/>
      <c r="AV351" s="17"/>
      <c r="AW351" s="17"/>
      <c r="AX351" s="17"/>
      <c r="AY351" s="17"/>
      <c r="AZ351" s="17"/>
    </row>
    <row r="352" spans="1:52" ht="20">
      <c r="A352" s="17"/>
      <c r="B352" s="40"/>
      <c r="C352" s="55">
        <f t="shared" si="115"/>
        <v>333</v>
      </c>
      <c r="D352" s="54">
        <v>1</v>
      </c>
      <c r="E352" s="53" t="str">
        <f t="shared" si="108"/>
        <v>11</v>
      </c>
      <c r="F352" s="52">
        <f t="shared" si="116"/>
        <v>45624</v>
      </c>
      <c r="G352" s="51" t="str">
        <f t="shared" si="117"/>
        <v>Thu</v>
      </c>
      <c r="H352" s="50"/>
      <c r="I352" s="49"/>
      <c r="J352" s="343">
        <f>218350/$B$13</f>
        <v>1978.8834511509879</v>
      </c>
      <c r="K352" s="31"/>
      <c r="L352" s="317">
        <f t="shared" si="106"/>
        <v>2345.122062163317</v>
      </c>
      <c r="M352" s="318">
        <f t="shared" si="109"/>
        <v>-366.2386110123291</v>
      </c>
      <c r="N352" s="41">
        <f t="shared" si="110"/>
        <v>0.84382961683688096</v>
      </c>
      <c r="O352" s="46"/>
      <c r="P352" s="328">
        <f>IF(D352=0,0,SUM($L$325:L352))</f>
        <v>51592.685367592989</v>
      </c>
      <c r="Q352" s="317">
        <f>IF(D352=0,0,SUM($J$325:J352))</f>
        <v>50366.412905564612</v>
      </c>
      <c r="R352" s="321">
        <f t="shared" si="111"/>
        <v>-1226.272462028377</v>
      </c>
      <c r="S352" s="41">
        <f t="shared" si="112"/>
        <v>0.97623166049041055</v>
      </c>
      <c r="T352" s="56"/>
      <c r="U352" s="348">
        <f>IF(D352=0,0,SUM($L$20:L352))</f>
        <v>573661.52539680747</v>
      </c>
      <c r="V352" s="348">
        <f>IF(D352=0,0,SUM($J$20:J352))</f>
        <v>568847.66177270259</v>
      </c>
      <c r="W352" s="349">
        <f t="shared" si="113"/>
        <v>-4813.8636241048807</v>
      </c>
      <c r="X352" s="41">
        <f t="shared" si="114"/>
        <v>0.99160852974970726</v>
      </c>
      <c r="Y352" s="17"/>
      <c r="Z352" s="23">
        <f t="shared" si="118"/>
        <v>45624</v>
      </c>
      <c r="AA352" s="22">
        <f t="shared" si="118"/>
        <v>45624</v>
      </c>
      <c r="AB352" s="137">
        <v>45624</v>
      </c>
      <c r="AC352" s="137"/>
      <c r="AD352" s="134"/>
      <c r="AE352" s="134"/>
      <c r="AF352" s="139"/>
      <c r="AG352" s="256"/>
      <c r="AH352" s="256"/>
      <c r="AI352" s="256"/>
      <c r="AJ352" s="256"/>
      <c r="AK352" s="134"/>
      <c r="AL352" s="134"/>
      <c r="AM352" s="134"/>
      <c r="AN352" s="18"/>
      <c r="AO352" s="18"/>
      <c r="AP352" s="18"/>
      <c r="AQ352" s="18"/>
      <c r="AR352" s="17"/>
      <c r="AS352" s="21">
        <f t="shared" si="119"/>
        <v>45624</v>
      </c>
      <c r="AT352" s="17"/>
      <c r="AU352" s="17"/>
      <c r="AV352" s="17"/>
      <c r="AW352" s="17"/>
      <c r="AX352" s="17"/>
      <c r="AY352" s="17"/>
      <c r="AZ352" s="17"/>
    </row>
    <row r="353" spans="1:52" ht="20">
      <c r="A353" s="17"/>
      <c r="B353" s="40"/>
      <c r="C353" s="55">
        <f t="shared" si="115"/>
        <v>334</v>
      </c>
      <c r="D353" s="54">
        <v>1</v>
      </c>
      <c r="E353" s="53" t="str">
        <f t="shared" si="108"/>
        <v>11</v>
      </c>
      <c r="F353" s="52">
        <f t="shared" si="116"/>
        <v>45625</v>
      </c>
      <c r="G353" s="51" t="str">
        <f t="shared" si="117"/>
        <v>Fri</v>
      </c>
      <c r="H353" s="50"/>
      <c r="I353" s="49"/>
      <c r="J353" s="343">
        <f>400430/$B$13</f>
        <v>3629.0556461845204</v>
      </c>
      <c r="K353" s="31"/>
      <c r="L353" s="317">
        <f t="shared" si="106"/>
        <v>2345.122062163317</v>
      </c>
      <c r="M353" s="318">
        <f t="shared" si="109"/>
        <v>1283.9335840212034</v>
      </c>
      <c r="N353" s="41">
        <f t="shared" si="110"/>
        <v>1.5474911539729435</v>
      </c>
      <c r="O353" s="46"/>
      <c r="P353" s="328">
        <f>IF(D353=0,0,SUM($L$325:L353))</f>
        <v>53937.807429756307</v>
      </c>
      <c r="Q353" s="317">
        <f>IF(D353=0,0,SUM($J$325:J353))</f>
        <v>53995.468551749131</v>
      </c>
      <c r="R353" s="321">
        <f t="shared" si="111"/>
        <v>57.66112199282361</v>
      </c>
      <c r="S353" s="41">
        <f t="shared" si="112"/>
        <v>1.0010690297722598</v>
      </c>
      <c r="T353" s="56"/>
      <c r="U353" s="348">
        <f>IF(D353=0,0,SUM($L$20:L353))</f>
        <v>576006.64745897078</v>
      </c>
      <c r="V353" s="348">
        <f>IF(D353=0,0,SUM($J$20:J353))</f>
        <v>572476.71741888707</v>
      </c>
      <c r="W353" s="349">
        <f t="shared" si="113"/>
        <v>-3529.9300400837092</v>
      </c>
      <c r="X353" s="41">
        <f t="shared" si="114"/>
        <v>0.99387171996077506</v>
      </c>
      <c r="Y353" s="17"/>
      <c r="Z353" s="23">
        <f t="shared" si="118"/>
        <v>45625</v>
      </c>
      <c r="AA353" s="22">
        <f t="shared" si="118"/>
        <v>45625</v>
      </c>
      <c r="AB353" s="137">
        <v>45625</v>
      </c>
      <c r="AC353" s="137"/>
      <c r="AD353" s="134"/>
      <c r="AE353" s="134"/>
      <c r="AF353" s="139"/>
      <c r="AG353" s="256"/>
      <c r="AH353" s="256"/>
      <c r="AI353" s="256"/>
      <c r="AJ353" s="256"/>
      <c r="AK353" s="134"/>
      <c r="AL353" s="134"/>
      <c r="AM353" s="134"/>
      <c r="AN353" s="18"/>
      <c r="AO353" s="18"/>
      <c r="AP353" s="18"/>
      <c r="AQ353" s="18"/>
      <c r="AR353" s="17"/>
      <c r="AS353" s="21">
        <f t="shared" si="119"/>
        <v>45625</v>
      </c>
      <c r="AT353" s="17"/>
      <c r="AU353" s="17"/>
      <c r="AV353" s="17"/>
      <c r="AW353" s="17"/>
      <c r="AX353" s="17"/>
      <c r="AY353" s="17"/>
      <c r="AZ353" s="17"/>
    </row>
    <row r="354" spans="1:52" ht="21" thickBot="1">
      <c r="A354" s="17"/>
      <c r="B354" s="40"/>
      <c r="C354" s="39">
        <f t="shared" si="115"/>
        <v>335</v>
      </c>
      <c r="D354" s="38">
        <v>1</v>
      </c>
      <c r="E354" s="37" t="str">
        <f t="shared" si="108"/>
        <v>11</v>
      </c>
      <c r="F354" s="36">
        <f t="shared" si="116"/>
        <v>45626</v>
      </c>
      <c r="G354" s="35" t="str">
        <f t="shared" si="117"/>
        <v>Sat</v>
      </c>
      <c r="H354" s="34"/>
      <c r="I354" s="33"/>
      <c r="J354" s="344">
        <f>154290/$B$13</f>
        <v>1398.3143012506796</v>
      </c>
      <c r="K354" s="31"/>
      <c r="L354" s="326">
        <f t="shared" si="106"/>
        <v>2345.122062163317</v>
      </c>
      <c r="M354" s="320">
        <f t="shared" si="109"/>
        <v>-946.80776091263738</v>
      </c>
      <c r="N354" s="24">
        <f t="shared" si="110"/>
        <v>0.59626504044773232</v>
      </c>
      <c r="O354" s="29"/>
      <c r="P354" s="347">
        <f>IF(D354=0,0,SUM($L$325:L354))</f>
        <v>56282.929491919625</v>
      </c>
      <c r="Q354" s="326">
        <f>IF(D354=0,0,SUM($J$325:J354))</f>
        <v>55393.782852999808</v>
      </c>
      <c r="R354" s="327">
        <f t="shared" si="111"/>
        <v>-889.14663891981763</v>
      </c>
      <c r="S354" s="24">
        <f t="shared" si="112"/>
        <v>0.98420219688373778</v>
      </c>
      <c r="T354" s="27"/>
      <c r="U354" s="350">
        <f>IF(D354=0,0,SUM($L$20:L354))</f>
        <v>578351.76952113409</v>
      </c>
      <c r="V354" s="350">
        <f>IF(D354=0,0,SUM($J$20:J354))</f>
        <v>573875.03172013781</v>
      </c>
      <c r="W354" s="351">
        <f t="shared" si="113"/>
        <v>-4476.7378009962849</v>
      </c>
      <c r="X354" s="24">
        <f t="shared" si="114"/>
        <v>0.9922594897484226</v>
      </c>
      <c r="Y354" s="17"/>
      <c r="Z354" s="23">
        <f t="shared" si="118"/>
        <v>45626</v>
      </c>
      <c r="AA354" s="22">
        <f t="shared" si="118"/>
        <v>45626</v>
      </c>
      <c r="AB354" s="137">
        <v>45626</v>
      </c>
      <c r="AC354" s="137"/>
      <c r="AD354" s="134"/>
      <c r="AE354" s="134"/>
      <c r="AF354" s="139"/>
      <c r="AG354" s="256"/>
      <c r="AH354" s="256"/>
      <c r="AI354" s="256"/>
      <c r="AJ354" s="256"/>
      <c r="AK354" s="134"/>
      <c r="AL354" s="134"/>
      <c r="AM354" s="134"/>
      <c r="AN354" s="18"/>
      <c r="AO354" s="18"/>
      <c r="AP354" s="18"/>
      <c r="AQ354" s="18"/>
      <c r="AR354" s="17"/>
      <c r="AS354" s="21">
        <f t="shared" si="119"/>
        <v>45626</v>
      </c>
      <c r="AT354" s="17"/>
      <c r="AU354" s="17"/>
      <c r="AV354" s="17"/>
      <c r="AW354" s="17"/>
      <c r="AX354" s="17"/>
      <c r="AY354" s="17"/>
      <c r="AZ354" s="17"/>
    </row>
    <row r="355" spans="1:52" ht="21" thickTop="1">
      <c r="A355" s="17"/>
      <c r="B355" s="40"/>
      <c r="C355" s="55">
        <f t="shared" si="115"/>
        <v>336</v>
      </c>
      <c r="D355" s="62">
        <v>0</v>
      </c>
      <c r="E355" s="53" t="str">
        <f t="shared" si="108"/>
        <v>12</v>
      </c>
      <c r="F355" s="52">
        <f t="shared" si="116"/>
        <v>45627</v>
      </c>
      <c r="G355" s="51" t="str">
        <f t="shared" si="117"/>
        <v>Sun</v>
      </c>
      <c r="H355" s="50" t="s">
        <v>46</v>
      </c>
      <c r="I355" s="49"/>
      <c r="J355" s="343"/>
      <c r="K355" s="31"/>
      <c r="L355" s="317">
        <f t="shared" ref="L355:L385" si="120">IF(D355=0,0,$K$17)</f>
        <v>0</v>
      </c>
      <c r="M355" s="321">
        <f t="shared" si="109"/>
        <v>0</v>
      </c>
      <c r="N355" s="60" t="str">
        <f t="shared" si="110"/>
        <v>0%</v>
      </c>
      <c r="O355" s="46"/>
      <c r="P355" s="329">
        <f>IF(D355=0,0,$L$355)</f>
        <v>0</v>
      </c>
      <c r="Q355" s="317">
        <f>IF(D355=0,0,$J$355)</f>
        <v>0</v>
      </c>
      <c r="R355" s="321">
        <f t="shared" si="111"/>
        <v>0</v>
      </c>
      <c r="S355" s="60" t="str">
        <f t="shared" si="112"/>
        <v>0%</v>
      </c>
      <c r="T355" s="56"/>
      <c r="U355" s="348">
        <f>IF(D355=0,0,SUM($L$20:L355))</f>
        <v>0</v>
      </c>
      <c r="V355" s="348">
        <f>IF(D355=0,0,SUM($J$20:J355))</f>
        <v>0</v>
      </c>
      <c r="W355" s="349">
        <f t="shared" si="113"/>
        <v>0</v>
      </c>
      <c r="X355" s="60" t="str">
        <f t="shared" si="114"/>
        <v>0%</v>
      </c>
      <c r="Y355" s="17"/>
      <c r="Z355" s="23">
        <f t="shared" si="118"/>
        <v>45627</v>
      </c>
      <c r="AA355" s="22">
        <f t="shared" si="118"/>
        <v>45627</v>
      </c>
      <c r="AB355" s="137">
        <v>45627</v>
      </c>
      <c r="AC355" s="137"/>
      <c r="AD355" s="134"/>
      <c r="AE355" s="134"/>
      <c r="AF355" s="139"/>
      <c r="AG355" s="256"/>
      <c r="AH355" s="256"/>
      <c r="AI355" s="256"/>
      <c r="AJ355" s="256"/>
      <c r="AK355" s="134"/>
      <c r="AL355" s="134"/>
      <c r="AM355" s="134"/>
      <c r="AN355" s="18"/>
      <c r="AO355" s="18"/>
      <c r="AP355" s="18"/>
      <c r="AQ355" s="18"/>
      <c r="AR355" s="17"/>
      <c r="AS355" s="21">
        <f t="shared" si="119"/>
        <v>45627</v>
      </c>
      <c r="AT355" s="17"/>
      <c r="AU355" s="17"/>
      <c r="AV355" s="17"/>
      <c r="AW355" s="17"/>
      <c r="AX355" s="17"/>
      <c r="AY355" s="17"/>
      <c r="AZ355" s="17"/>
    </row>
    <row r="356" spans="1:52" ht="20">
      <c r="A356" s="17"/>
      <c r="B356" s="40"/>
      <c r="C356" s="55">
        <f t="shared" si="115"/>
        <v>337</v>
      </c>
      <c r="D356" s="54">
        <v>1</v>
      </c>
      <c r="E356" s="53" t="str">
        <f t="shared" si="108"/>
        <v>12</v>
      </c>
      <c r="F356" s="52">
        <f t="shared" si="116"/>
        <v>45628</v>
      </c>
      <c r="G356" s="51" t="str">
        <f t="shared" si="117"/>
        <v>Mon</v>
      </c>
      <c r="H356" s="50"/>
      <c r="I356" s="49"/>
      <c r="J356" s="343">
        <f>262200/$B$13</f>
        <v>2376.2914627514951</v>
      </c>
      <c r="K356" s="31"/>
      <c r="L356" s="317">
        <f t="shared" si="120"/>
        <v>2903.4844579164874</v>
      </c>
      <c r="M356" s="318">
        <f t="shared" si="109"/>
        <v>-527.19299516499223</v>
      </c>
      <c r="N356" s="41">
        <f t="shared" si="110"/>
        <v>0.81842747815385208</v>
      </c>
      <c r="O356" s="46"/>
      <c r="P356" s="328">
        <f>IF(D356=0,0,SUM($L$355:L356))</f>
        <v>2903.4844579164874</v>
      </c>
      <c r="Q356" s="317">
        <f>IF(D356=0,0,SUM($J$355:J356))</f>
        <v>2376.2914627514951</v>
      </c>
      <c r="R356" s="321">
        <f t="shared" si="111"/>
        <v>-527.19299516499223</v>
      </c>
      <c r="S356" s="41">
        <f t="shared" si="112"/>
        <v>0.81842747815385208</v>
      </c>
      <c r="T356" s="56"/>
      <c r="U356" s="348">
        <f>IF(D356=0,0,SUM($L$20:L356))</f>
        <v>581255.25397905055</v>
      </c>
      <c r="V356" s="348">
        <f>IF(D356=0,0,SUM($J$20:J356))</f>
        <v>576251.32318288926</v>
      </c>
      <c r="W356" s="349">
        <f t="shared" si="113"/>
        <v>-5003.930796161294</v>
      </c>
      <c r="X356" s="41">
        <f t="shared" si="114"/>
        <v>0.99139116461845922</v>
      </c>
      <c r="Y356" s="17"/>
      <c r="Z356" s="23">
        <f t="shared" si="118"/>
        <v>45628</v>
      </c>
      <c r="AA356" s="22">
        <f t="shared" si="118"/>
        <v>45628</v>
      </c>
      <c r="AB356" s="137">
        <v>45628</v>
      </c>
      <c r="AC356" s="137"/>
      <c r="AD356" s="134"/>
      <c r="AE356" s="134"/>
      <c r="AF356" s="139"/>
      <c r="AG356" s="256"/>
      <c r="AH356" s="256"/>
      <c r="AI356" s="256"/>
      <c r="AJ356" s="256"/>
      <c r="AK356" s="134"/>
      <c r="AL356" s="134"/>
      <c r="AM356" s="134"/>
      <c r="AN356" s="18"/>
      <c r="AO356" s="18"/>
      <c r="AP356" s="18"/>
      <c r="AQ356" s="18"/>
      <c r="AR356" s="17"/>
      <c r="AS356" s="21">
        <f t="shared" si="119"/>
        <v>45628</v>
      </c>
      <c r="AT356" s="17"/>
      <c r="AU356" s="17"/>
      <c r="AV356" s="17"/>
      <c r="AW356" s="17"/>
      <c r="AX356" s="17"/>
      <c r="AY356" s="17"/>
      <c r="AZ356" s="17"/>
    </row>
    <row r="357" spans="1:52" ht="20">
      <c r="A357" s="17"/>
      <c r="B357" s="40"/>
      <c r="C357" s="55">
        <f t="shared" si="115"/>
        <v>338</v>
      </c>
      <c r="D357" s="54">
        <v>1</v>
      </c>
      <c r="E357" s="53" t="str">
        <f t="shared" si="108"/>
        <v>12</v>
      </c>
      <c r="F357" s="52">
        <f t="shared" si="116"/>
        <v>45629</v>
      </c>
      <c r="G357" s="51" t="str">
        <f t="shared" si="117"/>
        <v>Tue</v>
      </c>
      <c r="H357" s="50"/>
      <c r="I357" s="49"/>
      <c r="J357" s="343">
        <f>227050/$B$13</f>
        <v>2057.7306507159687</v>
      </c>
      <c r="K357" s="31"/>
      <c r="L357" s="317">
        <f t="shared" si="120"/>
        <v>2903.4844579164874</v>
      </c>
      <c r="M357" s="318">
        <f t="shared" si="109"/>
        <v>-845.75380720051862</v>
      </c>
      <c r="N357" s="41">
        <f t="shared" si="110"/>
        <v>0.70871075101003866</v>
      </c>
      <c r="O357" s="46"/>
      <c r="P357" s="328">
        <f>IF(D357=0,0,SUM($L$355:L357))</f>
        <v>5806.9689158329747</v>
      </c>
      <c r="Q357" s="317">
        <f>IF(D357=0,0,SUM($J$355:J357))</f>
        <v>4434.0221134674639</v>
      </c>
      <c r="R357" s="321">
        <f t="shared" si="111"/>
        <v>-1372.9468023655108</v>
      </c>
      <c r="S357" s="41">
        <f t="shared" si="112"/>
        <v>0.76356911458194543</v>
      </c>
      <c r="T357" s="56"/>
      <c r="U357" s="348">
        <f>IF(D357=0,0,SUM($L$20:L357))</f>
        <v>584158.73843696702</v>
      </c>
      <c r="V357" s="348">
        <f>IF(D357=0,0,SUM($J$20:J357))</f>
        <v>578309.05383360526</v>
      </c>
      <c r="W357" s="349">
        <f t="shared" si="113"/>
        <v>-5849.6846033617621</v>
      </c>
      <c r="X357" s="41">
        <f t="shared" si="114"/>
        <v>0.98998613866666829</v>
      </c>
      <c r="Y357" s="17"/>
      <c r="Z357" s="23">
        <f t="shared" ref="Z357:AA372" si="121">Z356+1</f>
        <v>45629</v>
      </c>
      <c r="AA357" s="22">
        <f t="shared" si="121"/>
        <v>45629</v>
      </c>
      <c r="AB357" s="137">
        <v>45629</v>
      </c>
      <c r="AC357" s="137"/>
      <c r="AD357" s="134"/>
      <c r="AE357" s="134"/>
      <c r="AF357" s="139"/>
      <c r="AG357" s="256"/>
      <c r="AH357" s="256"/>
      <c r="AI357" s="256"/>
      <c r="AJ357" s="256"/>
      <c r="AK357" s="134"/>
      <c r="AL357" s="134"/>
      <c r="AM357" s="134"/>
      <c r="AN357" s="18"/>
      <c r="AO357" s="18"/>
      <c r="AP357" s="18"/>
      <c r="AQ357" s="18"/>
      <c r="AR357" s="17"/>
      <c r="AS357" s="21">
        <f t="shared" si="119"/>
        <v>45629</v>
      </c>
      <c r="AT357" s="17"/>
      <c r="AU357" s="17"/>
      <c r="AV357" s="17"/>
      <c r="AW357" s="17"/>
      <c r="AX357" s="17"/>
      <c r="AY357" s="17"/>
      <c r="AZ357" s="17"/>
    </row>
    <row r="358" spans="1:52" ht="20">
      <c r="A358" s="17"/>
      <c r="B358" s="40"/>
      <c r="C358" s="55">
        <f t="shared" si="115"/>
        <v>339</v>
      </c>
      <c r="D358" s="54">
        <v>1</v>
      </c>
      <c r="E358" s="53" t="str">
        <f t="shared" si="108"/>
        <v>12</v>
      </c>
      <c r="F358" s="52">
        <f t="shared" si="116"/>
        <v>45630</v>
      </c>
      <c r="G358" s="51" t="str">
        <f t="shared" si="117"/>
        <v>Wed</v>
      </c>
      <c r="H358" s="50"/>
      <c r="I358" s="49"/>
      <c r="J358" s="343">
        <f>339900/$B$13</f>
        <v>3080.4785209352908</v>
      </c>
      <c r="K358" s="31"/>
      <c r="L358" s="317">
        <f t="shared" si="120"/>
        <v>2903.4844579164874</v>
      </c>
      <c r="M358" s="318">
        <f t="shared" si="109"/>
        <v>176.99406301880344</v>
      </c>
      <c r="N358" s="41">
        <f t="shared" si="110"/>
        <v>1.0609591907875453</v>
      </c>
      <c r="O358" s="46"/>
      <c r="P358" s="328">
        <f>IF(D358=0,0,SUM($L$355:L358))</f>
        <v>8710.4533737494621</v>
      </c>
      <c r="Q358" s="317">
        <f>IF(D358=0,0,SUM($J$355:J358))</f>
        <v>7514.5006344027552</v>
      </c>
      <c r="R358" s="321">
        <f t="shared" si="111"/>
        <v>-1195.9527393467069</v>
      </c>
      <c r="S358" s="41">
        <f t="shared" si="112"/>
        <v>0.86269913998381209</v>
      </c>
      <c r="T358" s="56"/>
      <c r="U358" s="348">
        <f>IF(D358=0,0,SUM($L$20:L358))</f>
        <v>587062.22289488348</v>
      </c>
      <c r="V358" s="348">
        <f>IF(D358=0,0,SUM($J$20:J358))</f>
        <v>581389.53235454054</v>
      </c>
      <c r="W358" s="349">
        <f t="shared" si="113"/>
        <v>-5672.6905403429409</v>
      </c>
      <c r="X358" s="41">
        <f t="shared" si="114"/>
        <v>0.99033715623470009</v>
      </c>
      <c r="Y358" s="17"/>
      <c r="Z358" s="23">
        <f t="shared" si="121"/>
        <v>45630</v>
      </c>
      <c r="AA358" s="22">
        <f t="shared" si="121"/>
        <v>45630</v>
      </c>
      <c r="AB358" s="137">
        <v>45630</v>
      </c>
      <c r="AC358" s="137"/>
      <c r="AD358" s="134"/>
      <c r="AE358" s="134"/>
      <c r="AF358" s="139"/>
      <c r="AG358" s="256"/>
      <c r="AH358" s="256"/>
      <c r="AI358" s="256"/>
      <c r="AJ358" s="256"/>
      <c r="AK358" s="134"/>
      <c r="AL358" s="134"/>
      <c r="AM358" s="134"/>
      <c r="AN358" s="18"/>
      <c r="AO358" s="18"/>
      <c r="AP358" s="18"/>
      <c r="AQ358" s="18"/>
      <c r="AR358" s="17"/>
      <c r="AS358" s="21">
        <f t="shared" si="119"/>
        <v>45630</v>
      </c>
      <c r="AT358" s="17"/>
      <c r="AU358" s="17"/>
      <c r="AV358" s="17"/>
      <c r="AW358" s="17"/>
      <c r="AX358" s="17"/>
      <c r="AY358" s="17"/>
      <c r="AZ358" s="17"/>
    </row>
    <row r="359" spans="1:52" ht="20">
      <c r="A359" s="17"/>
      <c r="B359" s="40"/>
      <c r="C359" s="55">
        <f t="shared" si="115"/>
        <v>340</v>
      </c>
      <c r="D359" s="54">
        <v>1</v>
      </c>
      <c r="E359" s="53" t="str">
        <f t="shared" si="108"/>
        <v>12</v>
      </c>
      <c r="F359" s="52">
        <f t="shared" si="116"/>
        <v>45631</v>
      </c>
      <c r="G359" s="51" t="str">
        <f t="shared" si="117"/>
        <v>Thu</v>
      </c>
      <c r="H359" s="50"/>
      <c r="I359" s="59"/>
      <c r="J359" s="345">
        <f>172750/$B$13</f>
        <v>1565.615370672467</v>
      </c>
      <c r="K359" s="57"/>
      <c r="L359" s="317">
        <f t="shared" si="120"/>
        <v>2903.4844579164874</v>
      </c>
      <c r="M359" s="318">
        <f t="shared" si="109"/>
        <v>-1337.8690872440204</v>
      </c>
      <c r="N359" s="41">
        <f t="shared" si="110"/>
        <v>0.53921947693012195</v>
      </c>
      <c r="O359" s="46"/>
      <c r="P359" s="328">
        <f>IF(D359=0,0,SUM($L$355:L359))</f>
        <v>11613.937831665949</v>
      </c>
      <c r="Q359" s="317">
        <f>IF(D359=0,0,SUM($J$355:J359))</f>
        <v>9080.1160050752223</v>
      </c>
      <c r="R359" s="321">
        <f t="shared" si="111"/>
        <v>-2533.8218265907271</v>
      </c>
      <c r="S359" s="41">
        <f t="shared" si="112"/>
        <v>0.78182922422038958</v>
      </c>
      <c r="T359" s="56"/>
      <c r="U359" s="348">
        <f>IF(D359=0,0,SUM($L$20:L359))</f>
        <v>589965.70735279995</v>
      </c>
      <c r="V359" s="348">
        <f>IF(D359=0,0,SUM($J$20:J359))</f>
        <v>582955.14772521297</v>
      </c>
      <c r="W359" s="349">
        <f t="shared" si="113"/>
        <v>-7010.5596275869757</v>
      </c>
      <c r="X359" s="41">
        <f t="shared" si="114"/>
        <v>0.98811700486958187</v>
      </c>
      <c r="Y359" s="17"/>
      <c r="Z359" s="23">
        <f t="shared" si="121"/>
        <v>45631</v>
      </c>
      <c r="AA359" s="22">
        <f t="shared" si="121"/>
        <v>45631</v>
      </c>
      <c r="AB359" s="137">
        <v>45631</v>
      </c>
      <c r="AC359" s="137"/>
      <c r="AD359" s="134"/>
      <c r="AE359" s="134"/>
      <c r="AF359" s="139"/>
      <c r="AG359" s="256"/>
      <c r="AH359" s="256"/>
      <c r="AI359" s="256"/>
      <c r="AJ359" s="256"/>
      <c r="AK359" s="134"/>
      <c r="AL359" s="134"/>
      <c r="AM359" s="134"/>
      <c r="AN359" s="18"/>
      <c r="AO359" s="18"/>
      <c r="AP359" s="18"/>
      <c r="AQ359" s="18"/>
      <c r="AR359" s="17"/>
      <c r="AS359" s="21">
        <f t="shared" si="119"/>
        <v>45631</v>
      </c>
      <c r="AT359" s="17"/>
      <c r="AU359" s="17"/>
      <c r="AV359" s="17"/>
      <c r="AW359" s="17"/>
      <c r="AX359" s="17"/>
      <c r="AY359" s="17"/>
      <c r="AZ359" s="17"/>
    </row>
    <row r="360" spans="1:52" ht="20">
      <c r="A360" s="17"/>
      <c r="B360" s="40"/>
      <c r="C360" s="55">
        <f t="shared" si="115"/>
        <v>341</v>
      </c>
      <c r="D360" s="54">
        <v>1</v>
      </c>
      <c r="E360" s="53" t="str">
        <f t="shared" si="108"/>
        <v>12</v>
      </c>
      <c r="F360" s="52">
        <f t="shared" si="116"/>
        <v>45632</v>
      </c>
      <c r="G360" s="51" t="str">
        <f t="shared" si="117"/>
        <v>Fri</v>
      </c>
      <c r="H360" s="50"/>
      <c r="I360" s="59"/>
      <c r="J360" s="345">
        <f>357560/$B$13</f>
        <v>3240.5292731557006</v>
      </c>
      <c r="K360" s="57"/>
      <c r="L360" s="317">
        <f t="shared" si="120"/>
        <v>2903.4844579164874</v>
      </c>
      <c r="M360" s="318">
        <f t="shared" si="109"/>
        <v>337.04481523921322</v>
      </c>
      <c r="N360" s="41">
        <f t="shared" si="110"/>
        <v>1.1160828721918055</v>
      </c>
      <c r="O360" s="46"/>
      <c r="P360" s="328">
        <f>IF(D360=0,0,SUM($L$355:L360))</f>
        <v>14517.422289582437</v>
      </c>
      <c r="Q360" s="317">
        <f>IF(D360=0,0,SUM($J$355:J360))</f>
        <v>12320.645278230922</v>
      </c>
      <c r="R360" s="321">
        <f t="shared" si="111"/>
        <v>-2196.7770113515144</v>
      </c>
      <c r="S360" s="41">
        <f t="shared" si="112"/>
        <v>0.84867995381467265</v>
      </c>
      <c r="T360" s="56"/>
      <c r="U360" s="348">
        <f>IF(D360=0,0,SUM($L$20:L360))</f>
        <v>592869.19181071641</v>
      </c>
      <c r="V360" s="348">
        <f>IF(D360=0,0,SUM($J$20:J360))</f>
        <v>586195.6769983687</v>
      </c>
      <c r="W360" s="349">
        <f t="shared" si="113"/>
        <v>-6673.514812347712</v>
      </c>
      <c r="X360" s="41">
        <f t="shared" si="114"/>
        <v>0.98874369775908622</v>
      </c>
      <c r="Y360" s="17"/>
      <c r="Z360" s="23">
        <f t="shared" si="121"/>
        <v>45632</v>
      </c>
      <c r="AA360" s="22">
        <f t="shared" si="121"/>
        <v>45632</v>
      </c>
      <c r="AB360" s="137">
        <v>45632</v>
      </c>
      <c r="AC360" s="137"/>
      <c r="AD360" s="134"/>
      <c r="AE360" s="134"/>
      <c r="AF360" s="139"/>
      <c r="AG360" s="256"/>
      <c r="AH360" s="256"/>
      <c r="AI360" s="256"/>
      <c r="AJ360" s="256"/>
      <c r="AK360" s="134"/>
      <c r="AL360" s="134"/>
      <c r="AM360" s="134"/>
      <c r="AN360" s="18"/>
      <c r="AO360" s="18"/>
      <c r="AP360" s="18"/>
      <c r="AQ360" s="18"/>
      <c r="AR360" s="17"/>
      <c r="AS360" s="21">
        <f t="shared" si="119"/>
        <v>45632</v>
      </c>
      <c r="AT360" s="17"/>
      <c r="AU360" s="17"/>
      <c r="AV360" s="17"/>
      <c r="AW360" s="17"/>
      <c r="AX360" s="17"/>
      <c r="AY360" s="17"/>
      <c r="AZ360" s="17"/>
    </row>
    <row r="361" spans="1:52" ht="20">
      <c r="A361" s="17"/>
      <c r="B361" s="40"/>
      <c r="C361" s="55">
        <f t="shared" si="115"/>
        <v>342</v>
      </c>
      <c r="D361" s="54">
        <v>1</v>
      </c>
      <c r="E361" s="53" t="str">
        <f t="shared" si="108"/>
        <v>12</v>
      </c>
      <c r="F361" s="52">
        <f t="shared" si="116"/>
        <v>45633</v>
      </c>
      <c r="G361" s="51" t="str">
        <f t="shared" si="117"/>
        <v>Sat</v>
      </c>
      <c r="H361" s="50"/>
      <c r="I361" s="59"/>
      <c r="J361" s="345">
        <f>338550/$B$13</f>
        <v>3068.2436106579662</v>
      </c>
      <c r="K361" s="57"/>
      <c r="L361" s="317">
        <f t="shared" si="120"/>
        <v>2903.4844579164874</v>
      </c>
      <c r="M361" s="318">
        <f t="shared" si="109"/>
        <v>164.75915274147883</v>
      </c>
      <c r="N361" s="41">
        <f t="shared" si="110"/>
        <v>1.0567453193325196</v>
      </c>
      <c r="O361" s="46"/>
      <c r="P361" s="328">
        <f>IF(D361=0,0,SUM($L$355:L361))</f>
        <v>17420.906747498924</v>
      </c>
      <c r="Q361" s="317">
        <f>IF(D361=0,0,SUM($J$355:J361))</f>
        <v>15388.888888888889</v>
      </c>
      <c r="R361" s="321">
        <f t="shared" si="111"/>
        <v>-2032.0178586100355</v>
      </c>
      <c r="S361" s="41">
        <f t="shared" si="112"/>
        <v>0.8833575147343139</v>
      </c>
      <c r="T361" s="44"/>
      <c r="U361" s="348">
        <f>IF(D361=0,0,SUM($L$20:L361))</f>
        <v>595772.67626863287</v>
      </c>
      <c r="V361" s="348">
        <f>IF(D361=0,0,SUM($J$20:J361))</f>
        <v>589263.92060902668</v>
      </c>
      <c r="W361" s="349">
        <f t="shared" si="113"/>
        <v>-6508.7556596061913</v>
      </c>
      <c r="X361" s="41">
        <f t="shared" si="114"/>
        <v>0.98907510210040006</v>
      </c>
      <c r="Y361" s="17"/>
      <c r="Z361" s="23">
        <f t="shared" si="121"/>
        <v>45633</v>
      </c>
      <c r="AA361" s="22">
        <f t="shared" si="121"/>
        <v>45633</v>
      </c>
      <c r="AB361" s="137">
        <v>45633</v>
      </c>
      <c r="AC361" s="137"/>
      <c r="AD361" s="134"/>
      <c r="AE361" s="134"/>
      <c r="AF361" s="139"/>
      <c r="AG361" s="256"/>
      <c r="AH361" s="256"/>
      <c r="AI361" s="256"/>
      <c r="AJ361" s="256"/>
      <c r="AK361" s="134"/>
      <c r="AL361" s="134"/>
      <c r="AM361" s="134"/>
      <c r="AN361" s="18"/>
      <c r="AO361" s="18"/>
      <c r="AP361" s="18"/>
      <c r="AQ361" s="18"/>
      <c r="AR361" s="17"/>
      <c r="AS361" s="21">
        <f t="shared" si="119"/>
        <v>45633</v>
      </c>
      <c r="AT361" s="17"/>
      <c r="AU361" s="17"/>
      <c r="AV361" s="17"/>
      <c r="AW361" s="17"/>
      <c r="AX361" s="17"/>
      <c r="AY361" s="17"/>
      <c r="AZ361" s="17"/>
    </row>
    <row r="362" spans="1:52" ht="20">
      <c r="A362" s="17"/>
      <c r="B362" s="40"/>
      <c r="C362" s="55">
        <f t="shared" si="115"/>
        <v>343</v>
      </c>
      <c r="D362" s="54">
        <v>0</v>
      </c>
      <c r="E362" s="53" t="str">
        <f t="shared" si="108"/>
        <v>12</v>
      </c>
      <c r="F362" s="52">
        <f t="shared" si="116"/>
        <v>45634</v>
      </c>
      <c r="G362" s="51" t="str">
        <f t="shared" si="117"/>
        <v>Sun</v>
      </c>
      <c r="H362" s="50" t="s">
        <v>46</v>
      </c>
      <c r="I362" s="49"/>
      <c r="J362" s="343"/>
      <c r="K362" s="31"/>
      <c r="L362" s="317">
        <f t="shared" si="120"/>
        <v>0</v>
      </c>
      <c r="M362" s="318">
        <f t="shared" si="109"/>
        <v>0</v>
      </c>
      <c r="N362" s="41" t="str">
        <f t="shared" si="110"/>
        <v>0%</v>
      </c>
      <c r="O362" s="46"/>
      <c r="P362" s="328">
        <f>IF(D362=0,0,SUM($L$355:L362))</f>
        <v>0</v>
      </c>
      <c r="Q362" s="317">
        <f>IF(D362=0,0,SUM($J$355:J362))</f>
        <v>0</v>
      </c>
      <c r="R362" s="321">
        <f t="shared" si="111"/>
        <v>0</v>
      </c>
      <c r="S362" s="41" t="str">
        <f t="shared" si="112"/>
        <v>0%</v>
      </c>
      <c r="T362" s="56"/>
      <c r="U362" s="348">
        <f>IF(D362=0,0,SUM($L$20:L362))</f>
        <v>0</v>
      </c>
      <c r="V362" s="348">
        <f>IF(D362=0,0,SUM($J$20:J362))</f>
        <v>0</v>
      </c>
      <c r="W362" s="349">
        <f t="shared" si="113"/>
        <v>0</v>
      </c>
      <c r="X362" s="41" t="str">
        <f t="shared" si="114"/>
        <v>0%</v>
      </c>
      <c r="Y362" s="17"/>
      <c r="Z362" s="23">
        <f t="shared" si="121"/>
        <v>45634</v>
      </c>
      <c r="AA362" s="22">
        <f t="shared" si="121"/>
        <v>45634</v>
      </c>
      <c r="AB362" s="137">
        <v>45634</v>
      </c>
      <c r="AC362" s="137"/>
      <c r="AD362" s="134"/>
      <c r="AE362" s="134"/>
      <c r="AF362" s="139"/>
      <c r="AG362" s="256"/>
      <c r="AH362" s="256"/>
      <c r="AI362" s="256"/>
      <c r="AJ362" s="256"/>
      <c r="AK362" s="134"/>
      <c r="AL362" s="134"/>
      <c r="AM362" s="134"/>
      <c r="AN362" s="18"/>
      <c r="AO362" s="18"/>
      <c r="AP362" s="18"/>
      <c r="AQ362" s="18"/>
      <c r="AR362" s="17"/>
      <c r="AS362" s="21">
        <f t="shared" si="119"/>
        <v>45634</v>
      </c>
      <c r="AT362" s="17"/>
      <c r="AU362" s="17"/>
      <c r="AV362" s="17"/>
      <c r="AW362" s="17"/>
      <c r="AX362" s="17"/>
      <c r="AY362" s="17"/>
      <c r="AZ362" s="17"/>
    </row>
    <row r="363" spans="1:52" ht="20">
      <c r="A363" s="17"/>
      <c r="B363" s="40"/>
      <c r="C363" s="55">
        <f t="shared" si="115"/>
        <v>344</v>
      </c>
      <c r="D363" s="54">
        <v>1</v>
      </c>
      <c r="E363" s="53" t="str">
        <f t="shared" si="108"/>
        <v>12</v>
      </c>
      <c r="F363" s="52">
        <f t="shared" si="116"/>
        <v>45635</v>
      </c>
      <c r="G363" s="51" t="str">
        <f t="shared" si="117"/>
        <v>Mon</v>
      </c>
      <c r="H363" s="50"/>
      <c r="I363" s="59"/>
      <c r="J363" s="345">
        <f>312620/$B$13</f>
        <v>2833.242704368316</v>
      </c>
      <c r="K363" s="57"/>
      <c r="L363" s="317">
        <f t="shared" si="120"/>
        <v>2903.4844579164874</v>
      </c>
      <c r="M363" s="318">
        <f t="shared" si="109"/>
        <v>-70.241753548171346</v>
      </c>
      <c r="N363" s="41">
        <f t="shared" si="110"/>
        <v>0.9758077735333992</v>
      </c>
      <c r="O363" s="46"/>
      <c r="P363" s="328">
        <f>IF(D363=0,0,SUM($L$355:L363))</f>
        <v>20324.391205415413</v>
      </c>
      <c r="Q363" s="317">
        <f>IF(D363=0,0,SUM($J$355:J363))</f>
        <v>18222.131593257203</v>
      </c>
      <c r="R363" s="321">
        <f t="shared" si="111"/>
        <v>-2102.2596121582101</v>
      </c>
      <c r="S363" s="41">
        <f t="shared" si="112"/>
        <v>0.89656469456275445</v>
      </c>
      <c r="T363" s="56"/>
      <c r="U363" s="348">
        <f>IF(D363=0,0,SUM($L$20:L363))</f>
        <v>598676.16072654934</v>
      </c>
      <c r="V363" s="348">
        <f>IF(D363=0,0,SUM($J$20:J363))</f>
        <v>592097.16331339499</v>
      </c>
      <c r="W363" s="349">
        <f t="shared" si="113"/>
        <v>-6578.9974131543422</v>
      </c>
      <c r="X363" s="41">
        <f t="shared" si="114"/>
        <v>0.98901075766041846</v>
      </c>
      <c r="Y363" s="17"/>
      <c r="Z363" s="23">
        <f t="shared" si="121"/>
        <v>45635</v>
      </c>
      <c r="AA363" s="22">
        <f t="shared" si="121"/>
        <v>45635</v>
      </c>
      <c r="AB363" s="137">
        <v>45635</v>
      </c>
      <c r="AC363" s="137"/>
      <c r="AD363" s="134"/>
      <c r="AE363" s="134"/>
      <c r="AF363" s="139"/>
      <c r="AG363" s="256"/>
      <c r="AH363" s="256"/>
      <c r="AI363" s="256"/>
      <c r="AJ363" s="256"/>
      <c r="AK363" s="134"/>
      <c r="AL363" s="134"/>
      <c r="AM363" s="134"/>
      <c r="AN363" s="18"/>
      <c r="AO363" s="18"/>
      <c r="AP363" s="18"/>
      <c r="AQ363" s="18"/>
      <c r="AR363" s="17"/>
      <c r="AS363" s="21">
        <f t="shared" si="119"/>
        <v>45635</v>
      </c>
      <c r="AT363" s="17"/>
      <c r="AU363" s="17"/>
      <c r="AV363" s="17"/>
      <c r="AW363" s="17"/>
      <c r="AX363" s="17"/>
      <c r="AY363" s="17"/>
      <c r="AZ363" s="17"/>
    </row>
    <row r="364" spans="1:52" ht="20">
      <c r="A364" s="17"/>
      <c r="B364" s="40"/>
      <c r="C364" s="55">
        <f t="shared" si="115"/>
        <v>345</v>
      </c>
      <c r="D364" s="54">
        <v>1</v>
      </c>
      <c r="E364" s="53" t="str">
        <f t="shared" si="108"/>
        <v>12</v>
      </c>
      <c r="F364" s="52">
        <f t="shared" si="116"/>
        <v>45636</v>
      </c>
      <c r="G364" s="51" t="str">
        <f t="shared" si="117"/>
        <v>Tue</v>
      </c>
      <c r="H364" s="50"/>
      <c r="I364" s="59"/>
      <c r="J364" s="345">
        <f>382740/$B$13</f>
        <v>3468.7330070690591</v>
      </c>
      <c r="K364" s="57"/>
      <c r="L364" s="317">
        <f t="shared" si="120"/>
        <v>2903.4844579164874</v>
      </c>
      <c r="M364" s="318">
        <f t="shared" si="109"/>
        <v>565.24854915257174</v>
      </c>
      <c r="N364" s="41">
        <f t="shared" si="110"/>
        <v>1.1946793782936895</v>
      </c>
      <c r="O364" s="46"/>
      <c r="P364" s="328">
        <f>IF(D364=0,0,SUM($L$355:L364))</f>
        <v>23227.875663331899</v>
      </c>
      <c r="Q364" s="317">
        <f>IF(D364=0,0,SUM($J$355:J364))</f>
        <v>21690.864600326262</v>
      </c>
      <c r="R364" s="321">
        <f t="shared" si="111"/>
        <v>-1537.011063005637</v>
      </c>
      <c r="S364" s="41">
        <f t="shared" si="112"/>
        <v>0.93382903002912143</v>
      </c>
      <c r="T364" s="56"/>
      <c r="U364" s="348">
        <f>IF(D364=0,0,SUM($L$20:L364))</f>
        <v>601579.6451844658</v>
      </c>
      <c r="V364" s="348">
        <f>IF(D364=0,0,SUM($J$20:J364))</f>
        <v>595565.89632046409</v>
      </c>
      <c r="W364" s="349">
        <f t="shared" si="113"/>
        <v>-6013.7488640017109</v>
      </c>
      <c r="X364" s="41">
        <f t="shared" si="114"/>
        <v>0.99000340368537953</v>
      </c>
      <c r="Y364" s="17"/>
      <c r="Z364" s="23">
        <f t="shared" si="121"/>
        <v>45636</v>
      </c>
      <c r="AA364" s="22">
        <f t="shared" si="121"/>
        <v>45636</v>
      </c>
      <c r="AB364" s="137">
        <v>45636</v>
      </c>
      <c r="AC364" s="137"/>
      <c r="AD364" s="134"/>
      <c r="AE364" s="134"/>
      <c r="AF364" s="139"/>
      <c r="AG364" s="256"/>
      <c r="AH364" s="256"/>
      <c r="AI364" s="256"/>
      <c r="AJ364" s="256"/>
      <c r="AK364" s="134"/>
      <c r="AL364" s="134"/>
      <c r="AM364" s="134"/>
      <c r="AN364" s="18"/>
      <c r="AO364" s="18"/>
      <c r="AP364" s="18"/>
      <c r="AQ364" s="18"/>
      <c r="AR364" s="17"/>
      <c r="AS364" s="21">
        <f t="shared" si="119"/>
        <v>45636</v>
      </c>
      <c r="AT364" s="17"/>
      <c r="AU364" s="17"/>
      <c r="AV364" s="17"/>
      <c r="AW364" s="17"/>
      <c r="AX364" s="17"/>
      <c r="AY364" s="17"/>
      <c r="AZ364" s="17"/>
    </row>
    <row r="365" spans="1:52" ht="20">
      <c r="A365" s="17"/>
      <c r="B365" s="40"/>
      <c r="C365" s="55">
        <f t="shared" si="115"/>
        <v>346</v>
      </c>
      <c r="D365" s="54">
        <v>1</v>
      </c>
      <c r="E365" s="53" t="str">
        <f t="shared" si="108"/>
        <v>12</v>
      </c>
      <c r="F365" s="52">
        <f t="shared" si="116"/>
        <v>45637</v>
      </c>
      <c r="G365" s="51" t="str">
        <f t="shared" si="117"/>
        <v>Wed</v>
      </c>
      <c r="H365" s="50"/>
      <c r="I365" s="59"/>
      <c r="J365" s="345">
        <f>408230/$B$13</f>
        <v>3699.7462388979516</v>
      </c>
      <c r="K365" s="57"/>
      <c r="L365" s="317">
        <f t="shared" si="120"/>
        <v>2903.4844579164874</v>
      </c>
      <c r="M365" s="318">
        <f t="shared" si="109"/>
        <v>796.2617809814642</v>
      </c>
      <c r="N365" s="41">
        <f t="shared" si="110"/>
        <v>1.2742435141370978</v>
      </c>
      <c r="O365" s="46"/>
      <c r="P365" s="328">
        <f>IF(D365=0,0,SUM($L$355:L365))</f>
        <v>26131.360121248385</v>
      </c>
      <c r="Q365" s="317">
        <f>IF(D365=0,0,SUM($J$355:J365))</f>
        <v>25390.610839224213</v>
      </c>
      <c r="R365" s="321">
        <f t="shared" si="111"/>
        <v>-740.74928202417141</v>
      </c>
      <c r="S365" s="41">
        <f t="shared" si="112"/>
        <v>0.97165286159667441</v>
      </c>
      <c r="T365" s="56"/>
      <c r="U365" s="348">
        <f>IF(D365=0,0,SUM($L$20:L365))</f>
        <v>604483.12964238226</v>
      </c>
      <c r="V365" s="348">
        <f>IF(D365=0,0,SUM($J$20:J365))</f>
        <v>599265.64255936199</v>
      </c>
      <c r="W365" s="349">
        <f t="shared" si="113"/>
        <v>-5217.4870830202708</v>
      </c>
      <c r="X365" s="41">
        <f t="shared" si="114"/>
        <v>0.99136868040286419</v>
      </c>
      <c r="Y365" s="17"/>
      <c r="Z365" s="23">
        <f t="shared" si="121"/>
        <v>45637</v>
      </c>
      <c r="AA365" s="22">
        <f t="shared" si="121"/>
        <v>45637</v>
      </c>
      <c r="AB365" s="137">
        <v>45637</v>
      </c>
      <c r="AC365" s="137"/>
      <c r="AD365" s="134"/>
      <c r="AE365" s="134"/>
      <c r="AF365" s="139"/>
      <c r="AG365" s="256"/>
      <c r="AH365" s="256"/>
      <c r="AI365" s="256"/>
      <c r="AJ365" s="256"/>
      <c r="AK365" s="134"/>
      <c r="AL365" s="134"/>
      <c r="AM365" s="134"/>
      <c r="AN365" s="18"/>
      <c r="AO365" s="18"/>
      <c r="AP365" s="18"/>
      <c r="AQ365" s="18"/>
      <c r="AR365" s="17"/>
      <c r="AS365" s="21">
        <f t="shared" si="119"/>
        <v>45637</v>
      </c>
      <c r="AT365" s="17"/>
      <c r="AU365" s="17"/>
      <c r="AV365" s="17"/>
      <c r="AW365" s="17"/>
      <c r="AX365" s="17"/>
      <c r="AY365" s="17"/>
      <c r="AZ365" s="17"/>
    </row>
    <row r="366" spans="1:52" ht="20">
      <c r="A366" s="17"/>
      <c r="B366" s="40"/>
      <c r="C366" s="55">
        <f t="shared" si="115"/>
        <v>347</v>
      </c>
      <c r="D366" s="54">
        <v>1</v>
      </c>
      <c r="E366" s="53" t="str">
        <f t="shared" si="108"/>
        <v>12</v>
      </c>
      <c r="F366" s="52">
        <f t="shared" si="116"/>
        <v>45638</v>
      </c>
      <c r="G366" s="51" t="str">
        <f t="shared" si="117"/>
        <v>Thu</v>
      </c>
      <c r="H366" s="50"/>
      <c r="I366" s="59"/>
      <c r="J366" s="345">
        <f>368560/$B$13</f>
        <v>3340.2211346746417</v>
      </c>
      <c r="K366" s="57"/>
      <c r="L366" s="317">
        <f t="shared" si="120"/>
        <v>2903.4844579164874</v>
      </c>
      <c r="M366" s="318">
        <f t="shared" si="109"/>
        <v>436.73667675815432</v>
      </c>
      <c r="N366" s="41">
        <f t="shared" si="110"/>
        <v>1.1504181210846063</v>
      </c>
      <c r="O366" s="46"/>
      <c r="P366" s="328">
        <f>IF(D366=0,0,SUM($L$355:L366))</f>
        <v>29034.84457916487</v>
      </c>
      <c r="Q366" s="317">
        <f>IF(D366=0,0,SUM($J$355:J366))</f>
        <v>28730.831973898854</v>
      </c>
      <c r="R366" s="321">
        <f t="shared" si="111"/>
        <v>-304.01260526601618</v>
      </c>
      <c r="S366" s="41">
        <f t="shared" si="112"/>
        <v>0.9895293875454676</v>
      </c>
      <c r="T366" s="56"/>
      <c r="U366" s="348">
        <f>IF(D366=0,0,SUM($L$20:L366))</f>
        <v>607386.61410029873</v>
      </c>
      <c r="V366" s="348">
        <f>IF(D366=0,0,SUM($J$20:J366))</f>
        <v>602605.86369403661</v>
      </c>
      <c r="W366" s="349">
        <f t="shared" si="113"/>
        <v>-4780.7504062621156</v>
      </c>
      <c r="X366" s="41">
        <f t="shared" si="114"/>
        <v>0.99212898293232277</v>
      </c>
      <c r="Y366" s="17"/>
      <c r="Z366" s="23">
        <f t="shared" si="121"/>
        <v>45638</v>
      </c>
      <c r="AA366" s="22">
        <f t="shared" si="121"/>
        <v>45638</v>
      </c>
      <c r="AB366" s="137">
        <v>45638</v>
      </c>
      <c r="AC366" s="137"/>
      <c r="AD366" s="134"/>
      <c r="AE366" s="134"/>
      <c r="AF366" s="139"/>
      <c r="AG366" s="256"/>
      <c r="AH366" s="256"/>
      <c r="AI366" s="256"/>
      <c r="AJ366" s="256"/>
      <c r="AK366" s="134"/>
      <c r="AL366" s="134"/>
      <c r="AM366" s="134"/>
      <c r="AN366" s="18"/>
      <c r="AO366" s="18"/>
      <c r="AP366" s="18"/>
      <c r="AQ366" s="18"/>
      <c r="AR366" s="17"/>
      <c r="AS366" s="21">
        <f t="shared" si="119"/>
        <v>45638</v>
      </c>
      <c r="AT366" s="17"/>
      <c r="AU366" s="17"/>
      <c r="AV366" s="17"/>
      <c r="AW366" s="17"/>
      <c r="AX366" s="17"/>
      <c r="AY366" s="17"/>
      <c r="AZ366" s="17"/>
    </row>
    <row r="367" spans="1:52" ht="20">
      <c r="A367" s="17"/>
      <c r="B367" s="40"/>
      <c r="C367" s="55">
        <f t="shared" si="115"/>
        <v>348</v>
      </c>
      <c r="D367" s="54">
        <v>1</v>
      </c>
      <c r="E367" s="53" t="str">
        <f t="shared" si="108"/>
        <v>12</v>
      </c>
      <c r="F367" s="52">
        <f t="shared" si="116"/>
        <v>45639</v>
      </c>
      <c r="G367" s="51" t="str">
        <f t="shared" si="117"/>
        <v>Fri</v>
      </c>
      <c r="H367" s="50"/>
      <c r="I367" s="59"/>
      <c r="J367" s="345">
        <f>510650/$B$13</f>
        <v>4627.968098604314</v>
      </c>
      <c r="K367" s="57"/>
      <c r="L367" s="317">
        <f t="shared" si="120"/>
        <v>2903.4844579164874</v>
      </c>
      <c r="M367" s="318">
        <f t="shared" si="109"/>
        <v>1724.4836406878267</v>
      </c>
      <c r="N367" s="41">
        <f t="shared" si="110"/>
        <v>1.5939358951917033</v>
      </c>
      <c r="O367" s="46"/>
      <c r="P367" s="328">
        <f>IF(D367=0,0,SUM($L$355:L367))</f>
        <v>31938.329037081356</v>
      </c>
      <c r="Q367" s="317">
        <f>IF(D367=0,0,SUM($J$355:J367))</f>
        <v>33358.800072503167</v>
      </c>
      <c r="R367" s="321">
        <f t="shared" si="111"/>
        <v>1420.4710354218114</v>
      </c>
      <c r="S367" s="41">
        <f t="shared" si="112"/>
        <v>1.0444754336951254</v>
      </c>
      <c r="T367" s="56"/>
      <c r="U367" s="348">
        <f>IF(D367=0,0,SUM($L$20:L367))</f>
        <v>610290.09855821519</v>
      </c>
      <c r="V367" s="348">
        <f>IF(D367=0,0,SUM($J$20:J367))</f>
        <v>607233.83179264097</v>
      </c>
      <c r="W367" s="349">
        <f t="shared" si="113"/>
        <v>-3056.2667655742262</v>
      </c>
      <c r="X367" s="41">
        <f t="shared" si="114"/>
        <v>0.99499210822395034</v>
      </c>
      <c r="Y367" s="17"/>
      <c r="Z367" s="23">
        <f t="shared" si="121"/>
        <v>45639</v>
      </c>
      <c r="AA367" s="22">
        <f t="shared" si="121"/>
        <v>45639</v>
      </c>
      <c r="AB367" s="137">
        <v>45639</v>
      </c>
      <c r="AC367" s="137"/>
      <c r="AD367" s="134"/>
      <c r="AE367" s="134"/>
      <c r="AF367" s="139"/>
      <c r="AG367" s="256"/>
      <c r="AH367" s="256"/>
      <c r="AI367" s="256"/>
      <c r="AJ367" s="256"/>
      <c r="AK367" s="134"/>
      <c r="AL367" s="134"/>
      <c r="AM367" s="134"/>
      <c r="AN367" s="18"/>
      <c r="AO367" s="18"/>
      <c r="AP367" s="18"/>
      <c r="AQ367" s="18"/>
      <c r="AR367" s="17"/>
      <c r="AS367" s="21">
        <f t="shared" si="119"/>
        <v>45639</v>
      </c>
      <c r="AT367" s="17"/>
      <c r="AU367" s="17"/>
      <c r="AV367" s="17"/>
      <c r="AW367" s="17"/>
      <c r="AX367" s="17"/>
      <c r="AY367" s="17"/>
      <c r="AZ367" s="17"/>
    </row>
    <row r="368" spans="1:52" ht="20">
      <c r="A368" s="17"/>
      <c r="B368" s="40"/>
      <c r="C368" s="55">
        <f t="shared" si="115"/>
        <v>349</v>
      </c>
      <c r="D368" s="54">
        <v>1</v>
      </c>
      <c r="E368" s="53" t="str">
        <f t="shared" si="108"/>
        <v>12</v>
      </c>
      <c r="F368" s="52">
        <f t="shared" si="116"/>
        <v>45640</v>
      </c>
      <c r="G368" s="51" t="str">
        <f t="shared" si="117"/>
        <v>Sat</v>
      </c>
      <c r="H368" s="50"/>
      <c r="I368" s="59"/>
      <c r="J368" s="345">
        <f>116650/$B$13</f>
        <v>1057.1868769258654</v>
      </c>
      <c r="K368" s="57"/>
      <c r="L368" s="317">
        <f t="shared" si="120"/>
        <v>2903.4844579164874</v>
      </c>
      <c r="M368" s="318">
        <f t="shared" si="109"/>
        <v>-1846.297580990622</v>
      </c>
      <c r="N368" s="41">
        <f t="shared" si="110"/>
        <v>0.36410970757683769</v>
      </c>
      <c r="O368" s="46"/>
      <c r="P368" s="328">
        <f>IF(D368=0,0,SUM($L$355:L368))</f>
        <v>34841.813494997841</v>
      </c>
      <c r="Q368" s="317">
        <f>IF(D368=0,0,SUM($J$355:J368))</f>
        <v>34415.986949429032</v>
      </c>
      <c r="R368" s="321">
        <f t="shared" si="111"/>
        <v>-425.8265455688088</v>
      </c>
      <c r="S368" s="41">
        <f t="shared" si="112"/>
        <v>0.98777828985193483</v>
      </c>
      <c r="T368" s="44"/>
      <c r="U368" s="348">
        <f>IF(D368=0,0,SUM($L$20:L368))</f>
        <v>613193.58301613166</v>
      </c>
      <c r="V368" s="348">
        <f>IF(D368=0,0,SUM($J$20:J368))</f>
        <v>608291.01866956684</v>
      </c>
      <c r="W368" s="349">
        <f t="shared" si="113"/>
        <v>-4902.5643465648172</v>
      </c>
      <c r="X368" s="41">
        <f t="shared" si="114"/>
        <v>0.99200486684408784</v>
      </c>
      <c r="Y368" s="17"/>
      <c r="Z368" s="23">
        <f t="shared" si="121"/>
        <v>45640</v>
      </c>
      <c r="AA368" s="22">
        <f t="shared" si="121"/>
        <v>45640</v>
      </c>
      <c r="AB368" s="137">
        <v>45640</v>
      </c>
      <c r="AC368" s="137"/>
      <c r="AD368" s="134"/>
      <c r="AE368" s="134"/>
      <c r="AF368" s="139"/>
      <c r="AG368" s="256"/>
      <c r="AH368" s="256"/>
      <c r="AI368" s="256"/>
      <c r="AJ368" s="256"/>
      <c r="AK368" s="134"/>
      <c r="AL368" s="134"/>
      <c r="AM368" s="134"/>
      <c r="AN368" s="18"/>
      <c r="AO368" s="18"/>
      <c r="AP368" s="18"/>
      <c r="AQ368" s="18"/>
      <c r="AR368" s="17"/>
      <c r="AS368" s="21">
        <f t="shared" si="119"/>
        <v>45640</v>
      </c>
      <c r="AT368" s="17"/>
      <c r="AU368" s="17"/>
      <c r="AV368" s="17"/>
      <c r="AW368" s="17"/>
      <c r="AX368" s="17"/>
      <c r="AY368" s="17"/>
      <c r="AZ368" s="17"/>
    </row>
    <row r="369" spans="1:52" ht="20">
      <c r="A369" s="17"/>
      <c r="B369" s="40"/>
      <c r="C369" s="55">
        <f t="shared" si="115"/>
        <v>350</v>
      </c>
      <c r="D369" s="54">
        <v>0</v>
      </c>
      <c r="E369" s="53" t="str">
        <f t="shared" si="108"/>
        <v>12</v>
      </c>
      <c r="F369" s="52">
        <f t="shared" si="116"/>
        <v>45641</v>
      </c>
      <c r="G369" s="51" t="str">
        <f t="shared" si="117"/>
        <v>Sun</v>
      </c>
      <c r="H369" s="50" t="s">
        <v>46</v>
      </c>
      <c r="I369" s="49"/>
      <c r="J369" s="343"/>
      <c r="K369" s="31"/>
      <c r="L369" s="317">
        <f t="shared" si="120"/>
        <v>0</v>
      </c>
      <c r="M369" s="318">
        <f t="shared" si="109"/>
        <v>0</v>
      </c>
      <c r="N369" s="41" t="str">
        <f t="shared" si="110"/>
        <v>0%</v>
      </c>
      <c r="O369" s="46"/>
      <c r="P369" s="328">
        <f>IF(D369=0,0,SUM($L$355:L369))</f>
        <v>0</v>
      </c>
      <c r="Q369" s="317">
        <f>IF(D369=0,0,SUM($J$355:J369))</f>
        <v>0</v>
      </c>
      <c r="R369" s="321">
        <f t="shared" si="111"/>
        <v>0</v>
      </c>
      <c r="S369" s="41" t="str">
        <f t="shared" si="112"/>
        <v>0%</v>
      </c>
      <c r="T369" s="56"/>
      <c r="U369" s="348">
        <f>IF(D369=0,0,SUM($L$20:L369))</f>
        <v>0</v>
      </c>
      <c r="V369" s="348">
        <f>IF(D369=0,0,SUM($J$20:J369))</f>
        <v>0</v>
      </c>
      <c r="W369" s="349">
        <f t="shared" si="113"/>
        <v>0</v>
      </c>
      <c r="X369" s="41" t="str">
        <f t="shared" si="114"/>
        <v>0%</v>
      </c>
      <c r="Y369" s="17"/>
      <c r="Z369" s="23">
        <f t="shared" si="121"/>
        <v>45641</v>
      </c>
      <c r="AA369" s="22">
        <f t="shared" si="121"/>
        <v>45641</v>
      </c>
      <c r="AB369" s="137">
        <v>45641</v>
      </c>
      <c r="AC369" s="137"/>
      <c r="AD369" s="134"/>
      <c r="AE369" s="134"/>
      <c r="AF369" s="139"/>
      <c r="AG369" s="256"/>
      <c r="AH369" s="256"/>
      <c r="AI369" s="256"/>
      <c r="AJ369" s="256"/>
      <c r="AK369" s="134"/>
      <c r="AL369" s="134"/>
      <c r="AM369" s="134"/>
      <c r="AN369" s="18"/>
      <c r="AO369" s="18"/>
      <c r="AP369" s="18"/>
      <c r="AQ369" s="18"/>
      <c r="AR369" s="17"/>
      <c r="AS369" s="21">
        <f t="shared" si="119"/>
        <v>45641</v>
      </c>
      <c r="AT369" s="17"/>
      <c r="AU369" s="17"/>
      <c r="AV369" s="17"/>
      <c r="AW369" s="17"/>
      <c r="AX369" s="17"/>
      <c r="AY369" s="17"/>
      <c r="AZ369" s="17"/>
    </row>
    <row r="370" spans="1:52" ht="20">
      <c r="A370" s="17"/>
      <c r="B370" s="40"/>
      <c r="C370" s="55">
        <f t="shared" si="115"/>
        <v>351</v>
      </c>
      <c r="D370" s="54">
        <v>1</v>
      </c>
      <c r="E370" s="53" t="str">
        <f t="shared" si="108"/>
        <v>12</v>
      </c>
      <c r="F370" s="52">
        <f t="shared" si="116"/>
        <v>45642</v>
      </c>
      <c r="G370" s="51" t="str">
        <f t="shared" si="117"/>
        <v>Mon</v>
      </c>
      <c r="H370" s="50"/>
      <c r="I370" s="59"/>
      <c r="J370" s="345">
        <f>390170/$B$13</f>
        <v>3536.0703280768535</v>
      </c>
      <c r="K370" s="57"/>
      <c r="L370" s="317">
        <f t="shared" si="120"/>
        <v>2903.4844579164874</v>
      </c>
      <c r="M370" s="318">
        <f t="shared" si="109"/>
        <v>632.58587016036608</v>
      </c>
      <c r="N370" s="41">
        <f t="shared" si="110"/>
        <v>1.2178712782276451</v>
      </c>
      <c r="O370" s="46"/>
      <c r="P370" s="328">
        <f>IF(D370=0,0,SUM($L$355:L370))</f>
        <v>37745.297952914327</v>
      </c>
      <c r="Q370" s="317">
        <f>IF(D370=0,0,SUM($J$355:J370))</f>
        <v>37952.057277505883</v>
      </c>
      <c r="R370" s="321">
        <f t="shared" si="111"/>
        <v>206.75932459155592</v>
      </c>
      <c r="S370" s="41">
        <f t="shared" si="112"/>
        <v>1.0054777504962202</v>
      </c>
      <c r="T370" s="56"/>
      <c r="U370" s="348">
        <f>IF(D370=0,0,SUM($L$20:L370))</f>
        <v>616097.06747404812</v>
      </c>
      <c r="V370" s="348">
        <f>IF(D370=0,0,SUM($J$20:J370))</f>
        <v>611827.08899764367</v>
      </c>
      <c r="W370" s="349">
        <f t="shared" si="113"/>
        <v>-4269.9784764044452</v>
      </c>
      <c r="X370" s="41">
        <f t="shared" si="114"/>
        <v>0.9930693088770719</v>
      </c>
      <c r="Y370" s="17"/>
      <c r="Z370" s="23">
        <f t="shared" si="121"/>
        <v>45642</v>
      </c>
      <c r="AA370" s="22">
        <f t="shared" si="121"/>
        <v>45642</v>
      </c>
      <c r="AB370" s="137">
        <v>45642</v>
      </c>
      <c r="AC370" s="137"/>
      <c r="AD370" s="134"/>
      <c r="AE370" s="134"/>
      <c r="AF370" s="139"/>
      <c r="AG370" s="256"/>
      <c r="AH370" s="256"/>
      <c r="AI370" s="256"/>
      <c r="AJ370" s="256"/>
      <c r="AK370" s="134"/>
      <c r="AL370" s="134"/>
      <c r="AM370" s="134"/>
      <c r="AN370" s="18"/>
      <c r="AO370" s="18"/>
      <c r="AP370" s="18"/>
      <c r="AQ370" s="18"/>
      <c r="AR370" s="17"/>
      <c r="AS370" s="21">
        <f t="shared" si="119"/>
        <v>45642</v>
      </c>
      <c r="AT370" s="17"/>
      <c r="AU370" s="17"/>
      <c r="AV370" s="17"/>
      <c r="AW370" s="17"/>
      <c r="AX370" s="17"/>
      <c r="AY370" s="17"/>
      <c r="AZ370" s="17"/>
    </row>
    <row r="371" spans="1:52" ht="20">
      <c r="A371" s="17"/>
      <c r="B371" s="40"/>
      <c r="C371" s="55">
        <f t="shared" si="115"/>
        <v>352</v>
      </c>
      <c r="D371" s="54">
        <v>1</v>
      </c>
      <c r="E371" s="53" t="str">
        <f t="shared" si="108"/>
        <v>12</v>
      </c>
      <c r="F371" s="52">
        <f t="shared" si="116"/>
        <v>45643</v>
      </c>
      <c r="G371" s="51" t="str">
        <f t="shared" si="117"/>
        <v>Tue</v>
      </c>
      <c r="H371" s="50"/>
      <c r="I371" s="59"/>
      <c r="J371" s="345">
        <f>336680/$B$13</f>
        <v>3051.295994199746</v>
      </c>
      <c r="K371" s="57"/>
      <c r="L371" s="317">
        <f t="shared" si="120"/>
        <v>2903.4844579164874</v>
      </c>
      <c r="M371" s="318">
        <f t="shared" si="109"/>
        <v>147.81153628325865</v>
      </c>
      <c r="N371" s="41">
        <f t="shared" si="110"/>
        <v>1.0509083270207435</v>
      </c>
      <c r="O371" s="46"/>
      <c r="P371" s="328">
        <f>IF(D371=0,0,SUM($L$355:L371))</f>
        <v>40648.782410830812</v>
      </c>
      <c r="Q371" s="317">
        <f>IF(D371=0,0,SUM($J$355:J371))</f>
        <v>41003.35327170563</v>
      </c>
      <c r="R371" s="321">
        <f t="shared" si="111"/>
        <v>354.5708608748173</v>
      </c>
      <c r="S371" s="41">
        <f t="shared" si="112"/>
        <v>1.0087227916765433</v>
      </c>
      <c r="T371" s="56"/>
      <c r="U371" s="348">
        <f>IF(D371=0,0,SUM($L$20:L371))</f>
        <v>619000.55193196458</v>
      </c>
      <c r="V371" s="348">
        <f>IF(D371=0,0,SUM($J$20:J371))</f>
        <v>614878.38499184337</v>
      </c>
      <c r="W371" s="349">
        <f t="shared" si="113"/>
        <v>-4122.166940121213</v>
      </c>
      <c r="X371" s="41">
        <f t="shared" si="114"/>
        <v>0.99334060861940188</v>
      </c>
      <c r="Y371" s="17"/>
      <c r="Z371" s="23">
        <f t="shared" si="121"/>
        <v>45643</v>
      </c>
      <c r="AA371" s="22">
        <f t="shared" si="121"/>
        <v>45643</v>
      </c>
      <c r="AB371" s="137">
        <v>45643</v>
      </c>
      <c r="AC371" s="137"/>
      <c r="AD371" s="134"/>
      <c r="AE371" s="134"/>
      <c r="AF371" s="139"/>
      <c r="AG371" s="256"/>
      <c r="AH371" s="256"/>
      <c r="AI371" s="256"/>
      <c r="AJ371" s="256"/>
      <c r="AK371" s="134"/>
      <c r="AL371" s="134"/>
      <c r="AM371" s="134"/>
      <c r="AN371" s="18"/>
      <c r="AO371" s="18"/>
      <c r="AP371" s="18"/>
      <c r="AQ371" s="18"/>
      <c r="AR371" s="17"/>
      <c r="AS371" s="21">
        <f t="shared" si="119"/>
        <v>45643</v>
      </c>
      <c r="AT371" s="17"/>
      <c r="AU371" s="17"/>
      <c r="AV371" s="17"/>
      <c r="AW371" s="17"/>
      <c r="AX371" s="17"/>
      <c r="AY371" s="17"/>
      <c r="AZ371" s="17"/>
    </row>
    <row r="372" spans="1:52" ht="20">
      <c r="A372" s="17"/>
      <c r="B372" s="40"/>
      <c r="C372" s="55">
        <f t="shared" si="115"/>
        <v>353</v>
      </c>
      <c r="D372" s="54">
        <v>1</v>
      </c>
      <c r="E372" s="53" t="str">
        <f t="shared" si="108"/>
        <v>12</v>
      </c>
      <c r="F372" s="52">
        <f t="shared" si="116"/>
        <v>45644</v>
      </c>
      <c r="G372" s="51" t="str">
        <f t="shared" si="117"/>
        <v>Wed</v>
      </c>
      <c r="H372" s="50"/>
      <c r="I372" s="59"/>
      <c r="J372" s="345">
        <f>457010/$B$13</f>
        <v>4141.8343302519488</v>
      </c>
      <c r="K372" s="57"/>
      <c r="L372" s="317">
        <f t="shared" si="120"/>
        <v>2903.4844579164874</v>
      </c>
      <c r="M372" s="318">
        <f t="shared" si="109"/>
        <v>1238.3498723354614</v>
      </c>
      <c r="N372" s="41">
        <f t="shared" si="110"/>
        <v>1.4265047360453549</v>
      </c>
      <c r="O372" s="46"/>
      <c r="P372" s="328">
        <f>IF(D372=0,0,SUM($L$355:L372))</f>
        <v>43552.266868747298</v>
      </c>
      <c r="Q372" s="317">
        <f>IF(D372=0,0,SUM($J$355:J372))</f>
        <v>45145.187601957579</v>
      </c>
      <c r="R372" s="321">
        <f t="shared" si="111"/>
        <v>1592.9207332102815</v>
      </c>
      <c r="S372" s="41">
        <f t="shared" si="112"/>
        <v>1.0365749213011308</v>
      </c>
      <c r="T372" s="56"/>
      <c r="U372" s="348">
        <f>IF(D372=0,0,SUM($L$20:L372))</f>
        <v>621904.03638988105</v>
      </c>
      <c r="V372" s="348">
        <f>IF(D372=0,0,SUM($J$20:J372))</f>
        <v>619020.21932209528</v>
      </c>
      <c r="W372" s="349">
        <f t="shared" si="113"/>
        <v>-2883.8170677857706</v>
      </c>
      <c r="X372" s="41">
        <f t="shared" si="114"/>
        <v>0.99536292273559412</v>
      </c>
      <c r="Y372" s="17"/>
      <c r="Z372" s="23">
        <f t="shared" si="121"/>
        <v>45644</v>
      </c>
      <c r="AA372" s="22">
        <f t="shared" si="121"/>
        <v>45644</v>
      </c>
      <c r="AB372" s="137">
        <v>45644</v>
      </c>
      <c r="AC372" s="137"/>
      <c r="AD372" s="134"/>
      <c r="AE372" s="134"/>
      <c r="AF372" s="139"/>
      <c r="AG372" s="256"/>
      <c r="AH372" s="256"/>
      <c r="AI372" s="256"/>
      <c r="AJ372" s="256"/>
      <c r="AK372" s="134"/>
      <c r="AL372" s="134"/>
      <c r="AM372" s="134"/>
      <c r="AN372" s="18"/>
      <c r="AO372" s="18"/>
      <c r="AP372" s="18"/>
      <c r="AQ372" s="18"/>
      <c r="AR372" s="17"/>
      <c r="AS372" s="21">
        <f t="shared" si="119"/>
        <v>45644</v>
      </c>
      <c r="AT372" s="17"/>
      <c r="AU372" s="17"/>
      <c r="AV372" s="17"/>
      <c r="AW372" s="17"/>
      <c r="AX372" s="17"/>
      <c r="AY372" s="17"/>
      <c r="AZ372" s="17"/>
    </row>
    <row r="373" spans="1:52" ht="20">
      <c r="A373" s="17"/>
      <c r="B373" s="40"/>
      <c r="C373" s="55">
        <f t="shared" si="115"/>
        <v>354</v>
      </c>
      <c r="D373" s="54">
        <v>1</v>
      </c>
      <c r="E373" s="53" t="str">
        <f t="shared" si="108"/>
        <v>12</v>
      </c>
      <c r="F373" s="52">
        <f t="shared" si="116"/>
        <v>45645</v>
      </c>
      <c r="G373" s="51" t="str">
        <f t="shared" si="117"/>
        <v>Thu</v>
      </c>
      <c r="H373" s="50"/>
      <c r="I373" s="59"/>
      <c r="J373" s="345">
        <f>340270/$B$13</f>
        <v>3083.8317926409281</v>
      </c>
      <c r="K373" s="57"/>
      <c r="L373" s="317">
        <f t="shared" si="120"/>
        <v>2903.4844579164874</v>
      </c>
      <c r="M373" s="318">
        <f t="shared" si="109"/>
        <v>180.34733472444077</v>
      </c>
      <c r="N373" s="41">
        <f t="shared" si="110"/>
        <v>1.0621141037048485</v>
      </c>
      <c r="O373" s="46"/>
      <c r="P373" s="328">
        <f>IF(D373=0,0,SUM($L$355:L373))</f>
        <v>46455.751326663783</v>
      </c>
      <c r="Q373" s="317">
        <f>IF(D373=0,0,SUM($J$355:J373))</f>
        <v>48229.019394598508</v>
      </c>
      <c r="R373" s="321">
        <f t="shared" si="111"/>
        <v>1773.268067934725</v>
      </c>
      <c r="S373" s="41">
        <f t="shared" si="112"/>
        <v>1.0381711202013633</v>
      </c>
      <c r="T373" s="56"/>
      <c r="U373" s="348">
        <f>IF(D373=0,0,SUM($L$20:L373))</f>
        <v>624807.52084779751</v>
      </c>
      <c r="V373" s="348">
        <f>IF(D373=0,0,SUM($J$20:J373))</f>
        <v>622104.05111473624</v>
      </c>
      <c r="W373" s="349">
        <f t="shared" si="113"/>
        <v>-2703.4697330612689</v>
      </c>
      <c r="X373" s="41">
        <f t="shared" si="114"/>
        <v>0.99567311589112606</v>
      </c>
      <c r="Y373" s="17"/>
      <c r="Z373" s="23">
        <f t="shared" ref="Z373:AA385" si="122">Z372+1</f>
        <v>45645</v>
      </c>
      <c r="AA373" s="22">
        <f t="shared" si="122"/>
        <v>45645</v>
      </c>
      <c r="AB373" s="137">
        <v>45645</v>
      </c>
      <c r="AC373" s="137"/>
      <c r="AD373" s="134"/>
      <c r="AE373" s="134"/>
      <c r="AF373" s="139"/>
      <c r="AG373" s="256"/>
      <c r="AH373" s="256"/>
      <c r="AI373" s="256"/>
      <c r="AJ373" s="256"/>
      <c r="AK373" s="134"/>
      <c r="AL373" s="134"/>
      <c r="AM373" s="134"/>
      <c r="AN373" s="18"/>
      <c r="AO373" s="18"/>
      <c r="AP373" s="18"/>
      <c r="AQ373" s="18"/>
      <c r="AR373" s="17"/>
      <c r="AS373" s="21">
        <f t="shared" si="119"/>
        <v>45645</v>
      </c>
      <c r="AT373" s="17"/>
      <c r="AU373" s="17"/>
      <c r="AV373" s="17"/>
      <c r="AW373" s="17"/>
      <c r="AX373" s="17"/>
      <c r="AY373" s="17"/>
      <c r="AZ373" s="17"/>
    </row>
    <row r="374" spans="1:52" ht="20">
      <c r="A374" s="17"/>
      <c r="B374" s="40"/>
      <c r="C374" s="55">
        <f t="shared" si="115"/>
        <v>355</v>
      </c>
      <c r="D374" s="54">
        <v>1</v>
      </c>
      <c r="E374" s="53" t="str">
        <f t="shared" si="108"/>
        <v>12</v>
      </c>
      <c r="F374" s="52">
        <f t="shared" si="116"/>
        <v>45646</v>
      </c>
      <c r="G374" s="51" t="str">
        <f t="shared" si="117"/>
        <v>Fri</v>
      </c>
      <c r="H374" s="50"/>
      <c r="I374" s="59"/>
      <c r="J374" s="345">
        <f>433210/$B$13</f>
        <v>3926.1373935109659</v>
      </c>
      <c r="K374" s="57"/>
      <c r="L374" s="317">
        <f t="shared" si="120"/>
        <v>2903.4844579164874</v>
      </c>
      <c r="M374" s="318">
        <f t="shared" si="109"/>
        <v>1022.6529355944785</v>
      </c>
      <c r="N374" s="41">
        <f t="shared" si="110"/>
        <v>1.3522157429863855</v>
      </c>
      <c r="O374" s="46"/>
      <c r="P374" s="328">
        <f>IF(D374=0,0,SUM($L$355:L374))</f>
        <v>49359.235784580269</v>
      </c>
      <c r="Q374" s="317">
        <f>IF(D374=0,0,SUM($J$355:J374))</f>
        <v>52155.156788109474</v>
      </c>
      <c r="R374" s="321">
        <f t="shared" si="111"/>
        <v>2795.9210035292053</v>
      </c>
      <c r="S374" s="41">
        <f t="shared" si="112"/>
        <v>1.0566443333063646</v>
      </c>
      <c r="T374" s="56"/>
      <c r="U374" s="348">
        <f>IF(D374=0,0,SUM($L$20:L374))</f>
        <v>627711.00530571397</v>
      </c>
      <c r="V374" s="348">
        <f>IF(D374=0,0,SUM($J$20:J374))</f>
        <v>626030.18850824726</v>
      </c>
      <c r="W374" s="349">
        <f t="shared" si="113"/>
        <v>-1680.8167974667158</v>
      </c>
      <c r="X374" s="41">
        <f t="shared" si="114"/>
        <v>0.9973223079040201</v>
      </c>
      <c r="Y374" s="17"/>
      <c r="Z374" s="23">
        <f t="shared" si="122"/>
        <v>45646</v>
      </c>
      <c r="AA374" s="22">
        <f t="shared" si="122"/>
        <v>45646</v>
      </c>
      <c r="AB374" s="137">
        <v>45646</v>
      </c>
      <c r="AC374" s="137"/>
      <c r="AD374" s="134"/>
      <c r="AE374" s="134"/>
      <c r="AF374" s="139"/>
      <c r="AG374" s="256"/>
      <c r="AH374" s="256"/>
      <c r="AI374" s="256"/>
      <c r="AJ374" s="256"/>
      <c r="AK374" s="134"/>
      <c r="AL374" s="134"/>
      <c r="AM374" s="134"/>
      <c r="AN374" s="18"/>
      <c r="AO374" s="18"/>
      <c r="AP374" s="18"/>
      <c r="AQ374" s="18"/>
      <c r="AR374" s="17"/>
      <c r="AS374" s="21">
        <f t="shared" si="119"/>
        <v>45646</v>
      </c>
      <c r="AT374" s="17"/>
      <c r="AU374" s="17"/>
      <c r="AV374" s="17"/>
      <c r="AW374" s="17"/>
      <c r="AX374" s="17"/>
      <c r="AY374" s="17"/>
      <c r="AZ374" s="17"/>
    </row>
    <row r="375" spans="1:52" ht="20">
      <c r="A375" s="17"/>
      <c r="B375" s="40"/>
      <c r="C375" s="55">
        <f t="shared" si="115"/>
        <v>356</v>
      </c>
      <c r="D375" s="54">
        <v>1</v>
      </c>
      <c r="E375" s="53" t="str">
        <f t="shared" si="108"/>
        <v>12</v>
      </c>
      <c r="F375" s="52">
        <f t="shared" si="116"/>
        <v>45647</v>
      </c>
      <c r="G375" s="51" t="str">
        <f t="shared" si="117"/>
        <v>Sat</v>
      </c>
      <c r="H375" s="50"/>
      <c r="I375" s="59"/>
      <c r="J375" s="345">
        <f>357950/$B$13</f>
        <v>3244.0638027913719</v>
      </c>
      <c r="K375" s="57"/>
      <c r="L375" s="317">
        <f t="shared" si="120"/>
        <v>2903.4844579164874</v>
      </c>
      <c r="M375" s="318">
        <f t="shared" si="109"/>
        <v>340.57934487488455</v>
      </c>
      <c r="N375" s="41">
        <f t="shared" si="110"/>
        <v>1.1173002128343683</v>
      </c>
      <c r="O375" s="46"/>
      <c r="P375" s="328">
        <f>IF(D375=0,0,SUM($L$355:L375))</f>
        <v>52262.720242496755</v>
      </c>
      <c r="Q375" s="317">
        <f>IF(D375=0,0,SUM($J$355:J375))</f>
        <v>55399.220590900848</v>
      </c>
      <c r="R375" s="321">
        <f t="shared" si="111"/>
        <v>3136.5003484040935</v>
      </c>
      <c r="S375" s="41">
        <f t="shared" si="112"/>
        <v>1.0600141043912539</v>
      </c>
      <c r="T375" s="44"/>
      <c r="U375" s="348">
        <f>IF(D375=0,0,SUM($L$20:L375))</f>
        <v>630614.48976363044</v>
      </c>
      <c r="V375" s="348">
        <f>IF(D375=0,0,SUM($J$20:J375))</f>
        <v>629274.25231103867</v>
      </c>
      <c r="W375" s="349">
        <f t="shared" si="113"/>
        <v>-1340.2374525917694</v>
      </c>
      <c r="X375" s="41">
        <f t="shared" si="114"/>
        <v>0.99787471192884558</v>
      </c>
      <c r="Y375" s="17"/>
      <c r="Z375" s="23">
        <f t="shared" si="122"/>
        <v>45647</v>
      </c>
      <c r="AA375" s="22">
        <f t="shared" si="122"/>
        <v>45647</v>
      </c>
      <c r="AB375" s="137">
        <v>45647</v>
      </c>
      <c r="AC375" s="137"/>
      <c r="AD375" s="134"/>
      <c r="AE375" s="134"/>
      <c r="AF375" s="139"/>
      <c r="AG375" s="256"/>
      <c r="AH375" s="256"/>
      <c r="AI375" s="256"/>
      <c r="AJ375" s="256"/>
      <c r="AK375" s="134"/>
      <c r="AL375" s="134"/>
      <c r="AM375" s="134"/>
      <c r="AN375" s="18"/>
      <c r="AO375" s="18"/>
      <c r="AP375" s="18"/>
      <c r="AQ375" s="18"/>
      <c r="AR375" s="17"/>
      <c r="AS375" s="21">
        <f t="shared" si="119"/>
        <v>45647</v>
      </c>
      <c r="AT375" s="17"/>
      <c r="AU375" s="17"/>
      <c r="AV375" s="17"/>
      <c r="AW375" s="17"/>
      <c r="AX375" s="17"/>
      <c r="AY375" s="17"/>
      <c r="AZ375" s="17"/>
    </row>
    <row r="376" spans="1:52" ht="20">
      <c r="A376" s="17"/>
      <c r="B376" s="40"/>
      <c r="C376" s="55">
        <f t="shared" si="115"/>
        <v>357</v>
      </c>
      <c r="D376" s="54">
        <v>0</v>
      </c>
      <c r="E376" s="53" t="str">
        <f t="shared" si="108"/>
        <v>12</v>
      </c>
      <c r="F376" s="52">
        <f t="shared" si="116"/>
        <v>45648</v>
      </c>
      <c r="G376" s="51" t="str">
        <f t="shared" si="117"/>
        <v>Sun</v>
      </c>
      <c r="H376" s="50" t="s">
        <v>46</v>
      </c>
      <c r="I376" s="49"/>
      <c r="J376" s="343"/>
      <c r="K376" s="31"/>
      <c r="L376" s="317">
        <f t="shared" si="120"/>
        <v>0</v>
      </c>
      <c r="M376" s="318">
        <f t="shared" si="109"/>
        <v>0</v>
      </c>
      <c r="N376" s="41" t="str">
        <f t="shared" si="110"/>
        <v>0%</v>
      </c>
      <c r="O376" s="46"/>
      <c r="P376" s="328">
        <f>IF(D376=0,0,SUM($L$355:L376))</f>
        <v>0</v>
      </c>
      <c r="Q376" s="317">
        <f>IF(D376=0,0,SUM($J$355:J376))</f>
        <v>0</v>
      </c>
      <c r="R376" s="321">
        <f t="shared" si="111"/>
        <v>0</v>
      </c>
      <c r="S376" s="41" t="str">
        <f t="shared" si="112"/>
        <v>0%</v>
      </c>
      <c r="T376" s="56"/>
      <c r="U376" s="348">
        <f>IF(D376=0,0,SUM($L$20:L376))</f>
        <v>0</v>
      </c>
      <c r="V376" s="348">
        <f>IF(D376=0,0,SUM($J$20:J376))</f>
        <v>0</v>
      </c>
      <c r="W376" s="349">
        <f t="shared" si="113"/>
        <v>0</v>
      </c>
      <c r="X376" s="41" t="str">
        <f t="shared" si="114"/>
        <v>0%</v>
      </c>
      <c r="Y376" s="17"/>
      <c r="Z376" s="23">
        <f t="shared" si="122"/>
        <v>45648</v>
      </c>
      <c r="AA376" s="22">
        <f t="shared" si="122"/>
        <v>45648</v>
      </c>
      <c r="AB376" s="137">
        <v>45648</v>
      </c>
      <c r="AC376" s="137"/>
      <c r="AD376" s="134"/>
      <c r="AE376" s="134"/>
      <c r="AF376" s="139"/>
      <c r="AG376" s="256"/>
      <c r="AH376" s="256"/>
      <c r="AI376" s="256"/>
      <c r="AJ376" s="256"/>
      <c r="AK376" s="134"/>
      <c r="AL376" s="134"/>
      <c r="AM376" s="134"/>
      <c r="AN376" s="18"/>
      <c r="AO376" s="18"/>
      <c r="AP376" s="18"/>
      <c r="AQ376" s="18"/>
      <c r="AR376" s="17"/>
      <c r="AS376" s="21">
        <f t="shared" si="119"/>
        <v>45648</v>
      </c>
      <c r="AT376" s="17"/>
      <c r="AU376" s="17"/>
      <c r="AV376" s="17"/>
      <c r="AW376" s="17"/>
      <c r="AX376" s="17"/>
      <c r="AY376" s="17"/>
      <c r="AZ376" s="17"/>
    </row>
    <row r="377" spans="1:52" ht="20">
      <c r="A377" s="17"/>
      <c r="B377" s="40"/>
      <c r="C377" s="55">
        <f t="shared" si="115"/>
        <v>358</v>
      </c>
      <c r="D377" s="54">
        <v>1</v>
      </c>
      <c r="E377" s="53" t="str">
        <f t="shared" si="108"/>
        <v>12</v>
      </c>
      <c r="F377" s="52">
        <f t="shared" si="116"/>
        <v>45649</v>
      </c>
      <c r="G377" s="51" t="str">
        <f t="shared" si="117"/>
        <v>Mon</v>
      </c>
      <c r="H377" s="50"/>
      <c r="I377" s="49"/>
      <c r="J377" s="343">
        <f>170350/$B$13</f>
        <v>1543.8644190683342</v>
      </c>
      <c r="K377" s="31"/>
      <c r="L377" s="317">
        <f t="shared" si="120"/>
        <v>2903.4844579164874</v>
      </c>
      <c r="M377" s="318">
        <f t="shared" si="109"/>
        <v>-1359.6200388481532</v>
      </c>
      <c r="N377" s="41">
        <f t="shared" si="110"/>
        <v>0.53172814989896533</v>
      </c>
      <c r="O377" s="46"/>
      <c r="P377" s="328">
        <f>IF(D377=0,0,SUM($L$355:L377))</f>
        <v>55166.20470041324</v>
      </c>
      <c r="Q377" s="317">
        <f>IF(D377=0,0,SUM($J$355:J377))</f>
        <v>56943.085009969182</v>
      </c>
      <c r="R377" s="321">
        <f t="shared" si="111"/>
        <v>1776.8803095559415</v>
      </c>
      <c r="S377" s="41">
        <f t="shared" si="112"/>
        <v>1.0322095804706071</v>
      </c>
      <c r="T377" s="56"/>
      <c r="U377" s="348">
        <f>IF(D377=0,0,SUM($L$20:L377))</f>
        <v>633517.9742215469</v>
      </c>
      <c r="V377" s="348">
        <f>IF(D377=0,0,SUM($J$20:J377))</f>
        <v>630818.11673010699</v>
      </c>
      <c r="W377" s="349">
        <f t="shared" si="113"/>
        <v>-2699.8574914399069</v>
      </c>
      <c r="X377" s="41">
        <f t="shared" si="114"/>
        <v>0.99573830956452747</v>
      </c>
      <c r="Y377" s="17"/>
      <c r="Z377" s="23">
        <f t="shared" si="122"/>
        <v>45649</v>
      </c>
      <c r="AA377" s="22">
        <f t="shared" si="122"/>
        <v>45649</v>
      </c>
      <c r="AB377" s="137">
        <v>45649</v>
      </c>
      <c r="AC377" s="137"/>
      <c r="AD377" s="134"/>
      <c r="AE377" s="134"/>
      <c r="AF377" s="139"/>
      <c r="AG377" s="256"/>
      <c r="AH377" s="256"/>
      <c r="AI377" s="256"/>
      <c r="AJ377" s="256"/>
      <c r="AK377" s="134"/>
      <c r="AL377" s="134"/>
      <c r="AM377" s="134"/>
      <c r="AN377" s="18"/>
      <c r="AO377" s="18"/>
      <c r="AP377" s="18"/>
      <c r="AQ377" s="18"/>
      <c r="AR377" s="17"/>
      <c r="AS377" s="21">
        <f t="shared" si="119"/>
        <v>45649</v>
      </c>
      <c r="AT377" s="17"/>
      <c r="AU377" s="17"/>
      <c r="AV377" s="17"/>
      <c r="AW377" s="17"/>
      <c r="AX377" s="17"/>
      <c r="AY377" s="17"/>
      <c r="AZ377" s="17"/>
    </row>
    <row r="378" spans="1:52" ht="20">
      <c r="A378" s="17"/>
      <c r="B378" s="40"/>
      <c r="C378" s="55">
        <f t="shared" si="115"/>
        <v>359</v>
      </c>
      <c r="D378" s="54">
        <v>1</v>
      </c>
      <c r="E378" s="53" t="str">
        <f t="shared" si="108"/>
        <v>12</v>
      </c>
      <c r="F378" s="52">
        <f t="shared" si="116"/>
        <v>45650</v>
      </c>
      <c r="G378" s="51" t="str">
        <f t="shared" si="117"/>
        <v>Tue</v>
      </c>
      <c r="H378" s="50"/>
      <c r="I378" s="49"/>
      <c r="J378" s="343">
        <f>303010/$B$13</f>
        <v>2746.148268986768</v>
      </c>
      <c r="K378" s="31"/>
      <c r="L378" s="317">
        <f t="shared" si="120"/>
        <v>2903.4844579164874</v>
      </c>
      <c r="M378" s="318">
        <f t="shared" si="109"/>
        <v>-157.33618892971936</v>
      </c>
      <c r="N378" s="41">
        <f t="shared" si="110"/>
        <v>0.94581125154614321</v>
      </c>
      <c r="O378" s="46"/>
      <c r="P378" s="328">
        <f>IF(D378=0,0,SUM($L$355:L378))</f>
        <v>58069.689158329726</v>
      </c>
      <c r="Q378" s="317">
        <f>IF(D378=0,0,SUM($J$355:J378))</f>
        <v>59689.233278955951</v>
      </c>
      <c r="R378" s="321">
        <f t="shared" si="111"/>
        <v>1619.5441206262258</v>
      </c>
      <c r="S378" s="41">
        <f t="shared" si="112"/>
        <v>1.027889664024384</v>
      </c>
      <c r="T378" s="56"/>
      <c r="U378" s="348">
        <f>IF(D378=0,0,SUM($L$20:L378))</f>
        <v>636421.45867946337</v>
      </c>
      <c r="V378" s="348">
        <f>IF(D378=0,0,SUM($J$20:J378))</f>
        <v>633564.26499909372</v>
      </c>
      <c r="W378" s="349">
        <f t="shared" si="113"/>
        <v>-2857.1936803696444</v>
      </c>
      <c r="X378" s="41">
        <f t="shared" si="114"/>
        <v>0.99551053214594909</v>
      </c>
      <c r="Y378" s="17"/>
      <c r="Z378" s="23">
        <f t="shared" si="122"/>
        <v>45650</v>
      </c>
      <c r="AA378" s="22">
        <f t="shared" si="122"/>
        <v>45650</v>
      </c>
      <c r="AB378" s="137">
        <v>45650</v>
      </c>
      <c r="AC378" s="137"/>
      <c r="AD378" s="134"/>
      <c r="AE378" s="134"/>
      <c r="AF378" s="139"/>
      <c r="AG378" s="256"/>
      <c r="AH378" s="256"/>
      <c r="AI378" s="256"/>
      <c r="AJ378" s="256"/>
      <c r="AK378" s="134"/>
      <c r="AL378" s="134"/>
      <c r="AM378" s="134"/>
      <c r="AN378" s="18"/>
      <c r="AO378" s="18"/>
      <c r="AP378" s="18"/>
      <c r="AQ378" s="18"/>
      <c r="AR378" s="17"/>
      <c r="AS378" s="21">
        <f t="shared" si="119"/>
        <v>45650</v>
      </c>
      <c r="AT378" s="17"/>
      <c r="AU378" s="17"/>
      <c r="AV378" s="17"/>
      <c r="AW378" s="17"/>
      <c r="AX378" s="17"/>
      <c r="AY378" s="17"/>
      <c r="AZ378" s="17"/>
    </row>
    <row r="379" spans="1:52" ht="20">
      <c r="A379" s="17"/>
      <c r="B379" s="40"/>
      <c r="C379" s="55">
        <f t="shared" si="115"/>
        <v>360</v>
      </c>
      <c r="D379" s="54">
        <v>1</v>
      </c>
      <c r="E379" s="53" t="str">
        <f t="shared" si="108"/>
        <v>12</v>
      </c>
      <c r="F379" s="52">
        <f t="shared" si="116"/>
        <v>45651</v>
      </c>
      <c r="G379" s="51" t="str">
        <f t="shared" si="117"/>
        <v>Wed</v>
      </c>
      <c r="H379" s="50"/>
      <c r="I379" s="49"/>
      <c r="J379" s="343">
        <f>348090/$B$13</f>
        <v>3154.7036432843938</v>
      </c>
      <c r="K379" s="31"/>
      <c r="L379" s="317">
        <f t="shared" si="120"/>
        <v>2903.4844579164874</v>
      </c>
      <c r="M379" s="318">
        <f t="shared" si="109"/>
        <v>251.21918536790645</v>
      </c>
      <c r="N379" s="41">
        <f t="shared" si="110"/>
        <v>1.0865233442813671</v>
      </c>
      <c r="O379" s="46"/>
      <c r="P379" s="328">
        <f>IF(D379=0,0,SUM($L$355:L379))</f>
        <v>60973.173616246211</v>
      </c>
      <c r="Q379" s="317">
        <f>IF(D379=0,0,SUM($J$355:J379))</f>
        <v>62843.936922240347</v>
      </c>
      <c r="R379" s="321">
        <f t="shared" si="111"/>
        <v>1870.7633059941363</v>
      </c>
      <c r="S379" s="41">
        <f t="shared" si="112"/>
        <v>1.0306817440366214</v>
      </c>
      <c r="T379" s="56"/>
      <c r="U379" s="348">
        <f>IF(D379=0,0,SUM($L$20:L379))</f>
        <v>639324.94313737983</v>
      </c>
      <c r="V379" s="348">
        <f>IF(D379=0,0,SUM($J$20:J379))</f>
        <v>636718.96864237811</v>
      </c>
      <c r="W379" s="349">
        <f t="shared" si="113"/>
        <v>-2605.9744950017193</v>
      </c>
      <c r="X379" s="41">
        <f t="shared" si="114"/>
        <v>0.99592386544123657</v>
      </c>
      <c r="Y379" s="17"/>
      <c r="Z379" s="23">
        <f t="shared" si="122"/>
        <v>45651</v>
      </c>
      <c r="AA379" s="22">
        <f t="shared" si="122"/>
        <v>45651</v>
      </c>
      <c r="AB379" s="137">
        <v>45651</v>
      </c>
      <c r="AC379" s="137"/>
      <c r="AD379" s="134"/>
      <c r="AE379" s="134"/>
      <c r="AF379" s="139"/>
      <c r="AG379" s="256"/>
      <c r="AH379" s="256"/>
      <c r="AI379" s="256"/>
      <c r="AJ379" s="256"/>
      <c r="AK379" s="134"/>
      <c r="AL379" s="134"/>
      <c r="AM379" s="134"/>
      <c r="AN379" s="18"/>
      <c r="AO379" s="18"/>
      <c r="AP379" s="18"/>
      <c r="AQ379" s="18"/>
      <c r="AR379" s="17"/>
      <c r="AS379" s="21">
        <f t="shared" si="119"/>
        <v>45651</v>
      </c>
      <c r="AT379" s="17"/>
      <c r="AU379" s="17"/>
      <c r="AV379" s="17"/>
      <c r="AW379" s="17"/>
      <c r="AX379" s="17"/>
      <c r="AY379" s="17"/>
      <c r="AZ379" s="17"/>
    </row>
    <row r="380" spans="1:52" ht="20">
      <c r="A380" s="17"/>
      <c r="B380" s="40"/>
      <c r="C380" s="55">
        <f t="shared" si="115"/>
        <v>361</v>
      </c>
      <c r="D380" s="54">
        <v>1</v>
      </c>
      <c r="E380" s="53" t="str">
        <f t="shared" si="108"/>
        <v>12</v>
      </c>
      <c r="F380" s="52">
        <f t="shared" si="116"/>
        <v>45652</v>
      </c>
      <c r="G380" s="51" t="str">
        <f t="shared" si="117"/>
        <v>Thu</v>
      </c>
      <c r="H380" s="50"/>
      <c r="I380" s="49"/>
      <c r="J380" s="343">
        <f>463050/$B$13</f>
        <v>4196.5742251223492</v>
      </c>
      <c r="K380" s="31"/>
      <c r="L380" s="317">
        <f t="shared" si="120"/>
        <v>2903.4844579164874</v>
      </c>
      <c r="M380" s="318">
        <f t="shared" si="109"/>
        <v>1293.0897672058618</v>
      </c>
      <c r="N380" s="41">
        <f t="shared" si="110"/>
        <v>1.4453579090737654</v>
      </c>
      <c r="O380" s="46"/>
      <c r="P380" s="328">
        <f>IF(D380=0,0,SUM($L$355:L380))</f>
        <v>63876.658074162697</v>
      </c>
      <c r="Q380" s="317">
        <f>IF(D380=0,0,SUM($J$355:J380))</f>
        <v>67040.511147362704</v>
      </c>
      <c r="R380" s="321">
        <f t="shared" si="111"/>
        <v>3163.8530732000072</v>
      </c>
      <c r="S380" s="41">
        <f t="shared" si="112"/>
        <v>1.049530660629219</v>
      </c>
      <c r="T380" s="56"/>
      <c r="U380" s="348">
        <f>IF(D380=0,0,SUM($L$20:L380))</f>
        <v>642228.42759529629</v>
      </c>
      <c r="V380" s="348">
        <f>IF(D380=0,0,SUM($J$20:J380))</f>
        <v>640915.54286750045</v>
      </c>
      <c r="W380" s="349">
        <f t="shared" si="113"/>
        <v>-1312.8847277958412</v>
      </c>
      <c r="X380" s="41">
        <f t="shared" si="114"/>
        <v>0.99795573557416062</v>
      </c>
      <c r="Y380" s="17"/>
      <c r="Z380" s="23">
        <f t="shared" si="122"/>
        <v>45652</v>
      </c>
      <c r="AA380" s="22">
        <f t="shared" si="122"/>
        <v>45652</v>
      </c>
      <c r="AB380" s="137">
        <v>45652</v>
      </c>
      <c r="AC380" s="137"/>
      <c r="AD380" s="134"/>
      <c r="AE380" s="134"/>
      <c r="AF380" s="139"/>
      <c r="AG380" s="256"/>
      <c r="AH380" s="256"/>
      <c r="AI380" s="256"/>
      <c r="AJ380" s="256"/>
      <c r="AK380" s="134"/>
      <c r="AL380" s="134"/>
      <c r="AM380" s="134"/>
      <c r="AN380" s="18"/>
      <c r="AO380" s="18"/>
      <c r="AP380" s="18"/>
      <c r="AQ380" s="18"/>
      <c r="AR380" s="17"/>
      <c r="AS380" s="21">
        <f t="shared" si="119"/>
        <v>45652</v>
      </c>
      <c r="AT380" s="17"/>
      <c r="AU380" s="17"/>
      <c r="AV380" s="17"/>
      <c r="AW380" s="17"/>
      <c r="AX380" s="17"/>
      <c r="AY380" s="17"/>
      <c r="AZ380" s="17"/>
    </row>
    <row r="381" spans="1:52" ht="20">
      <c r="A381" s="17"/>
      <c r="B381" s="40"/>
      <c r="C381" s="55">
        <f t="shared" si="115"/>
        <v>362</v>
      </c>
      <c r="D381" s="54">
        <v>1</v>
      </c>
      <c r="E381" s="53" t="str">
        <f t="shared" si="108"/>
        <v>12</v>
      </c>
      <c r="F381" s="52">
        <f t="shared" si="116"/>
        <v>45653</v>
      </c>
      <c r="G381" s="51" t="str">
        <f t="shared" si="117"/>
        <v>Fri</v>
      </c>
      <c r="H381" s="50"/>
      <c r="I381" s="49"/>
      <c r="J381" s="343">
        <f>372700/$B$13</f>
        <v>3377.7415261917708</v>
      </c>
      <c r="K381" s="31"/>
      <c r="L381" s="317">
        <f t="shared" si="120"/>
        <v>2903.4844579164874</v>
      </c>
      <c r="M381" s="318">
        <f t="shared" si="109"/>
        <v>474.25706827528347</v>
      </c>
      <c r="N381" s="41">
        <f t="shared" si="110"/>
        <v>1.1633406602133514</v>
      </c>
      <c r="O381" s="46"/>
      <c r="P381" s="328">
        <f>IF(D381=0,0,SUM($L$355:L381))</f>
        <v>66780.14253207919</v>
      </c>
      <c r="Q381" s="317">
        <f>IF(D381=0,0,SUM($J$355:J381))</f>
        <v>70418.252673554482</v>
      </c>
      <c r="R381" s="321">
        <f t="shared" si="111"/>
        <v>3638.110141475292</v>
      </c>
      <c r="S381" s="41">
        <f t="shared" si="112"/>
        <v>1.0544789214807029</v>
      </c>
      <c r="T381" s="56"/>
      <c r="U381" s="348">
        <f>IF(D381=0,0,SUM($L$20:L381))</f>
        <v>645131.91205321276</v>
      </c>
      <c r="V381" s="348">
        <f>IF(D381=0,0,SUM($J$20:J381))</f>
        <v>644293.28439369227</v>
      </c>
      <c r="W381" s="349">
        <f t="shared" si="113"/>
        <v>-838.62765952048358</v>
      </c>
      <c r="X381" s="41">
        <f t="shared" si="114"/>
        <v>0.99870006793362387</v>
      </c>
      <c r="Y381" s="17"/>
      <c r="Z381" s="23">
        <f t="shared" si="122"/>
        <v>45653</v>
      </c>
      <c r="AA381" s="22">
        <f t="shared" si="122"/>
        <v>45653</v>
      </c>
      <c r="AB381" s="137">
        <v>45653</v>
      </c>
      <c r="AC381" s="137"/>
      <c r="AD381" s="134"/>
      <c r="AE381" s="134"/>
      <c r="AF381" s="139"/>
      <c r="AG381" s="256"/>
      <c r="AH381" s="256"/>
      <c r="AI381" s="256"/>
      <c r="AJ381" s="256"/>
      <c r="AK381" s="134"/>
      <c r="AL381" s="134"/>
      <c r="AM381" s="134"/>
      <c r="AN381" s="18"/>
      <c r="AO381" s="18"/>
      <c r="AP381" s="18"/>
      <c r="AQ381" s="18"/>
      <c r="AR381" s="17"/>
      <c r="AS381" s="21">
        <f t="shared" si="119"/>
        <v>45653</v>
      </c>
      <c r="AT381" s="17"/>
      <c r="AU381" s="17"/>
      <c r="AV381" s="17"/>
      <c r="AW381" s="17"/>
      <c r="AX381" s="17"/>
      <c r="AY381" s="17"/>
      <c r="AZ381" s="17"/>
    </row>
    <row r="382" spans="1:52" ht="20">
      <c r="A382" s="17"/>
      <c r="B382" s="40"/>
      <c r="C382" s="55">
        <f t="shared" si="115"/>
        <v>363</v>
      </c>
      <c r="D382" s="54">
        <v>1</v>
      </c>
      <c r="E382" s="53" t="str">
        <f t="shared" si="108"/>
        <v>12</v>
      </c>
      <c r="F382" s="52">
        <f t="shared" si="116"/>
        <v>45654</v>
      </c>
      <c r="G382" s="51" t="str">
        <f t="shared" si="117"/>
        <v>Sat</v>
      </c>
      <c r="H382" s="50"/>
      <c r="I382" s="49"/>
      <c r="J382" s="343">
        <f>129500/$B$13</f>
        <v>1173.6450969729926</v>
      </c>
      <c r="K382" s="31"/>
      <c r="L382" s="317">
        <f t="shared" si="120"/>
        <v>2903.4844579164874</v>
      </c>
      <c r="M382" s="318">
        <f t="shared" si="109"/>
        <v>-1729.8393609434947</v>
      </c>
      <c r="N382" s="41">
        <f t="shared" si="110"/>
        <v>0.40421952105615511</v>
      </c>
      <c r="O382" s="46"/>
      <c r="P382" s="328">
        <f>IF(D382=0,0,SUM($L$355:L382))</f>
        <v>69683.626989995682</v>
      </c>
      <c r="Q382" s="317">
        <f>IF(D382=0,0,SUM($J$355:J382))</f>
        <v>71591.897770527474</v>
      </c>
      <c r="R382" s="321">
        <f t="shared" si="111"/>
        <v>1908.2707805317914</v>
      </c>
      <c r="S382" s="41">
        <f t="shared" si="112"/>
        <v>1.0273847797963467</v>
      </c>
      <c r="T382" s="44"/>
      <c r="U382" s="348">
        <f>IF(D382=0,0,SUM($L$20:L382))</f>
        <v>648035.39651112922</v>
      </c>
      <c r="V382" s="348">
        <f>IF(D382=0,0,SUM($J$20:J382))</f>
        <v>645466.92949066532</v>
      </c>
      <c r="W382" s="349">
        <f t="shared" si="113"/>
        <v>-2568.4670204638969</v>
      </c>
      <c r="X382" s="41">
        <f t="shared" si="114"/>
        <v>0.99603653282784876</v>
      </c>
      <c r="Y382" s="17"/>
      <c r="Z382" s="23">
        <f t="shared" si="122"/>
        <v>45654</v>
      </c>
      <c r="AA382" s="22">
        <f t="shared" si="122"/>
        <v>45654</v>
      </c>
      <c r="AB382" s="137">
        <v>45654</v>
      </c>
      <c r="AC382" s="137"/>
      <c r="AD382" s="134"/>
      <c r="AE382" s="134"/>
      <c r="AF382" s="139"/>
      <c r="AG382" s="256"/>
      <c r="AH382" s="256"/>
      <c r="AI382" s="256"/>
      <c r="AJ382" s="256"/>
      <c r="AK382" s="134"/>
      <c r="AL382" s="134"/>
      <c r="AM382" s="134"/>
      <c r="AN382" s="18"/>
      <c r="AO382" s="18"/>
      <c r="AP382" s="18"/>
      <c r="AQ382" s="18"/>
      <c r="AR382" s="17"/>
      <c r="AS382" s="21">
        <f t="shared" si="119"/>
        <v>45654</v>
      </c>
      <c r="AT382" s="17"/>
      <c r="AU382" s="17"/>
      <c r="AV382" s="17"/>
      <c r="AW382" s="17"/>
      <c r="AX382" s="17"/>
      <c r="AY382" s="17"/>
      <c r="AZ382" s="17"/>
    </row>
    <row r="383" spans="1:52" ht="20">
      <c r="A383" s="17"/>
      <c r="B383" s="40"/>
      <c r="C383" s="55">
        <f t="shared" si="115"/>
        <v>364</v>
      </c>
      <c r="D383" s="54">
        <v>0</v>
      </c>
      <c r="E383" s="53" t="str">
        <f t="shared" si="108"/>
        <v>12</v>
      </c>
      <c r="F383" s="52">
        <f t="shared" si="116"/>
        <v>45655</v>
      </c>
      <c r="G383" s="51" t="str">
        <f t="shared" si="117"/>
        <v>Sun</v>
      </c>
      <c r="H383" s="50" t="s">
        <v>46</v>
      </c>
      <c r="I383" s="49"/>
      <c r="J383" s="343"/>
      <c r="K383" s="31"/>
      <c r="L383" s="317">
        <f t="shared" si="120"/>
        <v>0</v>
      </c>
      <c r="M383" s="318">
        <f t="shared" si="109"/>
        <v>0</v>
      </c>
      <c r="N383" s="41" t="str">
        <f t="shared" si="110"/>
        <v>0%</v>
      </c>
      <c r="O383" s="46"/>
      <c r="P383" s="328">
        <f>IF(D383=0,0,SUM($L$355:L383))</f>
        <v>0</v>
      </c>
      <c r="Q383" s="317">
        <f>IF(D383=0,0,SUM($J$355:J383))</f>
        <v>0</v>
      </c>
      <c r="R383" s="321">
        <f t="shared" si="111"/>
        <v>0</v>
      </c>
      <c r="S383" s="41" t="str">
        <f t="shared" si="112"/>
        <v>0%</v>
      </c>
      <c r="T383" s="56"/>
      <c r="U383" s="348">
        <f>IF(D383=0,0,SUM($L$20:L383))</f>
        <v>0</v>
      </c>
      <c r="V383" s="348">
        <f>IF(D383=0,0,SUM($J$20:J383))</f>
        <v>0</v>
      </c>
      <c r="W383" s="349">
        <f t="shared" si="113"/>
        <v>0</v>
      </c>
      <c r="X383" s="41" t="str">
        <f t="shared" si="114"/>
        <v>0%</v>
      </c>
      <c r="Y383" s="17"/>
      <c r="Z383" s="23">
        <f t="shared" si="122"/>
        <v>45655</v>
      </c>
      <c r="AA383" s="22">
        <f t="shared" si="122"/>
        <v>45655</v>
      </c>
      <c r="AB383" s="137">
        <v>45655</v>
      </c>
      <c r="AC383" s="137"/>
      <c r="AD383" s="134"/>
      <c r="AE383" s="134"/>
      <c r="AF383" s="139"/>
      <c r="AG383" s="256"/>
      <c r="AH383" s="256"/>
      <c r="AI383" s="256"/>
      <c r="AJ383" s="256"/>
      <c r="AK383" s="134"/>
      <c r="AL383" s="134"/>
      <c r="AM383" s="134"/>
      <c r="AN383" s="18"/>
      <c r="AO383" s="18"/>
      <c r="AP383" s="18"/>
      <c r="AQ383" s="18"/>
      <c r="AR383" s="17"/>
      <c r="AS383" s="21">
        <f t="shared" si="119"/>
        <v>45655</v>
      </c>
      <c r="AT383" s="17"/>
      <c r="AU383" s="17"/>
      <c r="AV383" s="17"/>
      <c r="AW383" s="17"/>
      <c r="AX383" s="17"/>
      <c r="AY383" s="17"/>
      <c r="AZ383" s="17"/>
    </row>
    <row r="384" spans="1:52" ht="20">
      <c r="A384" s="17"/>
      <c r="B384" s="40"/>
      <c r="C384" s="55">
        <f t="shared" si="115"/>
        <v>365</v>
      </c>
      <c r="D384" s="54">
        <v>0</v>
      </c>
      <c r="E384" s="53" t="str">
        <f t="shared" si="108"/>
        <v>12</v>
      </c>
      <c r="F384" s="52">
        <f t="shared" si="116"/>
        <v>45656</v>
      </c>
      <c r="G384" s="51" t="str">
        <f t="shared" si="117"/>
        <v>Mon</v>
      </c>
      <c r="H384" s="50" t="s">
        <v>45</v>
      </c>
      <c r="I384" s="49"/>
      <c r="J384" s="343"/>
      <c r="K384" s="31"/>
      <c r="L384" s="317">
        <f t="shared" si="120"/>
        <v>0</v>
      </c>
      <c r="M384" s="318">
        <f t="shared" si="109"/>
        <v>0</v>
      </c>
      <c r="N384" s="41" t="str">
        <f t="shared" si="110"/>
        <v>0%</v>
      </c>
      <c r="O384" s="46"/>
      <c r="P384" s="328">
        <f>IF(D384=0,0,SUM($L$355:L384))</f>
        <v>0</v>
      </c>
      <c r="Q384" s="317">
        <f>IF(D384=0,0,SUM($J$355:J384))</f>
        <v>0</v>
      </c>
      <c r="R384" s="321">
        <f t="shared" si="111"/>
        <v>0</v>
      </c>
      <c r="S384" s="41" t="str">
        <f t="shared" si="112"/>
        <v>0%</v>
      </c>
      <c r="T384" s="44"/>
      <c r="U384" s="348">
        <f>IF(D384=0,0,SUM($L$20:L384))</f>
        <v>0</v>
      </c>
      <c r="V384" s="348">
        <f>IF(D384=0,0,SUM($J$20:J384))</f>
        <v>0</v>
      </c>
      <c r="W384" s="349">
        <f t="shared" si="113"/>
        <v>0</v>
      </c>
      <c r="X384" s="41" t="str">
        <f t="shared" si="114"/>
        <v>0%</v>
      </c>
      <c r="Y384" s="17"/>
      <c r="Z384" s="23">
        <f t="shared" si="122"/>
        <v>45656</v>
      </c>
      <c r="AA384" s="22">
        <f t="shared" si="122"/>
        <v>45656</v>
      </c>
      <c r="AB384" s="137">
        <v>45656</v>
      </c>
      <c r="AC384" s="137"/>
      <c r="AD384" s="134"/>
      <c r="AE384" s="134"/>
      <c r="AF384" s="139"/>
      <c r="AG384" s="256"/>
      <c r="AH384" s="256"/>
      <c r="AI384" s="256"/>
      <c r="AJ384" s="256"/>
      <c r="AK384" s="134"/>
      <c r="AL384" s="134"/>
      <c r="AM384" s="134"/>
      <c r="AN384" s="18"/>
      <c r="AO384" s="18"/>
      <c r="AP384" s="18"/>
      <c r="AQ384" s="18"/>
      <c r="AR384" s="17"/>
      <c r="AS384" s="21">
        <f t="shared" si="119"/>
        <v>45656</v>
      </c>
      <c r="AT384" s="17"/>
      <c r="AU384" s="17"/>
      <c r="AV384" s="17"/>
      <c r="AW384" s="17"/>
      <c r="AX384" s="17"/>
      <c r="AY384" s="17"/>
      <c r="AZ384" s="17"/>
    </row>
    <row r="385" spans="1:52" ht="21" thickBot="1">
      <c r="A385" s="17"/>
      <c r="B385" s="40"/>
      <c r="C385" s="39">
        <f t="shared" si="115"/>
        <v>366</v>
      </c>
      <c r="D385" s="38">
        <v>0</v>
      </c>
      <c r="E385" s="37" t="str">
        <f t="shared" si="108"/>
        <v>12</v>
      </c>
      <c r="F385" s="36">
        <f t="shared" si="116"/>
        <v>45657</v>
      </c>
      <c r="G385" s="35" t="str">
        <f t="shared" si="117"/>
        <v>Tue</v>
      </c>
      <c r="H385" s="34" t="s">
        <v>44</v>
      </c>
      <c r="I385" s="33"/>
      <c r="J385" s="344"/>
      <c r="K385" s="31"/>
      <c r="L385" s="326">
        <f t="shared" si="120"/>
        <v>0</v>
      </c>
      <c r="M385" s="320">
        <f t="shared" si="109"/>
        <v>0</v>
      </c>
      <c r="N385" s="24" t="str">
        <f t="shared" si="110"/>
        <v>0%</v>
      </c>
      <c r="O385" s="29"/>
      <c r="P385" s="332">
        <f>IF(D385=0,0,SUM($L$355:L385))</f>
        <v>0</v>
      </c>
      <c r="Q385" s="326">
        <f>IF(D385=0,0,SUM($J$355:J385))</f>
        <v>0</v>
      </c>
      <c r="R385" s="327">
        <f t="shared" si="111"/>
        <v>0</v>
      </c>
      <c r="S385" s="24" t="str">
        <f t="shared" si="112"/>
        <v>0%</v>
      </c>
      <c r="T385" s="27"/>
      <c r="U385" s="350">
        <f>IF(D385=0,0,SUM($L$20:L385))</f>
        <v>0</v>
      </c>
      <c r="V385" s="350">
        <f>IF(D385=0,0,SUM($J$20:J385))</f>
        <v>0</v>
      </c>
      <c r="W385" s="351">
        <f t="shared" si="113"/>
        <v>0</v>
      </c>
      <c r="X385" s="24" t="str">
        <f t="shared" si="114"/>
        <v>0%</v>
      </c>
      <c r="Y385" s="17"/>
      <c r="Z385" s="23">
        <f t="shared" si="122"/>
        <v>45657</v>
      </c>
      <c r="AA385" s="22">
        <f t="shared" si="122"/>
        <v>45657</v>
      </c>
      <c r="AB385" s="137">
        <v>45657</v>
      </c>
      <c r="AC385" s="137"/>
      <c r="AD385" s="134"/>
      <c r="AE385" s="134"/>
      <c r="AF385" s="139"/>
      <c r="AG385" s="256"/>
      <c r="AH385" s="256"/>
      <c r="AI385" s="256"/>
      <c r="AJ385" s="256"/>
      <c r="AK385" s="134"/>
      <c r="AL385" s="134"/>
      <c r="AM385" s="134"/>
      <c r="AN385" s="18"/>
      <c r="AO385" s="18"/>
      <c r="AP385" s="18"/>
      <c r="AQ385" s="18"/>
      <c r="AR385" s="17"/>
      <c r="AS385" s="21">
        <f t="shared" si="119"/>
        <v>45657</v>
      </c>
      <c r="AT385" s="17"/>
      <c r="AU385" s="17"/>
      <c r="AV385" s="17"/>
      <c r="AW385" s="17"/>
      <c r="AX385" s="17"/>
      <c r="AY385" s="17"/>
      <c r="AZ385" s="17"/>
    </row>
    <row r="386" spans="1:52" ht="18" thickTop="1">
      <c r="A386" s="17"/>
      <c r="B386" s="17"/>
      <c r="C386" s="17"/>
      <c r="D386" s="20"/>
      <c r="E386" s="17"/>
      <c r="F386" s="17"/>
      <c r="G386" s="17"/>
      <c r="H386" s="17"/>
      <c r="I386" s="17"/>
      <c r="J386" s="17"/>
      <c r="K386" s="19"/>
      <c r="L386" s="17"/>
      <c r="M386" s="17"/>
      <c r="N386" s="17"/>
      <c r="O386" s="17"/>
      <c r="P386" s="17"/>
      <c r="Q386" s="17"/>
      <c r="R386" s="17"/>
      <c r="S386" s="17"/>
      <c r="T386" s="17"/>
      <c r="U386" s="17"/>
      <c r="V386" s="17"/>
      <c r="W386" s="17"/>
      <c r="X386" s="17"/>
      <c r="Y386" s="17"/>
      <c r="Z386" s="17"/>
      <c r="AA386" s="17"/>
      <c r="AB386" s="17"/>
      <c r="AC386" s="17"/>
      <c r="AD386" s="17"/>
      <c r="AE386" s="17"/>
      <c r="AF386" s="139"/>
      <c r="AG386" s="256"/>
      <c r="AH386" s="256"/>
      <c r="AI386" s="256"/>
      <c r="AJ386" s="256"/>
      <c r="AK386" s="17"/>
      <c r="AL386" s="17"/>
      <c r="AM386" s="17"/>
      <c r="AN386" s="18"/>
      <c r="AO386" s="18"/>
      <c r="AP386" s="18"/>
      <c r="AQ386" s="18"/>
      <c r="AR386" s="17"/>
      <c r="AS386" s="17"/>
      <c r="AT386" s="17"/>
      <c r="AU386" s="17"/>
      <c r="AV386" s="17"/>
      <c r="AW386" s="17"/>
      <c r="AX386" s="17"/>
      <c r="AY386" s="17"/>
      <c r="AZ386" s="17"/>
    </row>
  </sheetData>
  <mergeCells count="82">
    <mergeCell ref="M3:N3"/>
    <mergeCell ref="O3:P3"/>
    <mergeCell ref="B5:C5"/>
    <mergeCell ref="H5:I5"/>
    <mergeCell ref="K5:L5"/>
    <mergeCell ref="N5:O5"/>
    <mergeCell ref="B2:D3"/>
    <mergeCell ref="E2:F2"/>
    <mergeCell ref="G2:H2"/>
    <mergeCell ref="I2:L2"/>
    <mergeCell ref="M2:N2"/>
    <mergeCell ref="O2:P2"/>
    <mergeCell ref="E3:F3"/>
    <mergeCell ref="G3:H3"/>
    <mergeCell ref="I3:J3"/>
    <mergeCell ref="K3:L3"/>
    <mergeCell ref="R5:V5"/>
    <mergeCell ref="B6:C6"/>
    <mergeCell ref="H6:I6"/>
    <mergeCell ref="K6:L6"/>
    <mergeCell ref="N6:O6"/>
    <mergeCell ref="R6:S7"/>
    <mergeCell ref="T6:U6"/>
    <mergeCell ref="B7:C7"/>
    <mergeCell ref="H7:I7"/>
    <mergeCell ref="K7:L7"/>
    <mergeCell ref="H10:I10"/>
    <mergeCell ref="K10:L10"/>
    <mergeCell ref="N10:O10"/>
    <mergeCell ref="T10:U10"/>
    <mergeCell ref="N7:O7"/>
    <mergeCell ref="T7:V7"/>
    <mergeCell ref="H8:I8"/>
    <mergeCell ref="K8:L8"/>
    <mergeCell ref="N8:O8"/>
    <mergeCell ref="R8:S8"/>
    <mergeCell ref="T8:V8"/>
    <mergeCell ref="H9:I9"/>
    <mergeCell ref="K9:L9"/>
    <mergeCell ref="N9:O9"/>
    <mergeCell ref="R9:S9"/>
    <mergeCell ref="T9:V9"/>
    <mergeCell ref="H11:I11"/>
    <mergeCell ref="K11:L11"/>
    <mergeCell ref="N11:O11"/>
    <mergeCell ref="T11:U11"/>
    <mergeCell ref="H12:I12"/>
    <mergeCell ref="K12:L12"/>
    <mergeCell ref="N12:O12"/>
    <mergeCell ref="T12:U12"/>
    <mergeCell ref="H13:I13"/>
    <mergeCell ref="K13:L13"/>
    <mergeCell ref="N13:O13"/>
    <mergeCell ref="T13:U13"/>
    <mergeCell ref="H14:I14"/>
    <mergeCell ref="K14:L14"/>
    <mergeCell ref="N14:O14"/>
    <mergeCell ref="T14:U14"/>
    <mergeCell ref="AJ27:AJ33"/>
    <mergeCell ref="H15:I15"/>
    <mergeCell ref="K15:L15"/>
    <mergeCell ref="N15:O15"/>
    <mergeCell ref="T15:U15"/>
    <mergeCell ref="H16:I16"/>
    <mergeCell ref="K16:L16"/>
    <mergeCell ref="N16:O16"/>
    <mergeCell ref="T16:U16"/>
    <mergeCell ref="H17:I17"/>
    <mergeCell ref="K17:L17"/>
    <mergeCell ref="N17:O17"/>
    <mergeCell ref="AI19:AJ19"/>
    <mergeCell ref="AJ20:AJ26"/>
    <mergeCell ref="AJ76:AJ82"/>
    <mergeCell ref="AJ83:AJ89"/>
    <mergeCell ref="AJ90:AJ96"/>
    <mergeCell ref="AJ97:AJ103"/>
    <mergeCell ref="AJ34:AJ40"/>
    <mergeCell ref="AJ41:AJ47"/>
    <mergeCell ref="AJ48:AJ54"/>
    <mergeCell ref="AJ55:AJ61"/>
    <mergeCell ref="AJ62:AJ68"/>
    <mergeCell ref="AJ69:AJ75"/>
  </mergeCells>
  <phoneticPr fontId="2"/>
  <conditionalFormatting sqref="D20:X385">
    <cfRule type="expression" dxfId="23" priority="2">
      <formula>$D20=0</formula>
    </cfRule>
  </conditionalFormatting>
  <conditionalFormatting sqref="E20:X385">
    <cfRule type="expression" dxfId="22" priority="3">
      <formula>WEEKDAY($G20)=1</formula>
    </cfRule>
    <cfRule type="expression" dxfId="21" priority="4">
      <formula>WEEKDAY($G20)=7</formula>
    </cfRule>
  </conditionalFormatting>
  <conditionalFormatting sqref="N6:O17">
    <cfRule type="cellIs" dxfId="20" priority="5" operator="lessThan">
      <formula>0</formula>
    </cfRule>
    <cfRule type="cellIs" dxfId="19" priority="6" operator="greaterThan">
      <formula>"¥0"</formula>
    </cfRule>
  </conditionalFormatting>
  <conditionalFormatting sqref="T8:V8">
    <cfRule type="cellIs" dxfId="18" priority="1" operator="lessThanOrEqual">
      <formula>0</formula>
    </cfRule>
  </conditionalFormatting>
  <dataValidations count="2">
    <dataValidation type="list" allowBlank="1" showInputMessage="1" showErrorMessage="1" sqref="T6" xr:uid="{C517D93B-6FC7-484C-B2CF-A87A42BE7740}">
      <formula1>$AO$5:$AO$16</formula1>
    </dataValidation>
    <dataValidation type="list" allowBlank="1" showErrorMessage="1" sqref="B2:D3" xr:uid="{F95D0EE9-E691-9640-9BB5-30D43FF1BB8A}">
      <formula1>"2024/1/1,2028/1/1,2032/1/1,2036/1/1,2040/1/1,2044/1/1"</formula1>
    </dataValidation>
  </dataValidations>
  <pageMargins left="0.7" right="0.7" top="0.75" bottom="0.75" header="0.3" footer="0.3"/>
  <pageSetup paperSize="9" orientation="portrait" horizontalDpi="0" verticalDpi="0" copies="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F5BA-7D6B-1644-A2A6-1326F66355D9}">
  <dimension ref="A1:AN386"/>
  <sheetViews>
    <sheetView zoomScaleNormal="100" workbookViewId="0">
      <pane xSplit="6" ySplit="20" topLeftCell="G21" activePane="bottomRight" state="frozen"/>
      <selection pane="topRight" activeCell="G1" sqref="G1"/>
      <selection pane="bottomLeft" activeCell="A20" sqref="A20"/>
      <selection pane="bottomRight" activeCell="N3" sqref="N3"/>
    </sheetView>
  </sheetViews>
  <sheetFormatPr baseColWidth="10" defaultColWidth="9.5703125" defaultRowHeight="17" outlineLevelRow="1" outlineLevelCol="3"/>
  <cols>
    <col min="1" max="1" width="2.28515625" style="14" customWidth="1"/>
    <col min="2" max="2" width="10" style="14" customWidth="1"/>
    <col min="3" max="3" width="4.28515625" style="14" customWidth="1"/>
    <col min="4" max="4" width="5.5703125" style="242" customWidth="1"/>
    <col min="5" max="5" width="6.28515625" style="14" customWidth="1"/>
    <col min="6" max="6" width="9.5703125" style="14"/>
    <col min="7" max="7" width="18" style="14" customWidth="1"/>
    <col min="8" max="8" width="13.28515625" style="14" customWidth="1"/>
    <col min="9" max="9" width="1.140625" style="154" customWidth="1"/>
    <col min="10" max="10" width="14.7109375" style="14" customWidth="1"/>
    <col min="11" max="11" width="1" style="14" customWidth="1"/>
    <col min="12" max="12" width="16.7109375" style="14" customWidth="1"/>
    <col min="13" max="13" width="15" style="14" customWidth="1"/>
    <col min="14" max="14" width="12" style="14" customWidth="1"/>
    <col min="15" max="15" width="1.28515625" style="14" customWidth="1"/>
    <col min="16" max="16" width="15" style="14" customWidth="1"/>
    <col min="17" max="18" width="13.28515625" style="14" customWidth="1"/>
    <col min="19" max="19" width="12.140625" style="14" customWidth="1"/>
    <col min="20" max="20" width="1.28515625" style="14" customWidth="1"/>
    <col min="21" max="21" width="13.7109375" style="14" customWidth="1"/>
    <col min="22" max="22" width="14.28515625" style="14" customWidth="1"/>
    <col min="23" max="23" width="14.140625" style="14" customWidth="1"/>
    <col min="24" max="24" width="10.140625" style="14" customWidth="1"/>
    <col min="25" max="25" width="3.28515625" style="14" customWidth="1" outlineLevel="1"/>
    <col min="26" max="26" width="4.85546875" style="14" customWidth="1" outlineLevel="1"/>
    <col min="27" max="27" width="9.7109375" style="14" customWidth="1" outlineLevel="1"/>
    <col min="28" max="28" width="9.7109375" style="242" customWidth="1" outlineLevel="1"/>
    <col min="29" max="29" width="13.140625" style="248" customWidth="1" outlineLevel="1"/>
    <col min="30" max="30" width="8.7109375" style="242" customWidth="1" outlineLevel="1"/>
    <col min="31" max="31" width="13.140625" style="14" customWidth="1" outlineLevel="1"/>
    <col min="32" max="32" width="13.140625" style="14" customWidth="1" outlineLevel="3"/>
    <col min="33" max="33" width="13.28515625" style="14" customWidth="1" outlineLevel="3"/>
    <col min="34" max="34" width="12" style="14" customWidth="1" outlineLevel="2"/>
    <col min="35" max="35" width="8.7109375" style="14" bestFit="1" customWidth="1"/>
    <col min="36" max="36" width="9.5703125" style="14" collapsed="1"/>
    <col min="37" max="38" width="9.5703125" style="14" hidden="1" customWidth="1" outlineLevel="1"/>
    <col min="39" max="39" width="9.5703125" style="14" collapsed="1"/>
    <col min="40" max="16384" width="9.5703125" style="14"/>
  </cols>
  <sheetData>
    <row r="1" spans="1:40" ht="10.5" customHeight="1">
      <c r="A1" s="18"/>
      <c r="B1" s="18"/>
      <c r="C1" s="18"/>
      <c r="D1" s="142"/>
      <c r="E1" s="18"/>
      <c r="F1" s="18"/>
      <c r="G1" s="18"/>
      <c r="H1" s="18"/>
      <c r="I1" s="143"/>
      <c r="J1" s="18"/>
      <c r="K1" s="18"/>
      <c r="L1" s="18"/>
      <c r="M1" s="18"/>
      <c r="N1" s="18"/>
      <c r="O1" s="18"/>
      <c r="P1" s="18"/>
      <c r="Q1" s="18"/>
      <c r="R1" s="18"/>
      <c r="S1" s="18"/>
      <c r="T1" s="18"/>
      <c r="U1" s="18"/>
      <c r="V1" s="18"/>
      <c r="W1" s="18"/>
      <c r="X1" s="18"/>
      <c r="Y1" s="18"/>
      <c r="Z1" s="18"/>
      <c r="AA1" s="18"/>
      <c r="AB1" s="142"/>
      <c r="AC1" s="247"/>
      <c r="AD1" s="142"/>
      <c r="AE1" s="18"/>
      <c r="AF1" s="18"/>
      <c r="AG1" s="18"/>
      <c r="AH1" s="18"/>
      <c r="AI1" s="18"/>
      <c r="AJ1" s="18"/>
      <c r="AK1" s="18"/>
      <c r="AL1" s="18"/>
      <c r="AM1" s="18"/>
      <c r="AN1" s="18"/>
    </row>
    <row r="2" spans="1:40" ht="22">
      <c r="A2" s="18"/>
      <c r="B2" s="373">
        <v>45658</v>
      </c>
      <c r="C2" s="374"/>
      <c r="D2" s="375"/>
      <c r="E2" s="376" t="s">
        <v>140</v>
      </c>
      <c r="F2" s="377"/>
      <c r="G2" s="144" t="s">
        <v>141</v>
      </c>
      <c r="H2" s="378" t="s">
        <v>142</v>
      </c>
      <c r="I2" s="378"/>
      <c r="J2" s="378"/>
      <c r="K2" s="379" t="s">
        <v>91</v>
      </c>
      <c r="L2" s="379"/>
      <c r="M2" s="145" t="s">
        <v>143</v>
      </c>
      <c r="P2" s="146" t="s">
        <v>144</v>
      </c>
      <c r="Q2" s="146" t="s">
        <v>145</v>
      </c>
      <c r="R2" s="146" t="s">
        <v>146</v>
      </c>
      <c r="S2" s="146" t="s">
        <v>147</v>
      </c>
      <c r="T2" s="14" t="s">
        <v>148</v>
      </c>
      <c r="AJ2" s="18"/>
      <c r="AK2" s="18"/>
      <c r="AL2" s="18"/>
      <c r="AM2" s="18"/>
      <c r="AN2" s="18"/>
    </row>
    <row r="3" spans="1:40" ht="23">
      <c r="A3" s="18"/>
      <c r="B3" s="374"/>
      <c r="C3" s="374"/>
      <c r="D3" s="375"/>
      <c r="E3" s="380">
        <f>SUM(F7:F18)</f>
        <v>286</v>
      </c>
      <c r="F3" s="370"/>
      <c r="G3" s="147">
        <v>72000000</v>
      </c>
      <c r="H3" s="148">
        <f>SUM(AK7:AK18)*100</f>
        <v>0.99999600000000022</v>
      </c>
      <c r="I3" s="443">
        <f>G3*H3</f>
        <v>71999712.000000015</v>
      </c>
      <c r="J3" s="443"/>
      <c r="K3" s="444">
        <f>SUM(J21:J385)</f>
        <v>76266459.041958049</v>
      </c>
      <c r="L3" s="444"/>
      <c r="M3" s="149">
        <f>K3-G3</f>
        <v>4266459.0419580489</v>
      </c>
      <c r="N3" s="340">
        <f>K3/I3</f>
        <v>1.0592606126252009</v>
      </c>
      <c r="P3" s="146" t="s">
        <v>149</v>
      </c>
      <c r="Q3" s="146" t="s">
        <v>150</v>
      </c>
      <c r="R3" s="146" t="s">
        <v>151</v>
      </c>
      <c r="S3" s="146" t="s">
        <v>152</v>
      </c>
      <c r="AJ3" s="150"/>
      <c r="AK3" s="18"/>
      <c r="AL3" s="18"/>
      <c r="AM3" s="18"/>
      <c r="AN3" s="18"/>
    </row>
    <row r="4" spans="1:40" ht="21">
      <c r="A4" s="18"/>
      <c r="B4" s="151"/>
      <c r="C4" s="151"/>
      <c r="D4" s="152"/>
      <c r="E4" s="151"/>
      <c r="F4" s="151"/>
      <c r="G4" s="153"/>
      <c r="L4" s="151"/>
      <c r="N4" s="18"/>
      <c r="P4" s="155" t="s">
        <v>153</v>
      </c>
      <c r="Q4" s="146" t="s">
        <v>154</v>
      </c>
      <c r="R4" s="146" t="s">
        <v>155</v>
      </c>
      <c r="S4" s="146" t="s">
        <v>156</v>
      </c>
      <c r="AJ4" s="18"/>
      <c r="AK4" s="18"/>
      <c r="AL4" s="18"/>
      <c r="AM4" s="18"/>
    </row>
    <row r="5" spans="1:40" ht="8" customHeight="1">
      <c r="A5" s="18"/>
      <c r="B5" s="151"/>
      <c r="C5" s="151"/>
      <c r="D5" s="152"/>
      <c r="E5" s="151"/>
      <c r="F5" s="151"/>
      <c r="G5" s="153"/>
      <c r="L5" s="151"/>
      <c r="N5" s="18"/>
      <c r="P5" s="156"/>
      <c r="Q5" s="157"/>
      <c r="R5" s="157"/>
      <c r="S5" s="157"/>
      <c r="AJ5" s="18"/>
      <c r="AK5" s="18"/>
      <c r="AL5" s="18"/>
      <c r="AM5" s="18"/>
    </row>
    <row r="6" spans="1:40" ht="20" customHeight="1" outlineLevel="1">
      <c r="A6" s="18"/>
      <c r="B6" s="364" t="s">
        <v>87</v>
      </c>
      <c r="C6" s="365"/>
      <c r="D6" s="152"/>
      <c r="E6" s="158" t="s">
        <v>17</v>
      </c>
      <c r="F6" s="158" t="s">
        <v>86</v>
      </c>
      <c r="G6" s="159" t="s">
        <v>85</v>
      </c>
      <c r="H6" s="158" t="s">
        <v>84</v>
      </c>
      <c r="I6" s="366" t="s">
        <v>157</v>
      </c>
      <c r="J6" s="367"/>
      <c r="K6" s="368" t="s">
        <v>82</v>
      </c>
      <c r="L6" s="369"/>
      <c r="M6" s="160" t="s">
        <v>158</v>
      </c>
      <c r="N6" s="368" t="s">
        <v>159</v>
      </c>
      <c r="O6" s="370"/>
      <c r="P6" s="161" t="s">
        <v>160</v>
      </c>
      <c r="Q6" s="162" t="s">
        <v>52</v>
      </c>
      <c r="AJ6" s="18"/>
      <c r="AK6" s="18"/>
      <c r="AL6" s="18"/>
      <c r="AM6" s="18"/>
    </row>
    <row r="7" spans="1:40" ht="22" outlineLevel="1">
      <c r="A7" s="18"/>
      <c r="B7" s="371" t="s">
        <v>78</v>
      </c>
      <c r="C7" s="372"/>
      <c r="D7" s="152"/>
      <c r="E7" s="95" t="s">
        <v>19</v>
      </c>
      <c r="F7" s="94">
        <f>COUNTIF(D21:D51,1)</f>
        <v>22</v>
      </c>
      <c r="G7" s="93">
        <f>$B$8*F7</f>
        <v>5538461.538461539</v>
      </c>
      <c r="H7" s="163">
        <v>0.85</v>
      </c>
      <c r="I7" s="440">
        <f>G7*H7</f>
        <v>4707692.307692308</v>
      </c>
      <c r="J7" s="441"/>
      <c r="K7" s="416">
        <f>I7/F7</f>
        <v>213986.013986014</v>
      </c>
      <c r="L7" s="417"/>
      <c r="M7" s="164">
        <f>SUM(J21:J51)</f>
        <v>5613250</v>
      </c>
      <c r="N7" s="418">
        <f>M7-I7</f>
        <v>905557.69230769202</v>
      </c>
      <c r="O7" s="372"/>
      <c r="P7" s="165">
        <f t="shared" ref="P7:P18" si="0">M7/G7</f>
        <v>1.013503472222222</v>
      </c>
      <c r="Q7" s="166">
        <f>M7/I7</f>
        <v>1.1923570261437908</v>
      </c>
      <c r="R7" s="286">
        <v>1</v>
      </c>
      <c r="AG7" s="167"/>
      <c r="AH7" s="167"/>
      <c r="AK7" s="168">
        <f t="shared" ref="AK7:AK18" si="1">(H7/100)*AL7</f>
        <v>7.0833050000000013E-4</v>
      </c>
      <c r="AL7" s="169">
        <v>8.3333000000000004E-2</v>
      </c>
      <c r="AM7" s="170"/>
    </row>
    <row r="8" spans="1:40" ht="23" outlineLevel="1">
      <c r="A8" s="18"/>
      <c r="B8" s="442">
        <f>G3/E3</f>
        <v>251748.25174825176</v>
      </c>
      <c r="C8" s="372"/>
      <c r="D8" s="152"/>
      <c r="E8" s="95" t="s">
        <v>161</v>
      </c>
      <c r="F8" s="94">
        <f>COUNTIF(D52:D79,1)</f>
        <v>22</v>
      </c>
      <c r="G8" s="93">
        <f t="shared" ref="G8:G18" si="2">$B$8*F8</f>
        <v>5538461.538461539</v>
      </c>
      <c r="H8" s="163">
        <v>0.85</v>
      </c>
      <c r="I8" s="440">
        <f t="shared" ref="I8:I18" si="3">G8*H8</f>
        <v>4707692.307692308</v>
      </c>
      <c r="J8" s="441"/>
      <c r="K8" s="416">
        <f t="shared" ref="K8:K18" si="4">I8/F8</f>
        <v>213986.013986014</v>
      </c>
      <c r="L8" s="417"/>
      <c r="M8" s="171">
        <f>SUM(J52:J79)</f>
        <v>5503840</v>
      </c>
      <c r="N8" s="418">
        <f t="shared" ref="N8:N18" si="5">M8-I8</f>
        <v>796147.69230769202</v>
      </c>
      <c r="O8" s="372"/>
      <c r="P8" s="165">
        <f>M8/G8</f>
        <v>0.99374888888888879</v>
      </c>
      <c r="Q8" s="166">
        <f t="shared" ref="Q8:Q18" si="6">M8/I8</f>
        <v>1.169116339869281</v>
      </c>
      <c r="R8" s="286">
        <v>2</v>
      </c>
      <c r="AG8" s="167"/>
      <c r="AH8" s="167"/>
      <c r="AJ8" s="18"/>
      <c r="AK8" s="168">
        <f t="shared" si="1"/>
        <v>7.0833050000000013E-4</v>
      </c>
      <c r="AL8" s="169">
        <v>8.3333000000000004E-2</v>
      </c>
    </row>
    <row r="9" spans="1:40" ht="22" outlineLevel="1">
      <c r="A9" s="18"/>
      <c r="D9" s="152"/>
      <c r="E9" s="95" t="s">
        <v>23</v>
      </c>
      <c r="F9" s="94">
        <f>COUNTIF(D80:D110,1)</f>
        <v>25</v>
      </c>
      <c r="G9" s="93">
        <f t="shared" si="2"/>
        <v>6293706.2937062941</v>
      </c>
      <c r="H9" s="163">
        <v>1</v>
      </c>
      <c r="I9" s="440">
        <f t="shared" si="3"/>
        <v>6293706.2937062941</v>
      </c>
      <c r="J9" s="441"/>
      <c r="K9" s="416">
        <f t="shared" si="4"/>
        <v>251748.25174825176</v>
      </c>
      <c r="L9" s="417"/>
      <c r="M9" s="171">
        <f>SUM(J80:J110)</f>
        <v>6144090</v>
      </c>
      <c r="N9" s="418">
        <f t="shared" si="5"/>
        <v>-149616.29370629415</v>
      </c>
      <c r="O9" s="372"/>
      <c r="P9" s="165">
        <f>M9/G9</f>
        <v>0.97622763333333329</v>
      </c>
      <c r="Q9" s="166">
        <f t="shared" si="6"/>
        <v>0.97622763333333329</v>
      </c>
      <c r="R9" s="286">
        <v>3</v>
      </c>
      <c r="AG9" s="167"/>
      <c r="AH9" s="167"/>
      <c r="AJ9" s="18"/>
      <c r="AK9" s="168">
        <f t="shared" si="1"/>
        <v>8.3333000000000007E-4</v>
      </c>
      <c r="AL9" s="169">
        <v>8.3333000000000004E-2</v>
      </c>
      <c r="AM9" s="88"/>
    </row>
    <row r="10" spans="1:40" ht="22" outlineLevel="1">
      <c r="A10" s="18"/>
      <c r="B10" s="172"/>
      <c r="C10" s="151"/>
      <c r="D10" s="152"/>
      <c r="E10" s="95" t="s">
        <v>25</v>
      </c>
      <c r="F10" s="94">
        <f>COUNTIF(D111:D140,1)</f>
        <v>25</v>
      </c>
      <c r="G10" s="93">
        <f t="shared" si="2"/>
        <v>6293706.2937062941</v>
      </c>
      <c r="H10" s="163">
        <v>1.1000000000000001</v>
      </c>
      <c r="I10" s="440">
        <f t="shared" si="3"/>
        <v>6923076.9230769239</v>
      </c>
      <c r="J10" s="441"/>
      <c r="K10" s="416">
        <f t="shared" si="4"/>
        <v>276923.07692307694</v>
      </c>
      <c r="L10" s="417"/>
      <c r="M10" s="171">
        <f>SUM(J111:J140)</f>
        <v>6763280</v>
      </c>
      <c r="N10" s="418">
        <f t="shared" si="5"/>
        <v>-159796.92307692394</v>
      </c>
      <c r="O10" s="372"/>
      <c r="P10" s="165">
        <f t="shared" si="0"/>
        <v>1.0746100444444444</v>
      </c>
      <c r="Q10" s="166">
        <f t="shared" si="6"/>
        <v>0.97691822222222213</v>
      </c>
      <c r="R10" s="286">
        <v>4</v>
      </c>
      <c r="AG10" s="167"/>
      <c r="AH10" s="167"/>
      <c r="AJ10" s="18"/>
      <c r="AK10" s="168">
        <f t="shared" si="1"/>
        <v>9.1666300000000018E-4</v>
      </c>
      <c r="AL10" s="169">
        <v>8.3333000000000004E-2</v>
      </c>
      <c r="AM10" s="88"/>
    </row>
    <row r="11" spans="1:40" ht="22" outlineLevel="1">
      <c r="A11" s="18"/>
      <c r="B11" s="172"/>
      <c r="C11" s="151"/>
      <c r="D11" s="152"/>
      <c r="E11" s="95" t="s">
        <v>27</v>
      </c>
      <c r="F11" s="94">
        <f>COUNTIF(D141:D171,1)</f>
        <v>24</v>
      </c>
      <c r="G11" s="93">
        <f t="shared" si="2"/>
        <v>6041958.0419580424</v>
      </c>
      <c r="H11" s="163">
        <v>1</v>
      </c>
      <c r="I11" s="440">
        <f t="shared" si="3"/>
        <v>6041958.0419580424</v>
      </c>
      <c r="J11" s="441"/>
      <c r="K11" s="416">
        <f t="shared" si="4"/>
        <v>251748.25174825176</v>
      </c>
      <c r="L11" s="417"/>
      <c r="M11" s="171">
        <f>SUM(J141:J171)</f>
        <v>6041958.0419580443</v>
      </c>
      <c r="N11" s="418">
        <f>M11-I11</f>
        <v>0</v>
      </c>
      <c r="O11" s="372"/>
      <c r="P11" s="165">
        <f t="shared" si="0"/>
        <v>1.0000000000000002</v>
      </c>
      <c r="Q11" s="166">
        <f t="shared" si="6"/>
        <v>1.0000000000000002</v>
      </c>
      <c r="R11" s="286">
        <v>5</v>
      </c>
      <c r="AG11" s="167"/>
      <c r="AH11" s="167"/>
      <c r="AJ11" s="18"/>
      <c r="AK11" s="168">
        <f t="shared" si="1"/>
        <v>8.3333000000000007E-4</v>
      </c>
      <c r="AL11" s="169">
        <v>8.3333000000000004E-2</v>
      </c>
    </row>
    <row r="12" spans="1:40" ht="22" outlineLevel="1">
      <c r="A12" s="18"/>
      <c r="B12" s="172"/>
      <c r="C12" s="151"/>
      <c r="D12" s="152"/>
      <c r="E12" s="95" t="s">
        <v>70</v>
      </c>
      <c r="F12" s="94">
        <f>COUNTIF(D172:D201,1)</f>
        <v>25</v>
      </c>
      <c r="G12" s="93">
        <f t="shared" si="2"/>
        <v>6293706.2937062941</v>
      </c>
      <c r="H12" s="163">
        <v>0.85</v>
      </c>
      <c r="I12" s="440">
        <f t="shared" si="3"/>
        <v>5349650.3496503495</v>
      </c>
      <c r="J12" s="441"/>
      <c r="K12" s="416">
        <f t="shared" si="4"/>
        <v>213986.01398601398</v>
      </c>
      <c r="L12" s="417"/>
      <c r="M12" s="171">
        <f>SUM(J172:J201)</f>
        <v>6103080</v>
      </c>
      <c r="N12" s="418">
        <f t="shared" si="5"/>
        <v>753429.65034965053</v>
      </c>
      <c r="O12" s="372"/>
      <c r="P12" s="165">
        <f t="shared" si="0"/>
        <v>0.9697115999999999</v>
      </c>
      <c r="Q12" s="166">
        <f t="shared" si="6"/>
        <v>1.1408371764705882</v>
      </c>
      <c r="R12" s="287">
        <v>6</v>
      </c>
      <c r="AG12" s="167"/>
      <c r="AH12" s="167"/>
      <c r="AJ12" s="18"/>
      <c r="AK12" s="168">
        <f t="shared" si="1"/>
        <v>7.0833050000000013E-4</v>
      </c>
      <c r="AL12" s="169">
        <v>8.3333000000000004E-2</v>
      </c>
    </row>
    <row r="13" spans="1:40" ht="22" outlineLevel="1">
      <c r="A13" s="18"/>
      <c r="B13" s="151"/>
      <c r="C13" s="151"/>
      <c r="D13" s="152"/>
      <c r="E13" s="95" t="s">
        <v>68</v>
      </c>
      <c r="F13" s="94">
        <f>COUNTIF(D202:D232,1)</f>
        <v>26</v>
      </c>
      <c r="G13" s="93">
        <f t="shared" si="2"/>
        <v>6545454.5454545459</v>
      </c>
      <c r="H13" s="163">
        <v>1</v>
      </c>
      <c r="I13" s="440">
        <f t="shared" si="3"/>
        <v>6545454.5454545459</v>
      </c>
      <c r="J13" s="441"/>
      <c r="K13" s="416">
        <f t="shared" si="4"/>
        <v>251748.25174825176</v>
      </c>
      <c r="L13" s="417"/>
      <c r="M13" s="171">
        <f>SUM(J202:J232)</f>
        <v>6581320</v>
      </c>
      <c r="N13" s="418">
        <f t="shared" si="5"/>
        <v>35865.454545454122</v>
      </c>
      <c r="O13" s="372"/>
      <c r="P13" s="165">
        <f t="shared" si="0"/>
        <v>1.0054794444444444</v>
      </c>
      <c r="Q13" s="166">
        <f t="shared" si="6"/>
        <v>1.0054794444444444</v>
      </c>
      <c r="R13" s="286">
        <v>7</v>
      </c>
      <c r="AG13" s="167"/>
      <c r="AH13" s="167"/>
      <c r="AJ13" s="18"/>
      <c r="AK13" s="168">
        <f t="shared" si="1"/>
        <v>8.3333000000000007E-4</v>
      </c>
      <c r="AL13" s="169">
        <v>8.3333000000000004E-2</v>
      </c>
      <c r="AM13" s="18"/>
    </row>
    <row r="14" spans="1:40" ht="22" outlineLevel="1">
      <c r="A14" s="18"/>
      <c r="B14" s="151"/>
      <c r="C14" s="151"/>
      <c r="D14" s="152"/>
      <c r="E14" s="95" t="s">
        <v>66</v>
      </c>
      <c r="F14" s="94">
        <f>COUNTIF(D233:D263,1)</f>
        <v>20</v>
      </c>
      <c r="G14" s="93">
        <f t="shared" si="2"/>
        <v>5034965.0349650355</v>
      </c>
      <c r="H14" s="163">
        <v>1</v>
      </c>
      <c r="I14" s="440">
        <f t="shared" si="3"/>
        <v>5034965.0349650355</v>
      </c>
      <c r="J14" s="441"/>
      <c r="K14" s="416">
        <f t="shared" si="4"/>
        <v>251748.25174825179</v>
      </c>
      <c r="L14" s="417"/>
      <c r="M14" s="171">
        <f>SUM(J233:J263)</f>
        <v>4857250</v>
      </c>
      <c r="N14" s="304">
        <f t="shared" si="5"/>
        <v>-177715.03496503551</v>
      </c>
      <c r="O14" s="303"/>
      <c r="P14" s="165">
        <f t="shared" si="0"/>
        <v>0.96470381944444439</v>
      </c>
      <c r="Q14" s="166">
        <f t="shared" si="6"/>
        <v>0.96470381944444439</v>
      </c>
      <c r="R14" s="286">
        <v>8</v>
      </c>
      <c r="Y14" s="18"/>
      <c r="Z14" s="18"/>
      <c r="AA14" s="18"/>
      <c r="AB14" s="142"/>
      <c r="AC14" s="247"/>
      <c r="AD14" s="142"/>
      <c r="AE14" s="18"/>
      <c r="AF14" s="18"/>
      <c r="AG14" s="167"/>
      <c r="AH14" s="167"/>
      <c r="AI14" s="18"/>
      <c r="AJ14" s="18"/>
      <c r="AK14" s="168">
        <f t="shared" si="1"/>
        <v>8.3333000000000007E-4</v>
      </c>
      <c r="AL14" s="169">
        <v>8.3333000000000004E-2</v>
      </c>
      <c r="AM14" s="18"/>
    </row>
    <row r="15" spans="1:40" ht="22" outlineLevel="1">
      <c r="A15" s="18"/>
      <c r="B15" s="151"/>
      <c r="C15" s="151"/>
      <c r="D15" s="152"/>
      <c r="E15" s="95" t="s">
        <v>64</v>
      </c>
      <c r="F15" s="94">
        <f>COUNTIF(D264:D293,1)</f>
        <v>24</v>
      </c>
      <c r="G15" s="93">
        <f t="shared" si="2"/>
        <v>6041958.0419580424</v>
      </c>
      <c r="H15" s="163">
        <v>1</v>
      </c>
      <c r="I15" s="440">
        <f t="shared" si="3"/>
        <v>6041958.0419580424</v>
      </c>
      <c r="J15" s="441"/>
      <c r="K15" s="416">
        <f t="shared" si="4"/>
        <v>251748.25174825176</v>
      </c>
      <c r="L15" s="417"/>
      <c r="M15" s="171">
        <f>SUM(J264:J293)</f>
        <v>6227066</v>
      </c>
      <c r="N15" s="418">
        <f t="shared" si="5"/>
        <v>185107.95804195758</v>
      </c>
      <c r="O15" s="372"/>
      <c r="P15" s="165">
        <f t="shared" si="0"/>
        <v>1.0306370810185184</v>
      </c>
      <c r="Q15" s="166">
        <f t="shared" si="6"/>
        <v>1.0306370810185184</v>
      </c>
      <c r="R15" s="286">
        <v>9</v>
      </c>
      <c r="Y15" s="18"/>
      <c r="Z15" s="18"/>
      <c r="AA15" s="18"/>
      <c r="AB15" s="142"/>
      <c r="AC15" s="247"/>
      <c r="AD15" s="142"/>
      <c r="AE15" s="18"/>
      <c r="AF15" s="18"/>
      <c r="AG15" s="167"/>
      <c r="AH15" s="167"/>
      <c r="AI15" s="18"/>
      <c r="AJ15" s="18"/>
      <c r="AK15" s="168">
        <f t="shared" si="1"/>
        <v>8.3333000000000007E-4</v>
      </c>
      <c r="AL15" s="169">
        <v>8.3333000000000004E-2</v>
      </c>
      <c r="AM15" s="18"/>
    </row>
    <row r="16" spans="1:40" ht="22" outlineLevel="1">
      <c r="A16" s="18"/>
      <c r="B16" s="151"/>
      <c r="C16" s="151"/>
      <c r="D16" s="152"/>
      <c r="E16" s="95" t="s">
        <v>63</v>
      </c>
      <c r="F16" s="94">
        <f>COUNTIF(D294:D324,1)</f>
        <v>26</v>
      </c>
      <c r="G16" s="93">
        <f t="shared" si="2"/>
        <v>6545454.5454545459</v>
      </c>
      <c r="H16" s="163">
        <v>1.1000000000000001</v>
      </c>
      <c r="I16" s="440">
        <f t="shared" si="3"/>
        <v>7200000.0000000009</v>
      </c>
      <c r="J16" s="441"/>
      <c r="K16" s="416">
        <f t="shared" si="4"/>
        <v>276923.07692307694</v>
      </c>
      <c r="L16" s="417"/>
      <c r="M16" s="171">
        <f>SUM(J294:J324)</f>
        <v>7804180</v>
      </c>
      <c r="N16" s="418">
        <f t="shared" si="5"/>
        <v>604179.99999999907</v>
      </c>
      <c r="O16" s="372"/>
      <c r="P16" s="165">
        <f t="shared" si="0"/>
        <v>1.1923052777777776</v>
      </c>
      <c r="Q16" s="166">
        <f t="shared" si="6"/>
        <v>1.0839138888888888</v>
      </c>
      <c r="R16" s="286">
        <v>10</v>
      </c>
      <c r="Y16" s="18"/>
      <c r="Z16" s="18"/>
      <c r="AA16" s="18"/>
      <c r="AB16" s="142"/>
      <c r="AC16" s="247"/>
      <c r="AD16" s="142"/>
      <c r="AE16" s="18"/>
      <c r="AF16" s="18"/>
      <c r="AG16" s="167"/>
      <c r="AH16" s="167"/>
      <c r="AI16" s="18"/>
      <c r="AJ16" s="18"/>
      <c r="AK16" s="168">
        <f t="shared" si="1"/>
        <v>9.1666300000000018E-4</v>
      </c>
      <c r="AL16" s="169">
        <v>8.3333000000000004E-2</v>
      </c>
      <c r="AM16" s="18"/>
      <c r="AN16" s="88"/>
    </row>
    <row r="17" spans="1:40" ht="22" outlineLevel="1">
      <c r="A17" s="18"/>
      <c r="B17" s="151"/>
      <c r="C17" s="151"/>
      <c r="D17" s="152"/>
      <c r="E17" s="95" t="s">
        <v>62</v>
      </c>
      <c r="F17" s="94">
        <f>COUNTIF(D325:D354,1)</f>
        <v>23</v>
      </c>
      <c r="G17" s="93">
        <f t="shared" si="2"/>
        <v>5790209.7902097907</v>
      </c>
      <c r="H17" s="163">
        <v>1.1000000000000001</v>
      </c>
      <c r="I17" s="440">
        <f t="shared" si="3"/>
        <v>6369230.7692307699</v>
      </c>
      <c r="J17" s="441"/>
      <c r="K17" s="416">
        <f t="shared" si="4"/>
        <v>276923.07692307694</v>
      </c>
      <c r="L17" s="417"/>
      <c r="M17" s="171">
        <f>SUM(J325:J354)</f>
        <v>6871130</v>
      </c>
      <c r="N17" s="418">
        <f t="shared" si="5"/>
        <v>501899.23076923005</v>
      </c>
      <c r="O17" s="372"/>
      <c r="P17" s="165">
        <f t="shared" si="0"/>
        <v>1.1866806642512076</v>
      </c>
      <c r="Q17" s="166">
        <f t="shared" si="6"/>
        <v>1.0788006038647342</v>
      </c>
      <c r="R17" s="286">
        <v>11</v>
      </c>
      <c r="X17" s="18"/>
      <c r="Y17" s="18"/>
      <c r="Z17" s="18"/>
      <c r="AA17" s="18"/>
      <c r="AB17" s="142"/>
      <c r="AC17" s="247"/>
      <c r="AD17" s="142"/>
      <c r="AE17" s="18"/>
      <c r="AF17" s="18"/>
      <c r="AG17" s="167"/>
      <c r="AH17" s="167"/>
      <c r="AI17" s="18"/>
      <c r="AJ17" s="18"/>
      <c r="AK17" s="168">
        <f t="shared" si="1"/>
        <v>9.1666300000000018E-4</v>
      </c>
      <c r="AL17" s="169">
        <v>8.3333000000000004E-2</v>
      </c>
      <c r="AM17" s="18"/>
      <c r="AN17" s="88"/>
    </row>
    <row r="18" spans="1:40" ht="22" outlineLevel="1">
      <c r="A18" s="18"/>
      <c r="B18" s="151"/>
      <c r="C18" s="151"/>
      <c r="D18" s="152"/>
      <c r="E18" s="95" t="s">
        <v>61</v>
      </c>
      <c r="F18" s="94">
        <f>COUNTIF(D355:D385,1)</f>
        <v>24</v>
      </c>
      <c r="G18" s="93">
        <f t="shared" si="2"/>
        <v>6041958.0419580424</v>
      </c>
      <c r="H18" s="163">
        <v>1.1499999999999999</v>
      </c>
      <c r="I18" s="440">
        <f t="shared" si="3"/>
        <v>6948251.7482517483</v>
      </c>
      <c r="J18" s="441"/>
      <c r="K18" s="416">
        <f t="shared" si="4"/>
        <v>289510.48951048951</v>
      </c>
      <c r="L18" s="417"/>
      <c r="M18" s="171">
        <f>SUM(J355:J385)</f>
        <v>7756015</v>
      </c>
      <c r="N18" s="418">
        <f t="shared" si="5"/>
        <v>807763.25174825173</v>
      </c>
      <c r="O18" s="372"/>
      <c r="P18" s="165">
        <f t="shared" si="0"/>
        <v>1.2836922974537035</v>
      </c>
      <c r="Q18" s="166">
        <f t="shared" si="6"/>
        <v>1.1162541716988728</v>
      </c>
      <c r="R18" s="286">
        <v>12</v>
      </c>
      <c r="T18" s="18"/>
      <c r="V18" s="151"/>
      <c r="W18" s="151"/>
      <c r="X18" s="18"/>
      <c r="Y18" s="18"/>
      <c r="Z18" s="18"/>
      <c r="AA18" s="18"/>
      <c r="AB18" s="142"/>
      <c r="AC18" s="247"/>
      <c r="AD18" s="142"/>
      <c r="AE18" s="18"/>
      <c r="AF18" s="18"/>
      <c r="AG18" s="167"/>
      <c r="AH18" s="167"/>
      <c r="AI18" s="18"/>
      <c r="AJ18" s="18"/>
      <c r="AK18" s="168">
        <f t="shared" si="1"/>
        <v>9.5832950000000001E-4</v>
      </c>
      <c r="AL18" s="169">
        <v>8.3333000000000004E-2</v>
      </c>
      <c r="AM18" s="18"/>
      <c r="AN18" s="88"/>
    </row>
    <row r="19" spans="1:40" ht="10.25" customHeight="1">
      <c r="A19" s="18"/>
      <c r="B19" s="151"/>
      <c r="C19" s="151"/>
      <c r="D19" s="152"/>
      <c r="E19" s="151"/>
      <c r="F19" s="173"/>
      <c r="G19" s="151"/>
      <c r="H19" s="151"/>
      <c r="I19" s="174"/>
      <c r="J19" s="151"/>
      <c r="K19" s="151"/>
      <c r="L19" s="151"/>
      <c r="M19" s="151"/>
      <c r="N19" s="151"/>
      <c r="O19" s="151"/>
      <c r="P19" s="151"/>
      <c r="Q19" s="151"/>
      <c r="R19" s="151"/>
      <c r="S19" s="151"/>
      <c r="T19" s="151"/>
      <c r="U19" s="151"/>
      <c r="V19" s="151"/>
      <c r="W19" s="151"/>
      <c r="X19" s="18"/>
      <c r="Y19" s="18"/>
      <c r="Z19" s="18"/>
      <c r="AA19" s="18"/>
      <c r="AB19" s="142"/>
      <c r="AC19" s="247"/>
      <c r="AD19" s="142"/>
      <c r="AE19" s="18"/>
      <c r="AF19" s="18"/>
      <c r="AI19" s="18"/>
      <c r="AJ19" s="18"/>
      <c r="AK19" s="18"/>
      <c r="AL19" s="18"/>
      <c r="AM19" s="18"/>
      <c r="AN19" s="18"/>
    </row>
    <row r="20" spans="1:40" ht="20">
      <c r="A20" s="18"/>
      <c r="B20" s="151"/>
      <c r="C20" s="175"/>
      <c r="D20" s="176"/>
      <c r="E20" s="177" t="s">
        <v>17</v>
      </c>
      <c r="F20" s="177" t="s">
        <v>60</v>
      </c>
      <c r="G20" s="178" t="s">
        <v>36</v>
      </c>
      <c r="H20" s="179" t="s">
        <v>162</v>
      </c>
      <c r="I20" s="180"/>
      <c r="J20" s="181" t="s">
        <v>58</v>
      </c>
      <c r="K20" s="180"/>
      <c r="L20" s="182" t="s">
        <v>2</v>
      </c>
      <c r="M20" s="183" t="s">
        <v>143</v>
      </c>
      <c r="N20" s="175" t="s">
        <v>55</v>
      </c>
      <c r="O20" s="184"/>
      <c r="P20" s="185" t="s">
        <v>11</v>
      </c>
      <c r="Q20" s="177" t="s">
        <v>54</v>
      </c>
      <c r="R20" s="179" t="s">
        <v>163</v>
      </c>
      <c r="S20" s="186" t="s">
        <v>164</v>
      </c>
      <c r="T20" s="187"/>
      <c r="U20" s="185" t="s">
        <v>12</v>
      </c>
      <c r="V20" s="177" t="s">
        <v>51</v>
      </c>
      <c r="W20" s="188" t="s">
        <v>165</v>
      </c>
      <c r="X20" s="189" t="s">
        <v>166</v>
      </c>
      <c r="Y20" s="18"/>
      <c r="Z20" s="18"/>
      <c r="AA20" s="266" t="s">
        <v>188</v>
      </c>
      <c r="AB20" s="266" t="s">
        <v>96</v>
      </c>
      <c r="AC20" s="266" t="s">
        <v>202</v>
      </c>
      <c r="AD20" s="267" t="s">
        <v>186</v>
      </c>
      <c r="AE20" s="268" t="s">
        <v>189</v>
      </c>
      <c r="AF20" s="268" t="s">
        <v>203</v>
      </c>
      <c r="AG20" s="18"/>
      <c r="AH20" s="18"/>
      <c r="AI20" s="18"/>
      <c r="AJ20" s="18"/>
      <c r="AK20" s="18"/>
      <c r="AL20" s="18"/>
      <c r="AM20" s="18"/>
      <c r="AN20" s="18"/>
    </row>
    <row r="21" spans="1:40" ht="20">
      <c r="A21" s="18"/>
      <c r="B21" s="152"/>
      <c r="C21" s="55">
        <v>1</v>
      </c>
      <c r="D21" s="54">
        <v>0</v>
      </c>
      <c r="E21" s="190">
        <f>MONTH(Y21)</f>
        <v>1</v>
      </c>
      <c r="F21" s="191">
        <f>B2</f>
        <v>45658</v>
      </c>
      <c r="G21" s="192" t="str">
        <f>TEXT(Z21,"ddd")</f>
        <v>Wed</v>
      </c>
      <c r="H21" s="193" t="s">
        <v>48</v>
      </c>
      <c r="I21" s="194"/>
      <c r="J21" s="195"/>
      <c r="K21" s="196"/>
      <c r="L21" s="43">
        <f>IF(D21=0,0,IFERROR(SUMIFS($AE$21:$AE$104,$AA$21:$AA$104,$E21,$AB$21:$AB$104,$G21),0))</f>
        <v>0</v>
      </c>
      <c r="M21" s="280">
        <f t="shared" ref="M21:M84" si="7">IF(D21=0,0,J21-L21)</f>
        <v>0</v>
      </c>
      <c r="N21" s="41" t="str">
        <f t="shared" ref="N21:N275" si="8">IFERROR(J21/L21,"¥0")</f>
        <v>¥0</v>
      </c>
      <c r="O21" s="197"/>
      <c r="P21" s="43">
        <f>IF(D21=0,0,$K$7)</f>
        <v>0</v>
      </c>
      <c r="Q21" s="43">
        <f>IF(D21=0,0,$J$21)</f>
        <v>0</v>
      </c>
      <c r="R21" s="282">
        <f t="shared" ref="R21:R84" si="9">IF(D21=0,0,Q21-P21)</f>
        <v>0</v>
      </c>
      <c r="S21" s="198">
        <f>IF(D21=0,0,Q21/P21)</f>
        <v>0</v>
      </c>
      <c r="T21" s="199"/>
      <c r="U21" s="43">
        <f>IF(D21=0,0,$L$21)</f>
        <v>0</v>
      </c>
      <c r="V21" s="43">
        <f>IF(D21=0,0,$J$21)</f>
        <v>0</v>
      </c>
      <c r="W21" s="284">
        <f t="shared" ref="W21:W84" si="10">IF(D21=0,0,V21-U21)</f>
        <v>0</v>
      </c>
      <c r="X21" s="200">
        <f>IF(D21=0,0,V21/U21)</f>
        <v>0</v>
      </c>
      <c r="Y21" s="201">
        <f>B2</f>
        <v>45658</v>
      </c>
      <c r="Z21" s="202">
        <f>B2</f>
        <v>45658</v>
      </c>
      <c r="AA21" s="245">
        <v>1</v>
      </c>
      <c r="AB21" s="136" t="s">
        <v>209</v>
      </c>
      <c r="AC21" s="249">
        <f>IFERROR(AVERAGEIFS(J21:J51,D21:D51,1,G21:G51,"mon"),0)</f>
        <v>241486.66666666666</v>
      </c>
      <c r="AD21" s="274">
        <f>COUNTIFS(D21:D51,1,G21:G51,"Mon")</f>
        <v>3</v>
      </c>
      <c r="AE21" s="138">
        <f>($I$7*'2024(¥)'!AI20)/AD21</f>
        <v>318767.41118560376</v>
      </c>
      <c r="AF21" s="138">
        <f t="shared" ref="AF21:AF26" si="11">AD21*AE21</f>
        <v>956302.23355681123</v>
      </c>
      <c r="AG21" s="203" t="s">
        <v>182</v>
      </c>
      <c r="AH21" s="203"/>
      <c r="AI21" s="18"/>
      <c r="AJ21" s="18"/>
      <c r="AK21" s="18"/>
      <c r="AL21" s="18"/>
      <c r="AM21" s="18"/>
      <c r="AN21" s="18"/>
    </row>
    <row r="22" spans="1:40" ht="20">
      <c r="A22" s="18"/>
      <c r="B22" s="152"/>
      <c r="C22" s="55">
        <v>2</v>
      </c>
      <c r="D22" s="54">
        <v>0</v>
      </c>
      <c r="E22" s="190">
        <f t="shared" ref="E22:E85" si="12">MONTH(Y22)</f>
        <v>1</v>
      </c>
      <c r="F22" s="191">
        <f t="shared" ref="F22:F85" si="13">F21+1</f>
        <v>45659</v>
      </c>
      <c r="G22" s="192" t="str">
        <f t="shared" ref="G22:G85" si="14">TEXT(Z22,"ddd")</f>
        <v>Thu</v>
      </c>
      <c r="H22" s="193" t="s">
        <v>45</v>
      </c>
      <c r="I22" s="194"/>
      <c r="J22" s="195"/>
      <c r="K22" s="196"/>
      <c r="L22" s="43">
        <f t="shared" ref="L22:L85" si="15">IF(D22=0,0,IFERROR(SUMIFS($AE$21:$AE$104,$AA$21:$AA$104,$E22,$AB$21:$AB$104,$G22),0))</f>
        <v>0</v>
      </c>
      <c r="M22" s="280">
        <f t="shared" si="7"/>
        <v>0</v>
      </c>
      <c r="N22" s="41" t="str">
        <f t="shared" si="8"/>
        <v>¥0</v>
      </c>
      <c r="O22" s="197"/>
      <c r="P22" s="43">
        <f>IF(D22=0,0,SUM($L$21:L22))</f>
        <v>0</v>
      </c>
      <c r="Q22" s="43">
        <f>IF(D22=0,0,SUM($J$21:J22))</f>
        <v>0</v>
      </c>
      <c r="R22" s="282">
        <f t="shared" si="9"/>
        <v>0</v>
      </c>
      <c r="S22" s="198">
        <f t="shared" ref="S22:S85" si="16">IF(D22=0,0,Q22/P22)</f>
        <v>0</v>
      </c>
      <c r="T22" s="199"/>
      <c r="U22" s="43">
        <f>IF(D22=0,0,SUM($L$21:L22))</f>
        <v>0</v>
      </c>
      <c r="V22" s="43">
        <f>IF(D22=0,0,SUM($J$21:J22))</f>
        <v>0</v>
      </c>
      <c r="W22" s="284">
        <f t="shared" si="10"/>
        <v>0</v>
      </c>
      <c r="X22" s="200">
        <f t="shared" ref="X22:X85" si="17">IF(D22=0,0,V22/U22)</f>
        <v>0</v>
      </c>
      <c r="Y22" s="201">
        <f>Y21+1</f>
        <v>45659</v>
      </c>
      <c r="Z22" s="202">
        <f>Z21+1</f>
        <v>45659</v>
      </c>
      <c r="AA22" s="245">
        <v>1</v>
      </c>
      <c r="AB22" s="243" t="s">
        <v>210</v>
      </c>
      <c r="AC22" s="250">
        <f>IFERROR(AVERAGEIFS(J21:J51,D21:D51,1,G21:G51,"tue"),0)</f>
        <v>263727.5</v>
      </c>
      <c r="AD22" s="275">
        <f>COUNTIFS(D21:D51,1,G21:G51,"tue")</f>
        <v>4</v>
      </c>
      <c r="AE22" s="138">
        <f>($I$7*'2024(¥)'!AI21)/AD22</f>
        <v>202590.3746656946</v>
      </c>
      <c r="AF22" s="138">
        <f t="shared" si="11"/>
        <v>810361.49866277841</v>
      </c>
      <c r="AG22" s="270"/>
      <c r="AH22" s="270"/>
      <c r="AI22" s="18"/>
      <c r="AJ22" s="18"/>
      <c r="AK22" s="18"/>
      <c r="AL22" s="18"/>
      <c r="AM22" s="18"/>
      <c r="AN22" s="18"/>
    </row>
    <row r="23" spans="1:40" ht="20">
      <c r="A23" s="18"/>
      <c r="B23" s="152"/>
      <c r="C23" s="55">
        <v>3</v>
      </c>
      <c r="D23" s="54">
        <v>0</v>
      </c>
      <c r="E23" s="190">
        <f t="shared" si="12"/>
        <v>1</v>
      </c>
      <c r="F23" s="191">
        <f t="shared" si="13"/>
        <v>45660</v>
      </c>
      <c r="G23" s="192" t="str">
        <f t="shared" si="14"/>
        <v>Fri</v>
      </c>
      <c r="H23" s="193" t="s">
        <v>45</v>
      </c>
      <c r="I23" s="194"/>
      <c r="J23" s="195"/>
      <c r="K23" s="196"/>
      <c r="L23" s="43">
        <f t="shared" si="15"/>
        <v>0</v>
      </c>
      <c r="M23" s="280">
        <f t="shared" si="7"/>
        <v>0</v>
      </c>
      <c r="N23" s="41" t="str">
        <f t="shared" si="8"/>
        <v>¥0</v>
      </c>
      <c r="O23" s="197"/>
      <c r="P23" s="43">
        <f>IF(D23=0,0,SUM($L$21:L23))</f>
        <v>0</v>
      </c>
      <c r="Q23" s="43">
        <f>IF(D23=0,0,SUM($J$21:J23))</f>
        <v>0</v>
      </c>
      <c r="R23" s="282">
        <f t="shared" si="9"/>
        <v>0</v>
      </c>
      <c r="S23" s="198">
        <f t="shared" si="16"/>
        <v>0</v>
      </c>
      <c r="T23" s="199"/>
      <c r="U23" s="43">
        <f>IF(D23=0,0,SUM($L$21:L23))</f>
        <v>0</v>
      </c>
      <c r="V23" s="43">
        <f>IF(D23=0,0,SUM($J$21:J23))</f>
        <v>0</v>
      </c>
      <c r="W23" s="284">
        <f t="shared" si="10"/>
        <v>0</v>
      </c>
      <c r="X23" s="200">
        <f t="shared" si="17"/>
        <v>0</v>
      </c>
      <c r="Y23" s="201">
        <f t="shared" ref="Y23:Z38" si="18">Y22+1</f>
        <v>45660</v>
      </c>
      <c r="Z23" s="202">
        <f t="shared" si="18"/>
        <v>45660</v>
      </c>
      <c r="AA23" s="245">
        <v>1</v>
      </c>
      <c r="AB23" s="243" t="s">
        <v>211</v>
      </c>
      <c r="AC23" s="251">
        <f>IFERROR(AVERAGEIFS(J21:J51,D21:D51,1,G21:G51,"wed"),0)</f>
        <v>230627.5</v>
      </c>
      <c r="AD23" s="275">
        <f>COUNTIFS(D21:D51,1,G21:G51,"wed")</f>
        <v>4</v>
      </c>
      <c r="AE23" s="138">
        <f>IFERROR(($I$7*'2024(¥)'!AI22)/AD23,0)</f>
        <v>228185.93953558934</v>
      </c>
      <c r="AF23" s="138">
        <f t="shared" si="11"/>
        <v>912743.75814235734</v>
      </c>
      <c r="AG23" s="203"/>
      <c r="AH23" s="203"/>
      <c r="AI23" s="18"/>
      <c r="AJ23" s="18"/>
      <c r="AK23" s="18"/>
      <c r="AL23" s="18"/>
      <c r="AM23" s="18"/>
      <c r="AN23" s="18"/>
    </row>
    <row r="24" spans="1:40" ht="20">
      <c r="A24" s="18"/>
      <c r="B24" s="152"/>
      <c r="C24" s="55">
        <v>4</v>
      </c>
      <c r="D24" s="54">
        <v>0</v>
      </c>
      <c r="E24" s="190">
        <f t="shared" si="12"/>
        <v>1</v>
      </c>
      <c r="F24" s="191">
        <f t="shared" si="13"/>
        <v>45661</v>
      </c>
      <c r="G24" s="192" t="str">
        <f t="shared" si="14"/>
        <v>Sat</v>
      </c>
      <c r="H24" s="193"/>
      <c r="I24" s="194"/>
      <c r="J24" s="195"/>
      <c r="K24" s="196"/>
      <c r="L24" s="43">
        <f t="shared" si="15"/>
        <v>0</v>
      </c>
      <c r="M24" s="280">
        <f t="shared" si="7"/>
        <v>0</v>
      </c>
      <c r="N24" s="41" t="str">
        <f t="shared" si="8"/>
        <v>¥0</v>
      </c>
      <c r="O24" s="197"/>
      <c r="P24" s="43">
        <f>IF(D24=0,0,SUM($L$21:L24))</f>
        <v>0</v>
      </c>
      <c r="Q24" s="43">
        <f>IF(D24=0,0,SUM($J$21:J24))</f>
        <v>0</v>
      </c>
      <c r="R24" s="282">
        <f t="shared" si="9"/>
        <v>0</v>
      </c>
      <c r="S24" s="198">
        <f t="shared" si="16"/>
        <v>0</v>
      </c>
      <c r="T24" s="204"/>
      <c r="U24" s="43">
        <f>IF(D24=0,0,SUM($L$21:L24))</f>
        <v>0</v>
      </c>
      <c r="V24" s="43">
        <f>IF(D24=0,0,SUM($J$21:J24))</f>
        <v>0</v>
      </c>
      <c r="W24" s="284">
        <f t="shared" si="10"/>
        <v>0</v>
      </c>
      <c r="X24" s="200">
        <f t="shared" si="17"/>
        <v>0</v>
      </c>
      <c r="Y24" s="201">
        <f t="shared" si="18"/>
        <v>45661</v>
      </c>
      <c r="Z24" s="202">
        <f t="shared" si="18"/>
        <v>45661</v>
      </c>
      <c r="AA24" s="245">
        <v>1</v>
      </c>
      <c r="AB24" s="243" t="s">
        <v>212</v>
      </c>
      <c r="AC24" s="251">
        <f>IFERROR(AVERAGEIFS(J21:J51,D21:D51,1,G21:G51,"thu"),0)</f>
        <v>303017.5</v>
      </c>
      <c r="AD24" s="275">
        <f>COUNTIFS(D21:D51,1,G21:G51,"thu")</f>
        <v>4</v>
      </c>
      <c r="AE24" s="138">
        <f>($I$7*'2024(¥)'!AI23)/AD24</f>
        <v>158530.17364505664</v>
      </c>
      <c r="AF24" s="138">
        <f t="shared" si="11"/>
        <v>634120.69458022655</v>
      </c>
      <c r="AG24" s="203"/>
      <c r="AH24" s="203"/>
      <c r="AI24" s="18"/>
      <c r="AJ24" s="18"/>
      <c r="AK24" s="18"/>
      <c r="AL24" s="18"/>
      <c r="AM24" s="18"/>
      <c r="AN24" s="18"/>
    </row>
    <row r="25" spans="1:40" ht="20">
      <c r="A25" s="18"/>
      <c r="B25" s="152"/>
      <c r="C25" s="55">
        <v>5</v>
      </c>
      <c r="D25" s="54">
        <v>0</v>
      </c>
      <c r="E25" s="190">
        <f t="shared" si="12"/>
        <v>1</v>
      </c>
      <c r="F25" s="191">
        <f t="shared" si="13"/>
        <v>45662</v>
      </c>
      <c r="G25" s="192" t="str">
        <f t="shared" si="14"/>
        <v>Sun</v>
      </c>
      <c r="H25" s="193"/>
      <c r="I25" s="194"/>
      <c r="J25" s="195"/>
      <c r="K25" s="196"/>
      <c r="L25" s="43">
        <f t="shared" si="15"/>
        <v>0</v>
      </c>
      <c r="M25" s="280">
        <f t="shared" si="7"/>
        <v>0</v>
      </c>
      <c r="N25" s="41" t="str">
        <f t="shared" si="8"/>
        <v>¥0</v>
      </c>
      <c r="O25" s="197"/>
      <c r="P25" s="43">
        <f>IF(D25=0,0,SUM($L$21:L25))</f>
        <v>0</v>
      </c>
      <c r="Q25" s="43">
        <f>IF(D25=0,0,SUM($J$21:J25))</f>
        <v>0</v>
      </c>
      <c r="R25" s="282">
        <f t="shared" si="9"/>
        <v>0</v>
      </c>
      <c r="S25" s="198">
        <f t="shared" si="16"/>
        <v>0</v>
      </c>
      <c r="T25" s="199"/>
      <c r="U25" s="43">
        <f>IF(D25=0,0,SUM($L$21:L25))</f>
        <v>0</v>
      </c>
      <c r="V25" s="43">
        <f>IF(D25=0,0,SUM($J$21:J25))</f>
        <v>0</v>
      </c>
      <c r="W25" s="284">
        <f t="shared" si="10"/>
        <v>0</v>
      </c>
      <c r="X25" s="200">
        <f t="shared" si="17"/>
        <v>0</v>
      </c>
      <c r="Y25" s="201">
        <f t="shared" si="18"/>
        <v>45662</v>
      </c>
      <c r="Z25" s="202">
        <f t="shared" si="18"/>
        <v>45662</v>
      </c>
      <c r="AA25" s="245">
        <v>1</v>
      </c>
      <c r="AB25" s="243" t="s">
        <v>213</v>
      </c>
      <c r="AC25" s="251">
        <f>IFERROR(AVERAGEIFS(J21:J51,D21:D51,1,G21:G51,"fri"),0)</f>
        <v>352387.5</v>
      </c>
      <c r="AD25" s="275">
        <f>COUNTIFS(D21:D51,1,G21:G51,"fri")</f>
        <v>4</v>
      </c>
      <c r="AE25" s="138">
        <f>($I$7*'2024(¥)'!AI24)/AD25</f>
        <v>276778.20622489171</v>
      </c>
      <c r="AF25" s="138">
        <f t="shared" si="11"/>
        <v>1107112.8248995668</v>
      </c>
      <c r="AG25" s="203"/>
      <c r="AH25" s="203"/>
      <c r="AI25" s="18"/>
      <c r="AJ25" s="18"/>
      <c r="AK25" s="18"/>
      <c r="AL25" s="18"/>
      <c r="AM25" s="18"/>
      <c r="AN25" s="18"/>
    </row>
    <row r="26" spans="1:40" ht="20">
      <c r="A26" s="18"/>
      <c r="B26" s="152"/>
      <c r="C26" s="55">
        <v>6</v>
      </c>
      <c r="D26" s="54">
        <v>1</v>
      </c>
      <c r="E26" s="190">
        <f t="shared" si="12"/>
        <v>1</v>
      </c>
      <c r="F26" s="191">
        <f t="shared" si="13"/>
        <v>45663</v>
      </c>
      <c r="G26" s="192" t="str">
        <f t="shared" si="14"/>
        <v>Mon</v>
      </c>
      <c r="H26" s="193"/>
      <c r="I26" s="194"/>
      <c r="J26" s="205">
        <v>215720</v>
      </c>
      <c r="K26" s="206"/>
      <c r="L26" s="43">
        <f t="shared" si="15"/>
        <v>318767.41118560376</v>
      </c>
      <c r="M26" s="280">
        <f t="shared" si="7"/>
        <v>-103047.41118560376</v>
      </c>
      <c r="N26" s="41">
        <f>IFERROR(J26/L26,"¥0")</f>
        <v>0.67673166211584923</v>
      </c>
      <c r="O26" s="197"/>
      <c r="P26" s="43">
        <f>IF(D26=0,0,SUM($L$21:L26))</f>
        <v>318767.41118560376</v>
      </c>
      <c r="Q26" s="43">
        <f>IF(D26=0,0,SUM($J$21:J26))</f>
        <v>215720</v>
      </c>
      <c r="R26" s="282">
        <f t="shared" si="9"/>
        <v>-103047.41118560376</v>
      </c>
      <c r="S26" s="198">
        <f t="shared" si="16"/>
        <v>0.67673166211584923</v>
      </c>
      <c r="T26" s="207"/>
      <c r="U26" s="43">
        <f>IF(D26=0,0,SUM($L$21:L26))</f>
        <v>318767.41118560376</v>
      </c>
      <c r="V26" s="43">
        <f>IF(D26=0,0,SUM($J$21:J26))</f>
        <v>215720</v>
      </c>
      <c r="W26" s="284">
        <f t="shared" si="10"/>
        <v>-103047.41118560376</v>
      </c>
      <c r="X26" s="200">
        <f t="shared" si="17"/>
        <v>0.67673166211584923</v>
      </c>
      <c r="Y26" s="201">
        <f t="shared" si="18"/>
        <v>45663</v>
      </c>
      <c r="Z26" s="202">
        <f t="shared" si="18"/>
        <v>45663</v>
      </c>
      <c r="AA26" s="245">
        <v>1</v>
      </c>
      <c r="AB26" s="243" t="s">
        <v>214</v>
      </c>
      <c r="AC26" s="251">
        <f>IFERROR(AVERAGEIFS(J21:J51,D21:D51,1,G21:G51,"sat"),0)</f>
        <v>96583.333333333328</v>
      </c>
      <c r="AD26" s="275">
        <f>COUNTIFS(D21:D51,1,G21:G51,"sat")</f>
        <v>3</v>
      </c>
      <c r="AE26" s="138">
        <f>($I$7*'2024(¥)'!AI25)/AD26</f>
        <v>95683.765950189147</v>
      </c>
      <c r="AF26" s="138">
        <f t="shared" si="11"/>
        <v>287051.29785056744</v>
      </c>
      <c r="AG26" s="273" t="s">
        <v>190</v>
      </c>
      <c r="AH26" s="203"/>
      <c r="AI26" s="18"/>
      <c r="AJ26" s="18"/>
      <c r="AK26" s="18"/>
      <c r="AL26" s="18"/>
      <c r="AM26" s="18"/>
      <c r="AN26" s="18"/>
    </row>
    <row r="27" spans="1:40" ht="20">
      <c r="A27" s="18"/>
      <c r="B27" s="152"/>
      <c r="C27" s="55">
        <v>7</v>
      </c>
      <c r="D27" s="54">
        <v>1</v>
      </c>
      <c r="E27" s="190">
        <f t="shared" si="12"/>
        <v>1</v>
      </c>
      <c r="F27" s="191">
        <f t="shared" si="13"/>
        <v>45664</v>
      </c>
      <c r="G27" s="192" t="str">
        <f t="shared" si="14"/>
        <v>Tue</v>
      </c>
      <c r="H27" s="193"/>
      <c r="I27" s="194"/>
      <c r="J27" s="205">
        <v>224970</v>
      </c>
      <c r="K27" s="206"/>
      <c r="L27" s="43">
        <f t="shared" si="15"/>
        <v>202590.3746656946</v>
      </c>
      <c r="M27" s="280">
        <f t="shared" si="7"/>
        <v>22379.625334305398</v>
      </c>
      <c r="N27" s="41">
        <f t="shared" si="8"/>
        <v>1.1104673673230292</v>
      </c>
      <c r="O27" s="197"/>
      <c r="P27" s="43">
        <f>IF(D27=0,0,SUM($L$21:L27))</f>
        <v>521357.78585129837</v>
      </c>
      <c r="Q27" s="43">
        <f>IF(D27=0,0,SUM($J$21:J27))</f>
        <v>440690</v>
      </c>
      <c r="R27" s="282">
        <f t="shared" si="9"/>
        <v>-80667.785851298366</v>
      </c>
      <c r="S27" s="198">
        <f t="shared" si="16"/>
        <v>0.84527365268060572</v>
      </c>
      <c r="T27" s="207"/>
      <c r="U27" s="43">
        <f>IF(D27=0,0,SUM($L$21:L27))</f>
        <v>521357.78585129837</v>
      </c>
      <c r="V27" s="43">
        <f>IF(D27=0,0,SUM($J$21:J27))</f>
        <v>440690</v>
      </c>
      <c r="W27" s="284">
        <f t="shared" si="10"/>
        <v>-80667.785851298366</v>
      </c>
      <c r="X27" s="200">
        <f t="shared" si="17"/>
        <v>0.84527365268060572</v>
      </c>
      <c r="Y27" s="201">
        <f t="shared" si="18"/>
        <v>45664</v>
      </c>
      <c r="Z27" s="202">
        <f t="shared" si="18"/>
        <v>45664</v>
      </c>
      <c r="AA27" s="245">
        <v>1</v>
      </c>
      <c r="AB27" s="243" t="s">
        <v>215</v>
      </c>
      <c r="AC27" s="251">
        <f>IFERROR(AVERAGEIFS(J21:J51,D21:D51,1,G21:G51,"sun"),0)</f>
        <v>0</v>
      </c>
      <c r="AD27" s="275">
        <f>IFERROR(COUNTIFS(D21:D51,1,G21:G51,"sun"),0)</f>
        <v>0</v>
      </c>
      <c r="AE27" s="138">
        <f>IFERROR(($I$7*'2024(¥)'!AI26)/AD27,0)</f>
        <v>0</v>
      </c>
      <c r="AF27" s="271">
        <f>SUM(AF21:AF26)</f>
        <v>4707692.307692308</v>
      </c>
      <c r="AG27" s="272">
        <f>I7</f>
        <v>4707692.307692308</v>
      </c>
      <c r="AH27" s="270"/>
      <c r="AI27" s="18"/>
      <c r="AJ27" s="18"/>
      <c r="AK27" s="18"/>
      <c r="AL27" s="18"/>
      <c r="AM27" s="18"/>
      <c r="AN27" s="18"/>
    </row>
    <row r="28" spans="1:40" ht="20">
      <c r="A28" s="18"/>
      <c r="B28" s="152"/>
      <c r="C28" s="55">
        <v>8</v>
      </c>
      <c r="D28" s="54">
        <v>1</v>
      </c>
      <c r="E28" s="190">
        <f t="shared" si="12"/>
        <v>1</v>
      </c>
      <c r="F28" s="191">
        <f t="shared" si="13"/>
        <v>45665</v>
      </c>
      <c r="G28" s="192" t="str">
        <f t="shared" si="14"/>
        <v>Wed</v>
      </c>
      <c r="H28" s="193"/>
      <c r="I28" s="194"/>
      <c r="J28" s="205">
        <v>194050</v>
      </c>
      <c r="K28" s="206"/>
      <c r="L28" s="43">
        <f t="shared" si="15"/>
        <v>228185.93953558934</v>
      </c>
      <c r="M28" s="280">
        <f t="shared" si="7"/>
        <v>-34135.939535589336</v>
      </c>
      <c r="N28" s="41">
        <f t="shared" si="8"/>
        <v>0.85040296696166384</v>
      </c>
      <c r="O28" s="197"/>
      <c r="P28" s="43">
        <f>IF(D28=0,0,SUM($L$21:L28))</f>
        <v>749543.72538688767</v>
      </c>
      <c r="Q28" s="43">
        <f>IF(D28=0,0,SUM($J$21:J28))</f>
        <v>634740</v>
      </c>
      <c r="R28" s="282">
        <f t="shared" si="9"/>
        <v>-114803.72538688767</v>
      </c>
      <c r="S28" s="198">
        <f t="shared" si="16"/>
        <v>0.84683518586239903</v>
      </c>
      <c r="T28" s="207"/>
      <c r="U28" s="43">
        <f>IF(D28=0,0,SUM($L$21:L28))</f>
        <v>749543.72538688767</v>
      </c>
      <c r="V28" s="43">
        <f>IF(D28=0,0,SUM($J$21:J28))</f>
        <v>634740</v>
      </c>
      <c r="W28" s="284">
        <f t="shared" si="10"/>
        <v>-114803.72538688767</v>
      </c>
      <c r="X28" s="200">
        <f t="shared" si="17"/>
        <v>0.84683518586239903</v>
      </c>
      <c r="Y28" s="201">
        <f t="shared" si="18"/>
        <v>45665</v>
      </c>
      <c r="Z28" s="202">
        <f t="shared" si="18"/>
        <v>45665</v>
      </c>
      <c r="AA28" s="246">
        <v>2</v>
      </c>
      <c r="AB28" s="136" t="s">
        <v>216</v>
      </c>
      <c r="AC28" s="251">
        <f>IFERROR(AVERAGEIFS(J52:J79,D52:D79,1,G52:G79,"mon"),0)</f>
        <v>218376.66666666666</v>
      </c>
      <c r="AD28" s="275">
        <f>COUNTIFS(D52:D79,1,G52:G79,"Mon")</f>
        <v>3</v>
      </c>
      <c r="AE28" s="265">
        <f>($I$8*'2024(¥)'!AI27)/AD28</f>
        <v>217651.10892490271</v>
      </c>
      <c r="AF28" s="138">
        <f t="shared" ref="AF28:AF33" si="19">AD28*AE28</f>
        <v>652953.32677470811</v>
      </c>
      <c r="AG28" s="203" t="s">
        <v>183</v>
      </c>
      <c r="AH28" s="203"/>
      <c r="AI28" s="18"/>
      <c r="AJ28" s="18"/>
      <c r="AK28" s="18"/>
      <c r="AL28" s="18"/>
      <c r="AM28" s="18"/>
      <c r="AN28" s="18"/>
    </row>
    <row r="29" spans="1:40" ht="20">
      <c r="A29" s="18"/>
      <c r="B29" s="152"/>
      <c r="C29" s="55">
        <v>9</v>
      </c>
      <c r="D29" s="54">
        <v>1</v>
      </c>
      <c r="E29" s="190">
        <f t="shared" si="12"/>
        <v>1</v>
      </c>
      <c r="F29" s="191">
        <f t="shared" si="13"/>
        <v>45666</v>
      </c>
      <c r="G29" s="192" t="str">
        <f t="shared" si="14"/>
        <v>Thu</v>
      </c>
      <c r="H29" s="193"/>
      <c r="I29" s="194"/>
      <c r="J29" s="205">
        <v>259520</v>
      </c>
      <c r="K29" s="206"/>
      <c r="L29" s="43">
        <f t="shared" si="15"/>
        <v>158530.17364505664</v>
      </c>
      <c r="M29" s="280">
        <f t="shared" si="7"/>
        <v>100989.82635494336</v>
      </c>
      <c r="N29" s="41">
        <f t="shared" si="8"/>
        <v>1.6370385147060771</v>
      </c>
      <c r="O29" s="197"/>
      <c r="P29" s="43">
        <f>IF(D29=0,0,SUM($L$21:L29))</f>
        <v>908073.89903194434</v>
      </c>
      <c r="Q29" s="43">
        <f>IF(D29=0,0,SUM($J$21:J29))</f>
        <v>894260</v>
      </c>
      <c r="R29" s="282">
        <f t="shared" si="9"/>
        <v>-13813.89903194434</v>
      </c>
      <c r="S29" s="198">
        <f t="shared" si="16"/>
        <v>0.9847876928885736</v>
      </c>
      <c r="T29" s="207"/>
      <c r="U29" s="43">
        <f>IF(D29=0,0,SUM($L$21:L29))</f>
        <v>908073.89903194434</v>
      </c>
      <c r="V29" s="43">
        <f>IF(D29=0,0,SUM($J$21:J29))</f>
        <v>894260</v>
      </c>
      <c r="W29" s="284">
        <f t="shared" si="10"/>
        <v>-13813.89903194434</v>
      </c>
      <c r="X29" s="200">
        <f t="shared" si="17"/>
        <v>0.9847876928885736</v>
      </c>
      <c r="Y29" s="201">
        <f t="shared" si="18"/>
        <v>45666</v>
      </c>
      <c r="Z29" s="202">
        <f t="shared" si="18"/>
        <v>45666</v>
      </c>
      <c r="AA29" s="246">
        <v>2</v>
      </c>
      <c r="AB29" s="243" t="s">
        <v>217</v>
      </c>
      <c r="AC29" s="251">
        <f>IFERROR(AVERAGEIFS(J53:J80,D53:D80,1,G53:G80,"tue"),0)</f>
        <v>260000</v>
      </c>
      <c r="AD29" s="275">
        <f>COUNTIFS(D52:D79,1,G52:G79,"tue")</f>
        <v>3</v>
      </c>
      <c r="AE29" s="265">
        <f>($I$8*'2024(¥)'!AI28)/AD29</f>
        <v>268861.47362373065</v>
      </c>
      <c r="AF29" s="138">
        <f t="shared" si="19"/>
        <v>806584.42087119189</v>
      </c>
      <c r="AG29" s="203"/>
      <c r="AH29" s="203"/>
      <c r="AI29" s="18"/>
      <c r="AJ29" s="18"/>
      <c r="AK29" s="18"/>
      <c r="AL29" s="18"/>
      <c r="AM29" s="18"/>
      <c r="AN29" s="18"/>
    </row>
    <row r="30" spans="1:40" ht="20">
      <c r="A30" s="18"/>
      <c r="B30" s="152"/>
      <c r="C30" s="55">
        <v>10</v>
      </c>
      <c r="D30" s="54">
        <v>1</v>
      </c>
      <c r="E30" s="190">
        <f t="shared" si="12"/>
        <v>1</v>
      </c>
      <c r="F30" s="191">
        <f t="shared" si="13"/>
        <v>45667</v>
      </c>
      <c r="G30" s="192" t="str">
        <f t="shared" si="14"/>
        <v>Fri</v>
      </c>
      <c r="H30" s="193"/>
      <c r="I30" s="194"/>
      <c r="J30" s="205">
        <v>364100</v>
      </c>
      <c r="K30" s="206"/>
      <c r="L30" s="43">
        <f t="shared" si="15"/>
        <v>276778.20622489171</v>
      </c>
      <c r="M30" s="280">
        <f t="shared" si="7"/>
        <v>87321.793775108294</v>
      </c>
      <c r="N30" s="41">
        <f t="shared" si="8"/>
        <v>1.3154937484642717</v>
      </c>
      <c r="O30" s="197"/>
      <c r="P30" s="43">
        <f>IF(D30=0,0,SUM($L$21:L30))</f>
        <v>1184852.1052568359</v>
      </c>
      <c r="Q30" s="43">
        <f>IF(D30=0,0,SUM($J$21:J30))</f>
        <v>1258360</v>
      </c>
      <c r="R30" s="282">
        <f t="shared" si="9"/>
        <v>73507.89474316407</v>
      </c>
      <c r="S30" s="198">
        <f t="shared" si="16"/>
        <v>1.0620397215965025</v>
      </c>
      <c r="T30" s="207"/>
      <c r="U30" s="43">
        <f>IF(D30=0,0,SUM($L$21:L30))</f>
        <v>1184852.1052568359</v>
      </c>
      <c r="V30" s="43">
        <f>IF(D30=0,0,SUM($J$21:J30))</f>
        <v>1258360</v>
      </c>
      <c r="W30" s="284">
        <f t="shared" si="10"/>
        <v>73507.89474316407</v>
      </c>
      <c r="X30" s="200">
        <f t="shared" si="17"/>
        <v>1.0620397215965025</v>
      </c>
      <c r="Y30" s="201">
        <f t="shared" si="18"/>
        <v>45667</v>
      </c>
      <c r="Z30" s="202">
        <f t="shared" si="18"/>
        <v>45667</v>
      </c>
      <c r="AA30" s="246">
        <v>2</v>
      </c>
      <c r="AB30" s="243" t="s">
        <v>218</v>
      </c>
      <c r="AC30" s="251">
        <f>IFERROR(AVERAGEIFS(J52:J79,D52:D79,1,G52:G79,"wed"),0)</f>
        <v>266700</v>
      </c>
      <c r="AD30" s="275">
        <f>COUNTIFS(D52:D79,1,G52:G79,"wed")</f>
        <v>4</v>
      </c>
      <c r="AE30" s="265">
        <f>($I$8*'2024(¥)'!AI29)/AD30</f>
        <v>208679.17726727403</v>
      </c>
      <c r="AF30" s="138">
        <f t="shared" si="19"/>
        <v>834716.70906909613</v>
      </c>
      <c r="AG30" s="203"/>
      <c r="AH30" s="203"/>
      <c r="AI30" s="18"/>
      <c r="AJ30" s="18"/>
      <c r="AK30" s="18"/>
      <c r="AL30" s="18"/>
      <c r="AM30" s="18"/>
      <c r="AN30" s="18"/>
    </row>
    <row r="31" spans="1:40" ht="20">
      <c r="A31" s="18"/>
      <c r="B31" s="152"/>
      <c r="C31" s="55">
        <v>11</v>
      </c>
      <c r="D31" s="54">
        <v>1</v>
      </c>
      <c r="E31" s="190">
        <f t="shared" si="12"/>
        <v>1</v>
      </c>
      <c r="F31" s="191">
        <f t="shared" si="13"/>
        <v>45668</v>
      </c>
      <c r="G31" s="192" t="str">
        <f t="shared" si="14"/>
        <v>Sat</v>
      </c>
      <c r="H31" s="193"/>
      <c r="I31" s="194"/>
      <c r="J31" s="208">
        <v>113500</v>
      </c>
      <c r="K31" s="209"/>
      <c r="L31" s="43">
        <f t="shared" si="15"/>
        <v>95683.765950189147</v>
      </c>
      <c r="M31" s="280">
        <f t="shared" si="7"/>
        <v>17816.234049810853</v>
      </c>
      <c r="N31" s="41">
        <f t="shared" si="8"/>
        <v>1.1861991307813449</v>
      </c>
      <c r="O31" s="197"/>
      <c r="P31" s="43">
        <f>IF(D31=0,0,SUM($L$21:L31))</f>
        <v>1280535.8712070251</v>
      </c>
      <c r="Q31" s="43">
        <f>IF(D31=0,0,SUM($J$21:J31))</f>
        <v>1371860</v>
      </c>
      <c r="R31" s="282">
        <f t="shared" si="9"/>
        <v>91324.128792974865</v>
      </c>
      <c r="S31" s="198">
        <f t="shared" si="16"/>
        <v>1.0713171187519279</v>
      </c>
      <c r="T31" s="207"/>
      <c r="U31" s="43">
        <f>IF(D31=0,0,SUM($L$21:L31))</f>
        <v>1280535.8712070251</v>
      </c>
      <c r="V31" s="43">
        <f>IF(D31=0,0,SUM($J$21:J31))</f>
        <v>1371860</v>
      </c>
      <c r="W31" s="284">
        <f t="shared" si="10"/>
        <v>91324.128792974865</v>
      </c>
      <c r="X31" s="200">
        <f t="shared" si="17"/>
        <v>1.0713171187519279</v>
      </c>
      <c r="Y31" s="201">
        <f t="shared" si="18"/>
        <v>45668</v>
      </c>
      <c r="Z31" s="202">
        <f t="shared" si="18"/>
        <v>45668</v>
      </c>
      <c r="AA31" s="246">
        <v>2</v>
      </c>
      <c r="AB31" s="243" t="s">
        <v>219</v>
      </c>
      <c r="AC31" s="251">
        <f>IFERROR(AVERAGEIFS(J52:J79,D52:D79,1,G52:G79,"thu"),0)</f>
        <v>323732.5</v>
      </c>
      <c r="AD31" s="275">
        <f>COUNTIFS(D52:D79,1,G52:G79,"thu")</f>
        <v>4</v>
      </c>
      <c r="AE31" s="265">
        <f>($I$8*'2024(¥)'!AI30)/AD31</f>
        <v>274588.63901965728</v>
      </c>
      <c r="AF31" s="138">
        <f t="shared" si="19"/>
        <v>1098354.5560786291</v>
      </c>
      <c r="AG31" s="203"/>
      <c r="AH31" s="203"/>
      <c r="AI31" s="18"/>
      <c r="AJ31" s="18"/>
      <c r="AK31" s="18"/>
      <c r="AL31" s="18"/>
      <c r="AM31" s="18"/>
      <c r="AN31" s="18"/>
    </row>
    <row r="32" spans="1:40" ht="20">
      <c r="A32" s="18"/>
      <c r="B32" s="152"/>
      <c r="C32" s="55">
        <v>12</v>
      </c>
      <c r="D32" s="54">
        <v>0</v>
      </c>
      <c r="E32" s="190">
        <f t="shared" si="12"/>
        <v>1</v>
      </c>
      <c r="F32" s="191">
        <f t="shared" si="13"/>
        <v>45669</v>
      </c>
      <c r="G32" s="192" t="str">
        <f t="shared" si="14"/>
        <v>Sun</v>
      </c>
      <c r="H32" s="193"/>
      <c r="I32" s="194"/>
      <c r="J32" s="210"/>
      <c r="K32" s="211"/>
      <c r="L32" s="43">
        <f t="shared" si="15"/>
        <v>0</v>
      </c>
      <c r="M32" s="280">
        <f t="shared" si="7"/>
        <v>0</v>
      </c>
      <c r="N32" s="41" t="str">
        <f t="shared" si="8"/>
        <v>¥0</v>
      </c>
      <c r="O32" s="197"/>
      <c r="P32" s="43">
        <f>IF(D32=0,0,SUM($L$21:L32))</f>
        <v>0</v>
      </c>
      <c r="Q32" s="43">
        <f>IF(D32=0,0,SUM($J$21:J32))</f>
        <v>0</v>
      </c>
      <c r="R32" s="282">
        <f t="shared" si="9"/>
        <v>0</v>
      </c>
      <c r="S32" s="198">
        <f t="shared" si="16"/>
        <v>0</v>
      </c>
      <c r="T32" s="212"/>
      <c r="U32" s="43">
        <f>IF(D32=0,0,SUM($L$21:L32))</f>
        <v>0</v>
      </c>
      <c r="V32" s="43">
        <f>IF(D32=0,0,SUM($J$21:J32))</f>
        <v>0</v>
      </c>
      <c r="W32" s="284">
        <f t="shared" si="10"/>
        <v>0</v>
      </c>
      <c r="X32" s="200">
        <f t="shared" si="17"/>
        <v>0</v>
      </c>
      <c r="Y32" s="201">
        <f t="shared" si="18"/>
        <v>45669</v>
      </c>
      <c r="Z32" s="202">
        <f t="shared" si="18"/>
        <v>45669</v>
      </c>
      <c r="AA32" s="246">
        <v>2</v>
      </c>
      <c r="AB32" s="243" t="s">
        <v>220</v>
      </c>
      <c r="AC32" s="251">
        <f>IFERROR(AVERAGEIFS(J52:J79,D52:D79,1,G52:G79,"fri"),0)</f>
        <v>342030</v>
      </c>
      <c r="AD32" s="275">
        <f>COUNTIFS(D52:D79,1,G52:G79,"fri")</f>
        <v>4</v>
      </c>
      <c r="AE32" s="265">
        <f>($I$8*'2024(¥)'!AI31)/AD32</f>
        <v>200399.02318828233</v>
      </c>
      <c r="AF32" s="138">
        <f t="shared" si="19"/>
        <v>801596.09275312931</v>
      </c>
      <c r="AG32" s="203"/>
      <c r="AH32" s="203"/>
      <c r="AI32" s="18"/>
      <c r="AJ32" s="18"/>
      <c r="AK32" s="18"/>
      <c r="AL32" s="18"/>
      <c r="AM32" s="18"/>
      <c r="AN32" s="18"/>
    </row>
    <row r="33" spans="1:40" ht="20">
      <c r="A33" s="18"/>
      <c r="B33" s="151"/>
      <c r="C33" s="55">
        <v>13</v>
      </c>
      <c r="D33" s="54">
        <v>0</v>
      </c>
      <c r="E33" s="190">
        <f t="shared" si="12"/>
        <v>1</v>
      </c>
      <c r="F33" s="191">
        <f t="shared" si="13"/>
        <v>45670</v>
      </c>
      <c r="G33" s="192" t="str">
        <f t="shared" si="14"/>
        <v>Mon</v>
      </c>
      <c r="H33" s="193" t="s">
        <v>167</v>
      </c>
      <c r="I33" s="194"/>
      <c r="J33" s="210"/>
      <c r="K33" s="211"/>
      <c r="L33" s="43">
        <f t="shared" si="15"/>
        <v>0</v>
      </c>
      <c r="M33" s="280">
        <f t="shared" si="7"/>
        <v>0</v>
      </c>
      <c r="N33" s="41" t="str">
        <f t="shared" si="8"/>
        <v>¥0</v>
      </c>
      <c r="O33" s="197"/>
      <c r="P33" s="43">
        <f>IF(D33=0,0,SUM($L$21:L33))</f>
        <v>0</v>
      </c>
      <c r="Q33" s="43">
        <f>IF(D33=0,0,SUM($J$21:J33))</f>
        <v>0</v>
      </c>
      <c r="R33" s="282">
        <f t="shared" si="9"/>
        <v>0</v>
      </c>
      <c r="S33" s="198">
        <f t="shared" si="16"/>
        <v>0</v>
      </c>
      <c r="T33" s="212"/>
      <c r="U33" s="43">
        <f>IF(D33=0,0,SUM($L$21:L33))</f>
        <v>0</v>
      </c>
      <c r="V33" s="43">
        <f>IF(D33=0,0,SUM($J$21:J33))</f>
        <v>0</v>
      </c>
      <c r="W33" s="284">
        <f t="shared" si="10"/>
        <v>0</v>
      </c>
      <c r="X33" s="200">
        <f t="shared" si="17"/>
        <v>0</v>
      </c>
      <c r="Y33" s="201">
        <f t="shared" si="18"/>
        <v>45670</v>
      </c>
      <c r="Z33" s="202">
        <f t="shared" si="18"/>
        <v>45670</v>
      </c>
      <c r="AA33" s="246">
        <v>2</v>
      </c>
      <c r="AB33" s="243" t="s">
        <v>221</v>
      </c>
      <c r="AC33" s="251">
        <f>IFERROR(AVERAGEIFS(J52:J79,D52:D79,1,G52:G79,"sat"),0)</f>
        <v>84715</v>
      </c>
      <c r="AD33" s="275">
        <f>COUNTIFS(D52:D79,1,G52:G79,"sat")</f>
        <v>4</v>
      </c>
      <c r="AE33" s="265">
        <f>($I$8*'2024(¥)'!AI32)/AD33</f>
        <v>128371.8005363883</v>
      </c>
      <c r="AF33" s="138">
        <f t="shared" si="19"/>
        <v>513487.20214555319</v>
      </c>
      <c r="AG33" s="273" t="s">
        <v>191</v>
      </c>
      <c r="AH33" s="203"/>
      <c r="AI33" s="18"/>
      <c r="AJ33" s="18"/>
      <c r="AK33" s="18"/>
      <c r="AL33" s="18"/>
      <c r="AM33" s="18"/>
      <c r="AN33" s="18"/>
    </row>
    <row r="34" spans="1:40" ht="20">
      <c r="A34" s="18"/>
      <c r="B34" s="151"/>
      <c r="C34" s="55">
        <v>14</v>
      </c>
      <c r="D34" s="54">
        <v>1</v>
      </c>
      <c r="E34" s="190">
        <f t="shared" si="12"/>
        <v>1</v>
      </c>
      <c r="F34" s="191">
        <f t="shared" si="13"/>
        <v>45671</v>
      </c>
      <c r="G34" s="192" t="str">
        <f t="shared" si="14"/>
        <v>Tue</v>
      </c>
      <c r="H34" s="193"/>
      <c r="I34" s="194"/>
      <c r="J34" s="205">
        <v>312590</v>
      </c>
      <c r="K34" s="206"/>
      <c r="L34" s="43">
        <f t="shared" si="15"/>
        <v>202590.3746656946</v>
      </c>
      <c r="M34" s="280">
        <f t="shared" si="7"/>
        <v>109999.6253343054</v>
      </c>
      <c r="N34" s="41">
        <f t="shared" si="8"/>
        <v>1.5429657036560684</v>
      </c>
      <c r="O34" s="197"/>
      <c r="P34" s="43">
        <f>IF(D34=0,0,SUM($L$21:L34))</f>
        <v>1483126.2458727197</v>
      </c>
      <c r="Q34" s="43">
        <f>IF(D34=0,0,SUM($J$21:J34))</f>
        <v>1684450</v>
      </c>
      <c r="R34" s="282">
        <f t="shared" si="9"/>
        <v>201323.75412728032</v>
      </c>
      <c r="S34" s="198">
        <f t="shared" si="16"/>
        <v>1.1357428301788395</v>
      </c>
      <c r="T34" s="207"/>
      <c r="U34" s="43">
        <f>IF(D34=0,0,SUM($L$21:L34))</f>
        <v>1483126.2458727197</v>
      </c>
      <c r="V34" s="43">
        <f>IF(D34=0,0,SUM($J$21:J34))</f>
        <v>1684450</v>
      </c>
      <c r="W34" s="284">
        <f t="shared" si="10"/>
        <v>201323.75412728032</v>
      </c>
      <c r="X34" s="200">
        <f t="shared" si="17"/>
        <v>1.1357428301788395</v>
      </c>
      <c r="Y34" s="201">
        <f t="shared" si="18"/>
        <v>45671</v>
      </c>
      <c r="Z34" s="202">
        <f t="shared" si="18"/>
        <v>45671</v>
      </c>
      <c r="AA34" s="246">
        <v>2</v>
      </c>
      <c r="AB34" s="243" t="s">
        <v>222</v>
      </c>
      <c r="AC34" s="251">
        <f>IFERROR(AVERAGEIFS(J52:J79,D52:D79,1,G52:G79,"sun"),0)</f>
        <v>0</v>
      </c>
      <c r="AD34" s="275">
        <f>IFERROR(COUNTIFS(D52:D79,1,G52:G79,"sun"),0)</f>
        <v>0</v>
      </c>
      <c r="AE34" s="265">
        <f>IFERROR(($I$8*'2024(¥)'!AI33)/AD34,0)</f>
        <v>0</v>
      </c>
      <c r="AF34" s="271">
        <f>SUM(AF28:AF33)</f>
        <v>4707692.307692308</v>
      </c>
      <c r="AG34" s="272">
        <f>I8</f>
        <v>4707692.307692308</v>
      </c>
      <c r="AH34" s="270"/>
      <c r="AI34" s="18"/>
      <c r="AJ34" s="18"/>
      <c r="AK34" s="18"/>
      <c r="AL34" s="18"/>
      <c r="AM34" s="18"/>
      <c r="AN34" s="18"/>
    </row>
    <row r="35" spans="1:40" ht="20">
      <c r="A35" s="18"/>
      <c r="B35" s="151"/>
      <c r="C35" s="55">
        <v>15</v>
      </c>
      <c r="D35" s="54">
        <v>1</v>
      </c>
      <c r="E35" s="190">
        <f t="shared" si="12"/>
        <v>1</v>
      </c>
      <c r="F35" s="191">
        <f t="shared" si="13"/>
        <v>45672</v>
      </c>
      <c r="G35" s="192" t="str">
        <f t="shared" si="14"/>
        <v>Wed</v>
      </c>
      <c r="H35" s="193"/>
      <c r="I35" s="194"/>
      <c r="J35" s="205">
        <v>242580</v>
      </c>
      <c r="K35" s="206"/>
      <c r="L35" s="43">
        <f t="shared" si="15"/>
        <v>228185.93953558934</v>
      </c>
      <c r="M35" s="280">
        <f t="shared" si="7"/>
        <v>14394.060464410664</v>
      </c>
      <c r="N35" s="41">
        <f t="shared" si="8"/>
        <v>1.0630804005439856</v>
      </c>
      <c r="O35" s="197"/>
      <c r="P35" s="43">
        <f>IF(D35=0,0,SUM($L$21:L35))</f>
        <v>1711312.1854083091</v>
      </c>
      <c r="Q35" s="43">
        <f>IF(D35=0,0,SUM($J$21:J35))</f>
        <v>1927030</v>
      </c>
      <c r="R35" s="282">
        <f t="shared" si="9"/>
        <v>215717.8145916909</v>
      </c>
      <c r="S35" s="198">
        <f t="shared" si="16"/>
        <v>1.1260540399531029</v>
      </c>
      <c r="T35" s="207"/>
      <c r="U35" s="43">
        <f>IF(D35=0,0,SUM($L$21:L35))</f>
        <v>1711312.1854083091</v>
      </c>
      <c r="V35" s="43">
        <f>IF(D35=0,0,SUM($J$21:J35))</f>
        <v>1927030</v>
      </c>
      <c r="W35" s="284">
        <f t="shared" si="10"/>
        <v>215717.8145916909</v>
      </c>
      <c r="X35" s="200">
        <f t="shared" si="17"/>
        <v>1.1260540399531029</v>
      </c>
      <c r="Y35" s="201">
        <f t="shared" si="18"/>
        <v>45672</v>
      </c>
      <c r="Z35" s="202">
        <f t="shared" si="18"/>
        <v>45672</v>
      </c>
      <c r="AA35" s="246">
        <v>3</v>
      </c>
      <c r="AB35" s="136" t="s">
        <v>216</v>
      </c>
      <c r="AC35" s="251">
        <f>IFERROR(AVERAGEIFS(J80:J110,D80:D110,1,G80:G110,"mon"),0)</f>
        <v>271114</v>
      </c>
      <c r="AD35" s="275">
        <f>COUNTIFS(D80:D110,1,G80:G110,"Mon")</f>
        <v>5</v>
      </c>
      <c r="AE35" s="265">
        <f>($I$9*'2024(¥)'!AI34)/AD35</f>
        <v>178438.03273905211</v>
      </c>
      <c r="AF35" s="138">
        <f t="shared" ref="AF35:AF40" si="20">AD35*AE35</f>
        <v>892190.16369526053</v>
      </c>
      <c r="AG35" s="203" t="s">
        <v>130</v>
      </c>
      <c r="AH35" s="203"/>
      <c r="AI35" s="18"/>
      <c r="AJ35" s="18"/>
      <c r="AK35" s="18"/>
      <c r="AL35" s="18"/>
      <c r="AM35" s="18"/>
      <c r="AN35" s="18"/>
    </row>
    <row r="36" spans="1:40" ht="20">
      <c r="A36" s="18"/>
      <c r="B36" s="151"/>
      <c r="C36" s="55">
        <v>16</v>
      </c>
      <c r="D36" s="54">
        <v>1</v>
      </c>
      <c r="E36" s="190">
        <f t="shared" si="12"/>
        <v>1</v>
      </c>
      <c r="F36" s="191">
        <f t="shared" si="13"/>
        <v>45673</v>
      </c>
      <c r="G36" s="192" t="str">
        <f t="shared" si="14"/>
        <v>Thu</v>
      </c>
      <c r="H36" s="193"/>
      <c r="I36" s="194"/>
      <c r="J36" s="205">
        <v>332580</v>
      </c>
      <c r="K36" s="206"/>
      <c r="L36" s="43">
        <f t="shared" si="15"/>
        <v>158530.17364505664</v>
      </c>
      <c r="M36" s="280">
        <f t="shared" si="7"/>
        <v>174049.82635494336</v>
      </c>
      <c r="N36" s="41">
        <f t="shared" si="8"/>
        <v>2.0978971532866333</v>
      </c>
      <c r="O36" s="197"/>
      <c r="P36" s="43">
        <f>IF(D36=0,0,SUM($L$21:L36))</f>
        <v>1869842.3590533657</v>
      </c>
      <c r="Q36" s="43">
        <f>IF(D36=0,0,SUM($J$21:J36))</f>
        <v>2259610</v>
      </c>
      <c r="R36" s="282">
        <f t="shared" si="9"/>
        <v>389767.64094663435</v>
      </c>
      <c r="S36" s="198">
        <f t="shared" si="16"/>
        <v>1.2084494658383713</v>
      </c>
      <c r="T36" s="207"/>
      <c r="U36" s="43">
        <f>IF(D36=0,0,SUM($L$21:L36))</f>
        <v>1869842.3590533657</v>
      </c>
      <c r="V36" s="43">
        <f>IF(D36=0,0,SUM($J$21:J36))</f>
        <v>2259610</v>
      </c>
      <c r="W36" s="284">
        <f t="shared" si="10"/>
        <v>389767.64094663435</v>
      </c>
      <c r="X36" s="200">
        <f t="shared" si="17"/>
        <v>1.2084494658383713</v>
      </c>
      <c r="Y36" s="201">
        <f t="shared" si="18"/>
        <v>45673</v>
      </c>
      <c r="Z36" s="202">
        <f t="shared" si="18"/>
        <v>45673</v>
      </c>
      <c r="AA36" s="246">
        <v>3</v>
      </c>
      <c r="AB36" s="243" t="s">
        <v>217</v>
      </c>
      <c r="AC36" s="251">
        <f>IFERROR(AVERAGEIFS(J80:J110,D80:D110,1,G80:G110,"tue"),0)</f>
        <v>240440</v>
      </c>
      <c r="AD36" s="275">
        <f>COUNTIFS(D80:D110,1,G80:G110,"tue")</f>
        <v>4</v>
      </c>
      <c r="AE36" s="265">
        <f>($I$9*'2024(¥)'!AI35)/AD36</f>
        <v>257148.23064391402</v>
      </c>
      <c r="AF36" s="138">
        <f t="shared" si="20"/>
        <v>1028592.9225756561</v>
      </c>
      <c r="AG36" s="203"/>
      <c r="AH36" s="203"/>
      <c r="AI36" s="18"/>
      <c r="AJ36" s="18"/>
      <c r="AK36" s="18"/>
      <c r="AL36" s="18"/>
      <c r="AM36" s="18"/>
      <c r="AN36" s="18"/>
    </row>
    <row r="37" spans="1:40" ht="20">
      <c r="A37" s="18"/>
      <c r="B37" s="151"/>
      <c r="C37" s="55">
        <v>17</v>
      </c>
      <c r="D37" s="54">
        <v>1</v>
      </c>
      <c r="E37" s="190">
        <f t="shared" si="12"/>
        <v>1</v>
      </c>
      <c r="F37" s="191">
        <f t="shared" si="13"/>
        <v>45674</v>
      </c>
      <c r="G37" s="192" t="str">
        <f t="shared" si="14"/>
        <v>Fri</v>
      </c>
      <c r="H37" s="193"/>
      <c r="I37" s="194"/>
      <c r="J37" s="205">
        <v>312220</v>
      </c>
      <c r="K37" s="206"/>
      <c r="L37" s="43">
        <f t="shared" si="15"/>
        <v>276778.20622489171</v>
      </c>
      <c r="M37" s="280">
        <f t="shared" si="7"/>
        <v>35441.793775108294</v>
      </c>
      <c r="N37" s="41">
        <f t="shared" si="8"/>
        <v>1.1280512445633477</v>
      </c>
      <c r="O37" s="197"/>
      <c r="P37" s="43">
        <f>IF(D37=0,0,SUM($L$21:L37))</f>
        <v>2146620.5652782572</v>
      </c>
      <c r="Q37" s="43">
        <f>IF(D37=0,0,SUM($J$21:J37))</f>
        <v>2571830</v>
      </c>
      <c r="R37" s="282">
        <f t="shared" si="9"/>
        <v>425209.43472174276</v>
      </c>
      <c r="S37" s="198">
        <f t="shared" si="16"/>
        <v>1.198083183213436</v>
      </c>
      <c r="T37" s="207"/>
      <c r="U37" s="43">
        <f>IF(D37=0,0,SUM($L$21:L37))</f>
        <v>2146620.5652782572</v>
      </c>
      <c r="V37" s="43">
        <f>IF(D37=0,0,SUM($J$21:J37))</f>
        <v>2571830</v>
      </c>
      <c r="W37" s="284">
        <f t="shared" si="10"/>
        <v>425209.43472174276</v>
      </c>
      <c r="X37" s="200">
        <f t="shared" si="17"/>
        <v>1.198083183213436</v>
      </c>
      <c r="Y37" s="201">
        <f t="shared" si="18"/>
        <v>45674</v>
      </c>
      <c r="Z37" s="202">
        <f t="shared" si="18"/>
        <v>45674</v>
      </c>
      <c r="AA37" s="246">
        <v>3</v>
      </c>
      <c r="AB37" s="243" t="s">
        <v>218</v>
      </c>
      <c r="AC37" s="251">
        <f>IFERROR(AVERAGEIFS(J80:J110,D80:D110,1,G80:G110,"wed"),0)</f>
        <v>286265</v>
      </c>
      <c r="AD37" s="275">
        <f>COUNTIFS(D80:D110,1,G80:G110,"wed")</f>
        <v>4</v>
      </c>
      <c r="AE37" s="265">
        <f>($I$9*'2024(¥)'!AI36)/AD37</f>
        <v>214767.12776509949</v>
      </c>
      <c r="AF37" s="138">
        <f t="shared" si="20"/>
        <v>859068.51106039796</v>
      </c>
      <c r="AG37" s="203"/>
      <c r="AH37" s="203"/>
      <c r="AI37" s="18"/>
      <c r="AJ37" s="18"/>
      <c r="AK37" s="18"/>
      <c r="AL37" s="18"/>
      <c r="AM37" s="18"/>
      <c r="AN37" s="18"/>
    </row>
    <row r="38" spans="1:40" ht="20">
      <c r="A38" s="18"/>
      <c r="B38" s="151"/>
      <c r="C38" s="55">
        <v>18</v>
      </c>
      <c r="D38" s="54">
        <v>1</v>
      </c>
      <c r="E38" s="190">
        <f t="shared" si="12"/>
        <v>1</v>
      </c>
      <c r="F38" s="191">
        <f t="shared" si="13"/>
        <v>45675</v>
      </c>
      <c r="G38" s="192" t="str">
        <f t="shared" si="14"/>
        <v>Sat</v>
      </c>
      <c r="H38" s="193"/>
      <c r="I38" s="194"/>
      <c r="J38" s="208">
        <v>76270</v>
      </c>
      <c r="K38" s="209"/>
      <c r="L38" s="43">
        <f t="shared" si="15"/>
        <v>95683.765950189147</v>
      </c>
      <c r="M38" s="280">
        <f t="shared" si="7"/>
        <v>-19413.765950189147</v>
      </c>
      <c r="N38" s="41">
        <f t="shared" si="8"/>
        <v>0.79710491369773717</v>
      </c>
      <c r="O38" s="197"/>
      <c r="P38" s="43">
        <f>IF(D38=0,0,SUM($L$21:L38))</f>
        <v>2242304.3312284462</v>
      </c>
      <c r="Q38" s="43">
        <f>IF(D38=0,0,SUM($J$21:J38))</f>
        <v>2648100</v>
      </c>
      <c r="R38" s="282">
        <f t="shared" si="9"/>
        <v>405795.66877155378</v>
      </c>
      <c r="S38" s="198">
        <f t="shared" si="16"/>
        <v>1.1809726106844911</v>
      </c>
      <c r="T38" s="207"/>
      <c r="U38" s="43">
        <f>IF(D38=0,0,SUM($L$21:L38))</f>
        <v>2242304.3312284462</v>
      </c>
      <c r="V38" s="43">
        <f>IF(D38=0,0,SUM($J$21:J38))</f>
        <v>2648100</v>
      </c>
      <c r="W38" s="284">
        <f t="shared" si="10"/>
        <v>405795.66877155378</v>
      </c>
      <c r="X38" s="200">
        <f t="shared" si="17"/>
        <v>1.1809726106844911</v>
      </c>
      <c r="Y38" s="201">
        <f t="shared" si="18"/>
        <v>45675</v>
      </c>
      <c r="Z38" s="202">
        <f t="shared" si="18"/>
        <v>45675</v>
      </c>
      <c r="AA38" s="246">
        <v>3</v>
      </c>
      <c r="AB38" s="243" t="s">
        <v>219</v>
      </c>
      <c r="AC38" s="251">
        <f>IFERROR(AVERAGEIFS(J80:J110,D80:D110,1,G80:G110,"thu"),0)</f>
        <v>328390</v>
      </c>
      <c r="AD38" s="275">
        <f>COUNTIFS(D80:D110,1,G80:G110,"thu")</f>
        <v>3</v>
      </c>
      <c r="AE38" s="265">
        <f>($I$9*'2024(¥)'!AI37)/AD38</f>
        <v>400846.68296130747</v>
      </c>
      <c r="AF38" s="138">
        <f t="shared" si="20"/>
        <v>1202540.0488839224</v>
      </c>
      <c r="AG38" s="203"/>
      <c r="AH38" s="203"/>
      <c r="AI38" s="18"/>
      <c r="AJ38" s="18"/>
      <c r="AK38" s="18"/>
      <c r="AL38" s="18"/>
      <c r="AM38" s="18"/>
      <c r="AN38" s="18"/>
    </row>
    <row r="39" spans="1:40" ht="20">
      <c r="A39" s="18"/>
      <c r="B39" s="151"/>
      <c r="C39" s="55">
        <v>19</v>
      </c>
      <c r="D39" s="54">
        <v>0</v>
      </c>
      <c r="E39" s="190">
        <f t="shared" si="12"/>
        <v>1</v>
      </c>
      <c r="F39" s="191">
        <f t="shared" si="13"/>
        <v>45676</v>
      </c>
      <c r="G39" s="192" t="str">
        <f t="shared" si="14"/>
        <v>Sun</v>
      </c>
      <c r="H39" s="193"/>
      <c r="I39" s="194"/>
      <c r="J39" s="213"/>
      <c r="K39" s="211"/>
      <c r="L39" s="43">
        <f t="shared" si="15"/>
        <v>0</v>
      </c>
      <c r="M39" s="280">
        <f t="shared" si="7"/>
        <v>0</v>
      </c>
      <c r="N39" s="41" t="str">
        <f t="shared" si="8"/>
        <v>¥0</v>
      </c>
      <c r="O39" s="197"/>
      <c r="P39" s="43">
        <f>IF(D39=0,0,SUM($L$21:L39))</f>
        <v>0</v>
      </c>
      <c r="Q39" s="43">
        <f>IF(D39=0,0,SUM($J$21:J39))</f>
        <v>0</v>
      </c>
      <c r="R39" s="282">
        <f t="shared" si="9"/>
        <v>0</v>
      </c>
      <c r="S39" s="198">
        <f t="shared" si="16"/>
        <v>0</v>
      </c>
      <c r="T39" s="212"/>
      <c r="U39" s="43">
        <f>IF(D39=0,0,SUM($L$21:L39))</f>
        <v>0</v>
      </c>
      <c r="V39" s="43">
        <f>IF(D39=0,0,SUM($J$21:J39))</f>
        <v>0</v>
      </c>
      <c r="W39" s="284">
        <f t="shared" si="10"/>
        <v>0</v>
      </c>
      <c r="X39" s="200">
        <f t="shared" si="17"/>
        <v>0</v>
      </c>
      <c r="Y39" s="201">
        <f t="shared" ref="Y39:Z54" si="21">Y38+1</f>
        <v>45676</v>
      </c>
      <c r="Z39" s="202">
        <f t="shared" si="21"/>
        <v>45676</v>
      </c>
      <c r="AA39" s="246">
        <v>3</v>
      </c>
      <c r="AB39" s="243" t="s">
        <v>220</v>
      </c>
      <c r="AC39" s="251">
        <f>IFERROR(AVERAGEIFS(J80:J110,D80:D110,1,G80:G110,"fri"),0)</f>
        <v>333300</v>
      </c>
      <c r="AD39" s="275">
        <f>COUNTIFS(D80:D110,1,G80:G110,"fri")</f>
        <v>4</v>
      </c>
      <c r="AE39" s="265">
        <f>($I$9*'2024(¥)'!AI38)/AD39</f>
        <v>392864.20231526328</v>
      </c>
      <c r="AF39" s="138">
        <f t="shared" si="20"/>
        <v>1571456.8092610531</v>
      </c>
      <c r="AG39" s="203"/>
      <c r="AH39" s="203"/>
      <c r="AI39" s="18"/>
      <c r="AJ39" s="18"/>
      <c r="AK39" s="18"/>
      <c r="AL39" s="18"/>
      <c r="AM39" s="18"/>
      <c r="AN39" s="18"/>
    </row>
    <row r="40" spans="1:40" ht="20">
      <c r="A40" s="18"/>
      <c r="B40" s="151"/>
      <c r="C40" s="55">
        <v>20</v>
      </c>
      <c r="D40" s="54">
        <v>1</v>
      </c>
      <c r="E40" s="190">
        <f t="shared" si="12"/>
        <v>1</v>
      </c>
      <c r="F40" s="191">
        <f t="shared" si="13"/>
        <v>45677</v>
      </c>
      <c r="G40" s="192" t="str">
        <f t="shared" si="14"/>
        <v>Mon</v>
      </c>
      <c r="H40" s="193"/>
      <c r="I40" s="194"/>
      <c r="J40" s="205">
        <v>238030</v>
      </c>
      <c r="K40" s="206"/>
      <c r="L40" s="43">
        <f t="shared" si="15"/>
        <v>318767.41118560376</v>
      </c>
      <c r="M40" s="280">
        <f t="shared" si="7"/>
        <v>-80737.411185603763</v>
      </c>
      <c r="N40" s="41">
        <f t="shared" si="8"/>
        <v>0.74671999598292049</v>
      </c>
      <c r="O40" s="197"/>
      <c r="P40" s="43">
        <f>IF(D40=0,0,SUM($L$21:L40))</f>
        <v>2561071.7424140498</v>
      </c>
      <c r="Q40" s="43">
        <f>IF(D40=0,0,SUM($J$21:J40))</f>
        <v>2886130</v>
      </c>
      <c r="R40" s="282">
        <f t="shared" si="9"/>
        <v>325058.2575859502</v>
      </c>
      <c r="S40" s="198">
        <f t="shared" si="16"/>
        <v>1.1269227457406377</v>
      </c>
      <c r="T40" s="207"/>
      <c r="U40" s="43">
        <f>IF(D40=0,0,SUM($L$21:L40))</f>
        <v>2561071.7424140498</v>
      </c>
      <c r="V40" s="43">
        <f>IF(D40=0,0,SUM($J$21:J40))</f>
        <v>2886130</v>
      </c>
      <c r="W40" s="284">
        <f t="shared" si="10"/>
        <v>325058.2575859502</v>
      </c>
      <c r="X40" s="200">
        <f t="shared" si="17"/>
        <v>1.1269227457406377</v>
      </c>
      <c r="Y40" s="201">
        <f t="shared" si="21"/>
        <v>45677</v>
      </c>
      <c r="Z40" s="202">
        <f t="shared" si="21"/>
        <v>45677</v>
      </c>
      <c r="AA40" s="246">
        <v>3</v>
      </c>
      <c r="AB40" s="243" t="s">
        <v>221</v>
      </c>
      <c r="AC40" s="251">
        <f>IFERROR(AVERAGEIFS(J80:J110,D80:D110,1,G80:G110,"sat"),0)</f>
        <v>72666</v>
      </c>
      <c r="AD40" s="275">
        <f>COUNTIFS(D80:D110,1,G80:G110,"sat")</f>
        <v>5</v>
      </c>
      <c r="AE40" s="265">
        <f>($I$9*'2024(¥)'!AI39)/AD40</f>
        <v>147971.56764600077</v>
      </c>
      <c r="AF40" s="138">
        <f t="shared" si="20"/>
        <v>739857.83823000384</v>
      </c>
      <c r="AG40" s="273" t="s">
        <v>192</v>
      </c>
      <c r="AH40" s="203"/>
      <c r="AI40" s="18"/>
      <c r="AJ40" s="18"/>
      <c r="AK40" s="18"/>
      <c r="AL40" s="18"/>
      <c r="AM40" s="18"/>
      <c r="AN40" s="18"/>
    </row>
    <row r="41" spans="1:40" ht="20">
      <c r="A41" s="18"/>
      <c r="B41" s="151"/>
      <c r="C41" s="55">
        <v>21</v>
      </c>
      <c r="D41" s="54">
        <v>1</v>
      </c>
      <c r="E41" s="190">
        <f t="shared" si="12"/>
        <v>1</v>
      </c>
      <c r="F41" s="191">
        <f t="shared" si="13"/>
        <v>45678</v>
      </c>
      <c r="G41" s="192" t="str">
        <f t="shared" si="14"/>
        <v>Tue</v>
      </c>
      <c r="H41" s="193"/>
      <c r="I41" s="194"/>
      <c r="J41" s="205">
        <v>246550</v>
      </c>
      <c r="K41" s="206"/>
      <c r="L41" s="43">
        <f t="shared" si="15"/>
        <v>202590.3746656946</v>
      </c>
      <c r="M41" s="280">
        <f t="shared" si="7"/>
        <v>43959.625334305398</v>
      </c>
      <c r="N41" s="41">
        <f t="shared" si="8"/>
        <v>1.2169877290905136</v>
      </c>
      <c r="O41" s="197"/>
      <c r="P41" s="43">
        <f>IF(D41=0,0,SUM($L$21:L41))</f>
        <v>2763662.1170797446</v>
      </c>
      <c r="Q41" s="43">
        <f>IF(D41=0,0,SUM($J$21:J41))</f>
        <v>3132680</v>
      </c>
      <c r="R41" s="282">
        <f t="shared" si="9"/>
        <v>369017.88292025542</v>
      </c>
      <c r="S41" s="198">
        <f t="shared" si="16"/>
        <v>1.1335249633591904</v>
      </c>
      <c r="T41" s="207"/>
      <c r="U41" s="43">
        <f>IF(D41=0,0,SUM($L$21:L41))</f>
        <v>2763662.1170797446</v>
      </c>
      <c r="V41" s="43">
        <f>IF(D41=0,0,SUM($J$21:J41))</f>
        <v>3132680</v>
      </c>
      <c r="W41" s="284">
        <f t="shared" si="10"/>
        <v>369017.88292025542</v>
      </c>
      <c r="X41" s="200">
        <f t="shared" si="17"/>
        <v>1.1335249633591904</v>
      </c>
      <c r="Y41" s="201">
        <f t="shared" si="21"/>
        <v>45678</v>
      </c>
      <c r="Z41" s="202">
        <f t="shared" si="21"/>
        <v>45678</v>
      </c>
      <c r="AA41" s="246">
        <v>3</v>
      </c>
      <c r="AB41" s="243" t="s">
        <v>222</v>
      </c>
      <c r="AC41" s="251">
        <f>IFERROR(AVERAGEIFS(J80:J110,D80:D110,1,G80:G110,"sun"),0)</f>
        <v>0</v>
      </c>
      <c r="AD41" s="275">
        <f>IFERROR(COUNTIFS(D80:D110,1,G80:G110,"sun"),0)</f>
        <v>0</v>
      </c>
      <c r="AE41" s="265">
        <f>IFERROR(($I$9*'2024(¥)'!AI40)/AD41,0)</f>
        <v>0</v>
      </c>
      <c r="AF41" s="271">
        <f>SUM(AF35:AF40)</f>
        <v>6293706.2937062941</v>
      </c>
      <c r="AG41" s="272">
        <f>I9</f>
        <v>6293706.2937062941</v>
      </c>
      <c r="AH41" s="270"/>
      <c r="AI41" s="18"/>
      <c r="AJ41" s="18"/>
      <c r="AK41" s="18"/>
      <c r="AL41" s="18"/>
      <c r="AM41" s="18"/>
      <c r="AN41" s="18"/>
    </row>
    <row r="42" spans="1:40" ht="20">
      <c r="A42" s="18"/>
      <c r="B42" s="151"/>
      <c r="C42" s="55">
        <v>22</v>
      </c>
      <c r="D42" s="54">
        <v>1</v>
      </c>
      <c r="E42" s="190">
        <f t="shared" si="12"/>
        <v>1</v>
      </c>
      <c r="F42" s="191">
        <f t="shared" si="13"/>
        <v>45679</v>
      </c>
      <c r="G42" s="192" t="str">
        <f t="shared" si="14"/>
        <v>Wed</v>
      </c>
      <c r="H42" s="193"/>
      <c r="I42" s="194"/>
      <c r="J42" s="205">
        <v>207530</v>
      </c>
      <c r="K42" s="206"/>
      <c r="L42" s="43">
        <f t="shared" si="15"/>
        <v>228185.93953558934</v>
      </c>
      <c r="M42" s="280">
        <f t="shared" si="7"/>
        <v>-20655.939535589336</v>
      </c>
      <c r="N42" s="41">
        <f t="shared" si="8"/>
        <v>0.90947759718399435</v>
      </c>
      <c r="O42" s="56"/>
      <c r="P42" s="43">
        <f>IF(D42=0,0,SUM($L$21:L42))</f>
        <v>2991848.056615334</v>
      </c>
      <c r="Q42" s="43">
        <f>IF(D42=0,0,SUM($J$21:J42))</f>
        <v>3340210</v>
      </c>
      <c r="R42" s="282">
        <f t="shared" si="9"/>
        <v>348361.943384666</v>
      </c>
      <c r="S42" s="198">
        <f t="shared" si="16"/>
        <v>1.1164370438580249</v>
      </c>
      <c r="T42" s="207"/>
      <c r="U42" s="43">
        <f>IF(D42=0,0,SUM($L$21:L42))</f>
        <v>2991848.056615334</v>
      </c>
      <c r="V42" s="43">
        <f>IF(D42=0,0,SUM($J$21:J42))</f>
        <v>3340210</v>
      </c>
      <c r="W42" s="284">
        <f t="shared" si="10"/>
        <v>348361.943384666</v>
      </c>
      <c r="X42" s="200">
        <f t="shared" si="17"/>
        <v>1.1164370438580249</v>
      </c>
      <c r="Y42" s="201">
        <f t="shared" si="21"/>
        <v>45679</v>
      </c>
      <c r="Z42" s="202">
        <f t="shared" si="21"/>
        <v>45679</v>
      </c>
      <c r="AA42" s="246">
        <v>4</v>
      </c>
      <c r="AB42" s="136" t="s">
        <v>216</v>
      </c>
      <c r="AC42" s="251">
        <f>IFERROR(AVERAGEIFS(J111:J140,D111:D140,1,G111:G140,"mon"),0)</f>
        <v>259995</v>
      </c>
      <c r="AD42" s="275">
        <f>COUNTIFS(D111:D140,1,G111:G140,"Mon")</f>
        <v>4</v>
      </c>
      <c r="AE42" s="265">
        <f>($I$10*'2024(¥)'!AI41)/AD42</f>
        <v>236793.42244756047</v>
      </c>
      <c r="AF42" s="138">
        <f t="shared" ref="AF42:AF47" si="22">AD42*AE42</f>
        <v>947173.68979024189</v>
      </c>
      <c r="AG42" s="203" t="s">
        <v>131</v>
      </c>
      <c r="AH42" s="203"/>
      <c r="AI42" s="18"/>
      <c r="AJ42" s="18"/>
      <c r="AK42" s="18"/>
      <c r="AL42" s="18"/>
      <c r="AM42" s="18"/>
      <c r="AN42" s="18"/>
    </row>
    <row r="43" spans="1:40" ht="20">
      <c r="A43" s="18"/>
      <c r="B43" s="151"/>
      <c r="C43" s="55">
        <v>23</v>
      </c>
      <c r="D43" s="54">
        <v>1</v>
      </c>
      <c r="E43" s="190">
        <f t="shared" si="12"/>
        <v>1</v>
      </c>
      <c r="F43" s="191">
        <f t="shared" si="13"/>
        <v>45680</v>
      </c>
      <c r="G43" s="192" t="str">
        <f t="shared" si="14"/>
        <v>Thu</v>
      </c>
      <c r="H43" s="193"/>
      <c r="I43" s="194"/>
      <c r="J43" s="205">
        <v>302150</v>
      </c>
      <c r="K43" s="206"/>
      <c r="L43" s="43">
        <f t="shared" si="15"/>
        <v>158530.17364505664</v>
      </c>
      <c r="M43" s="280">
        <f t="shared" si="7"/>
        <v>143619.82635494336</v>
      </c>
      <c r="N43" s="41">
        <f t="shared" si="8"/>
        <v>1.905946313264647</v>
      </c>
      <c r="O43" s="56"/>
      <c r="P43" s="43">
        <f>IF(D43=0,0,SUM($L$21:L43))</f>
        <v>3150378.2302603908</v>
      </c>
      <c r="Q43" s="43">
        <f>IF(D43=0,0,SUM($J$21:J43))</f>
        <v>3642360</v>
      </c>
      <c r="R43" s="282">
        <f t="shared" si="9"/>
        <v>491981.76973960921</v>
      </c>
      <c r="S43" s="198">
        <f t="shared" si="16"/>
        <v>1.1561659374782263</v>
      </c>
      <c r="T43" s="207"/>
      <c r="U43" s="43">
        <f>IF(D43=0,0,SUM($L$21:L43))</f>
        <v>3150378.2302603908</v>
      </c>
      <c r="V43" s="43">
        <f>IF(D43=0,0,SUM($J$21:J43))</f>
        <v>3642360</v>
      </c>
      <c r="W43" s="284">
        <f t="shared" si="10"/>
        <v>491981.76973960921</v>
      </c>
      <c r="X43" s="200">
        <f t="shared" si="17"/>
        <v>1.1561659374782263</v>
      </c>
      <c r="Y43" s="201">
        <f t="shared" si="21"/>
        <v>45680</v>
      </c>
      <c r="Z43" s="202">
        <f t="shared" si="21"/>
        <v>45680</v>
      </c>
      <c r="AA43" s="246">
        <v>4</v>
      </c>
      <c r="AB43" s="243" t="s">
        <v>217</v>
      </c>
      <c r="AC43" s="251">
        <f>IFERROR(AVERAGEIFS(J111:J140,D111:D140,1,G111:G140,"tue"),0)</f>
        <v>299070</v>
      </c>
      <c r="AD43" s="275">
        <f>COUNTIFS(D111:D140,1,G111:G140,"tue")</f>
        <v>4</v>
      </c>
      <c r="AE43" s="265">
        <f>($I$10*'2024(¥)'!AI42)/AD43</f>
        <v>349706.706630164</v>
      </c>
      <c r="AF43" s="138">
        <f t="shared" si="22"/>
        <v>1398826.826520656</v>
      </c>
      <c r="AG43" s="203"/>
      <c r="AH43" s="203"/>
      <c r="AI43" s="18"/>
      <c r="AJ43" s="18"/>
      <c r="AK43" s="18"/>
      <c r="AL43" s="18"/>
      <c r="AM43" s="18"/>
      <c r="AN43" s="18"/>
    </row>
    <row r="44" spans="1:40" ht="20">
      <c r="A44" s="18"/>
      <c r="B44" s="151"/>
      <c r="C44" s="55">
        <v>24</v>
      </c>
      <c r="D44" s="54">
        <v>1</v>
      </c>
      <c r="E44" s="190">
        <f t="shared" si="12"/>
        <v>1</v>
      </c>
      <c r="F44" s="191">
        <f t="shared" si="13"/>
        <v>45681</v>
      </c>
      <c r="G44" s="192" t="str">
        <f t="shared" si="14"/>
        <v>Fri</v>
      </c>
      <c r="H44" s="193"/>
      <c r="I44" s="194"/>
      <c r="J44" s="205">
        <v>398010</v>
      </c>
      <c r="K44" s="206"/>
      <c r="L44" s="43">
        <f t="shared" si="15"/>
        <v>276778.20622489171</v>
      </c>
      <c r="M44" s="280">
        <f t="shared" si="7"/>
        <v>121231.79377510829</v>
      </c>
      <c r="N44" s="41">
        <f t="shared" si="8"/>
        <v>1.4380106202314331</v>
      </c>
      <c r="O44" s="56"/>
      <c r="P44" s="43">
        <f>IF(D44=0,0,SUM($L$21:L44))</f>
        <v>3427156.4364852826</v>
      </c>
      <c r="Q44" s="43">
        <f>IF(D44=0,0,SUM($J$21:J44))</f>
        <v>4040370</v>
      </c>
      <c r="R44" s="282">
        <f t="shared" si="9"/>
        <v>613213.56351471739</v>
      </c>
      <c r="S44" s="198">
        <f t="shared" si="16"/>
        <v>1.1789278006064987</v>
      </c>
      <c r="T44" s="207"/>
      <c r="U44" s="43">
        <f>IF(D44=0,0,SUM($L$21:L44))</f>
        <v>3427156.4364852826</v>
      </c>
      <c r="V44" s="43">
        <f>IF(D44=0,0,SUM($J$21:J44))</f>
        <v>4040370</v>
      </c>
      <c r="W44" s="284">
        <f t="shared" si="10"/>
        <v>613213.56351471739</v>
      </c>
      <c r="X44" s="200">
        <f t="shared" si="17"/>
        <v>1.1789278006064987</v>
      </c>
      <c r="Y44" s="201">
        <f t="shared" si="21"/>
        <v>45681</v>
      </c>
      <c r="Z44" s="202">
        <f t="shared" si="21"/>
        <v>45681</v>
      </c>
      <c r="AA44" s="246">
        <v>4</v>
      </c>
      <c r="AB44" s="243" t="s">
        <v>218</v>
      </c>
      <c r="AC44" s="251">
        <f>IFERROR(AVERAGEIFS(J111:J140,D111:D140,1,G111:G140,"wed"),0)</f>
        <v>275436</v>
      </c>
      <c r="AD44" s="275">
        <f>COUNTIFS(D111:D140,1,G111:G140,"wed")</f>
        <v>5</v>
      </c>
      <c r="AE44" s="265">
        <f>($I$10*'2024(¥)'!AI43)/AD44</f>
        <v>242810.59771725239</v>
      </c>
      <c r="AF44" s="138">
        <f t="shared" si="22"/>
        <v>1214052.9885862619</v>
      </c>
      <c r="AG44" s="203"/>
      <c r="AH44" s="203"/>
      <c r="AI44" s="18"/>
      <c r="AJ44" s="18"/>
      <c r="AK44" s="18"/>
      <c r="AL44" s="18"/>
      <c r="AM44" s="18"/>
      <c r="AN44" s="18"/>
    </row>
    <row r="45" spans="1:40" ht="20">
      <c r="A45" s="18"/>
      <c r="B45" s="151"/>
      <c r="C45" s="55">
        <v>25</v>
      </c>
      <c r="D45" s="54">
        <v>1</v>
      </c>
      <c r="E45" s="190">
        <f t="shared" si="12"/>
        <v>1</v>
      </c>
      <c r="F45" s="191">
        <f t="shared" si="13"/>
        <v>45682</v>
      </c>
      <c r="G45" s="192" t="str">
        <f t="shared" si="14"/>
        <v>Sat</v>
      </c>
      <c r="H45" s="193"/>
      <c r="I45" s="194"/>
      <c r="J45" s="208">
        <v>99980</v>
      </c>
      <c r="K45" s="209"/>
      <c r="L45" s="43">
        <f t="shared" si="15"/>
        <v>95683.765950189147</v>
      </c>
      <c r="M45" s="280">
        <f t="shared" si="7"/>
        <v>4296.2340498108533</v>
      </c>
      <c r="N45" s="41">
        <f t="shared" si="8"/>
        <v>1.0449003444539107</v>
      </c>
      <c r="O45" s="56"/>
      <c r="P45" s="43">
        <f>IF(D45=0,0,SUM($L$21:L45))</f>
        <v>3522840.2024354716</v>
      </c>
      <c r="Q45" s="43">
        <f>IF(D45=0,0,SUM($J$21:J45))</f>
        <v>4140350</v>
      </c>
      <c r="R45" s="282">
        <f t="shared" si="9"/>
        <v>617509.79756452842</v>
      </c>
      <c r="S45" s="198">
        <f t="shared" si="16"/>
        <v>1.1752874845522714</v>
      </c>
      <c r="T45" s="207"/>
      <c r="U45" s="43">
        <f>IF(D45=0,0,SUM($L$21:L45))</f>
        <v>3522840.2024354716</v>
      </c>
      <c r="V45" s="43">
        <f>IF(D45=0,0,SUM($J$21:J45))</f>
        <v>4140350</v>
      </c>
      <c r="W45" s="284">
        <f t="shared" si="10"/>
        <v>617509.79756452842</v>
      </c>
      <c r="X45" s="200">
        <f t="shared" si="17"/>
        <v>1.1752874845522714</v>
      </c>
      <c r="Y45" s="201">
        <f t="shared" si="21"/>
        <v>45682</v>
      </c>
      <c r="Z45" s="202">
        <f t="shared" si="21"/>
        <v>45682</v>
      </c>
      <c r="AA45" s="246">
        <v>4</v>
      </c>
      <c r="AB45" s="243" t="s">
        <v>219</v>
      </c>
      <c r="AC45" s="251">
        <f>IFERROR(AVERAGEIFS(J111:J140,D111:D140,1,G111:G140,"thu"),0)</f>
        <v>347200</v>
      </c>
      <c r="AD45" s="275">
        <f>COUNTIFS(D111:D140,1,G111:G140,"thu")</f>
        <v>4</v>
      </c>
      <c r="AE45" s="265">
        <f>($I$10*'2024(¥)'!AI44)/AD45</f>
        <v>288304.40374346258</v>
      </c>
      <c r="AF45" s="138">
        <f t="shared" si="22"/>
        <v>1153217.6149738503</v>
      </c>
      <c r="AG45" s="203"/>
      <c r="AH45" s="203"/>
      <c r="AI45" s="18"/>
      <c r="AJ45" s="18"/>
      <c r="AK45" s="18"/>
      <c r="AL45" s="18"/>
      <c r="AM45" s="18"/>
      <c r="AN45" s="18"/>
    </row>
    <row r="46" spans="1:40" ht="20">
      <c r="A46" s="18"/>
      <c r="B46" s="151"/>
      <c r="C46" s="55">
        <v>26</v>
      </c>
      <c r="D46" s="54">
        <v>0</v>
      </c>
      <c r="E46" s="190">
        <f t="shared" si="12"/>
        <v>1</v>
      </c>
      <c r="F46" s="191">
        <f t="shared" si="13"/>
        <v>45683</v>
      </c>
      <c r="G46" s="192" t="str">
        <f t="shared" si="14"/>
        <v>Sun</v>
      </c>
      <c r="H46" s="193"/>
      <c r="I46" s="194"/>
      <c r="J46" s="213"/>
      <c r="K46" s="211"/>
      <c r="L46" s="43">
        <f t="shared" si="15"/>
        <v>0</v>
      </c>
      <c r="M46" s="280">
        <f t="shared" si="7"/>
        <v>0</v>
      </c>
      <c r="N46" s="41" t="str">
        <f t="shared" si="8"/>
        <v>¥0</v>
      </c>
      <c r="O46" s="44"/>
      <c r="P46" s="43">
        <f>IF(D46=0,0,SUM($L$21:L46))</f>
        <v>0</v>
      </c>
      <c r="Q46" s="43">
        <f>IF(D46=0,0,SUM($J$21:J46))</f>
        <v>0</v>
      </c>
      <c r="R46" s="282">
        <f t="shared" si="9"/>
        <v>0</v>
      </c>
      <c r="S46" s="198">
        <f t="shared" si="16"/>
        <v>0</v>
      </c>
      <c r="T46" s="212"/>
      <c r="U46" s="43">
        <f>IF(D46=0,0,SUM($L$21:L46))</f>
        <v>0</v>
      </c>
      <c r="V46" s="43">
        <f>IF(D46=0,0,SUM($J$21:J46))</f>
        <v>0</v>
      </c>
      <c r="W46" s="284">
        <f t="shared" si="10"/>
        <v>0</v>
      </c>
      <c r="X46" s="200">
        <f t="shared" si="17"/>
        <v>0</v>
      </c>
      <c r="Y46" s="201">
        <f t="shared" si="21"/>
        <v>45683</v>
      </c>
      <c r="Z46" s="202">
        <f t="shared" si="21"/>
        <v>45683</v>
      </c>
      <c r="AA46" s="246">
        <v>4</v>
      </c>
      <c r="AB46" s="243" t="s">
        <v>220</v>
      </c>
      <c r="AC46" s="251">
        <f>IFERROR(AVERAGEIFS(J111:J140,D111:D140,1,G111:G140,"fri"),0)</f>
        <v>347270</v>
      </c>
      <c r="AD46" s="275">
        <f>COUNTIFS(D111:D140,1,G111:G140,"fri")</f>
        <v>4</v>
      </c>
      <c r="AE46" s="265">
        <f>($I$10*'2024(¥)'!AI45)/AD46</f>
        <v>343351.24022972299</v>
      </c>
      <c r="AF46" s="138">
        <f t="shared" si="22"/>
        <v>1373404.9609188919</v>
      </c>
      <c r="AG46" s="203"/>
      <c r="AH46" s="203"/>
      <c r="AI46" s="18"/>
      <c r="AJ46" s="18"/>
      <c r="AK46" s="18"/>
      <c r="AL46" s="18"/>
      <c r="AM46" s="18"/>
      <c r="AN46" s="18"/>
    </row>
    <row r="47" spans="1:40" ht="20">
      <c r="A47" s="18"/>
      <c r="B47" s="151"/>
      <c r="C47" s="55">
        <v>27</v>
      </c>
      <c r="D47" s="54">
        <v>1</v>
      </c>
      <c r="E47" s="190">
        <f t="shared" si="12"/>
        <v>1</v>
      </c>
      <c r="F47" s="191">
        <f t="shared" si="13"/>
        <v>45684</v>
      </c>
      <c r="G47" s="192" t="str">
        <f t="shared" si="14"/>
        <v>Mon</v>
      </c>
      <c r="H47" s="193"/>
      <c r="I47" s="194"/>
      <c r="J47" s="205">
        <v>270710</v>
      </c>
      <c r="K47" s="206"/>
      <c r="L47" s="43">
        <f t="shared" si="15"/>
        <v>318767.41118560376</v>
      </c>
      <c r="M47" s="280">
        <f t="shared" si="7"/>
        <v>-48057.411185603763</v>
      </c>
      <c r="N47" s="41">
        <f t="shared" si="8"/>
        <v>0.84923988620147206</v>
      </c>
      <c r="O47" s="56"/>
      <c r="P47" s="43">
        <f>IF(D47=0,0,SUM($L$21:L47))</f>
        <v>3841607.6136210752</v>
      </c>
      <c r="Q47" s="43">
        <f>IF(D47=0,0,SUM($J$21:J47))</f>
        <v>4411060</v>
      </c>
      <c r="R47" s="282">
        <f t="shared" si="9"/>
        <v>569452.38637892483</v>
      </c>
      <c r="S47" s="198">
        <f t="shared" si="16"/>
        <v>1.1482328347017625</v>
      </c>
      <c r="T47" s="207"/>
      <c r="U47" s="43">
        <f>IF(D47=0,0,SUM($L$21:L47))</f>
        <v>3841607.6136210752</v>
      </c>
      <c r="V47" s="43">
        <f>IF(D47=0,0,SUM($J$21:J47))</f>
        <v>4411060</v>
      </c>
      <c r="W47" s="284">
        <f t="shared" si="10"/>
        <v>569452.38637892483</v>
      </c>
      <c r="X47" s="200">
        <f t="shared" si="17"/>
        <v>1.1482328347017625</v>
      </c>
      <c r="Y47" s="201">
        <f t="shared" si="21"/>
        <v>45684</v>
      </c>
      <c r="Z47" s="202">
        <f t="shared" si="21"/>
        <v>45684</v>
      </c>
      <c r="AA47" s="246">
        <v>4</v>
      </c>
      <c r="AB47" s="243" t="s">
        <v>221</v>
      </c>
      <c r="AC47" s="251">
        <f>IFERROR(AVERAGEIFS(J111:J140,D111:D140,1,G111:G140,"sat"),0)</f>
        <v>92990</v>
      </c>
      <c r="AD47" s="275">
        <f>COUNTIFS(D111:D140,1,G111:G140,"sat")</f>
        <v>4</v>
      </c>
      <c r="AE47" s="265">
        <f>($I$10*'2024(¥)'!AI46)/AD47</f>
        <v>209100.21057175542</v>
      </c>
      <c r="AF47" s="138">
        <f t="shared" si="22"/>
        <v>836400.84228702169</v>
      </c>
      <c r="AG47" s="273" t="s">
        <v>193</v>
      </c>
      <c r="AH47" s="203"/>
      <c r="AI47" s="18"/>
      <c r="AJ47" s="18"/>
      <c r="AK47" s="18"/>
      <c r="AL47" s="18"/>
      <c r="AM47" s="18"/>
      <c r="AN47" s="18"/>
    </row>
    <row r="48" spans="1:40" ht="20">
      <c r="A48" s="18"/>
      <c r="B48" s="151"/>
      <c r="C48" s="55">
        <v>28</v>
      </c>
      <c r="D48" s="54">
        <v>1</v>
      </c>
      <c r="E48" s="190">
        <f t="shared" si="12"/>
        <v>1</v>
      </c>
      <c r="F48" s="191">
        <f t="shared" si="13"/>
        <v>45685</v>
      </c>
      <c r="G48" s="192" t="str">
        <f t="shared" si="14"/>
        <v>Tue</v>
      </c>
      <c r="H48" s="193"/>
      <c r="I48" s="194"/>
      <c r="J48" s="205">
        <v>270800</v>
      </c>
      <c r="K48" s="206"/>
      <c r="L48" s="43">
        <f t="shared" si="15"/>
        <v>202590.3746656946</v>
      </c>
      <c r="M48" s="280">
        <f t="shared" si="7"/>
        <v>68209.625334305398</v>
      </c>
      <c r="N48" s="41">
        <f t="shared" si="8"/>
        <v>1.3366873941906756</v>
      </c>
      <c r="O48" s="56"/>
      <c r="P48" s="43">
        <f>IF(D48=0,0,SUM($L$21:L48))</f>
        <v>4044197.9882867699</v>
      </c>
      <c r="Q48" s="43">
        <f>IF(D48=0,0,SUM($J$21:J48))</f>
        <v>4681860</v>
      </c>
      <c r="R48" s="282">
        <f t="shared" si="9"/>
        <v>637662.01171323005</v>
      </c>
      <c r="S48" s="198">
        <f t="shared" si="16"/>
        <v>1.1576732923462436</v>
      </c>
      <c r="T48" s="207"/>
      <c r="U48" s="43">
        <f>IF(D48=0,0,SUM($L$21:L48))</f>
        <v>4044197.9882867699</v>
      </c>
      <c r="V48" s="43">
        <f>IF(D48=0,0,SUM($J$21:J48))</f>
        <v>4681860</v>
      </c>
      <c r="W48" s="284">
        <f t="shared" si="10"/>
        <v>637662.01171323005</v>
      </c>
      <c r="X48" s="200">
        <f t="shared" si="17"/>
        <v>1.1576732923462436</v>
      </c>
      <c r="Y48" s="201">
        <f t="shared" si="21"/>
        <v>45685</v>
      </c>
      <c r="Z48" s="202">
        <f t="shared" si="21"/>
        <v>45685</v>
      </c>
      <c r="AA48" s="246">
        <v>4</v>
      </c>
      <c r="AB48" s="243" t="s">
        <v>222</v>
      </c>
      <c r="AC48" s="251">
        <f>IFERROR(AVERAGEIFS(J111:J140,D111:D140,1,G111:G140,"sun"),0)</f>
        <v>0</v>
      </c>
      <c r="AD48" s="275">
        <f>IFERROR(COUNTIFS(D111:D140,1,G111:G140,"sun"),0)</f>
        <v>0</v>
      </c>
      <c r="AE48" s="265">
        <f>IFERROR(($I$10*'2024(¥)'!AI47)/AD48,0)</f>
        <v>0</v>
      </c>
      <c r="AF48" s="271">
        <f>SUM(AF42:AF47)</f>
        <v>6923076.9230769239</v>
      </c>
      <c r="AG48" s="272">
        <f>I10</f>
        <v>6923076.9230769239</v>
      </c>
      <c r="AH48" s="270"/>
      <c r="AI48" s="18"/>
      <c r="AJ48" s="18"/>
      <c r="AK48" s="18"/>
      <c r="AL48" s="18"/>
      <c r="AM48" s="18"/>
      <c r="AN48" s="18"/>
    </row>
    <row r="49" spans="1:40" ht="20">
      <c r="A49" s="18"/>
      <c r="B49" s="151"/>
      <c r="C49" s="55">
        <v>29</v>
      </c>
      <c r="D49" s="54">
        <v>1</v>
      </c>
      <c r="E49" s="190">
        <f t="shared" si="12"/>
        <v>1</v>
      </c>
      <c r="F49" s="191">
        <f t="shared" si="13"/>
        <v>45686</v>
      </c>
      <c r="G49" s="192" t="str">
        <f t="shared" si="14"/>
        <v>Wed</v>
      </c>
      <c r="H49" s="193"/>
      <c r="I49" s="194"/>
      <c r="J49" s="205">
        <v>278350</v>
      </c>
      <c r="K49" s="206"/>
      <c r="L49" s="43">
        <f t="shared" si="15"/>
        <v>228185.93953558934</v>
      </c>
      <c r="M49" s="280">
        <f t="shared" si="7"/>
        <v>50164.060464410664</v>
      </c>
      <c r="N49" s="41">
        <f t="shared" si="8"/>
        <v>1.2198385253995316</v>
      </c>
      <c r="O49" s="56"/>
      <c r="P49" s="43">
        <f>IF(D49=0,0,SUM($L$21:L49))</f>
        <v>4272383.9278223589</v>
      </c>
      <c r="Q49" s="43">
        <f>IF(D49=0,0,SUM($J$21:J49))</f>
        <v>4960210</v>
      </c>
      <c r="R49" s="282">
        <f t="shared" si="9"/>
        <v>687826.07217764109</v>
      </c>
      <c r="S49" s="198">
        <f t="shared" si="16"/>
        <v>1.1609935070906017</v>
      </c>
      <c r="T49" s="207"/>
      <c r="U49" s="43">
        <f>IF(D49=0,0,SUM($L$21:L49))</f>
        <v>4272383.9278223589</v>
      </c>
      <c r="V49" s="43">
        <f>IF(D49=0,0,SUM($J$21:J49))</f>
        <v>4960210</v>
      </c>
      <c r="W49" s="284">
        <f t="shared" si="10"/>
        <v>687826.07217764109</v>
      </c>
      <c r="X49" s="200">
        <f t="shared" si="17"/>
        <v>1.1609935070906017</v>
      </c>
      <c r="Y49" s="201">
        <f t="shared" si="21"/>
        <v>45686</v>
      </c>
      <c r="Z49" s="202">
        <f t="shared" si="21"/>
        <v>45686</v>
      </c>
      <c r="AA49" s="246">
        <v>5</v>
      </c>
      <c r="AB49" s="136" t="s">
        <v>216</v>
      </c>
      <c r="AC49" s="251">
        <f>IFERROR(AVERAGEIFS(J141:J171,D141:D171,1,G141:G171,"mon"),0)</f>
        <v>233847.40793471682</v>
      </c>
      <c r="AD49" s="275">
        <f>COUNTIFS(D141:D171,1,G141:G171,"Mon")</f>
        <v>3</v>
      </c>
      <c r="AE49" s="265">
        <f>($I$11*'2024(¥)'!AI48)/AD49</f>
        <v>233847.40793471682</v>
      </c>
      <c r="AF49" s="138">
        <f t="shared" ref="AF49:AF54" si="23">AD49*AE49</f>
        <v>701542.22380415048</v>
      </c>
      <c r="AG49" s="203" t="s">
        <v>132</v>
      </c>
      <c r="AH49" s="203"/>
      <c r="AI49" s="18"/>
      <c r="AJ49" s="18"/>
      <c r="AK49" s="18"/>
      <c r="AL49" s="18"/>
      <c r="AM49" s="18"/>
      <c r="AN49" s="18"/>
    </row>
    <row r="50" spans="1:40" ht="20">
      <c r="A50" s="18"/>
      <c r="B50" s="151"/>
      <c r="C50" s="55">
        <v>30</v>
      </c>
      <c r="D50" s="54">
        <v>1</v>
      </c>
      <c r="E50" s="190">
        <f t="shared" si="12"/>
        <v>1</v>
      </c>
      <c r="F50" s="191">
        <f t="shared" si="13"/>
        <v>45687</v>
      </c>
      <c r="G50" s="192" t="str">
        <f t="shared" si="14"/>
        <v>Thu</v>
      </c>
      <c r="H50" s="193"/>
      <c r="I50" s="194"/>
      <c r="J50" s="214">
        <v>317820</v>
      </c>
      <c r="K50" s="215"/>
      <c r="L50" s="43">
        <f t="shared" si="15"/>
        <v>158530.17364505664</v>
      </c>
      <c r="M50" s="280">
        <f t="shared" si="7"/>
        <v>159289.82635494336</v>
      </c>
      <c r="N50" s="41">
        <f t="shared" si="8"/>
        <v>2.0047918493522094</v>
      </c>
      <c r="O50" s="56"/>
      <c r="P50" s="43">
        <f>IF(D50=0,0,SUM($L$21:L50))</f>
        <v>4430914.1014674157</v>
      </c>
      <c r="Q50" s="43">
        <f>IF(D50=0,0,SUM($J$21:J50))</f>
        <v>5278030</v>
      </c>
      <c r="R50" s="282">
        <f t="shared" si="9"/>
        <v>847115.89853258431</v>
      </c>
      <c r="S50" s="198">
        <f t="shared" si="16"/>
        <v>1.1911831010788585</v>
      </c>
      <c r="T50" s="207"/>
      <c r="U50" s="43">
        <f>IF(D50=0,0,SUM($L$21:L50))</f>
        <v>4430914.1014674157</v>
      </c>
      <c r="V50" s="43">
        <f>IF(D50=0,0,SUM($J$21:J50))</f>
        <v>5278030</v>
      </c>
      <c r="W50" s="284">
        <f t="shared" si="10"/>
        <v>847115.89853258431</v>
      </c>
      <c r="X50" s="200">
        <f t="shared" si="17"/>
        <v>1.1911831010788585</v>
      </c>
      <c r="Y50" s="201">
        <f t="shared" si="21"/>
        <v>45687</v>
      </c>
      <c r="Z50" s="202">
        <f t="shared" si="21"/>
        <v>45687</v>
      </c>
      <c r="AA50" s="246">
        <v>5</v>
      </c>
      <c r="AB50" s="243" t="s">
        <v>217</v>
      </c>
      <c r="AC50" s="251">
        <f>IFERROR(AVERAGEIFS(J141:J171,D141:D171,1,G141:G171,"tue"),0)</f>
        <v>303173.82297022239</v>
      </c>
      <c r="AD50" s="275">
        <f>COUNTIFS(D141:D171,1,G141:G171,"tue")</f>
        <v>3</v>
      </c>
      <c r="AE50" s="265">
        <f>($I$11*'2024(¥)'!AI49)/AD50</f>
        <v>303173.82297022239</v>
      </c>
      <c r="AF50" s="138">
        <f t="shared" si="23"/>
        <v>909521.46891066711</v>
      </c>
      <c r="AG50" s="203"/>
      <c r="AH50" s="203"/>
      <c r="AI50" s="18"/>
      <c r="AJ50" s="18"/>
      <c r="AK50" s="18"/>
      <c r="AL50" s="18"/>
      <c r="AM50" s="18"/>
      <c r="AN50" s="18"/>
    </row>
    <row r="51" spans="1:40" ht="21" thickBot="1">
      <c r="A51" s="18"/>
      <c r="B51" s="151"/>
      <c r="C51" s="216">
        <v>31</v>
      </c>
      <c r="D51" s="38">
        <v>1</v>
      </c>
      <c r="E51" s="217">
        <f t="shared" si="12"/>
        <v>1</v>
      </c>
      <c r="F51" s="218">
        <f t="shared" si="13"/>
        <v>45688</v>
      </c>
      <c r="G51" s="219" t="str">
        <f t="shared" si="14"/>
        <v>Fri</v>
      </c>
      <c r="H51" s="220"/>
      <c r="I51" s="221"/>
      <c r="J51" s="222">
        <v>335220</v>
      </c>
      <c r="K51" s="223"/>
      <c r="L51" s="276">
        <f t="shared" si="15"/>
        <v>276778.20622489171</v>
      </c>
      <c r="M51" s="281">
        <f t="shared" si="7"/>
        <v>58441.793775108294</v>
      </c>
      <c r="N51" s="225">
        <f t="shared" si="8"/>
        <v>1.2111502728925931</v>
      </c>
      <c r="O51" s="226"/>
      <c r="P51" s="227">
        <f>IF(D51=0,0,SUM($L$21:L51))</f>
        <v>4707692.307692307</v>
      </c>
      <c r="Q51" s="224">
        <f>IF(D51=0,0,SUM($J$21:J51))</f>
        <v>5613250</v>
      </c>
      <c r="R51" s="281">
        <f t="shared" si="9"/>
        <v>905557.69230769295</v>
      </c>
      <c r="S51" s="228">
        <f t="shared" si="16"/>
        <v>1.192357026143791</v>
      </c>
      <c r="T51" s="229"/>
      <c r="U51" s="28">
        <f>IF(D51=0,0,SUM($L$21:L51))</f>
        <v>4707692.307692307</v>
      </c>
      <c r="V51" s="224">
        <f>IF(D51=0,0,SUM($J$21:J51))</f>
        <v>5613250</v>
      </c>
      <c r="W51" s="285">
        <f t="shared" si="10"/>
        <v>905557.69230769295</v>
      </c>
      <c r="X51" s="230">
        <f t="shared" si="17"/>
        <v>1.192357026143791</v>
      </c>
      <c r="Y51" s="201">
        <f t="shared" si="21"/>
        <v>45688</v>
      </c>
      <c r="Z51" s="202">
        <f t="shared" si="21"/>
        <v>45688</v>
      </c>
      <c r="AA51" s="246">
        <v>5</v>
      </c>
      <c r="AB51" s="243" t="s">
        <v>218</v>
      </c>
      <c r="AC51" s="251">
        <f>IFERROR(AVERAGEIFS(J141:J171,D141:D171,1,G141:G171,"wed"),0)</f>
        <v>392955.7201133403</v>
      </c>
      <c r="AD51" s="275">
        <f>COUNTIFS(D141:D171,1,G141:G171,"wed")</f>
        <v>4</v>
      </c>
      <c r="AE51" s="265">
        <f>($I$11*'2024(¥)'!AI50)/AD51</f>
        <v>392955.7201133403</v>
      </c>
      <c r="AF51" s="138">
        <f t="shared" si="23"/>
        <v>1571822.8804533612</v>
      </c>
      <c r="AG51" s="203"/>
      <c r="AH51" s="203"/>
      <c r="AI51" s="18"/>
      <c r="AJ51" s="18"/>
      <c r="AK51" s="18"/>
      <c r="AL51" s="18"/>
      <c r="AM51" s="18"/>
      <c r="AN51" s="18"/>
    </row>
    <row r="52" spans="1:40" ht="21" thickTop="1">
      <c r="A52" s="18"/>
      <c r="B52" s="151"/>
      <c r="C52" s="55">
        <v>32</v>
      </c>
      <c r="D52" s="62">
        <v>1</v>
      </c>
      <c r="E52" s="190">
        <f t="shared" si="12"/>
        <v>2</v>
      </c>
      <c r="F52" s="191">
        <f t="shared" si="13"/>
        <v>45689</v>
      </c>
      <c r="G52" s="192" t="str">
        <f t="shared" si="14"/>
        <v>Sat</v>
      </c>
      <c r="H52" s="193"/>
      <c r="I52" s="194"/>
      <c r="J52" s="214">
        <v>76880</v>
      </c>
      <c r="K52" s="215"/>
      <c r="L52" s="43">
        <f t="shared" si="15"/>
        <v>128371.8005363883</v>
      </c>
      <c r="M52" s="282">
        <f t="shared" si="7"/>
        <v>-51491.800536388298</v>
      </c>
      <c r="N52" s="60">
        <f t="shared" si="8"/>
        <v>0.59888542248971244</v>
      </c>
      <c r="O52" s="56"/>
      <c r="P52" s="43">
        <f>IF(D52=0,0,$L$52)</f>
        <v>128371.8005363883</v>
      </c>
      <c r="Q52" s="43">
        <f>IF(D52=0,0,$J$52)</f>
        <v>76880</v>
      </c>
      <c r="R52" s="282">
        <f t="shared" si="9"/>
        <v>-51491.800536388298</v>
      </c>
      <c r="S52" s="231">
        <f t="shared" si="16"/>
        <v>0.59888542248971244</v>
      </c>
      <c r="T52" s="207"/>
      <c r="U52" s="43">
        <f>IF(D52=0,0,SUM($L$21:L52))</f>
        <v>4836064.1082286956</v>
      </c>
      <c r="V52" s="43">
        <f>IF(D52=0,0,SUM($J$21:J52))</f>
        <v>5690130</v>
      </c>
      <c r="W52" s="284">
        <f t="shared" si="10"/>
        <v>854065.89177130442</v>
      </c>
      <c r="X52" s="232">
        <f t="shared" si="17"/>
        <v>1.1766035091052842</v>
      </c>
      <c r="Y52" s="201">
        <f t="shared" si="21"/>
        <v>45689</v>
      </c>
      <c r="Z52" s="202">
        <f t="shared" si="21"/>
        <v>45689</v>
      </c>
      <c r="AA52" s="246">
        <v>5</v>
      </c>
      <c r="AB52" s="243" t="s">
        <v>219</v>
      </c>
      <c r="AC52" s="251">
        <f>IFERROR(AVERAGEIFS(J141:J171,D141:D171,1,G141:G171,"thu"),0)</f>
        <v>216018.51541073053</v>
      </c>
      <c r="AD52" s="275">
        <f>COUNTIFS(D141:D171,1,G141:G171,"thu")</f>
        <v>5</v>
      </c>
      <c r="AE52" s="265">
        <f>($I$11*'2024(¥)'!AI51)/AD52</f>
        <v>216018.51541073053</v>
      </c>
      <c r="AF52" s="138">
        <f t="shared" si="23"/>
        <v>1080092.5770536526</v>
      </c>
      <c r="AG52" s="203"/>
      <c r="AH52" s="203"/>
      <c r="AI52" s="18"/>
      <c r="AJ52" s="18"/>
      <c r="AK52" s="18"/>
      <c r="AL52" s="18"/>
      <c r="AM52" s="18"/>
      <c r="AN52" s="18"/>
    </row>
    <row r="53" spans="1:40" ht="20">
      <c r="A53" s="18"/>
      <c r="B53" s="151"/>
      <c r="C53" s="55">
        <v>33</v>
      </c>
      <c r="D53" s="54">
        <v>0</v>
      </c>
      <c r="E53" s="190">
        <f t="shared" si="12"/>
        <v>2</v>
      </c>
      <c r="F53" s="191">
        <f t="shared" si="13"/>
        <v>45690</v>
      </c>
      <c r="G53" s="192" t="str">
        <f t="shared" si="14"/>
        <v>Sun</v>
      </c>
      <c r="H53" s="193"/>
      <c r="I53" s="194"/>
      <c r="J53" s="214"/>
      <c r="K53" s="215"/>
      <c r="L53" s="43">
        <f t="shared" si="15"/>
        <v>0</v>
      </c>
      <c r="M53" s="280">
        <f t="shared" si="7"/>
        <v>0</v>
      </c>
      <c r="N53" s="41" t="str">
        <f t="shared" si="8"/>
        <v>¥0</v>
      </c>
      <c r="O53" s="44"/>
      <c r="P53" s="43">
        <f>IF(D53=0,0,SUM($L$52:L53))</f>
        <v>0</v>
      </c>
      <c r="Q53" s="43">
        <f>IF(D53=0,0,SUM($J$52:J53))</f>
        <v>0</v>
      </c>
      <c r="R53" s="282">
        <f t="shared" si="9"/>
        <v>0</v>
      </c>
      <c r="S53" s="198">
        <f t="shared" si="16"/>
        <v>0</v>
      </c>
      <c r="T53" s="212"/>
      <c r="U53" s="43">
        <f>IF(D53=0,0,SUM($L$21:L53))</f>
        <v>0</v>
      </c>
      <c r="V53" s="43">
        <f>IF(D53=0,0,SUM($J$21:J53))</f>
        <v>0</v>
      </c>
      <c r="W53" s="284">
        <f t="shared" si="10"/>
        <v>0</v>
      </c>
      <c r="X53" s="200">
        <f t="shared" si="17"/>
        <v>0</v>
      </c>
      <c r="Y53" s="201">
        <f t="shared" si="21"/>
        <v>45690</v>
      </c>
      <c r="Z53" s="202">
        <f t="shared" si="21"/>
        <v>45690</v>
      </c>
      <c r="AA53" s="246">
        <v>5</v>
      </c>
      <c r="AB53" s="243" t="s">
        <v>220</v>
      </c>
      <c r="AC53" s="251">
        <f>IFERROR(AVERAGEIFS(J141:J171,D141:D171,1,G141:G171,"fri"),0)</f>
        <v>274421.07495830039</v>
      </c>
      <c r="AD53" s="275">
        <f>COUNTIFS(D141:D171,1,G141:G171,"fri")</f>
        <v>5</v>
      </c>
      <c r="AE53" s="265">
        <f>($I$11*'2024(¥)'!AI52)/AD53</f>
        <v>274421.07495830039</v>
      </c>
      <c r="AF53" s="138">
        <f t="shared" si="23"/>
        <v>1372105.374791502</v>
      </c>
      <c r="AG53" s="203"/>
      <c r="AH53" s="203"/>
      <c r="AI53" s="18"/>
      <c r="AJ53" s="18"/>
      <c r="AK53" s="18"/>
      <c r="AL53" s="18"/>
      <c r="AM53" s="18"/>
      <c r="AN53" s="18"/>
    </row>
    <row r="54" spans="1:40" ht="20">
      <c r="A54" s="18"/>
      <c r="B54" s="151"/>
      <c r="C54" s="55">
        <v>34</v>
      </c>
      <c r="D54" s="54">
        <v>1</v>
      </c>
      <c r="E54" s="190">
        <f t="shared" si="12"/>
        <v>2</v>
      </c>
      <c r="F54" s="191">
        <f t="shared" si="13"/>
        <v>45691</v>
      </c>
      <c r="G54" s="192" t="str">
        <f t="shared" si="14"/>
        <v>Mon</v>
      </c>
      <c r="H54" s="193"/>
      <c r="I54" s="194"/>
      <c r="J54" s="214">
        <v>269090</v>
      </c>
      <c r="K54" s="215"/>
      <c r="L54" s="43">
        <f t="shared" si="15"/>
        <v>217651.10892490271</v>
      </c>
      <c r="M54" s="280">
        <f t="shared" si="7"/>
        <v>51438.891075097286</v>
      </c>
      <c r="N54" s="41">
        <f t="shared" si="8"/>
        <v>1.2363364530012366</v>
      </c>
      <c r="O54" s="56"/>
      <c r="P54" s="43">
        <f>IF(D54=0,0,SUM($L$52:L54))</f>
        <v>346022.90946129104</v>
      </c>
      <c r="Q54" s="43">
        <f>IF(D54=0,0,SUM($J$52:J54))</f>
        <v>345970</v>
      </c>
      <c r="R54" s="282">
        <f t="shared" si="9"/>
        <v>-52.909461291041225</v>
      </c>
      <c r="S54" s="198">
        <f t="shared" si="16"/>
        <v>0.99984709260617044</v>
      </c>
      <c r="T54" s="207"/>
      <c r="U54" s="43">
        <f>IF(D54=0,0,SUM($L$21:L54))</f>
        <v>5053715.2171535986</v>
      </c>
      <c r="V54" s="43">
        <f>IF(D54=0,0,SUM($J$21:J54))</f>
        <v>5959220</v>
      </c>
      <c r="W54" s="284">
        <f t="shared" si="10"/>
        <v>905504.78284640145</v>
      </c>
      <c r="X54" s="200">
        <f t="shared" si="17"/>
        <v>1.1791760603709698</v>
      </c>
      <c r="Y54" s="201">
        <f t="shared" si="21"/>
        <v>45691</v>
      </c>
      <c r="Z54" s="202">
        <f t="shared" si="21"/>
        <v>45691</v>
      </c>
      <c r="AA54" s="246">
        <v>5</v>
      </c>
      <c r="AB54" s="243" t="s">
        <v>221</v>
      </c>
      <c r="AC54" s="251">
        <f>IFERROR(AVERAGEIFS(J141:J171,D141:D171,1,G141:G171,"sat"),0)</f>
        <v>101718.37923617726</v>
      </c>
      <c r="AD54" s="275">
        <f>COUNTIFS(D141:D171,1,G141:G171,"sat")</f>
        <v>4</v>
      </c>
      <c r="AE54" s="265">
        <f>($I$11*'2024(¥)'!AI53)/AD54</f>
        <v>101718.37923617726</v>
      </c>
      <c r="AF54" s="138">
        <f t="shared" si="23"/>
        <v>406873.51694470906</v>
      </c>
      <c r="AG54" s="273" t="s">
        <v>194</v>
      </c>
      <c r="AH54" s="203"/>
      <c r="AI54" s="18"/>
      <c r="AJ54" s="18"/>
      <c r="AK54" s="18"/>
      <c r="AL54" s="18"/>
      <c r="AM54" s="18"/>
      <c r="AN54" s="18"/>
    </row>
    <row r="55" spans="1:40" ht="20">
      <c r="A55" s="18"/>
      <c r="B55" s="151"/>
      <c r="C55" s="55">
        <v>35</v>
      </c>
      <c r="D55" s="54">
        <v>1</v>
      </c>
      <c r="E55" s="190">
        <f t="shared" si="12"/>
        <v>2</v>
      </c>
      <c r="F55" s="191">
        <f t="shared" si="13"/>
        <v>45692</v>
      </c>
      <c r="G55" s="192" t="str">
        <f t="shared" si="14"/>
        <v>Tue</v>
      </c>
      <c r="H55" s="193"/>
      <c r="I55" s="194"/>
      <c r="J55" s="214">
        <v>250480</v>
      </c>
      <c r="K55" s="215"/>
      <c r="L55" s="43">
        <f t="shared" si="15"/>
        <v>268861.47362373065</v>
      </c>
      <c r="M55" s="280">
        <f t="shared" si="7"/>
        <v>-18381.47362373065</v>
      </c>
      <c r="N55" s="41">
        <f t="shared" si="8"/>
        <v>0.93163217706135404</v>
      </c>
      <c r="O55" s="56"/>
      <c r="P55" s="43">
        <f>IF(D55=0,0,SUM($L$52:L55))</f>
        <v>614884.38308502175</v>
      </c>
      <c r="Q55" s="43">
        <f>IF(D55=0,0,SUM($J$52:J55))</f>
        <v>596450</v>
      </c>
      <c r="R55" s="282">
        <f t="shared" si="9"/>
        <v>-18434.383085021749</v>
      </c>
      <c r="S55" s="198">
        <f t="shared" si="16"/>
        <v>0.97001975722243583</v>
      </c>
      <c r="T55" s="207"/>
      <c r="U55" s="43">
        <f>IF(D55=0,0,SUM($L$21:L55))</f>
        <v>5322576.6907773288</v>
      </c>
      <c r="V55" s="43">
        <f>IF(D55=0,0,SUM($J$21:J55))</f>
        <v>6209700</v>
      </c>
      <c r="W55" s="284">
        <f t="shared" si="10"/>
        <v>887123.3092226712</v>
      </c>
      <c r="X55" s="200">
        <f t="shared" si="17"/>
        <v>1.1666717758637146</v>
      </c>
      <c r="Y55" s="201">
        <f t="shared" ref="Y55:Z70" si="24">Y54+1</f>
        <v>45692</v>
      </c>
      <c r="Z55" s="202">
        <f t="shared" si="24"/>
        <v>45692</v>
      </c>
      <c r="AA55" s="246">
        <v>5</v>
      </c>
      <c r="AB55" s="243" t="s">
        <v>222</v>
      </c>
      <c r="AC55" s="251">
        <f>IFERROR(AVERAGEIFS(J141:J171,D141:D171,1,G141:G171,"sun"),0)</f>
        <v>0</v>
      </c>
      <c r="AD55" s="275">
        <f>IFERROR(COUNTIFS(D141:D171,1,G141:G171,"sun"),0)</f>
        <v>0</v>
      </c>
      <c r="AE55" s="265">
        <f>IFERROR(($I$11*'2024(¥)'!AI54)/AD55,0)</f>
        <v>0</v>
      </c>
      <c r="AF55" s="271">
        <f>SUM(AF49:AF54)</f>
        <v>6041958.0419580434</v>
      </c>
      <c r="AG55" s="272">
        <f>I11</f>
        <v>6041958.0419580424</v>
      </c>
      <c r="AH55" s="270"/>
      <c r="AI55" s="18"/>
      <c r="AJ55" s="18"/>
      <c r="AK55" s="18"/>
      <c r="AL55" s="18"/>
      <c r="AM55" s="18"/>
      <c r="AN55" s="18"/>
    </row>
    <row r="56" spans="1:40" ht="20">
      <c r="A56" s="18"/>
      <c r="B56" s="151"/>
      <c r="C56" s="55">
        <v>36</v>
      </c>
      <c r="D56" s="54">
        <v>1</v>
      </c>
      <c r="E56" s="190">
        <f t="shared" si="12"/>
        <v>2</v>
      </c>
      <c r="F56" s="191">
        <f t="shared" si="13"/>
        <v>45693</v>
      </c>
      <c r="G56" s="192" t="str">
        <f t="shared" si="14"/>
        <v>Wed</v>
      </c>
      <c r="H56" s="193"/>
      <c r="I56" s="194"/>
      <c r="J56" s="214">
        <v>273590</v>
      </c>
      <c r="K56" s="215"/>
      <c r="L56" s="43">
        <f t="shared" si="15"/>
        <v>208679.17726727403</v>
      </c>
      <c r="M56" s="280">
        <f t="shared" si="7"/>
        <v>64910.822732725966</v>
      </c>
      <c r="N56" s="41">
        <f t="shared" si="8"/>
        <v>1.3110555810251681</v>
      </c>
      <c r="O56" s="56"/>
      <c r="P56" s="43">
        <f>IF(D56=0,0,SUM($L$52:L56))</f>
        <v>823563.56035229575</v>
      </c>
      <c r="Q56" s="43">
        <f>IF(D56=0,0,SUM($J$52:J56))</f>
        <v>870040</v>
      </c>
      <c r="R56" s="282">
        <f t="shared" si="9"/>
        <v>46476.439647704246</v>
      </c>
      <c r="S56" s="198">
        <f t="shared" si="16"/>
        <v>1.0564333366423146</v>
      </c>
      <c r="T56" s="207"/>
      <c r="U56" s="43">
        <f>IF(D56=0,0,SUM($L$21:L56))</f>
        <v>5531255.8680446027</v>
      </c>
      <c r="V56" s="43">
        <f>IF(D56=0,0,SUM($J$21:J56))</f>
        <v>6483290</v>
      </c>
      <c r="W56" s="284">
        <f t="shared" si="10"/>
        <v>952034.13195539732</v>
      </c>
      <c r="X56" s="200">
        <f t="shared" si="17"/>
        <v>1.1721189825000735</v>
      </c>
      <c r="Y56" s="201">
        <f t="shared" si="24"/>
        <v>45693</v>
      </c>
      <c r="Z56" s="202">
        <f t="shared" si="24"/>
        <v>45693</v>
      </c>
      <c r="AA56" s="246">
        <v>6</v>
      </c>
      <c r="AB56" s="136" t="s">
        <v>216</v>
      </c>
      <c r="AC56" s="251">
        <f>IFERROR(AVERAGEIFS(J172:J201,D172:D201,1,G172:G201,"mon"),0)</f>
        <v>302802</v>
      </c>
      <c r="AD56" s="275">
        <f>COUNTIFS(D172:D201,1,G172:G201,"Mon")</f>
        <v>5</v>
      </c>
      <c r="AE56" s="265">
        <f>($I$12*'2024(¥)'!AI55)/AD56</f>
        <v>139269.56429516539</v>
      </c>
      <c r="AF56" s="138">
        <f t="shared" ref="AF56:AF61" si="25">AD56*AE56</f>
        <v>696347.8214758269</v>
      </c>
      <c r="AG56" s="203" t="s">
        <v>133</v>
      </c>
      <c r="AH56" s="203"/>
      <c r="AI56" s="18"/>
      <c r="AJ56" s="18"/>
      <c r="AK56" s="18"/>
      <c r="AL56" s="18"/>
      <c r="AM56" s="18"/>
      <c r="AN56" s="18"/>
    </row>
    <row r="57" spans="1:40" ht="20">
      <c r="A57" s="18"/>
      <c r="B57" s="151"/>
      <c r="C57" s="55">
        <v>37</v>
      </c>
      <c r="D57" s="54">
        <v>1</v>
      </c>
      <c r="E57" s="190">
        <f t="shared" si="12"/>
        <v>2</v>
      </c>
      <c r="F57" s="191">
        <f t="shared" si="13"/>
        <v>45694</v>
      </c>
      <c r="G57" s="192" t="str">
        <f t="shared" si="14"/>
        <v>Thu</v>
      </c>
      <c r="H57" s="193"/>
      <c r="I57" s="194"/>
      <c r="J57" s="214">
        <v>302940</v>
      </c>
      <c r="K57" s="215"/>
      <c r="L57" s="43">
        <f t="shared" si="15"/>
        <v>274588.63901965728</v>
      </c>
      <c r="M57" s="280">
        <f t="shared" si="7"/>
        <v>28351.360980342724</v>
      </c>
      <c r="N57" s="41">
        <f t="shared" si="8"/>
        <v>1.1032503059178391</v>
      </c>
      <c r="O57" s="56"/>
      <c r="P57" s="43">
        <f>IF(D57=0,0,SUM($L$52:L57))</f>
        <v>1098152.199371953</v>
      </c>
      <c r="Q57" s="43">
        <f>IF(D57=0,0,SUM($J$52:J57))</f>
        <v>1172980</v>
      </c>
      <c r="R57" s="282">
        <f t="shared" si="9"/>
        <v>74827.800628046971</v>
      </c>
      <c r="S57" s="198">
        <f t="shared" si="16"/>
        <v>1.0681397357040689</v>
      </c>
      <c r="T57" s="207"/>
      <c r="U57" s="43">
        <f>IF(D57=0,0,SUM($L$21:L57))</f>
        <v>5805844.5070642596</v>
      </c>
      <c r="V57" s="43">
        <f>IF(D57=0,0,SUM($J$21:J57))</f>
        <v>6786230</v>
      </c>
      <c r="W57" s="284">
        <f t="shared" si="10"/>
        <v>980385.49293574039</v>
      </c>
      <c r="X57" s="200">
        <f t="shared" si="17"/>
        <v>1.1688618239332549</v>
      </c>
      <c r="Y57" s="201">
        <f t="shared" si="24"/>
        <v>45694</v>
      </c>
      <c r="Z57" s="202">
        <f t="shared" si="24"/>
        <v>45694</v>
      </c>
      <c r="AA57" s="246">
        <v>6</v>
      </c>
      <c r="AB57" s="243" t="s">
        <v>217</v>
      </c>
      <c r="AC57" s="251">
        <f>IFERROR(AVERAGEIFS(J172:J201,D172:D201,1,G172:G201,"tue"),0)</f>
        <v>239892.5</v>
      </c>
      <c r="AD57" s="275">
        <f>COUNTIFS(D172:D201,1,G172:G201,"tue")</f>
        <v>4</v>
      </c>
      <c r="AE57" s="265">
        <f>($I$12*'2024(¥)'!AI56)/AD57</f>
        <v>185367.22504469351</v>
      </c>
      <c r="AF57" s="138">
        <f t="shared" si="25"/>
        <v>741468.90017877403</v>
      </c>
      <c r="AG57" s="203"/>
      <c r="AH57" s="203"/>
      <c r="AI57" s="18"/>
      <c r="AJ57" s="18"/>
      <c r="AK57" s="18"/>
      <c r="AL57" s="18"/>
      <c r="AM57" s="18"/>
      <c r="AN57" s="18"/>
    </row>
    <row r="58" spans="1:40" ht="20">
      <c r="A58" s="18"/>
      <c r="B58" s="151"/>
      <c r="C58" s="55">
        <v>38</v>
      </c>
      <c r="D58" s="54">
        <v>1</v>
      </c>
      <c r="E58" s="190">
        <f t="shared" si="12"/>
        <v>2</v>
      </c>
      <c r="F58" s="191">
        <f t="shared" si="13"/>
        <v>45695</v>
      </c>
      <c r="G58" s="192" t="str">
        <f t="shared" si="14"/>
        <v>Fri</v>
      </c>
      <c r="H58" s="193"/>
      <c r="I58" s="194"/>
      <c r="J58" s="214">
        <v>312510</v>
      </c>
      <c r="K58" s="215"/>
      <c r="L58" s="43">
        <f t="shared" si="15"/>
        <v>200399.02318828233</v>
      </c>
      <c r="M58" s="280">
        <f t="shared" si="7"/>
        <v>112110.97681171767</v>
      </c>
      <c r="N58" s="41">
        <f t="shared" si="8"/>
        <v>1.5594387389123412</v>
      </c>
      <c r="O58" s="56"/>
      <c r="P58" s="43">
        <f>IF(D58=0,0,SUM($L$52:L58))</f>
        <v>1298551.2225602353</v>
      </c>
      <c r="Q58" s="43">
        <f>IF(D58=0,0,SUM($J$52:J58))</f>
        <v>1485490</v>
      </c>
      <c r="R58" s="282">
        <f t="shared" si="9"/>
        <v>186938.7774397647</v>
      </c>
      <c r="S58" s="198">
        <f t="shared" si="16"/>
        <v>1.1439594943903673</v>
      </c>
      <c r="T58" s="207"/>
      <c r="U58" s="43">
        <f>IF(D58=0,0,SUM($L$21:L58))</f>
        <v>6006243.5302525423</v>
      </c>
      <c r="V58" s="43">
        <f>IF(D58=0,0,SUM($J$21:J58))</f>
        <v>7098740</v>
      </c>
      <c r="W58" s="284">
        <f t="shared" si="10"/>
        <v>1092496.4697474577</v>
      </c>
      <c r="X58" s="200">
        <f t="shared" si="17"/>
        <v>1.181893468728785</v>
      </c>
      <c r="Y58" s="201">
        <f t="shared" si="24"/>
        <v>45695</v>
      </c>
      <c r="Z58" s="202">
        <f t="shared" si="24"/>
        <v>45695</v>
      </c>
      <c r="AA58" s="246">
        <v>6</v>
      </c>
      <c r="AB58" s="243" t="s">
        <v>218</v>
      </c>
      <c r="AC58" s="251">
        <f>IFERROR(AVERAGEIFS(J172:J201,D172:D201,1,G172:G201,"wed"),0)</f>
        <v>271577.5</v>
      </c>
      <c r="AD58" s="275">
        <f>COUNTIFS(D172:D201,1,G172:G201,"wed")</f>
        <v>4</v>
      </c>
      <c r="AE58" s="265">
        <f>($I$12*'2024(¥)'!AI57)/AD58</f>
        <v>279263.07606018841</v>
      </c>
      <c r="AF58" s="138">
        <f t="shared" si="25"/>
        <v>1117052.3042407536</v>
      </c>
      <c r="AG58" s="203"/>
      <c r="AH58" s="203"/>
      <c r="AI58" s="18"/>
      <c r="AJ58" s="18"/>
      <c r="AK58" s="18"/>
      <c r="AL58" s="18"/>
      <c r="AM58" s="18"/>
      <c r="AN58" s="18"/>
    </row>
    <row r="59" spans="1:40" ht="20">
      <c r="A59" s="18"/>
      <c r="B59" s="151"/>
      <c r="C59" s="55">
        <v>39</v>
      </c>
      <c r="D59" s="54">
        <v>1</v>
      </c>
      <c r="E59" s="190">
        <f t="shared" si="12"/>
        <v>2</v>
      </c>
      <c r="F59" s="191">
        <f t="shared" si="13"/>
        <v>45696</v>
      </c>
      <c r="G59" s="192" t="str">
        <f t="shared" si="14"/>
        <v>Sat</v>
      </c>
      <c r="H59" s="193"/>
      <c r="I59" s="194"/>
      <c r="J59" s="214">
        <v>46100</v>
      </c>
      <c r="K59" s="215"/>
      <c r="L59" s="43">
        <f t="shared" si="15"/>
        <v>128371.8005363883</v>
      </c>
      <c r="M59" s="280">
        <f t="shared" si="7"/>
        <v>-82271.800536388298</v>
      </c>
      <c r="N59" s="41">
        <f t="shared" si="8"/>
        <v>0.35911313705483539</v>
      </c>
      <c r="O59" s="56"/>
      <c r="P59" s="43">
        <f>IF(D59=0,0,SUM($L$52:L59))</f>
        <v>1426923.0230966236</v>
      </c>
      <c r="Q59" s="43">
        <f>IF(D59=0,0,SUM($J$52:J59))</f>
        <v>1531590</v>
      </c>
      <c r="R59" s="282">
        <f t="shared" si="9"/>
        <v>104666.9769033764</v>
      </c>
      <c r="S59" s="198">
        <f t="shared" si="16"/>
        <v>1.0733515229687964</v>
      </c>
      <c r="T59" s="207"/>
      <c r="U59" s="43">
        <f>IF(D59=0,0,SUM($L$21:L59))</f>
        <v>6134615.3307889309</v>
      </c>
      <c r="V59" s="43">
        <f>IF(D59=0,0,SUM($J$21:J59))</f>
        <v>7144840</v>
      </c>
      <c r="W59" s="284">
        <f t="shared" si="10"/>
        <v>1010224.6692110691</v>
      </c>
      <c r="X59" s="200">
        <f t="shared" si="17"/>
        <v>1.164676123071787</v>
      </c>
      <c r="Y59" s="201">
        <f t="shared" si="24"/>
        <v>45696</v>
      </c>
      <c r="Z59" s="202">
        <f t="shared" si="24"/>
        <v>45696</v>
      </c>
      <c r="AA59" s="246">
        <v>6</v>
      </c>
      <c r="AB59" s="243" t="s">
        <v>219</v>
      </c>
      <c r="AC59" s="251">
        <f>IFERROR(AVERAGEIFS(J172:J201,D172:D201,1,G172:G201,"thu"),0)</f>
        <v>225320</v>
      </c>
      <c r="AD59" s="275">
        <f>COUNTIFS(D172:D201,1,G172:G201,"thu")</f>
        <v>4</v>
      </c>
      <c r="AE59" s="265">
        <f>($I$12*'2024(¥)'!AI58)/AD59</f>
        <v>253060.16185255177</v>
      </c>
      <c r="AF59" s="138">
        <f t="shared" si="25"/>
        <v>1012240.6474102071</v>
      </c>
      <c r="AG59" s="203"/>
      <c r="AH59" s="203"/>
      <c r="AI59" s="18"/>
      <c r="AJ59" s="18"/>
      <c r="AK59" s="18"/>
      <c r="AL59" s="18"/>
      <c r="AM59" s="18"/>
      <c r="AN59" s="18"/>
    </row>
    <row r="60" spans="1:40" ht="20">
      <c r="A60" s="18"/>
      <c r="B60" s="151"/>
      <c r="C60" s="55">
        <v>40</v>
      </c>
      <c r="D60" s="54">
        <v>0</v>
      </c>
      <c r="E60" s="190">
        <f t="shared" si="12"/>
        <v>2</v>
      </c>
      <c r="F60" s="191">
        <f t="shared" si="13"/>
        <v>45697</v>
      </c>
      <c r="G60" s="192" t="str">
        <f t="shared" si="14"/>
        <v>Sun</v>
      </c>
      <c r="H60" s="193"/>
      <c r="I60" s="194"/>
      <c r="J60" s="214"/>
      <c r="K60" s="215"/>
      <c r="L60" s="43">
        <f t="shared" si="15"/>
        <v>0</v>
      </c>
      <c r="M60" s="280">
        <f t="shared" si="7"/>
        <v>0</v>
      </c>
      <c r="N60" s="41" t="str">
        <f t="shared" si="8"/>
        <v>¥0</v>
      </c>
      <c r="O60" s="44"/>
      <c r="P60" s="43">
        <f>IF(D60=0,0,SUM($L$52:L60))</f>
        <v>0</v>
      </c>
      <c r="Q60" s="43">
        <f>IF(D60=0,0,SUM($J$52:J60))</f>
        <v>0</v>
      </c>
      <c r="R60" s="282">
        <f t="shared" si="9"/>
        <v>0</v>
      </c>
      <c r="S60" s="198">
        <f t="shared" si="16"/>
        <v>0</v>
      </c>
      <c r="T60" s="212"/>
      <c r="U60" s="43">
        <f>IF(D60=0,0,SUM($L$21:L60))</f>
        <v>0</v>
      </c>
      <c r="V60" s="43">
        <f>IF(D60=0,0,SUM($J$21:J60))</f>
        <v>0</v>
      </c>
      <c r="W60" s="284">
        <f t="shared" si="10"/>
        <v>0</v>
      </c>
      <c r="X60" s="200">
        <f t="shared" si="17"/>
        <v>0</v>
      </c>
      <c r="Y60" s="201">
        <f t="shared" si="24"/>
        <v>45697</v>
      </c>
      <c r="Z60" s="202">
        <f t="shared" si="24"/>
        <v>45697</v>
      </c>
      <c r="AA60" s="246">
        <v>6</v>
      </c>
      <c r="AB60" s="243" t="s">
        <v>220</v>
      </c>
      <c r="AC60" s="251">
        <f>IFERROR(AVERAGEIFS(J172:J201,D172:D201,1,G172:G201,"fri"),0)</f>
        <v>338737.5</v>
      </c>
      <c r="AD60" s="275">
        <f>COUNTIFS(D172:D201,1,G172:G201,"fri")</f>
        <v>4</v>
      </c>
      <c r="AE60" s="265">
        <f>($I$12*'2024(¥)'!AI59)/AD60</f>
        <v>292247.95000360126</v>
      </c>
      <c r="AF60" s="138">
        <f t="shared" si="25"/>
        <v>1168991.800014405</v>
      </c>
      <c r="AG60" s="203"/>
      <c r="AH60" s="203"/>
      <c r="AI60" s="18"/>
      <c r="AJ60" s="18"/>
      <c r="AK60" s="18"/>
      <c r="AL60" s="18"/>
      <c r="AM60" s="18"/>
      <c r="AN60" s="18"/>
    </row>
    <row r="61" spans="1:40" ht="20">
      <c r="A61" s="18"/>
      <c r="B61" s="151"/>
      <c r="C61" s="55">
        <v>41</v>
      </c>
      <c r="D61" s="54">
        <v>1</v>
      </c>
      <c r="E61" s="190">
        <f t="shared" si="12"/>
        <v>2</v>
      </c>
      <c r="F61" s="191">
        <f t="shared" si="13"/>
        <v>45698</v>
      </c>
      <c r="G61" s="192" t="str">
        <f t="shared" si="14"/>
        <v>Mon</v>
      </c>
      <c r="H61" s="193"/>
      <c r="I61" s="194"/>
      <c r="J61" s="214">
        <v>278310</v>
      </c>
      <c r="K61" s="215"/>
      <c r="L61" s="43">
        <f t="shared" si="15"/>
        <v>217651.10892490271</v>
      </c>
      <c r="M61" s="280">
        <f t="shared" si="7"/>
        <v>60658.891075097286</v>
      </c>
      <c r="N61" s="41">
        <f t="shared" si="8"/>
        <v>1.2786978268786433</v>
      </c>
      <c r="O61" s="56"/>
      <c r="P61" s="43">
        <f>IF(D61=0,0,SUM($L$52:L61))</f>
        <v>1644574.1320215263</v>
      </c>
      <c r="Q61" s="43">
        <f>IF(D61=0,0,SUM($J$52:J61))</f>
        <v>1809900</v>
      </c>
      <c r="R61" s="282">
        <f t="shared" si="9"/>
        <v>165325.86797847366</v>
      </c>
      <c r="S61" s="198">
        <f t="shared" si="16"/>
        <v>1.1005280727450415</v>
      </c>
      <c r="T61" s="207"/>
      <c r="U61" s="43">
        <f>IF(D61=0,0,SUM($L$21:L61))</f>
        <v>6352266.4397138339</v>
      </c>
      <c r="V61" s="43">
        <f>IF(D61=0,0,SUM($J$21:J61))</f>
        <v>7423150</v>
      </c>
      <c r="W61" s="284">
        <f t="shared" si="10"/>
        <v>1070883.5602861661</v>
      </c>
      <c r="X61" s="200">
        <f t="shared" si="17"/>
        <v>1.1685829098085516</v>
      </c>
      <c r="Y61" s="201">
        <f t="shared" si="24"/>
        <v>45698</v>
      </c>
      <c r="Z61" s="202">
        <f t="shared" si="24"/>
        <v>45698</v>
      </c>
      <c r="AA61" s="246">
        <v>6</v>
      </c>
      <c r="AB61" s="243" t="s">
        <v>221</v>
      </c>
      <c r="AC61" s="251">
        <f>IFERROR(AVERAGEIFS(J172:J201,D172:D201,1,G172:G201,"sat"),0)</f>
        <v>71740</v>
      </c>
      <c r="AD61" s="275">
        <f>COUNTIFS(D172:D201,1,G172:G201,"sat")</f>
        <v>4</v>
      </c>
      <c r="AE61" s="265">
        <f>($I$12*'2024(¥)'!AI60)/AD61</f>
        <v>153387.21908259563</v>
      </c>
      <c r="AF61" s="138">
        <f t="shared" si="25"/>
        <v>613548.87633038254</v>
      </c>
      <c r="AG61" s="273" t="s">
        <v>195</v>
      </c>
      <c r="AH61" s="203"/>
      <c r="AI61" s="18"/>
      <c r="AJ61" s="18"/>
      <c r="AK61" s="18"/>
      <c r="AL61" s="18"/>
      <c r="AM61" s="18"/>
      <c r="AN61" s="18"/>
    </row>
    <row r="62" spans="1:40" ht="20">
      <c r="A62" s="18"/>
      <c r="B62" s="151"/>
      <c r="C62" s="55">
        <v>42</v>
      </c>
      <c r="D62" s="54">
        <v>0</v>
      </c>
      <c r="E62" s="190">
        <f t="shared" si="12"/>
        <v>2</v>
      </c>
      <c r="F62" s="191">
        <f t="shared" si="13"/>
        <v>45699</v>
      </c>
      <c r="G62" s="192" t="str">
        <f t="shared" si="14"/>
        <v>Tue</v>
      </c>
      <c r="H62" s="193" t="s">
        <v>168</v>
      </c>
      <c r="I62" s="194"/>
      <c r="J62" s="214"/>
      <c r="K62" s="215"/>
      <c r="L62" s="43">
        <f t="shared" si="15"/>
        <v>0</v>
      </c>
      <c r="M62" s="280">
        <f t="shared" si="7"/>
        <v>0</v>
      </c>
      <c r="N62" s="41" t="str">
        <f t="shared" si="8"/>
        <v>¥0</v>
      </c>
      <c r="O62" s="44"/>
      <c r="P62" s="43">
        <f>IF(D62=0,0,SUM($L$52:L62))</f>
        <v>0</v>
      </c>
      <c r="Q62" s="43">
        <f>IF(D62=0,0,SUM($J$52:J62))</f>
        <v>0</v>
      </c>
      <c r="R62" s="282">
        <f t="shared" si="9"/>
        <v>0</v>
      </c>
      <c r="S62" s="198">
        <f t="shared" si="16"/>
        <v>0</v>
      </c>
      <c r="T62" s="212"/>
      <c r="U62" s="43">
        <f>IF(D62=0,0,SUM($L$21:L62))</f>
        <v>0</v>
      </c>
      <c r="V62" s="43">
        <f>IF(D62=0,0,SUM($J$21:J62))</f>
        <v>0</v>
      </c>
      <c r="W62" s="284">
        <f t="shared" si="10"/>
        <v>0</v>
      </c>
      <c r="X62" s="200">
        <f t="shared" si="17"/>
        <v>0</v>
      </c>
      <c r="Y62" s="201">
        <f t="shared" si="24"/>
        <v>45699</v>
      </c>
      <c r="Z62" s="202">
        <f t="shared" si="24"/>
        <v>45699</v>
      </c>
      <c r="AA62" s="246">
        <v>6</v>
      </c>
      <c r="AB62" s="243" t="s">
        <v>222</v>
      </c>
      <c r="AC62" s="251">
        <f>IFERROR(AVERAGEIFS(J172:J201,D172:D201,1,G172:G201,"sun"),0)</f>
        <v>0</v>
      </c>
      <c r="AD62" s="275">
        <f>IFERROR(COUNTIFS(D172:D201,1,G172:G201,"sun"),0)</f>
        <v>0</v>
      </c>
      <c r="AE62" s="265">
        <f>IFERROR(($I$12*'2024(¥)'!AI61)/AD62,0)</f>
        <v>0</v>
      </c>
      <c r="AF62" s="271">
        <f>SUM(AF56:AF61)</f>
        <v>5349650.3496503485</v>
      </c>
      <c r="AG62" s="272">
        <f>I12</f>
        <v>5349650.3496503495</v>
      </c>
      <c r="AH62" s="270"/>
      <c r="AI62" s="18"/>
      <c r="AJ62" s="18"/>
      <c r="AK62" s="18"/>
      <c r="AL62" s="18"/>
      <c r="AM62" s="18"/>
      <c r="AN62" s="18"/>
    </row>
    <row r="63" spans="1:40" ht="20">
      <c r="A63" s="18"/>
      <c r="B63" s="151"/>
      <c r="C63" s="55">
        <v>43</v>
      </c>
      <c r="D63" s="54">
        <v>1</v>
      </c>
      <c r="E63" s="190">
        <f t="shared" si="12"/>
        <v>2</v>
      </c>
      <c r="F63" s="191">
        <f t="shared" si="13"/>
        <v>45700</v>
      </c>
      <c r="G63" s="192" t="str">
        <f t="shared" si="14"/>
        <v>Wed</v>
      </c>
      <c r="H63" s="193"/>
      <c r="I63" s="194"/>
      <c r="J63" s="214">
        <v>227850</v>
      </c>
      <c r="K63" s="215"/>
      <c r="L63" s="43">
        <f t="shared" si="15"/>
        <v>208679.17726727403</v>
      </c>
      <c r="M63" s="280">
        <f t="shared" si="7"/>
        <v>19170.822732725966</v>
      </c>
      <c r="N63" s="41">
        <f t="shared" si="8"/>
        <v>1.0918674444847565</v>
      </c>
      <c r="O63" s="56"/>
      <c r="P63" s="43">
        <f>IF(D63=0,0,SUM($L$52:L63))</f>
        <v>1853253.3092888005</v>
      </c>
      <c r="Q63" s="43">
        <f>IF(D63=0,0,SUM($J$52:J63))</f>
        <v>2037750</v>
      </c>
      <c r="R63" s="282">
        <f t="shared" si="9"/>
        <v>184496.69071119954</v>
      </c>
      <c r="S63" s="198">
        <f t="shared" si="16"/>
        <v>1.099552872662616</v>
      </c>
      <c r="T63" s="207"/>
      <c r="U63" s="43">
        <f>IF(D63=0,0,SUM($L$21:L63))</f>
        <v>6560945.6169811077</v>
      </c>
      <c r="V63" s="43">
        <f>IF(D63=0,0,SUM($J$21:J63))</f>
        <v>7651000</v>
      </c>
      <c r="W63" s="284">
        <f t="shared" si="10"/>
        <v>1090054.3830188923</v>
      </c>
      <c r="X63" s="200">
        <f t="shared" si="17"/>
        <v>1.1661428773617026</v>
      </c>
      <c r="Y63" s="201">
        <f t="shared" si="24"/>
        <v>45700</v>
      </c>
      <c r="Z63" s="202">
        <f t="shared" si="24"/>
        <v>45700</v>
      </c>
      <c r="AA63" s="246">
        <v>7</v>
      </c>
      <c r="AB63" s="136" t="s">
        <v>216</v>
      </c>
      <c r="AC63" s="251">
        <f>IFERROR(AVERAGEIFS(J202:J232,D202:D232,1,G202:G232,"mon"),0)</f>
        <v>238813.33333333334</v>
      </c>
      <c r="AD63" s="275">
        <f>COUNTIFS(D202:D232,1,G202:G232,"Mon")</f>
        <v>3</v>
      </c>
      <c r="AE63" s="265">
        <f>($I$13*'2024(¥)'!AI62)/AD63</f>
        <v>330515.0037909075</v>
      </c>
      <c r="AF63" s="138">
        <f t="shared" ref="AF63:AF68" si="26">AD63*AE63</f>
        <v>991545.01137272245</v>
      </c>
      <c r="AG63" s="203" t="s">
        <v>134</v>
      </c>
      <c r="AH63" s="203"/>
      <c r="AI63" s="18"/>
      <c r="AJ63" s="18"/>
      <c r="AK63" s="18"/>
      <c r="AL63" s="18"/>
      <c r="AM63" s="18"/>
      <c r="AN63" s="18"/>
    </row>
    <row r="64" spans="1:40" ht="20">
      <c r="A64" s="18"/>
      <c r="B64" s="151"/>
      <c r="C64" s="55">
        <v>44</v>
      </c>
      <c r="D64" s="54">
        <v>1</v>
      </c>
      <c r="E64" s="190">
        <f t="shared" si="12"/>
        <v>2</v>
      </c>
      <c r="F64" s="191">
        <f t="shared" si="13"/>
        <v>45701</v>
      </c>
      <c r="G64" s="192" t="str">
        <f t="shared" si="14"/>
        <v>Thu</v>
      </c>
      <c r="H64" s="193"/>
      <c r="I64" s="194"/>
      <c r="J64" s="214">
        <v>315020</v>
      </c>
      <c r="K64" s="215"/>
      <c r="L64" s="43">
        <f t="shared" si="15"/>
        <v>274588.63901965728</v>
      </c>
      <c r="M64" s="280">
        <f t="shared" si="7"/>
        <v>40431.360980342724</v>
      </c>
      <c r="N64" s="41">
        <f t="shared" si="8"/>
        <v>1.1472433860508275</v>
      </c>
      <c r="O64" s="56"/>
      <c r="P64" s="43">
        <f>IF(D64=0,0,SUM($L$52:L64))</f>
        <v>2127841.9483084576</v>
      </c>
      <c r="Q64" s="43">
        <f>IF(D64=0,0,SUM($J$52:J64))</f>
        <v>2352770</v>
      </c>
      <c r="R64" s="282">
        <f t="shared" si="9"/>
        <v>224928.05169154238</v>
      </c>
      <c r="S64" s="198">
        <f t="shared" si="16"/>
        <v>1.1057071235344103</v>
      </c>
      <c r="T64" s="207"/>
      <c r="U64" s="43">
        <f>IF(D64=0,0,SUM($L$21:L64))</f>
        <v>6835534.2560007647</v>
      </c>
      <c r="V64" s="43">
        <f>IF(D64=0,0,SUM($J$21:J64))</f>
        <v>7966020</v>
      </c>
      <c r="W64" s="284">
        <f t="shared" si="10"/>
        <v>1130485.7439992353</v>
      </c>
      <c r="X64" s="200">
        <f t="shared" si="17"/>
        <v>1.1653836703410281</v>
      </c>
      <c r="Y64" s="201">
        <f t="shared" si="24"/>
        <v>45701</v>
      </c>
      <c r="Z64" s="202">
        <f t="shared" si="24"/>
        <v>45701</v>
      </c>
      <c r="AA64" s="246">
        <v>7</v>
      </c>
      <c r="AB64" s="243" t="s">
        <v>217</v>
      </c>
      <c r="AC64" s="251">
        <f>IFERROR(AVERAGEIFS(J202:J232,D202:D232,1,G202:G232,"tue"),0)</f>
        <v>262892</v>
      </c>
      <c r="AD64" s="275">
        <f>COUNTIFS(D202:D232,1,G202:G232,"tue")</f>
        <v>5</v>
      </c>
      <c r="AE64" s="265">
        <f>($I$13*'2024(¥)'!AI63)/AD64</f>
        <v>186812.13009555428</v>
      </c>
      <c r="AF64" s="138">
        <f t="shared" si="26"/>
        <v>934060.65047777141</v>
      </c>
      <c r="AG64" s="203"/>
      <c r="AH64" s="203"/>
      <c r="AI64" s="18"/>
      <c r="AJ64" s="18"/>
      <c r="AK64" s="18"/>
      <c r="AL64" s="18"/>
      <c r="AM64" s="18"/>
      <c r="AN64" s="18"/>
    </row>
    <row r="65" spans="1:40" ht="20">
      <c r="A65" s="18"/>
      <c r="B65" s="151"/>
      <c r="C65" s="55">
        <v>45</v>
      </c>
      <c r="D65" s="54">
        <v>1</v>
      </c>
      <c r="E65" s="190">
        <f t="shared" si="12"/>
        <v>2</v>
      </c>
      <c r="F65" s="191">
        <f t="shared" si="13"/>
        <v>45702</v>
      </c>
      <c r="G65" s="192" t="str">
        <f t="shared" si="14"/>
        <v>Fri</v>
      </c>
      <c r="H65" s="193"/>
      <c r="I65" s="194"/>
      <c r="J65" s="214">
        <v>346520</v>
      </c>
      <c r="K65" s="215"/>
      <c r="L65" s="43">
        <f t="shared" si="15"/>
        <v>200399.02318828233</v>
      </c>
      <c r="M65" s="280">
        <f t="shared" si="7"/>
        <v>146120.97681171767</v>
      </c>
      <c r="N65" s="41">
        <f t="shared" si="8"/>
        <v>1.7291501449806548</v>
      </c>
      <c r="O65" s="56"/>
      <c r="P65" s="43">
        <f>IF(D65=0,0,SUM($L$52:L65))</f>
        <v>2328240.9714967399</v>
      </c>
      <c r="Q65" s="43">
        <f>IF(D65=0,0,SUM($J$52:J65))</f>
        <v>2699290</v>
      </c>
      <c r="R65" s="282">
        <f t="shared" si="9"/>
        <v>371049.02850326011</v>
      </c>
      <c r="S65" s="198">
        <f t="shared" si="16"/>
        <v>1.1593688252400809</v>
      </c>
      <c r="T65" s="207"/>
      <c r="U65" s="43">
        <f>IF(D65=0,0,SUM($L$21:L65))</f>
        <v>7035933.2791890474</v>
      </c>
      <c r="V65" s="43">
        <f>IF(D65=0,0,SUM($J$21:J65))</f>
        <v>8312540</v>
      </c>
      <c r="W65" s="284">
        <f t="shared" si="10"/>
        <v>1276606.7208109526</v>
      </c>
      <c r="X65" s="200">
        <f t="shared" si="17"/>
        <v>1.1814409929933407</v>
      </c>
      <c r="Y65" s="201">
        <f t="shared" si="24"/>
        <v>45702</v>
      </c>
      <c r="Z65" s="202">
        <f t="shared" si="24"/>
        <v>45702</v>
      </c>
      <c r="AA65" s="246">
        <v>7</v>
      </c>
      <c r="AB65" s="243" t="s">
        <v>218</v>
      </c>
      <c r="AC65" s="251">
        <f>IFERROR(AVERAGEIFS(J202:J232,D202:D232,1,G202:G232,"wed"),0)</f>
        <v>275902</v>
      </c>
      <c r="AD65" s="275">
        <f>COUNTIFS(D202:D232,1,G202:G232,"wed")</f>
        <v>5</v>
      </c>
      <c r="AE65" s="265">
        <f>($I$13*'2024(¥)'!AI64)/AD65</f>
        <v>270734.47987696819</v>
      </c>
      <c r="AF65" s="138">
        <f t="shared" si="26"/>
        <v>1353672.3993848409</v>
      </c>
      <c r="AG65" s="203"/>
      <c r="AH65" s="203"/>
      <c r="AI65" s="18"/>
      <c r="AJ65" s="18"/>
      <c r="AK65" s="18"/>
      <c r="AL65" s="18"/>
      <c r="AM65" s="18"/>
      <c r="AN65" s="18"/>
    </row>
    <row r="66" spans="1:40" ht="20">
      <c r="A66" s="18"/>
      <c r="B66" s="151"/>
      <c r="C66" s="55">
        <v>46</v>
      </c>
      <c r="D66" s="54">
        <v>1</v>
      </c>
      <c r="E66" s="190">
        <f t="shared" si="12"/>
        <v>2</v>
      </c>
      <c r="F66" s="191">
        <f t="shared" si="13"/>
        <v>45703</v>
      </c>
      <c r="G66" s="192" t="str">
        <f t="shared" si="14"/>
        <v>Sat</v>
      </c>
      <c r="H66" s="193"/>
      <c r="I66" s="194"/>
      <c r="J66" s="214">
        <v>91050</v>
      </c>
      <c r="K66" s="215"/>
      <c r="L66" s="43">
        <f t="shared" si="15"/>
        <v>128371.8005363883</v>
      </c>
      <c r="M66" s="280">
        <f t="shared" si="7"/>
        <v>-37321.800536388298</v>
      </c>
      <c r="N66" s="41">
        <f t="shared" si="8"/>
        <v>0.70926792036535269</v>
      </c>
      <c r="O66" s="56"/>
      <c r="P66" s="43">
        <f>IF(D66=0,0,SUM($L$52:L66))</f>
        <v>2456612.772033128</v>
      </c>
      <c r="Q66" s="43">
        <f>IF(D66=0,0,SUM($J$52:J66))</f>
        <v>2790340</v>
      </c>
      <c r="R66" s="282">
        <f t="shared" si="9"/>
        <v>333727.22796687204</v>
      </c>
      <c r="S66" s="198">
        <f t="shared" si="16"/>
        <v>1.1358485276011467</v>
      </c>
      <c r="T66" s="207"/>
      <c r="U66" s="43">
        <f>IF(D66=0,0,SUM($L$21:L66))</f>
        <v>7164305.0797254359</v>
      </c>
      <c r="V66" s="43">
        <f>IF(D66=0,0,SUM($J$21:J66))</f>
        <v>8403590</v>
      </c>
      <c r="W66" s="284">
        <f t="shared" si="10"/>
        <v>1239284.9202745641</v>
      </c>
      <c r="X66" s="200">
        <f t="shared" si="17"/>
        <v>1.1729804784251396</v>
      </c>
      <c r="Y66" s="201">
        <f t="shared" si="24"/>
        <v>45703</v>
      </c>
      <c r="Z66" s="202">
        <f t="shared" si="24"/>
        <v>45703</v>
      </c>
      <c r="AA66" s="246">
        <v>7</v>
      </c>
      <c r="AB66" s="243" t="s">
        <v>219</v>
      </c>
      <c r="AC66" s="251">
        <f>IFERROR(AVERAGEIFS(J202:J232,D202:D232,1,G202:G232,"thu"),0)</f>
        <v>310326</v>
      </c>
      <c r="AD66" s="275">
        <f>COUNTIFS(D202:D232,1,G202:G232,"thu")</f>
        <v>5</v>
      </c>
      <c r="AE66" s="265">
        <f>($I$13*'2024(¥)'!AI65)/AD66</f>
        <v>242688.77545011236</v>
      </c>
      <c r="AF66" s="138">
        <f t="shared" si="26"/>
        <v>1213443.8772505617</v>
      </c>
      <c r="AG66" s="203"/>
      <c r="AH66" s="203"/>
      <c r="AI66" s="18"/>
      <c r="AJ66" s="18"/>
      <c r="AK66" s="18"/>
      <c r="AL66" s="18"/>
      <c r="AM66" s="18"/>
      <c r="AN66" s="18"/>
    </row>
    <row r="67" spans="1:40" ht="20">
      <c r="A67" s="18"/>
      <c r="B67" s="151"/>
      <c r="C67" s="55">
        <v>47</v>
      </c>
      <c r="D67" s="54">
        <v>0</v>
      </c>
      <c r="E67" s="190">
        <f t="shared" si="12"/>
        <v>2</v>
      </c>
      <c r="F67" s="191">
        <f t="shared" si="13"/>
        <v>45704</v>
      </c>
      <c r="G67" s="192" t="str">
        <f t="shared" si="14"/>
        <v>Sun</v>
      </c>
      <c r="H67" s="193"/>
      <c r="I67" s="194"/>
      <c r="J67" s="214"/>
      <c r="K67" s="215"/>
      <c r="L67" s="43">
        <f t="shared" si="15"/>
        <v>0</v>
      </c>
      <c r="M67" s="280">
        <f t="shared" si="7"/>
        <v>0</v>
      </c>
      <c r="N67" s="41" t="str">
        <f t="shared" si="8"/>
        <v>¥0</v>
      </c>
      <c r="O67" s="44"/>
      <c r="P67" s="43">
        <f>IF(D67=0,0,SUM($L$52:L67))</f>
        <v>0</v>
      </c>
      <c r="Q67" s="43">
        <f>IF(D67=0,0,SUM($J$52:J67))</f>
        <v>0</v>
      </c>
      <c r="R67" s="282">
        <f t="shared" si="9"/>
        <v>0</v>
      </c>
      <c r="S67" s="198">
        <f t="shared" si="16"/>
        <v>0</v>
      </c>
      <c r="T67" s="212"/>
      <c r="U67" s="43">
        <f>IF(D67=0,0,SUM($L$21:L67))</f>
        <v>0</v>
      </c>
      <c r="V67" s="43">
        <f>IF(D67=0,0,SUM($J$21:J67))</f>
        <v>0</v>
      </c>
      <c r="W67" s="284">
        <f t="shared" si="10"/>
        <v>0</v>
      </c>
      <c r="X67" s="200">
        <f t="shared" si="17"/>
        <v>0</v>
      </c>
      <c r="Y67" s="201">
        <f t="shared" si="24"/>
        <v>45704</v>
      </c>
      <c r="Z67" s="202">
        <f t="shared" si="24"/>
        <v>45704</v>
      </c>
      <c r="AA67" s="246">
        <v>7</v>
      </c>
      <c r="AB67" s="243" t="s">
        <v>220</v>
      </c>
      <c r="AC67" s="251">
        <f>IFERROR(AVERAGEIFS(J202:J232,D202:D232,1,G202:G232,"fri"),0)</f>
        <v>325140</v>
      </c>
      <c r="AD67" s="275">
        <f>COUNTIFS(D202:D232,1,G202:G232,"fri")</f>
        <v>4</v>
      </c>
      <c r="AE67" s="265">
        <f>($I$13*'2024(¥)'!AI66)/AD67</f>
        <v>364056.7470173653</v>
      </c>
      <c r="AF67" s="138">
        <f t="shared" si="26"/>
        <v>1456226.9880694612</v>
      </c>
      <c r="AG67" s="203"/>
      <c r="AH67" s="203"/>
      <c r="AI67" s="18"/>
      <c r="AJ67" s="18"/>
      <c r="AK67" s="18"/>
      <c r="AL67" s="18"/>
      <c r="AM67" s="18"/>
      <c r="AN67" s="18"/>
    </row>
    <row r="68" spans="1:40" ht="20">
      <c r="A68" s="18"/>
      <c r="B68" s="151"/>
      <c r="C68" s="55">
        <v>48</v>
      </c>
      <c r="D68" s="54">
        <v>1</v>
      </c>
      <c r="E68" s="190">
        <f t="shared" si="12"/>
        <v>2</v>
      </c>
      <c r="F68" s="191">
        <f t="shared" si="13"/>
        <v>45705</v>
      </c>
      <c r="G68" s="192" t="str">
        <f t="shared" si="14"/>
        <v>Mon</v>
      </c>
      <c r="H68" s="193"/>
      <c r="I68" s="194"/>
      <c r="J68" s="214">
        <v>107730</v>
      </c>
      <c r="K68" s="215"/>
      <c r="L68" s="43">
        <f t="shared" si="15"/>
        <v>217651.10892490271</v>
      </c>
      <c r="M68" s="280">
        <f t="shared" si="7"/>
        <v>-109921.10892490271</v>
      </c>
      <c r="N68" s="41">
        <f t="shared" si="8"/>
        <v>0.4949664650556439</v>
      </c>
      <c r="O68" s="56"/>
      <c r="P68" s="43">
        <f>IF(D68=0,0,SUM($L$52:L68))</f>
        <v>2674263.8809580305</v>
      </c>
      <c r="Q68" s="43">
        <f>IF(D68=0,0,SUM($J$52:J68))</f>
        <v>2898070</v>
      </c>
      <c r="R68" s="282">
        <f t="shared" si="9"/>
        <v>223806.11904196953</v>
      </c>
      <c r="S68" s="198">
        <f t="shared" si="16"/>
        <v>1.0836888687894903</v>
      </c>
      <c r="T68" s="207"/>
      <c r="U68" s="43">
        <f>IF(D68=0,0,SUM($L$21:L68))</f>
        <v>7381956.1886503389</v>
      </c>
      <c r="V68" s="43">
        <f>IF(D68=0,0,SUM($J$21:J68))</f>
        <v>8511320</v>
      </c>
      <c r="W68" s="284">
        <f t="shared" si="10"/>
        <v>1129363.8113496611</v>
      </c>
      <c r="X68" s="200">
        <f t="shared" si="17"/>
        <v>1.1529897743210726</v>
      </c>
      <c r="Y68" s="201">
        <f t="shared" si="24"/>
        <v>45705</v>
      </c>
      <c r="Z68" s="202">
        <f t="shared" si="24"/>
        <v>45705</v>
      </c>
      <c r="AA68" s="246">
        <v>7</v>
      </c>
      <c r="AB68" s="243" t="s">
        <v>221</v>
      </c>
      <c r="AC68" s="251">
        <f>IFERROR(AVERAGEIFS(J202:J232,D202:D232,1,G202:G232,"sat"),0)</f>
        <v>79680</v>
      </c>
      <c r="AD68" s="275">
        <f>COUNTIFS(D202:D232,1,G202:G232,"sat")</f>
        <v>4</v>
      </c>
      <c r="AE68" s="265">
        <f>($I$13*'2024(¥)'!AI67)/AD68</f>
        <v>149126.404724797</v>
      </c>
      <c r="AF68" s="138">
        <f t="shared" si="26"/>
        <v>596505.618899188</v>
      </c>
      <c r="AG68" s="273" t="s">
        <v>196</v>
      </c>
      <c r="AH68" s="203"/>
      <c r="AI68" s="18"/>
      <c r="AJ68" s="18"/>
      <c r="AK68" s="18"/>
      <c r="AL68" s="18"/>
      <c r="AM68" s="18"/>
      <c r="AN68" s="18"/>
    </row>
    <row r="69" spans="1:40" ht="20">
      <c r="A69" s="18"/>
      <c r="B69" s="151"/>
      <c r="C69" s="55">
        <v>49</v>
      </c>
      <c r="D69" s="54">
        <v>1</v>
      </c>
      <c r="E69" s="190">
        <f t="shared" si="12"/>
        <v>2</v>
      </c>
      <c r="F69" s="191">
        <f t="shared" si="13"/>
        <v>45706</v>
      </c>
      <c r="G69" s="192" t="str">
        <f t="shared" si="14"/>
        <v>Tue</v>
      </c>
      <c r="H69" s="193"/>
      <c r="I69" s="194"/>
      <c r="J69" s="214">
        <v>196730</v>
      </c>
      <c r="K69" s="215"/>
      <c r="L69" s="43">
        <f t="shared" si="15"/>
        <v>268861.47362373065</v>
      </c>
      <c r="M69" s="280">
        <f t="shared" si="7"/>
        <v>-72131.47362373065</v>
      </c>
      <c r="N69" s="41">
        <f t="shared" si="8"/>
        <v>0.73171509978154015</v>
      </c>
      <c r="O69" s="56"/>
      <c r="P69" s="43">
        <f>IF(D69=0,0,SUM($L$52:L69))</f>
        <v>2943125.3545817612</v>
      </c>
      <c r="Q69" s="43">
        <f>IF(D69=0,0,SUM($J$52:J69))</f>
        <v>3094800</v>
      </c>
      <c r="R69" s="282">
        <f t="shared" si="9"/>
        <v>151674.64541823883</v>
      </c>
      <c r="S69" s="198">
        <f t="shared" si="16"/>
        <v>1.0515352311385979</v>
      </c>
      <c r="T69" s="207"/>
      <c r="U69" s="43">
        <f>IF(D69=0,0,SUM($L$21:L69))</f>
        <v>7650817.6622740692</v>
      </c>
      <c r="V69" s="43">
        <f>IF(D69=0,0,SUM($J$21:J69))</f>
        <v>8708050</v>
      </c>
      <c r="W69" s="284">
        <f t="shared" si="10"/>
        <v>1057232.3377259308</v>
      </c>
      <c r="X69" s="200">
        <f t="shared" si="17"/>
        <v>1.1381855357681714</v>
      </c>
      <c r="Y69" s="201">
        <f t="shared" si="24"/>
        <v>45706</v>
      </c>
      <c r="Z69" s="202">
        <f t="shared" si="24"/>
        <v>45706</v>
      </c>
      <c r="AA69" s="246">
        <v>7</v>
      </c>
      <c r="AB69" s="243" t="s">
        <v>222</v>
      </c>
      <c r="AC69" s="251">
        <f>IFERROR(AVERAGEIFS(J202:J232,D202:D232,1,G202:G232,"sun"),0)</f>
        <v>0</v>
      </c>
      <c r="AD69" s="275">
        <f>IFERROR(COUNTIFS(D202:D232,1,G202:G232,"sun"),0)</f>
        <v>0</v>
      </c>
      <c r="AE69" s="265">
        <f>IFERROR(($I$13*'2024(¥)'!AI68)/AD69,0)</f>
        <v>0</v>
      </c>
      <c r="AF69" s="271">
        <f>SUM(AF63:AF68)</f>
        <v>6545454.5454545459</v>
      </c>
      <c r="AG69" s="272">
        <f>I13</f>
        <v>6545454.5454545459</v>
      </c>
      <c r="AH69" s="270"/>
      <c r="AI69" s="18"/>
      <c r="AJ69" s="18"/>
      <c r="AK69" s="18"/>
      <c r="AL69" s="18"/>
      <c r="AM69" s="18"/>
      <c r="AN69" s="18"/>
    </row>
    <row r="70" spans="1:40" ht="20">
      <c r="A70" s="18"/>
      <c r="B70" s="151"/>
      <c r="C70" s="55">
        <v>50</v>
      </c>
      <c r="D70" s="54">
        <v>1</v>
      </c>
      <c r="E70" s="190">
        <f t="shared" si="12"/>
        <v>2</v>
      </c>
      <c r="F70" s="191">
        <f t="shared" si="13"/>
        <v>45707</v>
      </c>
      <c r="G70" s="192" t="str">
        <f t="shared" si="14"/>
        <v>Wed</v>
      </c>
      <c r="H70" s="193"/>
      <c r="I70" s="194"/>
      <c r="J70" s="214">
        <v>329290</v>
      </c>
      <c r="K70" s="215"/>
      <c r="L70" s="43">
        <f t="shared" si="15"/>
        <v>208679.17726727403</v>
      </c>
      <c r="M70" s="280">
        <f t="shared" si="7"/>
        <v>120610.82273272597</v>
      </c>
      <c r="N70" s="41">
        <f t="shared" si="8"/>
        <v>1.5779724853824248</v>
      </c>
      <c r="O70" s="56"/>
      <c r="P70" s="43">
        <f>IF(D70=0,0,SUM($L$52:L70))</f>
        <v>3151804.5318490351</v>
      </c>
      <c r="Q70" s="43">
        <f>IF(D70=0,0,SUM($J$52:J70))</f>
        <v>3424090</v>
      </c>
      <c r="R70" s="282">
        <f t="shared" si="9"/>
        <v>272285.46815096494</v>
      </c>
      <c r="S70" s="198">
        <f t="shared" si="16"/>
        <v>1.0863903409616669</v>
      </c>
      <c r="T70" s="207"/>
      <c r="U70" s="43">
        <f>IF(D70=0,0,SUM($L$21:L70))</f>
        <v>7859496.839541343</v>
      </c>
      <c r="V70" s="43">
        <f>IF(D70=0,0,SUM($J$21:J70))</f>
        <v>9037340</v>
      </c>
      <c r="W70" s="284">
        <f t="shared" si="10"/>
        <v>1177843.160458657</v>
      </c>
      <c r="X70" s="200">
        <f t="shared" si="17"/>
        <v>1.1498624128879213</v>
      </c>
      <c r="Y70" s="201">
        <f t="shared" si="24"/>
        <v>45707</v>
      </c>
      <c r="Z70" s="202">
        <f t="shared" si="24"/>
        <v>45707</v>
      </c>
      <c r="AA70" s="246">
        <v>8</v>
      </c>
      <c r="AB70" s="136" t="s">
        <v>216</v>
      </c>
      <c r="AC70" s="251">
        <f>IFERROR(AVERAGEIFS(J233:J263,D233:D263,1,G233:G263,"mon"),0)</f>
        <v>284626.66666666669</v>
      </c>
      <c r="AD70" s="275">
        <f>COUNTIFS(D233:D263,1,G233:G263,"Mon")</f>
        <v>3</v>
      </c>
      <c r="AE70" s="265">
        <f>($I$14*'2024(¥)'!AI69)/AD70</f>
        <v>208711.40875077047</v>
      </c>
      <c r="AF70" s="138">
        <f t="shared" ref="AF70:AF75" si="27">AD70*AE70</f>
        <v>626134.22625231137</v>
      </c>
      <c r="AG70" s="203" t="s">
        <v>135</v>
      </c>
      <c r="AH70" s="203"/>
      <c r="AI70" s="18"/>
      <c r="AJ70" s="18"/>
      <c r="AK70" s="18"/>
      <c r="AL70" s="18"/>
      <c r="AM70" s="18"/>
      <c r="AN70" s="18"/>
    </row>
    <row r="71" spans="1:40" ht="20">
      <c r="A71" s="18"/>
      <c r="B71" s="151"/>
      <c r="C71" s="55">
        <v>51</v>
      </c>
      <c r="D71" s="54">
        <v>1</v>
      </c>
      <c r="E71" s="190">
        <f t="shared" si="12"/>
        <v>2</v>
      </c>
      <c r="F71" s="191">
        <f t="shared" si="13"/>
        <v>45708</v>
      </c>
      <c r="G71" s="192" t="str">
        <f t="shared" si="14"/>
        <v>Thu</v>
      </c>
      <c r="H71" s="193"/>
      <c r="I71" s="194"/>
      <c r="J71" s="214">
        <v>330090</v>
      </c>
      <c r="K71" s="215"/>
      <c r="L71" s="43">
        <f t="shared" si="15"/>
        <v>274588.63901965728</v>
      </c>
      <c r="M71" s="280">
        <f t="shared" si="7"/>
        <v>55501.360980342724</v>
      </c>
      <c r="N71" s="41">
        <f t="shared" si="8"/>
        <v>1.2021254818789844</v>
      </c>
      <c r="O71" s="56"/>
      <c r="P71" s="43">
        <f>IF(D71=0,0,SUM($L$52:L71))</f>
        <v>3426393.1708686925</v>
      </c>
      <c r="Q71" s="43">
        <f>IF(D71=0,0,SUM($J$52:J71))</f>
        <v>3754180</v>
      </c>
      <c r="R71" s="282">
        <f t="shared" si="9"/>
        <v>327786.82913130755</v>
      </c>
      <c r="S71" s="198">
        <f t="shared" si="16"/>
        <v>1.095665270383493</v>
      </c>
      <c r="T71" s="207"/>
      <c r="U71" s="43">
        <f>IF(D71=0,0,SUM($L$21:L71))</f>
        <v>8134085.478561</v>
      </c>
      <c r="V71" s="43">
        <f>IF(D71=0,0,SUM($J$21:J71))</f>
        <v>9367430</v>
      </c>
      <c r="W71" s="284">
        <f t="shared" si="10"/>
        <v>1233344.521439</v>
      </c>
      <c r="X71" s="200">
        <f t="shared" si="17"/>
        <v>1.1516266978862866</v>
      </c>
      <c r="Y71" s="201">
        <f t="shared" ref="Y71:Z86" si="28">Y70+1</f>
        <v>45708</v>
      </c>
      <c r="Z71" s="202">
        <f t="shared" si="28"/>
        <v>45708</v>
      </c>
      <c r="AA71" s="246">
        <v>8</v>
      </c>
      <c r="AB71" s="243" t="s">
        <v>217</v>
      </c>
      <c r="AC71" s="251">
        <f>IFERROR(AVERAGEIFS(J233:J263,D233:D263,1,G233:G263,"tue"),0)</f>
        <v>208860</v>
      </c>
      <c r="AD71" s="275">
        <f>COUNTIFS(D233:D263,1,G233:G263,"tue")</f>
        <v>3</v>
      </c>
      <c r="AE71" s="265">
        <f>($I$14*'2024(¥)'!AI70)/AD71</f>
        <v>175029.67989248806</v>
      </c>
      <c r="AF71" s="138">
        <f t="shared" si="27"/>
        <v>525089.03967746417</v>
      </c>
      <c r="AG71" s="203"/>
      <c r="AH71" s="203"/>
      <c r="AI71" s="18"/>
      <c r="AJ71" s="18"/>
      <c r="AK71" s="18"/>
      <c r="AL71" s="18"/>
      <c r="AM71" s="18"/>
      <c r="AN71" s="18"/>
    </row>
    <row r="72" spans="1:40" ht="20">
      <c r="A72" s="18"/>
      <c r="B72" s="151"/>
      <c r="C72" s="55">
        <v>52</v>
      </c>
      <c r="D72" s="54">
        <v>1</v>
      </c>
      <c r="E72" s="190">
        <f t="shared" si="12"/>
        <v>2</v>
      </c>
      <c r="F72" s="191">
        <f t="shared" si="13"/>
        <v>45709</v>
      </c>
      <c r="G72" s="192" t="str">
        <f t="shared" si="14"/>
        <v>Fri</v>
      </c>
      <c r="H72" s="193"/>
      <c r="I72" s="194"/>
      <c r="J72" s="214">
        <v>331770</v>
      </c>
      <c r="K72" s="215"/>
      <c r="L72" s="43">
        <f t="shared" si="15"/>
        <v>200399.02318828233</v>
      </c>
      <c r="M72" s="280">
        <f t="shared" si="7"/>
        <v>131370.97681171767</v>
      </c>
      <c r="N72" s="41">
        <f t="shared" si="8"/>
        <v>1.655546991804894</v>
      </c>
      <c r="O72" s="56"/>
      <c r="P72" s="43">
        <f>IF(D72=0,0,SUM($L$52:L72))</f>
        <v>3626792.1940569747</v>
      </c>
      <c r="Q72" s="43">
        <f>IF(D72=0,0,SUM($J$52:J72))</f>
        <v>4085950</v>
      </c>
      <c r="R72" s="282">
        <f t="shared" si="9"/>
        <v>459157.80594302528</v>
      </c>
      <c r="S72" s="198">
        <f t="shared" si="16"/>
        <v>1.1266016306904547</v>
      </c>
      <c r="T72" s="207"/>
      <c r="U72" s="43">
        <f>IF(D72=0,0,SUM($L$21:L72))</f>
        <v>8334484.5017492827</v>
      </c>
      <c r="V72" s="43">
        <f>IF(D72=0,0,SUM($J$21:J72))</f>
        <v>9699200</v>
      </c>
      <c r="W72" s="284">
        <f t="shared" si="10"/>
        <v>1364715.4982507173</v>
      </c>
      <c r="X72" s="200">
        <f t="shared" si="17"/>
        <v>1.163743240264504</v>
      </c>
      <c r="Y72" s="201">
        <f t="shared" si="28"/>
        <v>45709</v>
      </c>
      <c r="Z72" s="202">
        <f t="shared" si="28"/>
        <v>45709</v>
      </c>
      <c r="AA72" s="246">
        <v>8</v>
      </c>
      <c r="AB72" s="243" t="s">
        <v>218</v>
      </c>
      <c r="AC72" s="251">
        <f>IFERROR(AVERAGEIFS(J233:J263,D233:D263,1,G233:G263,"wed"),0)</f>
        <v>276773.33333333331</v>
      </c>
      <c r="AD72" s="275">
        <f>COUNTIFS(D233:D263,1,G233:G263,"wed")</f>
        <v>3</v>
      </c>
      <c r="AE72" s="265">
        <f>($I$14*'2024(¥)'!AI71)/AD72</f>
        <v>328105.4192113186</v>
      </c>
      <c r="AF72" s="138">
        <f t="shared" si="27"/>
        <v>984316.2576339558</v>
      </c>
      <c r="AG72" s="203"/>
      <c r="AH72" s="203"/>
      <c r="AI72" s="18"/>
      <c r="AJ72" s="18"/>
      <c r="AK72" s="18"/>
      <c r="AL72" s="18"/>
      <c r="AM72" s="18"/>
      <c r="AN72" s="18"/>
    </row>
    <row r="73" spans="1:40" ht="20">
      <c r="A73" s="18"/>
      <c r="B73" s="151"/>
      <c r="C73" s="55">
        <v>53</v>
      </c>
      <c r="D73" s="54">
        <v>1</v>
      </c>
      <c r="E73" s="190">
        <f t="shared" si="12"/>
        <v>2</v>
      </c>
      <c r="F73" s="191">
        <f t="shared" si="13"/>
        <v>45710</v>
      </c>
      <c r="G73" s="192" t="str">
        <f t="shared" si="14"/>
        <v>Sat</v>
      </c>
      <c r="H73" s="193"/>
      <c r="I73" s="194"/>
      <c r="J73" s="214">
        <v>124830</v>
      </c>
      <c r="K73" s="215"/>
      <c r="L73" s="43">
        <f t="shared" si="15"/>
        <v>128371.8005363883</v>
      </c>
      <c r="M73" s="280">
        <f t="shared" si="7"/>
        <v>-3541.8005363882985</v>
      </c>
      <c r="N73" s="41">
        <f t="shared" si="8"/>
        <v>0.97240982426366807</v>
      </c>
      <c r="O73" s="56"/>
      <c r="P73" s="43">
        <f>IF(D73=0,0,SUM($L$52:L73))</f>
        <v>3755163.9945933633</v>
      </c>
      <c r="Q73" s="43">
        <f>IF(D73=0,0,SUM($J$52:J73))</f>
        <v>4210780</v>
      </c>
      <c r="R73" s="282">
        <f t="shared" si="9"/>
        <v>455616.00540663674</v>
      </c>
      <c r="S73" s="198">
        <f t="shared" si="16"/>
        <v>1.1213305214000313</v>
      </c>
      <c r="T73" s="207"/>
      <c r="U73" s="43">
        <f>IF(D73=0,0,SUM($L$21:L73))</f>
        <v>8462856.3022856712</v>
      </c>
      <c r="V73" s="43">
        <f>IF(D73=0,0,SUM($J$21:J73))</f>
        <v>9824030</v>
      </c>
      <c r="W73" s="284">
        <f t="shared" si="10"/>
        <v>1361173.6977143288</v>
      </c>
      <c r="X73" s="200">
        <f t="shared" si="17"/>
        <v>1.1608409323158069</v>
      </c>
      <c r="Y73" s="201">
        <f t="shared" si="28"/>
        <v>45710</v>
      </c>
      <c r="Z73" s="202">
        <f t="shared" si="28"/>
        <v>45710</v>
      </c>
      <c r="AA73" s="246">
        <v>8</v>
      </c>
      <c r="AB73" s="243" t="s">
        <v>219</v>
      </c>
      <c r="AC73" s="251">
        <f>IFERROR(AVERAGEIFS(J233:J263,D233:D263,1,G233:G263,"thu"),0)</f>
        <v>256543.33333333334</v>
      </c>
      <c r="AD73" s="275">
        <f>COUNTIFS(D233:D263,1,G233:G263,"thu")</f>
        <v>3</v>
      </c>
      <c r="AE73" s="265">
        <f>($I$14*'2024(¥)'!AI72)/AD73</f>
        <v>305799.96860153653</v>
      </c>
      <c r="AF73" s="138">
        <f t="shared" si="27"/>
        <v>917399.90580460965</v>
      </c>
      <c r="AG73" s="203"/>
      <c r="AH73" s="203"/>
      <c r="AI73" s="18"/>
      <c r="AJ73" s="18"/>
      <c r="AK73" s="18"/>
      <c r="AL73" s="18"/>
      <c r="AM73" s="18"/>
      <c r="AN73" s="18"/>
    </row>
    <row r="74" spans="1:40" ht="20">
      <c r="A74" s="18"/>
      <c r="B74" s="151"/>
      <c r="C74" s="55">
        <v>54</v>
      </c>
      <c r="D74" s="54">
        <v>0</v>
      </c>
      <c r="E74" s="190">
        <f t="shared" si="12"/>
        <v>2</v>
      </c>
      <c r="F74" s="191">
        <f t="shared" si="13"/>
        <v>45711</v>
      </c>
      <c r="G74" s="192" t="str">
        <f t="shared" si="14"/>
        <v>Sun</v>
      </c>
      <c r="H74" s="193" t="s">
        <v>169</v>
      </c>
      <c r="I74" s="194"/>
      <c r="J74" s="214"/>
      <c r="K74" s="215"/>
      <c r="L74" s="43">
        <f t="shared" si="15"/>
        <v>0</v>
      </c>
      <c r="M74" s="280">
        <f t="shared" si="7"/>
        <v>0</v>
      </c>
      <c r="N74" s="41" t="str">
        <f t="shared" si="8"/>
        <v>¥0</v>
      </c>
      <c r="O74" s="44"/>
      <c r="P74" s="43">
        <f>IF(D74=0,0,SUM($L$52:L74))</f>
        <v>0</v>
      </c>
      <c r="Q74" s="43">
        <f>IF(D74=0,0,SUM($J$52:J74))</f>
        <v>0</v>
      </c>
      <c r="R74" s="282">
        <f t="shared" si="9"/>
        <v>0</v>
      </c>
      <c r="S74" s="198">
        <f t="shared" si="16"/>
        <v>0</v>
      </c>
      <c r="T74" s="212"/>
      <c r="U74" s="43">
        <f>IF(D74=0,0,SUM($L$21:L74))</f>
        <v>0</v>
      </c>
      <c r="V74" s="43">
        <f>IF(D74=0,0,SUM($J$21:J74))</f>
        <v>0</v>
      </c>
      <c r="W74" s="284">
        <f t="shared" si="10"/>
        <v>0</v>
      </c>
      <c r="X74" s="200">
        <f t="shared" si="17"/>
        <v>0</v>
      </c>
      <c r="Y74" s="201">
        <f t="shared" si="28"/>
        <v>45711</v>
      </c>
      <c r="Z74" s="202">
        <f t="shared" si="28"/>
        <v>45711</v>
      </c>
      <c r="AA74" s="246">
        <v>8</v>
      </c>
      <c r="AB74" s="243" t="s">
        <v>220</v>
      </c>
      <c r="AC74" s="251">
        <f>IFERROR(AVERAGEIFS(J233:J263,D233:D263,1,G233:G263,"fri"),0)</f>
        <v>340157.5</v>
      </c>
      <c r="AD74" s="275">
        <f>COUNTIFS(D233:D263,1,G233:G263,"fri")</f>
        <v>4</v>
      </c>
      <c r="AE74" s="265">
        <f>($I$14*'2024(¥)'!AI73)/AD74</f>
        <v>320856.12916472479</v>
      </c>
      <c r="AF74" s="138">
        <f t="shared" si="27"/>
        <v>1283424.5166588991</v>
      </c>
      <c r="AG74" s="203"/>
      <c r="AH74" s="203"/>
      <c r="AI74" s="18"/>
      <c r="AJ74" s="18"/>
      <c r="AK74" s="18"/>
      <c r="AL74" s="18"/>
      <c r="AM74" s="18"/>
      <c r="AN74" s="18"/>
    </row>
    <row r="75" spans="1:40" ht="20">
      <c r="A75" s="18"/>
      <c r="B75" s="151"/>
      <c r="C75" s="55">
        <v>55</v>
      </c>
      <c r="D75" s="54">
        <v>0</v>
      </c>
      <c r="E75" s="190">
        <f t="shared" si="12"/>
        <v>2</v>
      </c>
      <c r="F75" s="191">
        <f t="shared" si="13"/>
        <v>45712</v>
      </c>
      <c r="G75" s="192" t="str">
        <f t="shared" si="14"/>
        <v>Mon</v>
      </c>
      <c r="H75" s="193" t="s">
        <v>170</v>
      </c>
      <c r="I75" s="194"/>
      <c r="J75" s="214"/>
      <c r="K75" s="215"/>
      <c r="L75" s="43">
        <f t="shared" si="15"/>
        <v>0</v>
      </c>
      <c r="M75" s="280">
        <f t="shared" si="7"/>
        <v>0</v>
      </c>
      <c r="N75" s="41" t="str">
        <f t="shared" si="8"/>
        <v>¥0</v>
      </c>
      <c r="O75" s="44"/>
      <c r="P75" s="43">
        <f>IF(D75=0,0,SUM($L$52:L75))</f>
        <v>0</v>
      </c>
      <c r="Q75" s="43">
        <f>IF(D75=0,0,SUM($J$52:J75))</f>
        <v>0</v>
      </c>
      <c r="R75" s="282">
        <f t="shared" si="9"/>
        <v>0</v>
      </c>
      <c r="S75" s="198">
        <f t="shared" si="16"/>
        <v>0</v>
      </c>
      <c r="T75" s="212"/>
      <c r="U75" s="43">
        <f>IF(D75=0,0,SUM($L$21:L75))</f>
        <v>0</v>
      </c>
      <c r="V75" s="43">
        <f>IF(D75=0,0,SUM($J$21:J75))</f>
        <v>0</v>
      </c>
      <c r="W75" s="284">
        <f t="shared" si="10"/>
        <v>0</v>
      </c>
      <c r="X75" s="200">
        <f t="shared" si="17"/>
        <v>0</v>
      </c>
      <c r="Y75" s="201">
        <f t="shared" si="28"/>
        <v>45712</v>
      </c>
      <c r="Z75" s="202">
        <f t="shared" si="28"/>
        <v>45712</v>
      </c>
      <c r="AA75" s="246">
        <v>8</v>
      </c>
      <c r="AB75" s="243" t="s">
        <v>221</v>
      </c>
      <c r="AC75" s="251">
        <f>IFERROR(AVERAGEIFS(J233:J263,D233:D263,1,G233:G263,"sat"),0)</f>
        <v>104052.5</v>
      </c>
      <c r="AD75" s="275">
        <f>COUNTIFS(D233:D263,1,G233:G263,"sat")</f>
        <v>4</v>
      </c>
      <c r="AE75" s="265">
        <f>($I$14*'2024(¥)'!AI74)/AD75</f>
        <v>174650.27223444887</v>
      </c>
      <c r="AF75" s="138">
        <f t="shared" si="27"/>
        <v>698601.08893779549</v>
      </c>
      <c r="AG75" s="273" t="s">
        <v>197</v>
      </c>
      <c r="AH75" s="203"/>
      <c r="AI75" s="18"/>
      <c r="AJ75" s="18"/>
      <c r="AK75" s="18"/>
      <c r="AL75" s="18"/>
      <c r="AM75" s="18"/>
      <c r="AN75" s="18"/>
    </row>
    <row r="76" spans="1:40" ht="20">
      <c r="A76" s="18"/>
      <c r="B76" s="151"/>
      <c r="C76" s="55">
        <v>56</v>
      </c>
      <c r="D76" s="54">
        <v>1</v>
      </c>
      <c r="E76" s="190">
        <f t="shared" si="12"/>
        <v>2</v>
      </c>
      <c r="F76" s="191">
        <f t="shared" si="13"/>
        <v>45713</v>
      </c>
      <c r="G76" s="192" t="str">
        <f t="shared" si="14"/>
        <v>Tue</v>
      </c>
      <c r="H76" s="193"/>
      <c r="I76" s="194"/>
      <c r="J76" s="214">
        <v>332790</v>
      </c>
      <c r="K76" s="215"/>
      <c r="L76" s="43">
        <f t="shared" si="15"/>
        <v>268861.47362373065</v>
      </c>
      <c r="M76" s="280">
        <f t="shared" si="7"/>
        <v>63928.52637626935</v>
      </c>
      <c r="N76" s="41">
        <f t="shared" si="8"/>
        <v>1.2377749608920792</v>
      </c>
      <c r="O76" s="56"/>
      <c r="P76" s="43">
        <f>IF(D76=0,0,SUM($L$52:L76))</f>
        <v>4024025.468217094</v>
      </c>
      <c r="Q76" s="43">
        <f>IF(D76=0,0,SUM($J$52:J76))</f>
        <v>4543570</v>
      </c>
      <c r="R76" s="282">
        <f t="shared" si="9"/>
        <v>519544.53178290604</v>
      </c>
      <c r="S76" s="198">
        <f t="shared" si="16"/>
        <v>1.1291106470091747</v>
      </c>
      <c r="T76" s="207"/>
      <c r="U76" s="43">
        <f>IF(D76=0,0,SUM($L$21:L76))</f>
        <v>8731717.7759094015</v>
      </c>
      <c r="V76" s="43">
        <f>IF(D76=0,0,SUM($J$21:J76))</f>
        <v>10156820</v>
      </c>
      <c r="W76" s="284">
        <f t="shared" si="10"/>
        <v>1425102.2240905985</v>
      </c>
      <c r="X76" s="200">
        <f t="shared" si="17"/>
        <v>1.1632098357579101</v>
      </c>
      <c r="Y76" s="201">
        <f t="shared" si="28"/>
        <v>45713</v>
      </c>
      <c r="Z76" s="202">
        <f t="shared" si="28"/>
        <v>45713</v>
      </c>
      <c r="AA76" s="246">
        <v>8</v>
      </c>
      <c r="AB76" s="243" t="s">
        <v>222</v>
      </c>
      <c r="AC76" s="251">
        <f>IFERROR(AVERAGEIFS(J233:J263,D233:D263,1,G233:G263,"sun"),0)</f>
        <v>0</v>
      </c>
      <c r="AD76" s="275">
        <f>IFERROR(COUNTIFS(D233:D263,1,G233:G263,"sun"),0)</f>
        <v>0</v>
      </c>
      <c r="AE76" s="265">
        <f>IFERROR(($I$14*'2024(¥)'!AI75)/AD76,0)</f>
        <v>0</v>
      </c>
      <c r="AF76" s="271">
        <f>SUM(AF70:AF75)</f>
        <v>5034965.0349650364</v>
      </c>
      <c r="AG76" s="272">
        <f>I14</f>
        <v>5034965.0349650355</v>
      </c>
      <c r="AH76" s="270"/>
      <c r="AI76" s="18"/>
      <c r="AJ76" s="18"/>
      <c r="AK76" s="18"/>
      <c r="AL76" s="18"/>
      <c r="AM76" s="18"/>
      <c r="AN76" s="18"/>
    </row>
    <row r="77" spans="1:40" ht="20">
      <c r="A77" s="18"/>
      <c r="B77" s="151"/>
      <c r="C77" s="55">
        <v>57</v>
      </c>
      <c r="D77" s="54">
        <v>1</v>
      </c>
      <c r="E77" s="190">
        <f t="shared" si="12"/>
        <v>2</v>
      </c>
      <c r="F77" s="191">
        <f t="shared" si="13"/>
        <v>45714</v>
      </c>
      <c r="G77" s="192" t="str">
        <f t="shared" si="14"/>
        <v>Wed</v>
      </c>
      <c r="H77" s="193"/>
      <c r="I77" s="194"/>
      <c r="J77" s="214">
        <v>236070</v>
      </c>
      <c r="K77" s="215"/>
      <c r="L77" s="43">
        <f t="shared" si="15"/>
        <v>208679.17726727403</v>
      </c>
      <c r="M77" s="280">
        <f t="shared" si="7"/>
        <v>27390.822732725966</v>
      </c>
      <c r="N77" s="41">
        <f t="shared" si="8"/>
        <v>1.1312580540685384</v>
      </c>
      <c r="O77" s="56"/>
      <c r="P77" s="43">
        <f>IF(D77=0,0,SUM($L$52:L77))</f>
        <v>4232704.6454843683</v>
      </c>
      <c r="Q77" s="43">
        <f>IF(D77=0,0,SUM($J$52:J77))</f>
        <v>4779640</v>
      </c>
      <c r="R77" s="282">
        <f t="shared" si="9"/>
        <v>546935.35451563168</v>
      </c>
      <c r="S77" s="198">
        <f t="shared" si="16"/>
        <v>1.1292165176464948</v>
      </c>
      <c r="T77" s="207"/>
      <c r="U77" s="43">
        <f>IF(D77=0,0,SUM($L$21:L77))</f>
        <v>8940396.9531766754</v>
      </c>
      <c r="V77" s="43">
        <f>IF(D77=0,0,SUM($J$21:J77))</f>
        <v>10392890</v>
      </c>
      <c r="W77" s="284">
        <f t="shared" si="10"/>
        <v>1452493.0468233246</v>
      </c>
      <c r="X77" s="200">
        <f t="shared" si="17"/>
        <v>1.1624640443182144</v>
      </c>
      <c r="Y77" s="201">
        <f t="shared" si="28"/>
        <v>45714</v>
      </c>
      <c r="Z77" s="202">
        <f t="shared" si="28"/>
        <v>45714</v>
      </c>
      <c r="AA77" s="246">
        <v>9</v>
      </c>
      <c r="AB77" s="136" t="s">
        <v>216</v>
      </c>
      <c r="AC77" s="251">
        <f>IFERROR(AVERAGEIFS(J264:J293,D264:D293,1,G264:G293,"mon"),0)</f>
        <v>211892.5</v>
      </c>
      <c r="AD77" s="275">
        <f>COUNTIFS(D264:D293,1,G264:G293,"Mon")</f>
        <v>4</v>
      </c>
      <c r="AE77" s="265">
        <f>($I$15*'2024(¥)'!AI76)/AD77</f>
        <v>197544.23813353875</v>
      </c>
      <c r="AF77" s="138">
        <f t="shared" ref="AF77:AF82" si="29">AD77*AE77</f>
        <v>790176.95253415499</v>
      </c>
      <c r="AG77" s="203" t="s">
        <v>136</v>
      </c>
      <c r="AH77" s="203"/>
      <c r="AI77" s="18"/>
      <c r="AJ77" s="18"/>
      <c r="AK77" s="18"/>
      <c r="AL77" s="18"/>
      <c r="AM77" s="18"/>
      <c r="AN77" s="18"/>
    </row>
    <row r="78" spans="1:40" ht="20">
      <c r="A78" s="18"/>
      <c r="B78" s="151"/>
      <c r="C78" s="55">
        <v>58</v>
      </c>
      <c r="D78" s="54">
        <v>1</v>
      </c>
      <c r="E78" s="190">
        <f t="shared" si="12"/>
        <v>2</v>
      </c>
      <c r="F78" s="191">
        <f t="shared" si="13"/>
        <v>45715</v>
      </c>
      <c r="G78" s="192" t="str">
        <f t="shared" si="14"/>
        <v>Thu</v>
      </c>
      <c r="H78" s="193"/>
      <c r="I78" s="194"/>
      <c r="J78" s="214">
        <v>346880</v>
      </c>
      <c r="K78" s="215"/>
      <c r="L78" s="43">
        <f t="shared" si="15"/>
        <v>274588.63901965728</v>
      </c>
      <c r="M78" s="280">
        <f t="shared" si="7"/>
        <v>72291.360980342724</v>
      </c>
      <c r="N78" s="41">
        <f t="shared" si="8"/>
        <v>1.2632714930903151</v>
      </c>
      <c r="O78" s="56"/>
      <c r="P78" s="43">
        <f>IF(D78=0,0,SUM($L$52:L78))</f>
        <v>4507293.2845040252</v>
      </c>
      <c r="Q78" s="43">
        <f>IF(D78=0,0,SUM($J$52:J78))</f>
        <v>5126520</v>
      </c>
      <c r="R78" s="282">
        <f t="shared" si="9"/>
        <v>619226.71549597476</v>
      </c>
      <c r="S78" s="198">
        <f t="shared" si="16"/>
        <v>1.1373832755957689</v>
      </c>
      <c r="T78" s="207"/>
      <c r="U78" s="43">
        <f>IF(D78=0,0,SUM($L$21:L78))</f>
        <v>9214985.5921963323</v>
      </c>
      <c r="V78" s="43">
        <f>IF(D78=0,0,SUM($J$21:J78))</f>
        <v>10739770</v>
      </c>
      <c r="W78" s="284">
        <f t="shared" si="10"/>
        <v>1524784.4078036677</v>
      </c>
      <c r="X78" s="200">
        <f t="shared" si="17"/>
        <v>1.1654679101283592</v>
      </c>
      <c r="Y78" s="201">
        <f t="shared" si="28"/>
        <v>45715</v>
      </c>
      <c r="Z78" s="202">
        <f t="shared" si="28"/>
        <v>45715</v>
      </c>
      <c r="AA78" s="246">
        <v>9</v>
      </c>
      <c r="AB78" s="243" t="s">
        <v>217</v>
      </c>
      <c r="AC78" s="251">
        <f>IFERROR(AVERAGEIFS(J264:J293,D264:D293,1,G264:G293,"tue"),0)</f>
        <v>257195</v>
      </c>
      <c r="AD78" s="275">
        <f>COUNTIFS(D264:D293,1,G264:G293,"tue")</f>
        <v>4</v>
      </c>
      <c r="AE78" s="265">
        <f>($I$15*'2024(¥)'!AI77)/AD78</f>
        <v>326639.88500175095</v>
      </c>
      <c r="AF78" s="138">
        <f t="shared" si="29"/>
        <v>1306559.5400070038</v>
      </c>
      <c r="AG78" s="203"/>
      <c r="AH78" s="203"/>
      <c r="AI78" s="18"/>
      <c r="AJ78" s="18"/>
      <c r="AK78" s="18"/>
      <c r="AL78" s="18"/>
      <c r="AM78" s="18"/>
      <c r="AN78" s="18"/>
    </row>
    <row r="79" spans="1:40" ht="21" thickBot="1">
      <c r="A79" s="18"/>
      <c r="B79" s="151"/>
      <c r="C79" s="216">
        <v>59</v>
      </c>
      <c r="D79" s="38">
        <v>1</v>
      </c>
      <c r="E79" s="217">
        <f t="shared" si="12"/>
        <v>2</v>
      </c>
      <c r="F79" s="218">
        <f t="shared" si="13"/>
        <v>45716</v>
      </c>
      <c r="G79" s="219" t="str">
        <f t="shared" si="14"/>
        <v>Fri</v>
      </c>
      <c r="H79" s="233"/>
      <c r="I79" s="221"/>
      <c r="J79" s="222">
        <v>377320</v>
      </c>
      <c r="K79" s="223"/>
      <c r="L79" s="43">
        <f t="shared" si="15"/>
        <v>200399.02318828233</v>
      </c>
      <c r="M79" s="281">
        <f t="shared" si="7"/>
        <v>176920.97681171767</v>
      </c>
      <c r="N79" s="225">
        <f t="shared" si="8"/>
        <v>1.8828435089002098</v>
      </c>
      <c r="O79" s="226"/>
      <c r="P79" s="227">
        <f>IF(D79=0,0,SUM($L$52:L79))</f>
        <v>4707692.307692308</v>
      </c>
      <c r="Q79" s="224">
        <f>IF(D79=0,0,SUM($J$52:J79))</f>
        <v>5503840</v>
      </c>
      <c r="R79" s="281">
        <f t="shared" si="9"/>
        <v>796147.69230769202</v>
      </c>
      <c r="S79" s="228">
        <f t="shared" si="16"/>
        <v>1.169116339869281</v>
      </c>
      <c r="T79" s="229"/>
      <c r="U79" s="28">
        <f>IF(D79=0,0,SUM($L$21:L79))</f>
        <v>9415384.6153846141</v>
      </c>
      <c r="V79" s="224">
        <f>IF(D79=0,0,SUM($J$21:J79))</f>
        <v>11117090</v>
      </c>
      <c r="W79" s="285">
        <f t="shared" si="10"/>
        <v>1701705.3846153859</v>
      </c>
      <c r="X79" s="230">
        <f t="shared" si="17"/>
        <v>1.180736683006536</v>
      </c>
      <c r="Y79" s="201">
        <f t="shared" si="28"/>
        <v>45716</v>
      </c>
      <c r="Z79" s="202">
        <f t="shared" si="28"/>
        <v>45716</v>
      </c>
      <c r="AA79" s="246">
        <v>9</v>
      </c>
      <c r="AB79" s="243" t="s">
        <v>218</v>
      </c>
      <c r="AC79" s="251">
        <f>IFERROR(AVERAGEIFS(J264:J293,D264:D293,1,G264:G293,"wed"),0)</f>
        <v>242735</v>
      </c>
      <c r="AD79" s="275">
        <f>COUNTIFS(D264:D293,1,G264:G293,"wed")</f>
        <v>4</v>
      </c>
      <c r="AE79" s="265">
        <f>($I$15*'2024(¥)'!AI78)/AD79</f>
        <v>220316.81492979266</v>
      </c>
      <c r="AF79" s="138">
        <f t="shared" si="29"/>
        <v>881267.25971917063</v>
      </c>
      <c r="AG79" s="203"/>
      <c r="AH79" s="203"/>
      <c r="AI79" s="18"/>
      <c r="AJ79" s="18"/>
      <c r="AK79" s="18"/>
      <c r="AL79" s="18"/>
      <c r="AM79" s="18"/>
      <c r="AN79" s="18"/>
    </row>
    <row r="80" spans="1:40" ht="21" thickTop="1">
      <c r="A80" s="18"/>
      <c r="B80" s="151"/>
      <c r="C80" s="55">
        <v>60</v>
      </c>
      <c r="D80" s="62">
        <v>1</v>
      </c>
      <c r="E80" s="190">
        <f t="shared" si="12"/>
        <v>3</v>
      </c>
      <c r="F80" s="191">
        <f t="shared" si="13"/>
        <v>45717</v>
      </c>
      <c r="G80" s="192" t="str">
        <f t="shared" si="14"/>
        <v>Sat</v>
      </c>
      <c r="H80" s="193"/>
      <c r="I80" s="194"/>
      <c r="J80" s="214">
        <v>67720</v>
      </c>
      <c r="K80" s="215"/>
      <c r="L80" s="43">
        <f t="shared" si="15"/>
        <v>147971.56764600077</v>
      </c>
      <c r="M80" s="282">
        <f t="shared" si="7"/>
        <v>-80251.567646000767</v>
      </c>
      <c r="N80" s="60">
        <f t="shared" si="8"/>
        <v>0.45765548799219113</v>
      </c>
      <c r="O80" s="56"/>
      <c r="P80" s="43">
        <f>IF(D80=0,0,$L$80)</f>
        <v>147971.56764600077</v>
      </c>
      <c r="Q80" s="43">
        <f>IF(D80=0,0,$J$80)</f>
        <v>67720</v>
      </c>
      <c r="R80" s="282">
        <f t="shared" si="9"/>
        <v>-80251.567646000767</v>
      </c>
      <c r="S80" s="231">
        <f t="shared" si="16"/>
        <v>0.45765548799219113</v>
      </c>
      <c r="T80" s="207"/>
      <c r="U80" s="43">
        <f>IF(D80=0,0,SUM($L$21:L80))</f>
        <v>9563356.1830306146</v>
      </c>
      <c r="V80" s="43">
        <f>IF(D80=0,0,SUM($J$21:J80))</f>
        <v>11184810</v>
      </c>
      <c r="W80" s="284">
        <f t="shared" si="10"/>
        <v>1621453.8169693854</v>
      </c>
      <c r="X80" s="232">
        <f t="shared" si="17"/>
        <v>1.1695486172361249</v>
      </c>
      <c r="Y80" s="201">
        <f t="shared" si="28"/>
        <v>45717</v>
      </c>
      <c r="Z80" s="202">
        <f t="shared" si="28"/>
        <v>45717</v>
      </c>
      <c r="AA80" s="246">
        <v>9</v>
      </c>
      <c r="AB80" s="243" t="s">
        <v>219</v>
      </c>
      <c r="AC80" s="251">
        <f>IFERROR(AVERAGEIFS(J264:J293,D264:D293,1,G264:G293,"thu"),0)</f>
        <v>285137.5</v>
      </c>
      <c r="AD80" s="275">
        <f>COUNTIFS(D264:D293,1,G264:G293,"thu")</f>
        <v>4</v>
      </c>
      <c r="AE80" s="265">
        <f>($I$15*'2024(¥)'!AI79)/AD80</f>
        <v>248321.04251467119</v>
      </c>
      <c r="AF80" s="138">
        <f t="shared" si="29"/>
        <v>993284.17005868477</v>
      </c>
      <c r="AG80" s="203"/>
      <c r="AH80" s="203"/>
      <c r="AI80" s="18"/>
      <c r="AJ80" s="18"/>
      <c r="AK80" s="18"/>
      <c r="AL80" s="18"/>
      <c r="AM80" s="18"/>
      <c r="AN80" s="18"/>
    </row>
    <row r="81" spans="1:40" ht="20">
      <c r="A81" s="18"/>
      <c r="B81" s="151"/>
      <c r="C81" s="55">
        <v>61</v>
      </c>
      <c r="D81" s="54">
        <v>0</v>
      </c>
      <c r="E81" s="190">
        <f t="shared" si="12"/>
        <v>3</v>
      </c>
      <c r="F81" s="191">
        <f t="shared" si="13"/>
        <v>45718</v>
      </c>
      <c r="G81" s="192" t="str">
        <f t="shared" si="14"/>
        <v>Sun</v>
      </c>
      <c r="H81" s="193"/>
      <c r="I81" s="194"/>
      <c r="J81" s="214"/>
      <c r="K81" s="215"/>
      <c r="L81" s="43">
        <f t="shared" si="15"/>
        <v>0</v>
      </c>
      <c r="M81" s="280">
        <f t="shared" si="7"/>
        <v>0</v>
      </c>
      <c r="N81" s="41" t="str">
        <f t="shared" si="8"/>
        <v>¥0</v>
      </c>
      <c r="O81" s="44"/>
      <c r="P81" s="43">
        <f>IF(D81=0,0,SUM($L$80:L81))</f>
        <v>0</v>
      </c>
      <c r="Q81" s="43">
        <f>IF(D81=0,0,SUM($J$80:J81))</f>
        <v>0</v>
      </c>
      <c r="R81" s="282">
        <f t="shared" si="9"/>
        <v>0</v>
      </c>
      <c r="S81" s="198">
        <f t="shared" si="16"/>
        <v>0</v>
      </c>
      <c r="T81" s="212"/>
      <c r="U81" s="43">
        <f>IF(D81=0,0,SUM($L$21:L81))</f>
        <v>0</v>
      </c>
      <c r="V81" s="43">
        <f>IF(D81=0,0,SUM($J$21:J81))</f>
        <v>0</v>
      </c>
      <c r="W81" s="284">
        <f t="shared" si="10"/>
        <v>0</v>
      </c>
      <c r="X81" s="200">
        <f t="shared" si="17"/>
        <v>0</v>
      </c>
      <c r="Y81" s="201">
        <f t="shared" si="28"/>
        <v>45718</v>
      </c>
      <c r="Z81" s="202">
        <f t="shared" si="28"/>
        <v>45718</v>
      </c>
      <c r="AA81" s="246">
        <v>9</v>
      </c>
      <c r="AB81" s="243" t="s">
        <v>220</v>
      </c>
      <c r="AC81" s="251">
        <f>IFERROR(AVERAGEIFS(J264:J293,D264:D293,1,G264:G293,"fri"),0)</f>
        <v>358357.5</v>
      </c>
      <c r="AD81" s="275">
        <f>COUNTIFS(D264:D293,1,G264:G293,"fri")</f>
        <v>4</v>
      </c>
      <c r="AE81" s="265">
        <f>($I$15*'2024(¥)'!AI80)/AD81</f>
        <v>368906.5559952138</v>
      </c>
      <c r="AF81" s="138">
        <f t="shared" si="29"/>
        <v>1475626.2239808552</v>
      </c>
      <c r="AG81" s="203"/>
      <c r="AH81" s="203"/>
      <c r="AI81" s="18"/>
      <c r="AJ81" s="18"/>
      <c r="AK81" s="18"/>
      <c r="AL81" s="18"/>
      <c r="AM81" s="18"/>
      <c r="AN81" s="18"/>
    </row>
    <row r="82" spans="1:40" ht="20">
      <c r="A82" s="18"/>
      <c r="B82" s="151"/>
      <c r="C82" s="55">
        <v>62</v>
      </c>
      <c r="D82" s="54">
        <v>1</v>
      </c>
      <c r="E82" s="190">
        <f t="shared" si="12"/>
        <v>3</v>
      </c>
      <c r="F82" s="191">
        <f t="shared" si="13"/>
        <v>45719</v>
      </c>
      <c r="G82" s="192" t="str">
        <f t="shared" si="14"/>
        <v>Mon</v>
      </c>
      <c r="H82" s="193"/>
      <c r="I82" s="194"/>
      <c r="J82" s="214">
        <v>179600</v>
      </c>
      <c r="K82" s="215"/>
      <c r="L82" s="43">
        <f t="shared" si="15"/>
        <v>178438.03273905211</v>
      </c>
      <c r="M82" s="280">
        <f t="shared" si="7"/>
        <v>1161.9672609478876</v>
      </c>
      <c r="N82" s="41">
        <f t="shared" si="8"/>
        <v>1.00651188114502</v>
      </c>
      <c r="O82" s="56"/>
      <c r="P82" s="43">
        <f>IF(D82=0,0,SUM($L$80:L82))</f>
        <v>326409.60038505285</v>
      </c>
      <c r="Q82" s="43">
        <f>IF(D82=0,0,SUM($J$80:J82))</f>
        <v>247320</v>
      </c>
      <c r="R82" s="282">
        <f t="shared" si="9"/>
        <v>-79089.60038505285</v>
      </c>
      <c r="S82" s="198">
        <f t="shared" si="16"/>
        <v>0.75769830209726097</v>
      </c>
      <c r="T82" s="207"/>
      <c r="U82" s="43">
        <f>IF(D82=0,0,SUM($L$21:L82))</f>
        <v>9741794.2157696672</v>
      </c>
      <c r="V82" s="43">
        <f>IF(D82=0,0,SUM($J$21:J82))</f>
        <v>11364410</v>
      </c>
      <c r="W82" s="284">
        <f t="shared" si="10"/>
        <v>1622615.7842303328</v>
      </c>
      <c r="X82" s="200">
        <f t="shared" si="17"/>
        <v>1.1665623137064116</v>
      </c>
      <c r="Y82" s="201">
        <f t="shared" si="28"/>
        <v>45719</v>
      </c>
      <c r="Z82" s="202">
        <f t="shared" si="28"/>
        <v>45719</v>
      </c>
      <c r="AA82" s="246">
        <v>9</v>
      </c>
      <c r="AB82" s="243" t="s">
        <v>221</v>
      </c>
      <c r="AC82" s="251">
        <f>IFERROR(AVERAGEIFS(J264:J293,D264:D293,1,G264:G293,"sat"),0)</f>
        <v>201449</v>
      </c>
      <c r="AD82" s="275">
        <f>COUNTIFS(D264:D293,1,G264:G293,"sat")</f>
        <v>4</v>
      </c>
      <c r="AE82" s="265">
        <f>($I$15*'2024(¥)'!AI81)/AD82</f>
        <v>148760.97391454322</v>
      </c>
      <c r="AF82" s="138">
        <f t="shared" si="29"/>
        <v>595043.8956581729</v>
      </c>
      <c r="AG82" s="273" t="s">
        <v>198</v>
      </c>
      <c r="AH82" s="203"/>
      <c r="AI82" s="18"/>
      <c r="AJ82" s="18"/>
      <c r="AK82" s="18"/>
      <c r="AL82" s="18"/>
      <c r="AM82" s="18"/>
      <c r="AN82" s="18"/>
    </row>
    <row r="83" spans="1:40" ht="20">
      <c r="A83" s="18"/>
      <c r="B83" s="151"/>
      <c r="C83" s="55">
        <v>63</v>
      </c>
      <c r="D83" s="54">
        <v>1</v>
      </c>
      <c r="E83" s="190">
        <f t="shared" si="12"/>
        <v>3</v>
      </c>
      <c r="F83" s="191">
        <f t="shared" si="13"/>
        <v>45720</v>
      </c>
      <c r="G83" s="192" t="str">
        <f t="shared" si="14"/>
        <v>Tue</v>
      </c>
      <c r="H83" s="193"/>
      <c r="I83" s="194"/>
      <c r="J83" s="214">
        <v>161920</v>
      </c>
      <c r="K83" s="215"/>
      <c r="L83" s="43">
        <f t="shared" si="15"/>
        <v>257148.23064391402</v>
      </c>
      <c r="M83" s="280">
        <f t="shared" si="7"/>
        <v>-95228.230643914023</v>
      </c>
      <c r="N83" s="41">
        <f t="shared" si="8"/>
        <v>0.62967573058754078</v>
      </c>
      <c r="O83" s="56"/>
      <c r="P83" s="43">
        <f>IF(D83=0,0,SUM($L$80:L83))</f>
        <v>583557.83102896693</v>
      </c>
      <c r="Q83" s="43">
        <f>IF(D83=0,0,SUM($J$80:J83))</f>
        <v>409240</v>
      </c>
      <c r="R83" s="282">
        <f t="shared" si="9"/>
        <v>-174317.83102896693</v>
      </c>
      <c r="S83" s="198">
        <f t="shared" si="16"/>
        <v>0.70128439417632615</v>
      </c>
      <c r="T83" s="207"/>
      <c r="U83" s="43">
        <f>IF(D83=0,0,SUM($L$21:L83))</f>
        <v>9998942.4464135803</v>
      </c>
      <c r="V83" s="43">
        <f>IF(D83=0,0,SUM($J$21:J83))</f>
        <v>11526330</v>
      </c>
      <c r="W83" s="284">
        <f t="shared" si="10"/>
        <v>1527387.5535864197</v>
      </c>
      <c r="X83" s="200">
        <f t="shared" si="17"/>
        <v>1.1527549100089343</v>
      </c>
      <c r="Y83" s="201">
        <f t="shared" si="28"/>
        <v>45720</v>
      </c>
      <c r="Z83" s="202">
        <f t="shared" si="28"/>
        <v>45720</v>
      </c>
      <c r="AA83" s="246">
        <v>9</v>
      </c>
      <c r="AB83" s="243" t="s">
        <v>222</v>
      </c>
      <c r="AC83" s="251">
        <f>IFERROR(AVERAGEIFS(J264:J293,D264:D293,1,G264:G293,"sun"),0)</f>
        <v>0</v>
      </c>
      <c r="AD83" s="275">
        <f>IFERROR(COUNTIFS(D264:D293,1,G264:G293,"sun"),0)</f>
        <v>0</v>
      </c>
      <c r="AE83" s="265">
        <f>IFERROR(($I$15*'2024(¥)'!AI82)/AD83,0)</f>
        <v>0</v>
      </c>
      <c r="AF83" s="271">
        <f>SUM(AF77:AF82)</f>
        <v>6041958.0419580415</v>
      </c>
      <c r="AG83" s="272">
        <f>I15</f>
        <v>6041958.0419580424</v>
      </c>
      <c r="AH83" s="270"/>
      <c r="AI83" s="18"/>
      <c r="AJ83" s="18"/>
      <c r="AK83" s="18"/>
      <c r="AL83" s="18"/>
      <c r="AM83" s="18"/>
      <c r="AN83" s="18"/>
    </row>
    <row r="84" spans="1:40" ht="20">
      <c r="A84" s="18"/>
      <c r="B84" s="151"/>
      <c r="C84" s="55">
        <v>64</v>
      </c>
      <c r="D84" s="54">
        <v>1</v>
      </c>
      <c r="E84" s="190">
        <f t="shared" si="12"/>
        <v>3</v>
      </c>
      <c r="F84" s="191">
        <f t="shared" si="13"/>
        <v>45721</v>
      </c>
      <c r="G84" s="192" t="str">
        <f t="shared" si="14"/>
        <v>Wed</v>
      </c>
      <c r="H84" s="193"/>
      <c r="I84" s="194"/>
      <c r="J84" s="214">
        <v>211040</v>
      </c>
      <c r="K84" s="215"/>
      <c r="L84" s="43">
        <f t="shared" si="15"/>
        <v>214767.12776509949</v>
      </c>
      <c r="M84" s="280">
        <f t="shared" si="7"/>
        <v>-3727.1277650994889</v>
      </c>
      <c r="N84" s="41">
        <f t="shared" si="8"/>
        <v>0.98264572514479021</v>
      </c>
      <c r="O84" s="56"/>
      <c r="P84" s="43">
        <f>IF(D84=0,0,SUM($L$80:L84))</f>
        <v>798324.95879406645</v>
      </c>
      <c r="Q84" s="43">
        <f>IF(D84=0,0,SUM($J$80:J84))</f>
        <v>620280</v>
      </c>
      <c r="R84" s="282">
        <f t="shared" si="9"/>
        <v>-178044.95879406645</v>
      </c>
      <c r="S84" s="198">
        <f t="shared" si="16"/>
        <v>0.77697683526891415</v>
      </c>
      <c r="T84" s="207"/>
      <c r="U84" s="43">
        <f>IF(D84=0,0,SUM($L$21:L84))</f>
        <v>10213709.574178679</v>
      </c>
      <c r="V84" s="43">
        <f>IF(D84=0,0,SUM($J$21:J84))</f>
        <v>11737370</v>
      </c>
      <c r="W84" s="284">
        <f t="shared" si="10"/>
        <v>1523660.4258213211</v>
      </c>
      <c r="X84" s="200">
        <f t="shared" si="17"/>
        <v>1.1491779666100252</v>
      </c>
      <c r="Y84" s="201">
        <f t="shared" si="28"/>
        <v>45721</v>
      </c>
      <c r="Z84" s="202">
        <f t="shared" si="28"/>
        <v>45721</v>
      </c>
      <c r="AA84" s="246">
        <v>10</v>
      </c>
      <c r="AB84" s="136" t="s">
        <v>216</v>
      </c>
      <c r="AC84" s="251">
        <f>IFERROR(AVERAGEIFS(J294:J324,D294:D324,1,G294:G324,"mon"),0)</f>
        <v>330660</v>
      </c>
      <c r="AD84" s="275">
        <f>COUNTIFS(D294:D324,1,G294:G324,"Mon")</f>
        <v>3</v>
      </c>
      <c r="AE84" s="265">
        <f>($I$16*'2024(¥)'!AI83)/AD84</f>
        <v>304150.9990945959</v>
      </c>
      <c r="AF84" s="138">
        <f t="shared" ref="AF84:AF89" si="30">AD84*AE84</f>
        <v>912452.9972837877</v>
      </c>
      <c r="AG84" s="203" t="s">
        <v>137</v>
      </c>
      <c r="AH84" s="203"/>
      <c r="AI84" s="18"/>
      <c r="AJ84" s="18"/>
      <c r="AK84" s="18"/>
      <c r="AL84" s="18"/>
      <c r="AM84" s="18"/>
      <c r="AN84" s="18"/>
    </row>
    <row r="85" spans="1:40" ht="20">
      <c r="A85" s="18"/>
      <c r="B85" s="151"/>
      <c r="C85" s="55">
        <v>65</v>
      </c>
      <c r="D85" s="54">
        <v>1</v>
      </c>
      <c r="E85" s="190">
        <f t="shared" si="12"/>
        <v>3</v>
      </c>
      <c r="F85" s="191">
        <f t="shared" si="13"/>
        <v>45722</v>
      </c>
      <c r="G85" s="192" t="str">
        <f t="shared" si="14"/>
        <v>Thu</v>
      </c>
      <c r="H85" s="193"/>
      <c r="I85" s="194"/>
      <c r="J85" s="214">
        <v>347450</v>
      </c>
      <c r="K85" s="215"/>
      <c r="L85" s="43">
        <f t="shared" si="15"/>
        <v>400846.68296130747</v>
      </c>
      <c r="M85" s="280">
        <f t="shared" ref="M85:M148" si="31">IF(D85=0,0,J85-L85)</f>
        <v>-53396.682961307466</v>
      </c>
      <c r="N85" s="41">
        <f t="shared" si="8"/>
        <v>0.86679025864245041</v>
      </c>
      <c r="O85" s="56"/>
      <c r="P85" s="43">
        <f>IF(D85=0,0,SUM($L$80:L85))</f>
        <v>1199171.6417553739</v>
      </c>
      <c r="Q85" s="43">
        <f>IF(D85=0,0,SUM($J$80:J85))</f>
        <v>967730</v>
      </c>
      <c r="R85" s="282">
        <f t="shared" ref="R85:R148" si="32">IF(D85=0,0,Q85-P85)</f>
        <v>-231441.64175537392</v>
      </c>
      <c r="S85" s="198">
        <f t="shared" si="16"/>
        <v>0.80699873671413336</v>
      </c>
      <c r="T85" s="207"/>
      <c r="U85" s="43">
        <f>IF(D85=0,0,SUM($L$21:L85))</f>
        <v>10614556.257139986</v>
      </c>
      <c r="V85" s="43">
        <f>IF(D85=0,0,SUM($J$21:J85))</f>
        <v>12084820</v>
      </c>
      <c r="W85" s="284">
        <f t="shared" ref="W85:W148" si="33">IF(D85=0,0,V85-U85)</f>
        <v>1470263.7428600136</v>
      </c>
      <c r="X85" s="200">
        <f t="shared" si="17"/>
        <v>1.1385139149713419</v>
      </c>
      <c r="Y85" s="201">
        <f t="shared" si="28"/>
        <v>45722</v>
      </c>
      <c r="Z85" s="202">
        <f t="shared" si="28"/>
        <v>45722</v>
      </c>
      <c r="AA85" s="246">
        <v>10</v>
      </c>
      <c r="AB85" s="243" t="s">
        <v>217</v>
      </c>
      <c r="AC85" s="251">
        <f>IFERROR(AVERAGEIFS(J294:J324,D294:D324,1,G294:G324,"tue"),0)</f>
        <v>331132.5</v>
      </c>
      <c r="AD85" s="275">
        <f>COUNTIFS(D294:D324,1,G294:G324,"tue")</f>
        <v>4</v>
      </c>
      <c r="AE85" s="265">
        <f>($I$16*'2024(¥)'!AI84)/AD85</f>
        <v>320680.47513018566</v>
      </c>
      <c r="AF85" s="138">
        <f t="shared" si="30"/>
        <v>1282721.9005207426</v>
      </c>
      <c r="AG85" s="203"/>
      <c r="AH85" s="203"/>
      <c r="AI85" s="18"/>
      <c r="AJ85" s="18"/>
      <c r="AK85" s="18"/>
      <c r="AL85" s="18"/>
      <c r="AM85" s="18"/>
      <c r="AN85" s="18"/>
    </row>
    <row r="86" spans="1:40" ht="20">
      <c r="A86" s="18"/>
      <c r="B86" s="151"/>
      <c r="C86" s="55">
        <v>66</v>
      </c>
      <c r="D86" s="54">
        <v>1</v>
      </c>
      <c r="E86" s="190">
        <f t="shared" ref="E86:E149" si="34">MONTH(Y86)</f>
        <v>3</v>
      </c>
      <c r="F86" s="191">
        <f t="shared" ref="F86:F149" si="35">F85+1</f>
        <v>45723</v>
      </c>
      <c r="G86" s="192" t="str">
        <f t="shared" ref="G86:G149" si="36">TEXT(Z86,"ddd")</f>
        <v>Fri</v>
      </c>
      <c r="H86" s="193"/>
      <c r="I86" s="194"/>
      <c r="J86" s="214">
        <v>346310</v>
      </c>
      <c r="K86" s="215"/>
      <c r="L86" s="43">
        <f t="shared" ref="L86:L149" si="37">IF(D86=0,0,IFERROR(SUMIFS($AE$21:$AE$104,$AA$21:$AA$104,$E86,$AB$21:$AB$104,$G86),0))</f>
        <v>392864.20231526328</v>
      </c>
      <c r="M86" s="280">
        <f t="shared" si="31"/>
        <v>-46554.202315263276</v>
      </c>
      <c r="N86" s="41">
        <f t="shared" si="8"/>
        <v>0.88150052348647245</v>
      </c>
      <c r="O86" s="56"/>
      <c r="P86" s="43">
        <f>IF(D86=0,0,SUM($L$80:L86))</f>
        <v>1592035.8440706371</v>
      </c>
      <c r="Q86" s="43">
        <f>IF(D86=0,0,SUM($J$80:J86))</f>
        <v>1314040</v>
      </c>
      <c r="R86" s="282">
        <f t="shared" si="32"/>
        <v>-277995.84407063713</v>
      </c>
      <c r="S86" s="198">
        <f t="shared" ref="S86:S149" si="38">IF(D86=0,0,Q86/P86)</f>
        <v>0.82538342644356777</v>
      </c>
      <c r="T86" s="207"/>
      <c r="U86" s="43">
        <f>IF(D86=0,0,SUM($L$21:L86))</f>
        <v>11007420.45945525</v>
      </c>
      <c r="V86" s="43">
        <f>IF(D86=0,0,SUM($J$21:J86))</f>
        <v>12431130</v>
      </c>
      <c r="W86" s="284">
        <f t="shared" si="33"/>
        <v>1423709.5405447502</v>
      </c>
      <c r="X86" s="200">
        <f t="shared" ref="X86:X149" si="39">IF(D86=0,0,V86/U86)</f>
        <v>1.1293408883388114</v>
      </c>
      <c r="Y86" s="201">
        <f t="shared" si="28"/>
        <v>45723</v>
      </c>
      <c r="Z86" s="202">
        <f t="shared" si="28"/>
        <v>45723</v>
      </c>
      <c r="AA86" s="246">
        <v>10</v>
      </c>
      <c r="AB86" s="243" t="s">
        <v>218</v>
      </c>
      <c r="AC86" s="251">
        <f>IFERROR(AVERAGEIFS(J294:J324,D294:D324,1,G294:G324,"wed"),0)</f>
        <v>314614</v>
      </c>
      <c r="AD86" s="275">
        <f>COUNTIFS(D294:D324,1,G294:G324,"wed")</f>
        <v>5</v>
      </c>
      <c r="AE86" s="265">
        <f>($I$16*'2024(¥)'!AI85)/AD86</f>
        <v>276756.88908168982</v>
      </c>
      <c r="AF86" s="138">
        <f t="shared" si="30"/>
        <v>1383784.445408449</v>
      </c>
      <c r="AG86" s="203"/>
      <c r="AH86" s="203"/>
      <c r="AI86" s="18"/>
      <c r="AJ86" s="18"/>
      <c r="AK86" s="18"/>
      <c r="AL86" s="18"/>
      <c r="AM86" s="18"/>
      <c r="AN86" s="18"/>
    </row>
    <row r="87" spans="1:40" ht="20">
      <c r="A87" s="18"/>
      <c r="B87" s="151"/>
      <c r="C87" s="55">
        <v>67</v>
      </c>
      <c r="D87" s="54">
        <v>1</v>
      </c>
      <c r="E87" s="190">
        <f t="shared" si="34"/>
        <v>3</v>
      </c>
      <c r="F87" s="191">
        <f t="shared" si="35"/>
        <v>45724</v>
      </c>
      <c r="G87" s="192" t="str">
        <f t="shared" si="36"/>
        <v>Sat</v>
      </c>
      <c r="H87" s="193"/>
      <c r="I87" s="194"/>
      <c r="J87" s="214">
        <v>60610</v>
      </c>
      <c r="K87" s="215"/>
      <c r="L87" s="43">
        <f t="shared" si="37"/>
        <v>147971.56764600077</v>
      </c>
      <c r="M87" s="280">
        <f t="shared" si="31"/>
        <v>-87361.567646000767</v>
      </c>
      <c r="N87" s="41">
        <f t="shared" si="8"/>
        <v>0.40960571658604111</v>
      </c>
      <c r="O87" s="56"/>
      <c r="P87" s="43">
        <f>IF(D87=0,0,SUM($L$80:L87))</f>
        <v>1740007.4117166379</v>
      </c>
      <c r="Q87" s="43">
        <f>IF(D87=0,0,SUM($J$80:J87))</f>
        <v>1374650</v>
      </c>
      <c r="R87" s="282">
        <f t="shared" si="32"/>
        <v>-365357.4117166379</v>
      </c>
      <c r="S87" s="198">
        <f t="shared" si="38"/>
        <v>0.79002537043437793</v>
      </c>
      <c r="T87" s="207"/>
      <c r="U87" s="43">
        <f>IF(D87=0,0,SUM($L$21:L87))</f>
        <v>11155392.02710125</v>
      </c>
      <c r="V87" s="43">
        <f>IF(D87=0,0,SUM($J$21:J87))</f>
        <v>12491740</v>
      </c>
      <c r="W87" s="284">
        <f t="shared" si="33"/>
        <v>1336347.9728987496</v>
      </c>
      <c r="X87" s="200">
        <f t="shared" si="39"/>
        <v>1.1197939050149188</v>
      </c>
      <c r="Y87" s="201">
        <f t="shared" ref="Y87:Z102" si="40">Y86+1</f>
        <v>45724</v>
      </c>
      <c r="Z87" s="202">
        <f t="shared" si="40"/>
        <v>45724</v>
      </c>
      <c r="AA87" s="246">
        <v>10</v>
      </c>
      <c r="AB87" s="243" t="s">
        <v>219</v>
      </c>
      <c r="AC87" s="251">
        <f>IFERROR(AVERAGEIFS(J294:J324,D294:D324,1,G294:G324,"thu"),0)</f>
        <v>321722</v>
      </c>
      <c r="AD87" s="275">
        <f>COUNTIFS(D294:D324,1,G294:G324,"thu")</f>
        <v>5</v>
      </c>
      <c r="AE87" s="265">
        <f>($I$16*'2024(¥)'!AI86)/AD87</f>
        <v>322731.40456446103</v>
      </c>
      <c r="AF87" s="138">
        <f t="shared" si="30"/>
        <v>1613657.0228223051</v>
      </c>
      <c r="AG87" s="203"/>
      <c r="AH87" s="203"/>
      <c r="AI87" s="18"/>
      <c r="AJ87" s="18"/>
      <c r="AK87" s="18"/>
      <c r="AL87" s="18"/>
      <c r="AM87" s="18"/>
      <c r="AN87" s="18"/>
    </row>
    <row r="88" spans="1:40" ht="20">
      <c r="A88" s="18"/>
      <c r="B88" s="151"/>
      <c r="C88" s="55">
        <v>68</v>
      </c>
      <c r="D88" s="54">
        <v>0</v>
      </c>
      <c r="E88" s="190">
        <f t="shared" si="34"/>
        <v>3</v>
      </c>
      <c r="F88" s="191">
        <f t="shared" si="35"/>
        <v>45725</v>
      </c>
      <c r="G88" s="192" t="str">
        <f t="shared" si="36"/>
        <v>Sun</v>
      </c>
      <c r="H88" s="193"/>
      <c r="I88" s="194"/>
      <c r="J88" s="214"/>
      <c r="K88" s="215"/>
      <c r="L88" s="43">
        <f t="shared" si="37"/>
        <v>0</v>
      </c>
      <c r="M88" s="280">
        <f t="shared" si="31"/>
        <v>0</v>
      </c>
      <c r="N88" s="41" t="str">
        <f t="shared" si="8"/>
        <v>¥0</v>
      </c>
      <c r="O88" s="44"/>
      <c r="P88" s="43">
        <f>IF(D88=0,0,SUM($L$80:L88))</f>
        <v>0</v>
      </c>
      <c r="Q88" s="43">
        <f>IF(D88=0,0,SUM($J$80:J88))</f>
        <v>0</v>
      </c>
      <c r="R88" s="282">
        <f t="shared" si="32"/>
        <v>0</v>
      </c>
      <c r="S88" s="198">
        <f t="shared" si="38"/>
        <v>0</v>
      </c>
      <c r="T88" s="212"/>
      <c r="U88" s="43">
        <f>IF(D88=0,0,SUM($L$21:L88))</f>
        <v>0</v>
      </c>
      <c r="V88" s="43">
        <f>IF(D88=0,0,SUM($J$21:J88))</f>
        <v>0</v>
      </c>
      <c r="W88" s="284">
        <f t="shared" si="33"/>
        <v>0</v>
      </c>
      <c r="X88" s="200">
        <f t="shared" si="39"/>
        <v>0</v>
      </c>
      <c r="Y88" s="201">
        <f t="shared" si="40"/>
        <v>45725</v>
      </c>
      <c r="Z88" s="202">
        <f t="shared" si="40"/>
        <v>45725</v>
      </c>
      <c r="AA88" s="246">
        <v>10</v>
      </c>
      <c r="AB88" s="243" t="s">
        <v>220</v>
      </c>
      <c r="AC88" s="251">
        <f>IFERROR(AVERAGEIFS(J294:J324,D294:D324,1,G294:G324,"fri"),0)</f>
        <v>327496</v>
      </c>
      <c r="AD88" s="275">
        <f>COUNTIFS(D294:D324,1,G294:G324,"fri")</f>
        <v>5</v>
      </c>
      <c r="AE88" s="265">
        <f>($I$16*'2024(¥)'!AI87)/AD88</f>
        <v>260168.01277285878</v>
      </c>
      <c r="AF88" s="138">
        <f t="shared" si="30"/>
        <v>1300840.063864294</v>
      </c>
      <c r="AG88" s="203"/>
      <c r="AH88" s="203"/>
      <c r="AI88" s="18"/>
      <c r="AJ88" s="18"/>
      <c r="AK88" s="18"/>
      <c r="AL88" s="18"/>
      <c r="AM88" s="18"/>
      <c r="AN88" s="18"/>
    </row>
    <row r="89" spans="1:40" ht="20">
      <c r="A89" s="18"/>
      <c r="B89" s="151"/>
      <c r="C89" s="55">
        <v>69</v>
      </c>
      <c r="D89" s="54">
        <v>1</v>
      </c>
      <c r="E89" s="190">
        <f t="shared" si="34"/>
        <v>3</v>
      </c>
      <c r="F89" s="191">
        <f t="shared" si="35"/>
        <v>45726</v>
      </c>
      <c r="G89" s="192" t="str">
        <f t="shared" si="36"/>
        <v>Mon</v>
      </c>
      <c r="H89" s="193"/>
      <c r="I89" s="194"/>
      <c r="J89" s="214">
        <v>273200</v>
      </c>
      <c r="K89" s="215"/>
      <c r="L89" s="43">
        <f t="shared" si="37"/>
        <v>178438.03273905211</v>
      </c>
      <c r="M89" s="280">
        <f t="shared" si="31"/>
        <v>94761.967260947888</v>
      </c>
      <c r="N89" s="41">
        <f t="shared" si="8"/>
        <v>1.5310637301159213</v>
      </c>
      <c r="O89" s="56"/>
      <c r="P89" s="43">
        <f>IF(D89=0,0,SUM($L$80:L89))</f>
        <v>1918445.44445569</v>
      </c>
      <c r="Q89" s="43">
        <f>IF(D89=0,0,SUM($J$80:J89))</f>
        <v>1647850</v>
      </c>
      <c r="R89" s="282">
        <f t="shared" si="32"/>
        <v>-270595.44445568998</v>
      </c>
      <c r="S89" s="198">
        <f t="shared" si="38"/>
        <v>0.85895067006585402</v>
      </c>
      <c r="T89" s="207"/>
      <c r="U89" s="43">
        <f>IF(D89=0,0,SUM($L$21:L89))</f>
        <v>11333830.059840303</v>
      </c>
      <c r="V89" s="43">
        <f>IF(D89=0,0,SUM($J$21:J89))</f>
        <v>12764940</v>
      </c>
      <c r="W89" s="284">
        <f t="shared" si="33"/>
        <v>1431109.9401596971</v>
      </c>
      <c r="X89" s="200">
        <f t="shared" si="39"/>
        <v>1.1262688722703385</v>
      </c>
      <c r="Y89" s="201">
        <f t="shared" si="40"/>
        <v>45726</v>
      </c>
      <c r="Z89" s="202">
        <f t="shared" si="40"/>
        <v>45726</v>
      </c>
      <c r="AA89" s="246">
        <v>10</v>
      </c>
      <c r="AB89" s="243" t="s">
        <v>221</v>
      </c>
      <c r="AC89" s="251">
        <f>IFERROR(AVERAGEIFS(J294:J324,D294:D324,1,G294:G324,"sat"),0)</f>
        <v>167127.5</v>
      </c>
      <c r="AD89" s="275">
        <f>COUNTIFS(D294:D324,1,G294:G324,"sat")</f>
        <v>4</v>
      </c>
      <c r="AE89" s="265">
        <f>($I$16*'2024(¥)'!AI88)/AD89</f>
        <v>176635.89252510565</v>
      </c>
      <c r="AF89" s="138">
        <f t="shared" si="30"/>
        <v>706543.5701004226</v>
      </c>
      <c r="AG89" s="273" t="s">
        <v>199</v>
      </c>
      <c r="AH89" s="203"/>
      <c r="AI89" s="18"/>
      <c r="AJ89" s="18"/>
      <c r="AK89" s="18"/>
      <c r="AL89" s="18"/>
      <c r="AM89" s="18"/>
      <c r="AN89" s="18"/>
    </row>
    <row r="90" spans="1:40" ht="20">
      <c r="A90" s="18"/>
      <c r="B90" s="151"/>
      <c r="C90" s="55">
        <v>70</v>
      </c>
      <c r="D90" s="54">
        <v>1</v>
      </c>
      <c r="E90" s="190">
        <f t="shared" si="34"/>
        <v>3</v>
      </c>
      <c r="F90" s="191">
        <f t="shared" si="35"/>
        <v>45727</v>
      </c>
      <c r="G90" s="192" t="str">
        <f t="shared" si="36"/>
        <v>Tue</v>
      </c>
      <c r="H90" s="193"/>
      <c r="I90" s="194"/>
      <c r="J90" s="214">
        <v>262880</v>
      </c>
      <c r="K90" s="215"/>
      <c r="L90" s="43">
        <f t="shared" si="37"/>
        <v>257148.23064391402</v>
      </c>
      <c r="M90" s="280">
        <f t="shared" si="31"/>
        <v>5731.7693560859771</v>
      </c>
      <c r="N90" s="41">
        <f t="shared" si="8"/>
        <v>1.0222897483748314</v>
      </c>
      <c r="O90" s="56"/>
      <c r="P90" s="43">
        <f>IF(D90=0,0,SUM($L$80:L90))</f>
        <v>2175593.6750996038</v>
      </c>
      <c r="Q90" s="43">
        <f>IF(D90=0,0,SUM($J$80:J90))</f>
        <v>1910730</v>
      </c>
      <c r="R90" s="282">
        <f t="shared" si="32"/>
        <v>-264863.67509960383</v>
      </c>
      <c r="S90" s="198">
        <f t="shared" si="38"/>
        <v>0.87825682794951232</v>
      </c>
      <c r="T90" s="207"/>
      <c r="U90" s="43">
        <f>IF(D90=0,0,SUM($L$21:L90))</f>
        <v>11590978.290484216</v>
      </c>
      <c r="V90" s="43">
        <f>IF(D90=0,0,SUM($J$21:J90))</f>
        <v>13027820</v>
      </c>
      <c r="W90" s="284">
        <f t="shared" si="33"/>
        <v>1436841.7095157839</v>
      </c>
      <c r="X90" s="200">
        <f t="shared" si="39"/>
        <v>1.1239620740809584</v>
      </c>
      <c r="Y90" s="201">
        <f t="shared" si="40"/>
        <v>45727</v>
      </c>
      <c r="Z90" s="202">
        <f t="shared" si="40"/>
        <v>45727</v>
      </c>
      <c r="AA90" s="246">
        <v>10</v>
      </c>
      <c r="AB90" s="243" t="s">
        <v>222</v>
      </c>
      <c r="AC90" s="251">
        <f>IFERROR(AVERAGEIFS(J294:J324,D294:D324,1,G294:G324,"sun"),0)</f>
        <v>0</v>
      </c>
      <c r="AD90" s="275">
        <f>IFERROR(COUNTIFS(D294:D324,1,G294:G324,"sun"),0)</f>
        <v>0</v>
      </c>
      <c r="AE90" s="265">
        <f>IFERROR(($I$16*'2024(¥)'!AI89)/AD90,0)</f>
        <v>0</v>
      </c>
      <c r="AF90" s="271">
        <f>SUM(AF84:AF89)</f>
        <v>7200000.0000000019</v>
      </c>
      <c r="AG90" s="272">
        <f>I16</f>
        <v>7200000.0000000009</v>
      </c>
      <c r="AH90" s="270"/>
      <c r="AI90" s="18"/>
      <c r="AJ90" s="18"/>
      <c r="AK90" s="18"/>
      <c r="AL90" s="18"/>
      <c r="AM90" s="18"/>
      <c r="AN90" s="18"/>
    </row>
    <row r="91" spans="1:40" ht="20">
      <c r="A91" s="18"/>
      <c r="B91" s="151"/>
      <c r="C91" s="55">
        <v>71</v>
      </c>
      <c r="D91" s="54">
        <v>1</v>
      </c>
      <c r="E91" s="190">
        <f t="shared" si="34"/>
        <v>3</v>
      </c>
      <c r="F91" s="191">
        <f t="shared" si="35"/>
        <v>45728</v>
      </c>
      <c r="G91" s="192" t="str">
        <f t="shared" si="36"/>
        <v>Wed</v>
      </c>
      <c r="H91" s="193"/>
      <c r="I91" s="194"/>
      <c r="J91" s="214">
        <v>298290</v>
      </c>
      <c r="K91" s="215"/>
      <c r="L91" s="43">
        <f t="shared" si="37"/>
        <v>214767.12776509949</v>
      </c>
      <c r="M91" s="280">
        <f t="shared" si="31"/>
        <v>83522.872234900511</v>
      </c>
      <c r="N91" s="41">
        <f t="shared" si="8"/>
        <v>1.3888997031531438</v>
      </c>
      <c r="O91" s="56"/>
      <c r="P91" s="43">
        <f>IF(D91=0,0,SUM($L$80:L91))</f>
        <v>2390360.8028647033</v>
      </c>
      <c r="Q91" s="43">
        <f>IF(D91=0,0,SUM($J$80:J91))</f>
        <v>2209020</v>
      </c>
      <c r="R91" s="282">
        <f t="shared" si="32"/>
        <v>-181340.80286470335</v>
      </c>
      <c r="S91" s="198">
        <f t="shared" si="38"/>
        <v>0.92413663968745752</v>
      </c>
      <c r="T91" s="207"/>
      <c r="U91" s="43">
        <f>IF(D91=0,0,SUM($L$21:L91))</f>
        <v>11805745.418249315</v>
      </c>
      <c r="V91" s="43">
        <f>IF(D91=0,0,SUM($J$21:J91))</f>
        <v>13326110</v>
      </c>
      <c r="W91" s="284">
        <f t="shared" si="33"/>
        <v>1520364.5817506853</v>
      </c>
      <c r="X91" s="200">
        <f t="shared" si="39"/>
        <v>1.1287817522644954</v>
      </c>
      <c r="Y91" s="201">
        <f t="shared" si="40"/>
        <v>45728</v>
      </c>
      <c r="Z91" s="202">
        <f t="shared" si="40"/>
        <v>45728</v>
      </c>
      <c r="AA91" s="246">
        <v>11</v>
      </c>
      <c r="AB91" s="136" t="s">
        <v>216</v>
      </c>
      <c r="AC91" s="251">
        <f>IFERROR(AVERAGEIFS(J325:J354,D325:D354,1,G325:G354,"mon"),0)</f>
        <v>300855</v>
      </c>
      <c r="AD91" s="275">
        <f>COUNTIFS(D325:D354,1,G325:G354,"Mon")</f>
        <v>2</v>
      </c>
      <c r="AE91" s="265">
        <f>($I$17*'2024(¥)'!AI90)/AD91</f>
        <v>275598.98034117423</v>
      </c>
      <c r="AF91" s="138">
        <f t="shared" ref="AF91:AF96" si="41">AD91*AE91</f>
        <v>551197.96068234846</v>
      </c>
      <c r="AG91" s="203" t="s">
        <v>138</v>
      </c>
      <c r="AH91" s="203"/>
      <c r="AI91" s="18"/>
      <c r="AJ91" s="18"/>
      <c r="AK91" s="18"/>
      <c r="AL91" s="18"/>
      <c r="AM91" s="18"/>
      <c r="AN91" s="18"/>
    </row>
    <row r="92" spans="1:40" ht="20">
      <c r="A92" s="18"/>
      <c r="B92" s="151"/>
      <c r="C92" s="55">
        <v>72</v>
      </c>
      <c r="D92" s="54">
        <v>1</v>
      </c>
      <c r="E92" s="190">
        <f t="shared" si="34"/>
        <v>3</v>
      </c>
      <c r="F92" s="191">
        <f t="shared" si="35"/>
        <v>45729</v>
      </c>
      <c r="G92" s="192" t="str">
        <f t="shared" si="36"/>
        <v>Thu</v>
      </c>
      <c r="H92" s="193"/>
      <c r="I92" s="194"/>
      <c r="J92" s="214">
        <v>302800</v>
      </c>
      <c r="K92" s="215"/>
      <c r="L92" s="43">
        <f t="shared" si="37"/>
        <v>400846.68296130747</v>
      </c>
      <c r="M92" s="280">
        <f t="shared" si="31"/>
        <v>-98046.682961307466</v>
      </c>
      <c r="N92" s="41">
        <f t="shared" si="8"/>
        <v>0.75540103703247652</v>
      </c>
      <c r="O92" s="56"/>
      <c r="P92" s="43">
        <f>IF(D92=0,0,SUM($L$80:L92))</f>
        <v>2791207.4858260108</v>
      </c>
      <c r="Q92" s="43">
        <f>IF(D92=0,0,SUM($J$80:J92))</f>
        <v>2511820</v>
      </c>
      <c r="R92" s="282">
        <f t="shared" si="32"/>
        <v>-279387.48582601082</v>
      </c>
      <c r="S92" s="198">
        <f t="shared" si="38"/>
        <v>0.89990443661219588</v>
      </c>
      <c r="T92" s="207"/>
      <c r="U92" s="43">
        <f>IF(D92=0,0,SUM($L$21:L92))</f>
        <v>12206592.101210622</v>
      </c>
      <c r="V92" s="43">
        <f>IF(D92=0,0,SUM($J$21:J92))</f>
        <v>13628910</v>
      </c>
      <c r="W92" s="284">
        <f t="shared" si="33"/>
        <v>1422317.8987893779</v>
      </c>
      <c r="X92" s="200">
        <f t="shared" si="39"/>
        <v>1.1165204741009012</v>
      </c>
      <c r="Y92" s="201">
        <f t="shared" si="40"/>
        <v>45729</v>
      </c>
      <c r="Z92" s="202">
        <f t="shared" si="40"/>
        <v>45729</v>
      </c>
      <c r="AA92" s="246">
        <v>11</v>
      </c>
      <c r="AB92" s="243" t="s">
        <v>217</v>
      </c>
      <c r="AC92" s="251">
        <f>IFERROR(AVERAGEIFS(J325:J354,D325:D354,1,G325:G354,"tue"),0)</f>
        <v>306327.5</v>
      </c>
      <c r="AD92" s="275">
        <f>COUNTIFS(D325:D354,1,G325:G354,"tue")</f>
        <v>4</v>
      </c>
      <c r="AE92" s="265">
        <f>($I$17*'2024(¥)'!AI91)/AD92</f>
        <v>241304.76560243504</v>
      </c>
      <c r="AF92" s="138">
        <f t="shared" si="41"/>
        <v>965219.06240974017</v>
      </c>
      <c r="AG92" s="203"/>
      <c r="AH92" s="203"/>
      <c r="AI92" s="18"/>
      <c r="AJ92" s="18"/>
      <c r="AK92" s="18"/>
      <c r="AL92" s="18"/>
      <c r="AM92" s="18"/>
      <c r="AN92" s="18"/>
    </row>
    <row r="93" spans="1:40" ht="20">
      <c r="A93" s="18"/>
      <c r="B93" s="151"/>
      <c r="C93" s="55">
        <v>73</v>
      </c>
      <c r="D93" s="54">
        <v>1</v>
      </c>
      <c r="E93" s="190">
        <f t="shared" si="34"/>
        <v>3</v>
      </c>
      <c r="F93" s="191">
        <f t="shared" si="35"/>
        <v>45730</v>
      </c>
      <c r="G93" s="192" t="str">
        <f t="shared" si="36"/>
        <v>Fri</v>
      </c>
      <c r="H93" s="193"/>
      <c r="I93" s="194"/>
      <c r="J93" s="214">
        <v>336320</v>
      </c>
      <c r="K93" s="215"/>
      <c r="L93" s="43">
        <f t="shared" si="37"/>
        <v>392864.20231526328</v>
      </c>
      <c r="M93" s="280">
        <f t="shared" si="31"/>
        <v>-56544.202315263276</v>
      </c>
      <c r="N93" s="41">
        <f t="shared" si="8"/>
        <v>0.85607188951797641</v>
      </c>
      <c r="O93" s="56"/>
      <c r="P93" s="43">
        <f>IF(D93=0,0,SUM($L$80:L93))</f>
        <v>3184071.6881412743</v>
      </c>
      <c r="Q93" s="43">
        <f>IF(D93=0,0,SUM($J$80:J93))</f>
        <v>2848140</v>
      </c>
      <c r="R93" s="282">
        <f t="shared" si="32"/>
        <v>-335931.68814127427</v>
      </c>
      <c r="S93" s="198">
        <f t="shared" si="38"/>
        <v>0.8944961919694161</v>
      </c>
      <c r="T93" s="207"/>
      <c r="U93" s="43">
        <f>IF(D93=0,0,SUM($L$21:L93))</f>
        <v>12599456.303525886</v>
      </c>
      <c r="V93" s="43">
        <f>IF(D93=0,0,SUM($J$21:J93))</f>
        <v>13965230</v>
      </c>
      <c r="W93" s="284">
        <f t="shared" si="33"/>
        <v>1365773.6964741144</v>
      </c>
      <c r="X93" s="200">
        <f t="shared" si="39"/>
        <v>1.108399415305874</v>
      </c>
      <c r="Y93" s="201">
        <f t="shared" si="40"/>
        <v>45730</v>
      </c>
      <c r="Z93" s="202">
        <f t="shared" si="40"/>
        <v>45730</v>
      </c>
      <c r="AA93" s="246">
        <v>11</v>
      </c>
      <c r="AB93" s="243" t="s">
        <v>218</v>
      </c>
      <c r="AC93" s="251">
        <f>IFERROR(AVERAGEIFS(J325:J354,D325:D354,1,G325:G354,"wed"),0)</f>
        <v>264715</v>
      </c>
      <c r="AD93" s="275">
        <f>COUNTIFS(D325:D354,1,G325:G354,"wed")</f>
        <v>4</v>
      </c>
      <c r="AE93" s="265">
        <f>($I$17*'2024(¥)'!AI92)/AD93</f>
        <v>278232.78853783675</v>
      </c>
      <c r="AF93" s="138">
        <f t="shared" si="41"/>
        <v>1112931.154151347</v>
      </c>
      <c r="AG93" s="203"/>
      <c r="AH93" s="203"/>
      <c r="AI93" s="18"/>
      <c r="AJ93" s="18"/>
      <c r="AK93" s="18"/>
      <c r="AL93" s="18"/>
      <c r="AM93" s="18"/>
      <c r="AN93" s="18"/>
    </row>
    <row r="94" spans="1:40" ht="20">
      <c r="A94" s="18"/>
      <c r="B94" s="151"/>
      <c r="C94" s="55">
        <v>74</v>
      </c>
      <c r="D94" s="54">
        <v>1</v>
      </c>
      <c r="E94" s="190">
        <f t="shared" si="34"/>
        <v>3</v>
      </c>
      <c r="F94" s="191">
        <f t="shared" si="35"/>
        <v>45731</v>
      </c>
      <c r="G94" s="192" t="str">
        <f t="shared" si="36"/>
        <v>Sat</v>
      </c>
      <c r="H94" s="193"/>
      <c r="I94" s="194"/>
      <c r="J94" s="214">
        <v>54330</v>
      </c>
      <c r="K94" s="215"/>
      <c r="L94" s="43">
        <f t="shared" si="37"/>
        <v>147971.56764600077</v>
      </c>
      <c r="M94" s="280">
        <f t="shared" si="31"/>
        <v>-93641.567646000767</v>
      </c>
      <c r="N94" s="41">
        <f t="shared" si="8"/>
        <v>0.36716513087146696</v>
      </c>
      <c r="O94" s="56"/>
      <c r="P94" s="43">
        <f>IF(D94=0,0,SUM($L$80:L94))</f>
        <v>3332043.2557872748</v>
      </c>
      <c r="Q94" s="43">
        <f>IF(D94=0,0,SUM($J$80:J94))</f>
        <v>2902470</v>
      </c>
      <c r="R94" s="282">
        <f t="shared" si="32"/>
        <v>-429573.2557872748</v>
      </c>
      <c r="S94" s="198">
        <f t="shared" si="38"/>
        <v>0.87107812749994507</v>
      </c>
      <c r="T94" s="207"/>
      <c r="U94" s="43">
        <f>IF(D94=0,0,SUM($L$21:L94))</f>
        <v>12747427.871171886</v>
      </c>
      <c r="V94" s="43">
        <f>IF(D94=0,0,SUM($J$21:J94))</f>
        <v>14019560</v>
      </c>
      <c r="W94" s="284">
        <f t="shared" si="33"/>
        <v>1272132.1288281139</v>
      </c>
      <c r="X94" s="200">
        <f t="shared" si="39"/>
        <v>1.0997952011719181</v>
      </c>
      <c r="Y94" s="201">
        <f t="shared" si="40"/>
        <v>45731</v>
      </c>
      <c r="Z94" s="202">
        <f t="shared" si="40"/>
        <v>45731</v>
      </c>
      <c r="AA94" s="246">
        <v>11</v>
      </c>
      <c r="AB94" s="243" t="s">
        <v>219</v>
      </c>
      <c r="AC94" s="251">
        <f>IFERROR(AVERAGEIFS(J325:J354,D325:D354,1,G325:G354,"thu"),0)</f>
        <v>295492.5</v>
      </c>
      <c r="AD94" s="275">
        <f>COUNTIFS(D325:D354,1,G325:G354,"thu")</f>
        <v>4</v>
      </c>
      <c r="AE94" s="265">
        <f>($I$17*'2024(¥)'!AI93)/AD94</f>
        <v>271042.57031549391</v>
      </c>
      <c r="AF94" s="138">
        <f t="shared" si="41"/>
        <v>1084170.2812619756</v>
      </c>
      <c r="AG94" s="203"/>
      <c r="AH94" s="203"/>
      <c r="AI94" s="18"/>
      <c r="AJ94" s="18"/>
      <c r="AK94" s="18"/>
      <c r="AL94" s="18"/>
      <c r="AM94" s="18"/>
      <c r="AN94" s="18"/>
    </row>
    <row r="95" spans="1:40" ht="20">
      <c r="A95" s="18"/>
      <c r="B95" s="151"/>
      <c r="C95" s="55">
        <v>75</v>
      </c>
      <c r="D95" s="54">
        <v>0</v>
      </c>
      <c r="E95" s="190">
        <f t="shared" si="34"/>
        <v>3</v>
      </c>
      <c r="F95" s="191">
        <f t="shared" si="35"/>
        <v>45732</v>
      </c>
      <c r="G95" s="192" t="str">
        <f t="shared" si="36"/>
        <v>Sun</v>
      </c>
      <c r="H95" s="193"/>
      <c r="I95" s="194"/>
      <c r="J95" s="214"/>
      <c r="K95" s="215"/>
      <c r="L95" s="43">
        <f t="shared" si="37"/>
        <v>0</v>
      </c>
      <c r="M95" s="280">
        <f t="shared" si="31"/>
        <v>0</v>
      </c>
      <c r="N95" s="41" t="str">
        <f t="shared" si="8"/>
        <v>¥0</v>
      </c>
      <c r="O95" s="44"/>
      <c r="P95" s="43">
        <f>IF(D95=0,0,SUM($L$80:L95))</f>
        <v>0</v>
      </c>
      <c r="Q95" s="43">
        <f>IF(D95=0,0,SUM($J$80:J95))</f>
        <v>0</v>
      </c>
      <c r="R95" s="282">
        <f t="shared" si="32"/>
        <v>0</v>
      </c>
      <c r="S95" s="198">
        <f t="shared" si="38"/>
        <v>0</v>
      </c>
      <c r="T95" s="212"/>
      <c r="U95" s="43">
        <f>IF(D95=0,0,SUM($L$21:L95))</f>
        <v>0</v>
      </c>
      <c r="V95" s="43">
        <f>IF(D95=0,0,SUM($J$21:J95))</f>
        <v>0</v>
      </c>
      <c r="W95" s="284">
        <f t="shared" si="33"/>
        <v>0</v>
      </c>
      <c r="X95" s="200">
        <f t="shared" si="39"/>
        <v>0</v>
      </c>
      <c r="Y95" s="201">
        <f t="shared" si="40"/>
        <v>45732</v>
      </c>
      <c r="Z95" s="202">
        <f t="shared" si="40"/>
        <v>45732</v>
      </c>
      <c r="AA95" s="246">
        <v>11</v>
      </c>
      <c r="AB95" s="243" t="s">
        <v>220</v>
      </c>
      <c r="AC95" s="251">
        <f>IFERROR(AVERAGEIFS(J325:J354,D325:D354,1,G325:G354,"fri"),0)</f>
        <v>450605</v>
      </c>
      <c r="AD95" s="275">
        <f>COUNTIFS(D325:D354,1,G325:G354,"fri")</f>
        <v>4</v>
      </c>
      <c r="AE95" s="265">
        <f>($I$17*'2024(¥)'!AI94)/AD95</f>
        <v>433895.80274849781</v>
      </c>
      <c r="AF95" s="138">
        <f t="shared" si="41"/>
        <v>1735583.2109939912</v>
      </c>
      <c r="AG95" s="203"/>
      <c r="AH95" s="203"/>
      <c r="AI95" s="18"/>
      <c r="AJ95" s="18"/>
      <c r="AK95" s="18"/>
      <c r="AL95" s="18"/>
      <c r="AM95" s="18"/>
      <c r="AN95" s="18"/>
    </row>
    <row r="96" spans="1:40" ht="20">
      <c r="A96" s="18"/>
      <c r="B96" s="151"/>
      <c r="C96" s="55">
        <v>76</v>
      </c>
      <c r="D96" s="54">
        <v>1</v>
      </c>
      <c r="E96" s="190">
        <f t="shared" si="34"/>
        <v>3</v>
      </c>
      <c r="F96" s="191">
        <f t="shared" si="35"/>
        <v>45733</v>
      </c>
      <c r="G96" s="192" t="str">
        <f t="shared" si="36"/>
        <v>Mon</v>
      </c>
      <c r="H96" s="193"/>
      <c r="I96" s="194"/>
      <c r="J96" s="214">
        <v>189690</v>
      </c>
      <c r="K96" s="215"/>
      <c r="L96" s="43">
        <f t="shared" si="37"/>
        <v>178438.03273905211</v>
      </c>
      <c r="M96" s="280">
        <f t="shared" si="31"/>
        <v>11251.967260947888</v>
      </c>
      <c r="N96" s="41">
        <f t="shared" si="8"/>
        <v>1.0630581221291695</v>
      </c>
      <c r="O96" s="56"/>
      <c r="P96" s="43">
        <f>IF(D96=0,0,SUM($L$80:L96))</f>
        <v>3510481.2885263269</v>
      </c>
      <c r="Q96" s="43">
        <f>IF(D96=0,0,SUM($J$80:J96))</f>
        <v>3092160</v>
      </c>
      <c r="R96" s="282">
        <f t="shared" si="32"/>
        <v>-418321.28852632688</v>
      </c>
      <c r="S96" s="198">
        <f t="shared" si="38"/>
        <v>0.88083648532935632</v>
      </c>
      <c r="T96" s="207"/>
      <c r="U96" s="43">
        <f>IF(D96=0,0,SUM($L$21:L96))</f>
        <v>12925865.903910939</v>
      </c>
      <c r="V96" s="43">
        <f>IF(D96=0,0,SUM($J$21:J96))</f>
        <v>14209250</v>
      </c>
      <c r="W96" s="284">
        <f t="shared" si="33"/>
        <v>1283384.0960890613</v>
      </c>
      <c r="X96" s="200">
        <f t="shared" si="39"/>
        <v>1.0992880558741331</v>
      </c>
      <c r="Y96" s="201">
        <f t="shared" si="40"/>
        <v>45733</v>
      </c>
      <c r="Z96" s="202">
        <f t="shared" si="40"/>
        <v>45733</v>
      </c>
      <c r="AA96" s="246">
        <v>11</v>
      </c>
      <c r="AB96" s="243" t="s">
        <v>221</v>
      </c>
      <c r="AC96" s="251">
        <f>IFERROR(AVERAGEIFS(J325:J354,D325:D354,1,G325:G354,"sat"),0)</f>
        <v>200172</v>
      </c>
      <c r="AD96" s="275">
        <f>COUNTIFS(D325:D354,1,G325:G354,"sat")</f>
        <v>5</v>
      </c>
      <c r="AE96" s="265">
        <f>($I$17*'2024(¥)'!AI95)/AD96</f>
        <v>184025.81994627352</v>
      </c>
      <c r="AF96" s="138">
        <f t="shared" si="41"/>
        <v>920129.09973136755</v>
      </c>
      <c r="AG96" s="273" t="s">
        <v>200</v>
      </c>
      <c r="AH96" s="203"/>
      <c r="AI96" s="18"/>
      <c r="AJ96" s="18"/>
      <c r="AK96" s="18"/>
      <c r="AL96" s="18"/>
      <c r="AM96" s="18"/>
      <c r="AN96" s="18"/>
    </row>
    <row r="97" spans="1:40" ht="20">
      <c r="A97" s="18"/>
      <c r="B97" s="151"/>
      <c r="C97" s="55">
        <v>77</v>
      </c>
      <c r="D97" s="54">
        <v>1</v>
      </c>
      <c r="E97" s="190">
        <f t="shared" si="34"/>
        <v>3</v>
      </c>
      <c r="F97" s="191">
        <f t="shared" si="35"/>
        <v>45734</v>
      </c>
      <c r="G97" s="192" t="str">
        <f t="shared" si="36"/>
        <v>Tue</v>
      </c>
      <c r="H97" s="193"/>
      <c r="I97" s="194"/>
      <c r="J97" s="214">
        <v>281760</v>
      </c>
      <c r="K97" s="215"/>
      <c r="L97" s="43">
        <f t="shared" si="37"/>
        <v>257148.23064391402</v>
      </c>
      <c r="M97" s="280">
        <f t="shared" si="31"/>
        <v>24611.769356085977</v>
      </c>
      <c r="N97" s="41">
        <f t="shared" si="8"/>
        <v>1.0957104363287147</v>
      </c>
      <c r="O97" s="56"/>
      <c r="P97" s="43">
        <f>IF(D97=0,0,SUM($L$80:L97))</f>
        <v>3767629.519170241</v>
      </c>
      <c r="Q97" s="43">
        <f>IF(D97=0,0,SUM($J$80:J97))</f>
        <v>3373920</v>
      </c>
      <c r="R97" s="282">
        <f t="shared" si="32"/>
        <v>-393709.51917024096</v>
      </c>
      <c r="S97" s="198">
        <f t="shared" si="38"/>
        <v>0.89550206113234054</v>
      </c>
      <c r="T97" s="207"/>
      <c r="U97" s="43">
        <f>IF(D97=0,0,SUM($L$21:L97))</f>
        <v>13183014.134554852</v>
      </c>
      <c r="V97" s="43">
        <f>IF(D97=0,0,SUM($J$21:J97))</f>
        <v>14491010</v>
      </c>
      <c r="W97" s="284">
        <f t="shared" si="33"/>
        <v>1307995.8654451482</v>
      </c>
      <c r="X97" s="200">
        <f t="shared" si="39"/>
        <v>1.0992182707304148</v>
      </c>
      <c r="Y97" s="201">
        <f t="shared" si="40"/>
        <v>45734</v>
      </c>
      <c r="Z97" s="202">
        <f t="shared" si="40"/>
        <v>45734</v>
      </c>
      <c r="AA97" s="246">
        <v>11</v>
      </c>
      <c r="AB97" s="243" t="s">
        <v>222</v>
      </c>
      <c r="AC97" s="251">
        <f>IFERROR(AVERAGEIFS(J325:J354,D325:D354,1,G325:G354,"sun"),0)</f>
        <v>0</v>
      </c>
      <c r="AD97" s="275">
        <f>IFERROR(COUNTIFS(D325:D354,1,G325:G354,"sun"),0)</f>
        <v>0</v>
      </c>
      <c r="AE97" s="265">
        <f>IFERROR(($I$17*'2024(¥)'!AI96)/AD97,0)</f>
        <v>0</v>
      </c>
      <c r="AF97" s="271">
        <f>SUM(AF91:AF96)</f>
        <v>6369230.7692307699</v>
      </c>
      <c r="AG97" s="272">
        <f>I17</f>
        <v>6369230.7692307699</v>
      </c>
      <c r="AH97" s="270"/>
      <c r="AI97" s="18"/>
      <c r="AJ97" s="18"/>
      <c r="AK97" s="18"/>
      <c r="AL97" s="18"/>
      <c r="AM97" s="18"/>
      <c r="AN97" s="18"/>
    </row>
    <row r="98" spans="1:40" ht="20">
      <c r="A98" s="18"/>
      <c r="B98" s="151"/>
      <c r="C98" s="55">
        <v>78</v>
      </c>
      <c r="D98" s="54">
        <v>1</v>
      </c>
      <c r="E98" s="190">
        <f t="shared" si="34"/>
        <v>3</v>
      </c>
      <c r="F98" s="191">
        <f t="shared" si="35"/>
        <v>45735</v>
      </c>
      <c r="G98" s="192" t="str">
        <f t="shared" si="36"/>
        <v>Wed</v>
      </c>
      <c r="H98" s="193"/>
      <c r="I98" s="194"/>
      <c r="J98" s="214">
        <v>307610</v>
      </c>
      <c r="K98" s="215"/>
      <c r="L98" s="43">
        <f t="shared" si="37"/>
        <v>214767.12776509949</v>
      </c>
      <c r="M98" s="280">
        <f t="shared" si="31"/>
        <v>92842.872234900511</v>
      </c>
      <c r="N98" s="41">
        <f t="shared" si="8"/>
        <v>1.4322955435547238</v>
      </c>
      <c r="O98" s="56"/>
      <c r="P98" s="43">
        <f>IF(D98=0,0,SUM($L$80:L98))</f>
        <v>3982396.6469353405</v>
      </c>
      <c r="Q98" s="43">
        <f>IF(D98=0,0,SUM($J$80:J98))</f>
        <v>3681530</v>
      </c>
      <c r="R98" s="282">
        <f t="shared" si="32"/>
        <v>-300866.64693534048</v>
      </c>
      <c r="S98" s="198">
        <f t="shared" si="38"/>
        <v>0.9244508587142185</v>
      </c>
      <c r="T98" s="207"/>
      <c r="U98" s="43">
        <f>IF(D98=0,0,SUM($L$21:L98))</f>
        <v>13397781.26231995</v>
      </c>
      <c r="V98" s="43">
        <f>IF(D98=0,0,SUM($J$21:J98))</f>
        <v>14798620</v>
      </c>
      <c r="W98" s="284">
        <f t="shared" si="33"/>
        <v>1400838.7376800496</v>
      </c>
      <c r="X98" s="200">
        <f t="shared" si="39"/>
        <v>1.1045575166702999</v>
      </c>
      <c r="Y98" s="201">
        <f t="shared" si="40"/>
        <v>45735</v>
      </c>
      <c r="Z98" s="202">
        <f t="shared" si="40"/>
        <v>45735</v>
      </c>
      <c r="AA98" s="246">
        <v>12</v>
      </c>
      <c r="AB98" s="136" t="s">
        <v>216</v>
      </c>
      <c r="AC98" s="251">
        <f>IFERROR(AVERAGEIFS(J355:J385,D355:D385,1,G355:G385,"mon"),0)</f>
        <v>311937.5</v>
      </c>
      <c r="AD98" s="275">
        <f>COUNTIFS(D355:D385,1,G355:G385,"Mon")</f>
        <v>4</v>
      </c>
      <c r="AE98" s="265">
        <f>($I$18*'2024(¥)'!AI97)/AD98</f>
        <v>249657.51222743798</v>
      </c>
      <c r="AF98" s="138">
        <f t="shared" ref="AF98:AF103" si="42">AD98*AE98</f>
        <v>998630.04890975193</v>
      </c>
      <c r="AG98" s="203" t="s">
        <v>139</v>
      </c>
      <c r="AH98" s="203"/>
      <c r="AI98" s="18"/>
      <c r="AJ98" s="18"/>
      <c r="AK98" s="18"/>
      <c r="AL98" s="18"/>
      <c r="AM98" s="18"/>
      <c r="AN98" s="18"/>
    </row>
    <row r="99" spans="1:40" ht="20">
      <c r="A99" s="18"/>
      <c r="B99" s="151"/>
      <c r="C99" s="55">
        <v>79</v>
      </c>
      <c r="D99" s="54">
        <v>0</v>
      </c>
      <c r="E99" s="190">
        <f t="shared" si="34"/>
        <v>3</v>
      </c>
      <c r="F99" s="191">
        <f t="shared" si="35"/>
        <v>45736</v>
      </c>
      <c r="G99" s="192" t="str">
        <f t="shared" si="36"/>
        <v>Thu</v>
      </c>
      <c r="H99" s="193"/>
      <c r="I99" s="194"/>
      <c r="J99" s="214"/>
      <c r="K99" s="215"/>
      <c r="L99" s="43">
        <f t="shared" si="37"/>
        <v>0</v>
      </c>
      <c r="M99" s="280">
        <f t="shared" si="31"/>
        <v>0</v>
      </c>
      <c r="N99" s="41" t="str">
        <f t="shared" si="8"/>
        <v>¥0</v>
      </c>
      <c r="O99" s="44"/>
      <c r="P99" s="43">
        <f>IF(D99=0,0,SUM($L$80:L99))</f>
        <v>0</v>
      </c>
      <c r="Q99" s="43">
        <f>IF(D99=0,0,SUM($J$80:J99))</f>
        <v>0</v>
      </c>
      <c r="R99" s="282">
        <f t="shared" si="32"/>
        <v>0</v>
      </c>
      <c r="S99" s="198">
        <f t="shared" si="38"/>
        <v>0</v>
      </c>
      <c r="T99" s="212"/>
      <c r="U99" s="43">
        <f>IF(D99=0,0,SUM($L$21:L99))</f>
        <v>0</v>
      </c>
      <c r="V99" s="43">
        <f>IF(D99=0,0,SUM($J$21:J99))</f>
        <v>0</v>
      </c>
      <c r="W99" s="284">
        <f t="shared" si="33"/>
        <v>0</v>
      </c>
      <c r="X99" s="200">
        <f t="shared" si="39"/>
        <v>0</v>
      </c>
      <c r="Y99" s="201">
        <f t="shared" si="40"/>
        <v>45736</v>
      </c>
      <c r="Z99" s="202">
        <f t="shared" si="40"/>
        <v>45736</v>
      </c>
      <c r="AA99" s="246">
        <v>12</v>
      </c>
      <c r="AB99" s="243" t="s">
        <v>217</v>
      </c>
      <c r="AC99" s="251">
        <f>IFERROR(AVERAGEIFS(J355:J385,D355:D385,1,G355:G385,"tue"),0)</f>
        <v>316274.75</v>
      </c>
      <c r="AD99" s="275">
        <f>COUNTIFS(D355:D385,1,G355:G385,"tue")</f>
        <v>4</v>
      </c>
      <c r="AE99" s="265">
        <f>($I$18*'2024(¥)'!AI98)/AD99</f>
        <v>274756.52084656508</v>
      </c>
      <c r="AF99" s="138">
        <f t="shared" si="42"/>
        <v>1099026.0833862603</v>
      </c>
      <c r="AG99" s="203"/>
      <c r="AH99" s="203"/>
      <c r="AI99" s="18"/>
      <c r="AJ99" s="18"/>
      <c r="AK99" s="18"/>
      <c r="AL99" s="18"/>
      <c r="AM99" s="18"/>
      <c r="AN99" s="18"/>
    </row>
    <row r="100" spans="1:40" ht="20">
      <c r="A100" s="18"/>
      <c r="B100" s="151"/>
      <c r="C100" s="55">
        <v>80</v>
      </c>
      <c r="D100" s="54">
        <v>1</v>
      </c>
      <c r="E100" s="190">
        <f t="shared" si="34"/>
        <v>3</v>
      </c>
      <c r="F100" s="191">
        <f t="shared" si="35"/>
        <v>45737</v>
      </c>
      <c r="G100" s="192" t="str">
        <f t="shared" si="36"/>
        <v>Fri</v>
      </c>
      <c r="H100" s="193"/>
      <c r="I100" s="194"/>
      <c r="J100" s="214">
        <v>275060</v>
      </c>
      <c r="K100" s="215"/>
      <c r="L100" s="43">
        <f t="shared" si="37"/>
        <v>392864.20231526328</v>
      </c>
      <c r="M100" s="280">
        <f t="shared" si="31"/>
        <v>-117804.20231526328</v>
      </c>
      <c r="N100" s="41">
        <f t="shared" si="8"/>
        <v>0.70014014608353525</v>
      </c>
      <c r="O100" s="56"/>
      <c r="P100" s="43">
        <f>IF(D100=0,0,SUM($L$80:L100))</f>
        <v>4375260.8492506035</v>
      </c>
      <c r="Q100" s="43">
        <f>IF(D100=0,0,SUM($J$80:J100))</f>
        <v>3956590</v>
      </c>
      <c r="R100" s="282">
        <f t="shared" si="32"/>
        <v>-418670.84925060347</v>
      </c>
      <c r="S100" s="198">
        <f t="shared" si="38"/>
        <v>0.90430951120952852</v>
      </c>
      <c r="T100" s="207"/>
      <c r="U100" s="43">
        <f>IF(D100=0,0,SUM($L$21:L100))</f>
        <v>13790645.464635214</v>
      </c>
      <c r="V100" s="43">
        <f>IF(D100=0,0,SUM($J$21:J100))</f>
        <v>15073680</v>
      </c>
      <c r="W100" s="284">
        <f t="shared" si="33"/>
        <v>1283034.5353647862</v>
      </c>
      <c r="X100" s="200">
        <f t="shared" si="39"/>
        <v>1.0930365832879254</v>
      </c>
      <c r="Y100" s="201">
        <f t="shared" si="40"/>
        <v>45737</v>
      </c>
      <c r="Z100" s="202">
        <f t="shared" si="40"/>
        <v>45737</v>
      </c>
      <c r="AA100" s="246">
        <v>12</v>
      </c>
      <c r="AB100" s="243" t="s">
        <v>218</v>
      </c>
      <c r="AC100" s="251">
        <f>IFERROR(AVERAGEIFS(J355:J385,D355:D385,1,G355:G385,"wed"),0)</f>
        <v>375954</v>
      </c>
      <c r="AD100" s="275">
        <f>COUNTIFS(D355:D385,1,G355:G385,"wed")</f>
        <v>4</v>
      </c>
      <c r="AE100" s="265">
        <f>($I$18*'2024(¥)'!AI99)/AD100</f>
        <v>341550.14155849657</v>
      </c>
      <c r="AF100" s="138">
        <f t="shared" si="42"/>
        <v>1366200.5662339863</v>
      </c>
      <c r="AG100" s="203"/>
      <c r="AH100" s="203"/>
      <c r="AI100" s="18"/>
      <c r="AJ100" s="18"/>
      <c r="AK100" s="18"/>
      <c r="AL100" s="18"/>
      <c r="AM100" s="18"/>
      <c r="AN100" s="18"/>
    </row>
    <row r="101" spans="1:40" ht="20">
      <c r="A101" s="18"/>
      <c r="B101" s="151"/>
      <c r="C101" s="55">
        <v>81</v>
      </c>
      <c r="D101" s="54">
        <v>1</v>
      </c>
      <c r="E101" s="190">
        <f t="shared" si="34"/>
        <v>3</v>
      </c>
      <c r="F101" s="191">
        <f t="shared" si="35"/>
        <v>45738</v>
      </c>
      <c r="G101" s="192" t="str">
        <f t="shared" si="36"/>
        <v>Sat</v>
      </c>
      <c r="H101" s="193"/>
      <c r="I101" s="194"/>
      <c r="J101" s="214">
        <v>97560</v>
      </c>
      <c r="K101" s="215"/>
      <c r="L101" s="43">
        <f t="shared" si="37"/>
        <v>147971.56764600077</v>
      </c>
      <c r="M101" s="280">
        <f t="shared" si="31"/>
        <v>-50411.567646000767</v>
      </c>
      <c r="N101" s="41">
        <f t="shared" si="8"/>
        <v>0.65931585068691911</v>
      </c>
      <c r="O101" s="56"/>
      <c r="P101" s="43">
        <f>IF(D101=0,0,SUM($L$80:L101))</f>
        <v>4523232.416896604</v>
      </c>
      <c r="Q101" s="43">
        <f>IF(D101=0,0,SUM($J$80:J101))</f>
        <v>4054150</v>
      </c>
      <c r="R101" s="282">
        <f t="shared" si="32"/>
        <v>-469082.416896604</v>
      </c>
      <c r="S101" s="198">
        <f t="shared" si="38"/>
        <v>0.89629486754995402</v>
      </c>
      <c r="T101" s="207"/>
      <c r="U101" s="43">
        <f>IF(D101=0,0,SUM($L$21:L101))</f>
        <v>13938617.032281214</v>
      </c>
      <c r="V101" s="43">
        <f>IF(D101=0,0,SUM($J$21:J101))</f>
        <v>15171240</v>
      </c>
      <c r="W101" s="284">
        <f t="shared" si="33"/>
        <v>1232622.9677187856</v>
      </c>
      <c r="X101" s="200">
        <f t="shared" si="39"/>
        <v>1.0884322285965735</v>
      </c>
      <c r="Y101" s="201">
        <f t="shared" si="40"/>
        <v>45738</v>
      </c>
      <c r="Z101" s="202">
        <f t="shared" si="40"/>
        <v>45738</v>
      </c>
      <c r="AA101" s="246">
        <v>12</v>
      </c>
      <c r="AB101" s="243" t="s">
        <v>219</v>
      </c>
      <c r="AC101" s="251">
        <f>IFERROR(AVERAGEIFS(J355:J385,D355:D385,1,G355:G385,"thu"),0)</f>
        <v>355157.5</v>
      </c>
      <c r="AD101" s="275">
        <f>COUNTIFS(D355:D385,1,G355:G385,"thu")</f>
        <v>4</v>
      </c>
      <c r="AE101" s="265">
        <f>($I$18*'2024(¥)'!AI100)/AD101</f>
        <v>295679.6912522944</v>
      </c>
      <c r="AF101" s="138">
        <f t="shared" si="42"/>
        <v>1182718.7650091776</v>
      </c>
      <c r="AG101" s="203"/>
      <c r="AH101" s="203"/>
      <c r="AI101" s="18"/>
      <c r="AJ101" s="18"/>
      <c r="AK101" s="18"/>
      <c r="AL101" s="18"/>
      <c r="AM101" s="18"/>
      <c r="AN101" s="18"/>
    </row>
    <row r="102" spans="1:40" ht="20">
      <c r="A102" s="18"/>
      <c r="B102" s="151"/>
      <c r="C102" s="55">
        <v>82</v>
      </c>
      <c r="D102" s="54">
        <v>0</v>
      </c>
      <c r="E102" s="190">
        <f t="shared" si="34"/>
        <v>3</v>
      </c>
      <c r="F102" s="191">
        <f t="shared" si="35"/>
        <v>45739</v>
      </c>
      <c r="G102" s="192" t="str">
        <f t="shared" si="36"/>
        <v>Sun</v>
      </c>
      <c r="H102" s="193"/>
      <c r="I102" s="194"/>
      <c r="J102" s="214"/>
      <c r="K102" s="215"/>
      <c r="L102" s="43">
        <f t="shared" si="37"/>
        <v>0</v>
      </c>
      <c r="M102" s="280">
        <f t="shared" si="31"/>
        <v>0</v>
      </c>
      <c r="N102" s="41" t="str">
        <f t="shared" si="8"/>
        <v>¥0</v>
      </c>
      <c r="O102" s="44"/>
      <c r="P102" s="43">
        <f>IF(D102=0,0,SUM($L$80:L102))</f>
        <v>0</v>
      </c>
      <c r="Q102" s="43">
        <f>IF(D102=0,0,SUM($J$80:J102))</f>
        <v>0</v>
      </c>
      <c r="R102" s="282">
        <f t="shared" si="32"/>
        <v>0</v>
      </c>
      <c r="S102" s="198">
        <f t="shared" si="38"/>
        <v>0</v>
      </c>
      <c r="T102" s="212"/>
      <c r="U102" s="43">
        <f>IF(D102=0,0,SUM($L$21:L102))</f>
        <v>0</v>
      </c>
      <c r="V102" s="43">
        <f>IF(D102=0,0,SUM($J$21:J102))</f>
        <v>0</v>
      </c>
      <c r="W102" s="284">
        <f t="shared" si="33"/>
        <v>0</v>
      </c>
      <c r="X102" s="200">
        <f t="shared" si="39"/>
        <v>0</v>
      </c>
      <c r="Y102" s="201">
        <f t="shared" si="40"/>
        <v>45739</v>
      </c>
      <c r="Z102" s="202">
        <f t="shared" si="40"/>
        <v>45739</v>
      </c>
      <c r="AA102" s="246">
        <v>12</v>
      </c>
      <c r="AB102" s="243" t="s">
        <v>220</v>
      </c>
      <c r="AC102" s="251">
        <f>IFERROR(AVERAGEIFS(J355:J385,D355:D385,1,G355:G385,"fri"),0)</f>
        <v>373465</v>
      </c>
      <c r="AD102" s="275">
        <f>COUNTIFS(D355:D385,1,G355:G385,"fri")</f>
        <v>4</v>
      </c>
      <c r="AE102" s="265">
        <f>($I$18*'2024(¥)'!AI101)/AD102</f>
        <v>368133.45286011102</v>
      </c>
      <c r="AF102" s="138">
        <f t="shared" si="42"/>
        <v>1472533.8114404441</v>
      </c>
      <c r="AG102" s="203"/>
      <c r="AH102" s="203"/>
      <c r="AI102" s="18"/>
      <c r="AJ102" s="18"/>
      <c r="AK102" s="18"/>
      <c r="AL102" s="18"/>
      <c r="AM102" s="18"/>
      <c r="AN102" s="18"/>
    </row>
    <row r="103" spans="1:40" ht="20">
      <c r="A103" s="18"/>
      <c r="B103" s="151"/>
      <c r="C103" s="55">
        <v>83</v>
      </c>
      <c r="D103" s="54">
        <v>1</v>
      </c>
      <c r="E103" s="190">
        <f t="shared" si="34"/>
        <v>3</v>
      </c>
      <c r="F103" s="191">
        <f t="shared" si="35"/>
        <v>45740</v>
      </c>
      <c r="G103" s="192" t="str">
        <f t="shared" si="36"/>
        <v>Mon</v>
      </c>
      <c r="H103" s="193"/>
      <c r="I103" s="194"/>
      <c r="J103" s="214">
        <v>322520</v>
      </c>
      <c r="K103" s="215"/>
      <c r="L103" s="43">
        <f t="shared" si="37"/>
        <v>178438.03273905211</v>
      </c>
      <c r="M103" s="280">
        <f t="shared" si="31"/>
        <v>144081.96726094789</v>
      </c>
      <c r="N103" s="41">
        <f t="shared" si="8"/>
        <v>1.8074622043813577</v>
      </c>
      <c r="O103" s="56"/>
      <c r="P103" s="43">
        <f>IF(D103=0,0,SUM($L$80:L103))</f>
        <v>4701670.4496356566</v>
      </c>
      <c r="Q103" s="43">
        <f>IF(D103=0,0,SUM($J$80:J103))</f>
        <v>4376670</v>
      </c>
      <c r="R103" s="282">
        <f t="shared" si="32"/>
        <v>-325000.44963565655</v>
      </c>
      <c r="S103" s="198">
        <f t="shared" si="38"/>
        <v>0.93087553602127904</v>
      </c>
      <c r="T103" s="207"/>
      <c r="U103" s="43">
        <f>IF(D103=0,0,SUM($L$21:L103))</f>
        <v>14117055.065020267</v>
      </c>
      <c r="V103" s="43">
        <f>IF(D103=0,0,SUM($J$21:J103))</f>
        <v>15493760</v>
      </c>
      <c r="W103" s="284">
        <f t="shared" si="33"/>
        <v>1376704.9349797331</v>
      </c>
      <c r="X103" s="200">
        <f t="shared" si="39"/>
        <v>1.0975206888858131</v>
      </c>
      <c r="Y103" s="201">
        <f t="shared" ref="Y103:Z118" si="43">Y102+1</f>
        <v>45740</v>
      </c>
      <c r="Z103" s="202">
        <f t="shared" si="43"/>
        <v>45740</v>
      </c>
      <c r="AA103" s="246">
        <v>12</v>
      </c>
      <c r="AB103" s="243" t="s">
        <v>221</v>
      </c>
      <c r="AC103" s="251">
        <f>IFERROR(AVERAGEIFS(J355:J385,D355:D385,1,G355:G385,"sat"),0)</f>
        <v>206215</v>
      </c>
      <c r="AD103" s="275">
        <f>COUNTIFS(D355:D385,1,G355:G385,"sat")</f>
        <v>4</v>
      </c>
      <c r="AE103" s="265">
        <f>($I$18*'2024(¥)'!AI102)/AD103</f>
        <v>207285.61831803195</v>
      </c>
      <c r="AF103" s="138">
        <f t="shared" si="42"/>
        <v>829142.4732721278</v>
      </c>
      <c r="AG103" s="273" t="s">
        <v>201</v>
      </c>
      <c r="AH103" s="203"/>
      <c r="AI103" s="18"/>
      <c r="AJ103" s="18"/>
      <c r="AK103" s="18"/>
      <c r="AL103" s="18"/>
      <c r="AM103" s="18"/>
      <c r="AN103" s="18"/>
    </row>
    <row r="104" spans="1:40" ht="20">
      <c r="A104" s="18"/>
      <c r="B104" s="151"/>
      <c r="C104" s="55">
        <v>84</v>
      </c>
      <c r="D104" s="54">
        <v>1</v>
      </c>
      <c r="E104" s="190">
        <f t="shared" si="34"/>
        <v>3</v>
      </c>
      <c r="F104" s="191">
        <f t="shared" si="35"/>
        <v>45741</v>
      </c>
      <c r="G104" s="192" t="str">
        <f t="shared" si="36"/>
        <v>Tue</v>
      </c>
      <c r="H104" s="193"/>
      <c r="I104" s="194"/>
      <c r="J104" s="214">
        <v>255200</v>
      </c>
      <c r="K104" s="215"/>
      <c r="L104" s="43">
        <f t="shared" si="37"/>
        <v>257148.23064391402</v>
      </c>
      <c r="M104" s="280">
        <f t="shared" si="31"/>
        <v>-1948.2306439140229</v>
      </c>
      <c r="N104" s="41">
        <f t="shared" si="8"/>
        <v>0.99242370581731965</v>
      </c>
      <c r="O104" s="56"/>
      <c r="P104" s="43">
        <f>IF(D104=0,0,SUM($L$80:L104))</f>
        <v>4958818.6802795706</v>
      </c>
      <c r="Q104" s="43">
        <f>IF(D104=0,0,SUM($J$80:J104))</f>
        <v>4631870</v>
      </c>
      <c r="R104" s="282">
        <f t="shared" si="32"/>
        <v>-326948.68027957063</v>
      </c>
      <c r="S104" s="198">
        <f t="shared" si="38"/>
        <v>0.93406722420003108</v>
      </c>
      <c r="T104" s="207"/>
      <c r="U104" s="43">
        <f>IF(D104=0,0,SUM($L$21:L104))</f>
        <v>14374203.29566418</v>
      </c>
      <c r="V104" s="43">
        <f>IF(D104=0,0,SUM($J$21:J104))</f>
        <v>15748960</v>
      </c>
      <c r="W104" s="284">
        <f t="shared" si="33"/>
        <v>1374756.7043358199</v>
      </c>
      <c r="X104" s="200">
        <f t="shared" si="39"/>
        <v>1.0956405496748818</v>
      </c>
      <c r="Y104" s="201">
        <f t="shared" si="43"/>
        <v>45741</v>
      </c>
      <c r="Z104" s="202">
        <f t="shared" si="43"/>
        <v>45741</v>
      </c>
      <c r="AA104" s="246">
        <v>12</v>
      </c>
      <c r="AB104" s="243" t="s">
        <v>222</v>
      </c>
      <c r="AC104" s="251">
        <f>IFERROR(AVERAGEIFS(J355:J385,D355:D385,1,G355:G385,"sun"),0)</f>
        <v>0</v>
      </c>
      <c r="AD104" s="275">
        <f>IFERROR(COUNTIFS(D355:D385,1,G355:G385,"sun"),0)</f>
        <v>0</v>
      </c>
      <c r="AE104" s="265">
        <f>IFERROR(($I$18*'2024(¥)'!AI103)/AD104,0)</f>
        <v>0</v>
      </c>
      <c r="AF104" s="271">
        <f>SUM(AF98:AF103)</f>
        <v>6948251.7482517492</v>
      </c>
      <c r="AG104" s="272">
        <f>I18</f>
        <v>6948251.7482517483</v>
      </c>
      <c r="AH104" s="270"/>
      <c r="AI104" s="18"/>
      <c r="AJ104" s="18"/>
      <c r="AK104" s="18"/>
      <c r="AL104" s="18"/>
      <c r="AM104" s="18"/>
      <c r="AN104" s="18"/>
    </row>
    <row r="105" spans="1:40" ht="20">
      <c r="A105" s="18"/>
      <c r="B105" s="151"/>
      <c r="C105" s="55">
        <v>85</v>
      </c>
      <c r="D105" s="54">
        <v>1</v>
      </c>
      <c r="E105" s="190">
        <f t="shared" si="34"/>
        <v>3</v>
      </c>
      <c r="F105" s="191">
        <f t="shared" si="35"/>
        <v>45742</v>
      </c>
      <c r="G105" s="192" t="str">
        <f t="shared" si="36"/>
        <v>Wed</v>
      </c>
      <c r="H105" s="193"/>
      <c r="I105" s="194"/>
      <c r="J105" s="214">
        <v>328120</v>
      </c>
      <c r="K105" s="215"/>
      <c r="L105" s="43">
        <f t="shared" si="37"/>
        <v>214767.12776509949</v>
      </c>
      <c r="M105" s="280">
        <f t="shared" si="31"/>
        <v>113352.87223490051</v>
      </c>
      <c r="N105" s="41">
        <f t="shared" si="8"/>
        <v>1.52779432967451</v>
      </c>
      <c r="O105" s="56"/>
      <c r="P105" s="43">
        <f>IF(D105=0,0,SUM($L$80:L105))</f>
        <v>5173585.8080446701</v>
      </c>
      <c r="Q105" s="43">
        <f>IF(D105=0,0,SUM($J$80:J105))</f>
        <v>4959990</v>
      </c>
      <c r="R105" s="282">
        <f t="shared" si="32"/>
        <v>-213595.80804467015</v>
      </c>
      <c r="S105" s="198">
        <f t="shared" si="38"/>
        <v>0.9587141653836031</v>
      </c>
      <c r="T105" s="207"/>
      <c r="U105" s="43">
        <f>IF(D105=0,0,SUM($L$21:L105))</f>
        <v>14588970.423429279</v>
      </c>
      <c r="V105" s="43">
        <f>IF(D105=0,0,SUM($J$21:J105))</f>
        <v>16077080</v>
      </c>
      <c r="W105" s="284">
        <f t="shared" si="33"/>
        <v>1488109.5765707213</v>
      </c>
      <c r="X105" s="200">
        <f t="shared" si="39"/>
        <v>1.1020023712009779</v>
      </c>
      <c r="Y105" s="201">
        <f t="shared" si="43"/>
        <v>45742</v>
      </c>
      <c r="Z105" s="202">
        <f t="shared" si="43"/>
        <v>45742</v>
      </c>
      <c r="AA105" s="18"/>
      <c r="AB105" s="244"/>
      <c r="AC105" s="247"/>
      <c r="AD105" s="142"/>
      <c r="AE105" s="18"/>
      <c r="AF105" s="18"/>
      <c r="AG105" s="203"/>
      <c r="AH105" s="203"/>
      <c r="AI105" s="18"/>
      <c r="AJ105" s="18"/>
      <c r="AK105" s="18"/>
      <c r="AL105" s="18"/>
      <c r="AM105" s="18"/>
      <c r="AN105" s="18"/>
    </row>
    <row r="106" spans="1:40" ht="20">
      <c r="A106" s="18"/>
      <c r="B106" s="151"/>
      <c r="C106" s="55">
        <v>86</v>
      </c>
      <c r="D106" s="54">
        <v>1</v>
      </c>
      <c r="E106" s="190">
        <f t="shared" si="34"/>
        <v>3</v>
      </c>
      <c r="F106" s="191">
        <f t="shared" si="35"/>
        <v>45743</v>
      </c>
      <c r="G106" s="192" t="str">
        <f t="shared" si="36"/>
        <v>Thu</v>
      </c>
      <c r="H106" s="193"/>
      <c r="I106" s="194"/>
      <c r="J106" s="214">
        <v>334920</v>
      </c>
      <c r="K106" s="215"/>
      <c r="L106" s="43">
        <f t="shared" si="37"/>
        <v>400846.68296130747</v>
      </c>
      <c r="M106" s="280">
        <f t="shared" si="31"/>
        <v>-65926.682961307466</v>
      </c>
      <c r="N106" s="41">
        <f t="shared" si="8"/>
        <v>0.83553142444820683</v>
      </c>
      <c r="O106" s="56"/>
      <c r="P106" s="43">
        <f>IF(D106=0,0,SUM($L$80:L106))</f>
        <v>5574432.4910059776</v>
      </c>
      <c r="Q106" s="43">
        <f>IF(D106=0,0,SUM($J$80:J106))</f>
        <v>5294910</v>
      </c>
      <c r="R106" s="282">
        <f t="shared" si="32"/>
        <v>-279522.49100597762</v>
      </c>
      <c r="S106" s="198">
        <f t="shared" si="38"/>
        <v>0.94985633219938159</v>
      </c>
      <c r="T106" s="207"/>
      <c r="U106" s="43">
        <f>IF(D106=0,0,SUM($L$21:L106))</f>
        <v>14989817.106390586</v>
      </c>
      <c r="V106" s="43">
        <f>IF(D106=0,0,SUM($J$21:J106))</f>
        <v>16412000</v>
      </c>
      <c r="W106" s="284">
        <f t="shared" si="33"/>
        <v>1422182.8936094139</v>
      </c>
      <c r="X106" s="200">
        <f t="shared" si="39"/>
        <v>1.0948766007960895</v>
      </c>
      <c r="Y106" s="201">
        <f t="shared" si="43"/>
        <v>45743</v>
      </c>
      <c r="Z106" s="202">
        <f t="shared" si="43"/>
        <v>45743</v>
      </c>
      <c r="AA106" s="18"/>
      <c r="AB106" s="244"/>
      <c r="AC106" s="247"/>
      <c r="AD106" s="142"/>
      <c r="AE106" s="18"/>
      <c r="AF106" s="18"/>
      <c r="AG106" s="203"/>
      <c r="AH106" s="203"/>
      <c r="AI106" s="18"/>
      <c r="AJ106" s="18"/>
      <c r="AK106" s="18"/>
      <c r="AL106" s="18"/>
      <c r="AM106" s="18"/>
      <c r="AN106" s="18"/>
    </row>
    <row r="107" spans="1:40" ht="20">
      <c r="A107" s="18"/>
      <c r="B107" s="151"/>
      <c r="C107" s="55">
        <v>87</v>
      </c>
      <c r="D107" s="54">
        <v>1</v>
      </c>
      <c r="E107" s="190">
        <f t="shared" si="34"/>
        <v>3</v>
      </c>
      <c r="F107" s="191">
        <f t="shared" si="35"/>
        <v>45744</v>
      </c>
      <c r="G107" s="192" t="str">
        <f t="shared" si="36"/>
        <v>Fri</v>
      </c>
      <c r="H107" s="193"/>
      <c r="I107" s="194"/>
      <c r="J107" s="214">
        <v>375510</v>
      </c>
      <c r="K107" s="215"/>
      <c r="L107" s="43">
        <f t="shared" si="37"/>
        <v>392864.20231526328</v>
      </c>
      <c r="M107" s="280">
        <f t="shared" si="31"/>
        <v>-17354.202315263276</v>
      </c>
      <c r="N107" s="41">
        <f t="shared" si="8"/>
        <v>0.95582646061160603</v>
      </c>
      <c r="O107" s="56"/>
      <c r="P107" s="43">
        <f>IF(D107=0,0,SUM($L$80:L107))</f>
        <v>5967296.6933212411</v>
      </c>
      <c r="Q107" s="43">
        <f>IF(D107=0,0,SUM($J$80:J107))</f>
        <v>5670420</v>
      </c>
      <c r="R107" s="282">
        <f t="shared" si="32"/>
        <v>-296876.69332124107</v>
      </c>
      <c r="S107" s="198">
        <f t="shared" si="38"/>
        <v>0.95024938283133908</v>
      </c>
      <c r="T107" s="207"/>
      <c r="U107" s="43">
        <f>IF(D107=0,0,SUM($L$21:L107))</f>
        <v>15382681.30870585</v>
      </c>
      <c r="V107" s="43">
        <f>IF(D107=0,0,SUM($J$21:J107))</f>
        <v>16787510</v>
      </c>
      <c r="W107" s="284">
        <f t="shared" si="33"/>
        <v>1404828.6912941504</v>
      </c>
      <c r="X107" s="200">
        <f t="shared" si="39"/>
        <v>1.0913253458939622</v>
      </c>
      <c r="Y107" s="201">
        <f t="shared" si="43"/>
        <v>45744</v>
      </c>
      <c r="Z107" s="202">
        <f t="shared" si="43"/>
        <v>45744</v>
      </c>
      <c r="AA107" s="18"/>
      <c r="AB107" s="244"/>
      <c r="AC107" s="247"/>
      <c r="AD107" s="142"/>
      <c r="AE107" s="18"/>
      <c r="AF107" s="18"/>
      <c r="AG107" s="203"/>
      <c r="AH107" s="203"/>
      <c r="AI107" s="18"/>
      <c r="AJ107" s="18"/>
      <c r="AK107" s="18"/>
      <c r="AL107" s="18"/>
      <c r="AM107" s="18"/>
      <c r="AN107" s="18"/>
    </row>
    <row r="108" spans="1:40" ht="20">
      <c r="A108" s="18"/>
      <c r="B108" s="151"/>
      <c r="C108" s="55">
        <v>88</v>
      </c>
      <c r="D108" s="54">
        <v>1</v>
      </c>
      <c r="E108" s="190">
        <f t="shared" si="34"/>
        <v>3</v>
      </c>
      <c r="F108" s="191">
        <f t="shared" si="35"/>
        <v>45745</v>
      </c>
      <c r="G108" s="192" t="str">
        <f t="shared" si="36"/>
        <v>Sat</v>
      </c>
      <c r="H108" s="193"/>
      <c r="I108" s="194"/>
      <c r="J108" s="214">
        <v>83110</v>
      </c>
      <c r="K108" s="215"/>
      <c r="L108" s="43">
        <f t="shared" si="37"/>
        <v>147971.56764600077</v>
      </c>
      <c r="M108" s="280">
        <f t="shared" si="31"/>
        <v>-64861.567646000767</v>
      </c>
      <c r="N108" s="41">
        <f t="shared" si="8"/>
        <v>0.56166195521309814</v>
      </c>
      <c r="O108" s="56"/>
      <c r="P108" s="43">
        <f>IF(D108=0,0,SUM($L$80:L108))</f>
        <v>6115268.2609672416</v>
      </c>
      <c r="Q108" s="43">
        <f>IF(D108=0,0,SUM($J$80:J108))</f>
        <v>5753530</v>
      </c>
      <c r="R108" s="282">
        <f t="shared" si="32"/>
        <v>-361738.2609672416</v>
      </c>
      <c r="S108" s="198">
        <f t="shared" si="38"/>
        <v>0.94084670605929788</v>
      </c>
      <c r="T108" s="207"/>
      <c r="U108" s="43">
        <f>IF(D108=0,0,SUM($L$21:L108))</f>
        <v>15530652.87635185</v>
      </c>
      <c r="V108" s="43">
        <f>IF(D108=0,0,SUM($J$21:J108))</f>
        <v>16870620</v>
      </c>
      <c r="W108" s="284">
        <f t="shared" si="33"/>
        <v>1339967.1236481499</v>
      </c>
      <c r="X108" s="200">
        <f t="shared" si="39"/>
        <v>1.0862788663371961</v>
      </c>
      <c r="Y108" s="201">
        <f t="shared" si="43"/>
        <v>45745</v>
      </c>
      <c r="Z108" s="202">
        <f t="shared" si="43"/>
        <v>45745</v>
      </c>
      <c r="AA108" s="18"/>
      <c r="AB108" s="244"/>
      <c r="AC108" s="247"/>
      <c r="AD108" s="142"/>
      <c r="AE108" s="18"/>
      <c r="AF108" s="18"/>
      <c r="AG108" s="203"/>
      <c r="AH108" s="203"/>
      <c r="AI108" s="18"/>
      <c r="AJ108" s="18"/>
      <c r="AK108" s="18"/>
      <c r="AL108" s="18"/>
      <c r="AM108" s="18"/>
      <c r="AN108" s="18"/>
    </row>
    <row r="109" spans="1:40" ht="20">
      <c r="A109" s="18"/>
      <c r="B109" s="151"/>
      <c r="C109" s="55">
        <v>89</v>
      </c>
      <c r="D109" s="54">
        <v>0</v>
      </c>
      <c r="E109" s="190">
        <f t="shared" si="34"/>
        <v>3</v>
      </c>
      <c r="F109" s="191">
        <f t="shared" si="35"/>
        <v>45746</v>
      </c>
      <c r="G109" s="192" t="str">
        <f t="shared" si="36"/>
        <v>Sun</v>
      </c>
      <c r="H109" s="193"/>
      <c r="I109" s="194"/>
      <c r="J109" s="214"/>
      <c r="K109" s="215"/>
      <c r="L109" s="43">
        <f t="shared" si="37"/>
        <v>0</v>
      </c>
      <c r="M109" s="280">
        <f t="shared" si="31"/>
        <v>0</v>
      </c>
      <c r="N109" s="41" t="str">
        <f t="shared" si="8"/>
        <v>¥0</v>
      </c>
      <c r="O109" s="44"/>
      <c r="P109" s="43">
        <f>IF(D109=0,0,SUM($L$80:L109))</f>
        <v>0</v>
      </c>
      <c r="Q109" s="43">
        <f>IF(D109=0,0,SUM($J$80:J109))</f>
        <v>0</v>
      </c>
      <c r="R109" s="282">
        <f t="shared" si="32"/>
        <v>0</v>
      </c>
      <c r="S109" s="198">
        <f t="shared" si="38"/>
        <v>0</v>
      </c>
      <c r="T109" s="212"/>
      <c r="U109" s="43">
        <f>IF(D109=0,0,SUM($L$21:L109))</f>
        <v>0</v>
      </c>
      <c r="V109" s="43">
        <f>IF(D109=0,0,SUM($J$21:J109))</f>
        <v>0</v>
      </c>
      <c r="W109" s="284">
        <f t="shared" si="33"/>
        <v>0</v>
      </c>
      <c r="X109" s="200">
        <f t="shared" si="39"/>
        <v>0</v>
      </c>
      <c r="Y109" s="201">
        <f t="shared" si="43"/>
        <v>45746</v>
      </c>
      <c r="Z109" s="202">
        <f t="shared" si="43"/>
        <v>45746</v>
      </c>
      <c r="AA109" s="18"/>
      <c r="AB109" s="244"/>
      <c r="AC109" s="247"/>
      <c r="AD109" s="142"/>
      <c r="AE109" s="18"/>
      <c r="AF109" s="18"/>
      <c r="AG109" s="203"/>
      <c r="AH109" s="203"/>
      <c r="AI109" s="18"/>
      <c r="AJ109" s="18"/>
      <c r="AK109" s="18"/>
      <c r="AL109" s="18"/>
      <c r="AM109" s="18"/>
      <c r="AN109" s="18"/>
    </row>
    <row r="110" spans="1:40" ht="21" thickBot="1">
      <c r="A110" s="18"/>
      <c r="B110" s="151"/>
      <c r="C110" s="39">
        <v>90</v>
      </c>
      <c r="D110" s="38">
        <v>1</v>
      </c>
      <c r="E110" s="217">
        <f t="shared" si="34"/>
        <v>3</v>
      </c>
      <c r="F110" s="218">
        <f t="shared" si="35"/>
        <v>45747</v>
      </c>
      <c r="G110" s="219" t="str">
        <f t="shared" si="36"/>
        <v>Mon</v>
      </c>
      <c r="H110" s="233"/>
      <c r="I110" s="221"/>
      <c r="J110" s="222">
        <v>390560</v>
      </c>
      <c r="K110" s="223"/>
      <c r="L110" s="43">
        <f t="shared" si="37"/>
        <v>178438.03273905211</v>
      </c>
      <c r="M110" s="281">
        <f t="shared" si="31"/>
        <v>212121.96726094789</v>
      </c>
      <c r="N110" s="234">
        <f t="shared" si="8"/>
        <v>2.1887710484409744</v>
      </c>
      <c r="O110" s="226"/>
      <c r="P110" s="227">
        <f>IF(D110=0,0,SUM($L$80:L110))</f>
        <v>6293706.2937062941</v>
      </c>
      <c r="Q110" s="224">
        <f>IF(D110=0,0,SUM($J$80:J110))</f>
        <v>6144090</v>
      </c>
      <c r="R110" s="281">
        <f t="shared" si="32"/>
        <v>-149616.29370629415</v>
      </c>
      <c r="S110" s="228">
        <f t="shared" si="38"/>
        <v>0.97622763333333329</v>
      </c>
      <c r="T110" s="229"/>
      <c r="U110" s="28">
        <f>IF(D110=0,0,SUM($L$21:L110))</f>
        <v>15709090.909090903</v>
      </c>
      <c r="V110" s="224">
        <f>IF(D110=0,0,SUM($J$21:J110))</f>
        <v>17261180</v>
      </c>
      <c r="W110" s="285">
        <f t="shared" si="33"/>
        <v>1552089.0909090973</v>
      </c>
      <c r="X110" s="230">
        <f t="shared" si="39"/>
        <v>1.0988019675925931</v>
      </c>
      <c r="Y110" s="201">
        <f t="shared" si="43"/>
        <v>45747</v>
      </c>
      <c r="Z110" s="202">
        <f t="shared" si="43"/>
        <v>45747</v>
      </c>
      <c r="AA110" s="18"/>
      <c r="AB110" s="244"/>
      <c r="AC110" s="247"/>
      <c r="AD110" s="142"/>
      <c r="AE110" s="18"/>
      <c r="AF110" s="18"/>
      <c r="AG110" s="203"/>
      <c r="AH110" s="203"/>
      <c r="AI110" s="18"/>
      <c r="AJ110" s="18"/>
      <c r="AK110" s="18"/>
      <c r="AL110" s="18"/>
      <c r="AM110" s="18"/>
      <c r="AN110" s="18"/>
    </row>
    <row r="111" spans="1:40" ht="21" thickTop="1">
      <c r="A111" s="18"/>
      <c r="B111" s="151"/>
      <c r="C111" s="55">
        <v>91</v>
      </c>
      <c r="D111" s="62">
        <v>1</v>
      </c>
      <c r="E111" s="190">
        <f t="shared" si="34"/>
        <v>4</v>
      </c>
      <c r="F111" s="191">
        <f t="shared" si="35"/>
        <v>45748</v>
      </c>
      <c r="G111" s="192" t="str">
        <f t="shared" si="36"/>
        <v>Tue</v>
      </c>
      <c r="H111" s="193"/>
      <c r="I111" s="194"/>
      <c r="J111" s="214">
        <v>332310</v>
      </c>
      <c r="K111" s="215"/>
      <c r="L111" s="43">
        <f t="shared" si="37"/>
        <v>349706.706630164</v>
      </c>
      <c r="M111" s="282">
        <f t="shared" si="31"/>
        <v>-17396.706630164001</v>
      </c>
      <c r="N111" s="60">
        <f t="shared" si="8"/>
        <v>0.95025343723658673</v>
      </c>
      <c r="O111" s="56"/>
      <c r="P111" s="43">
        <f>IF(D111=0,0,$L$111)</f>
        <v>349706.706630164</v>
      </c>
      <c r="Q111" s="43">
        <f>IF(D111=0,0,$J$111)</f>
        <v>332310</v>
      </c>
      <c r="R111" s="282">
        <f t="shared" si="32"/>
        <v>-17396.706630164001</v>
      </c>
      <c r="S111" s="231">
        <f t="shared" si="38"/>
        <v>0.95025343723658673</v>
      </c>
      <c r="T111" s="207"/>
      <c r="U111" s="43">
        <f>IF(D111=0,0,SUM($L$21:L111))</f>
        <v>16058797.615721067</v>
      </c>
      <c r="V111" s="43">
        <f>IF(D111=0,0,SUM($J$21:J111))</f>
        <v>17593490</v>
      </c>
      <c r="W111" s="284">
        <f t="shared" si="33"/>
        <v>1534692.3842789326</v>
      </c>
      <c r="X111" s="232">
        <f t="shared" si="39"/>
        <v>1.0955670792423784</v>
      </c>
      <c r="Y111" s="201">
        <f t="shared" si="43"/>
        <v>45748</v>
      </c>
      <c r="Z111" s="202">
        <f t="shared" si="43"/>
        <v>45748</v>
      </c>
      <c r="AA111" s="18"/>
      <c r="AB111" s="244"/>
      <c r="AC111" s="247"/>
      <c r="AD111" s="142"/>
      <c r="AE111" s="18"/>
      <c r="AF111" s="18"/>
      <c r="AG111" s="203"/>
      <c r="AH111" s="203"/>
      <c r="AI111" s="18"/>
      <c r="AJ111" s="18"/>
      <c r="AK111" s="18"/>
      <c r="AL111" s="18"/>
      <c r="AM111" s="18"/>
      <c r="AN111" s="18"/>
    </row>
    <row r="112" spans="1:40" ht="20">
      <c r="A112" s="18"/>
      <c r="B112" s="151"/>
      <c r="C112" s="55">
        <v>92</v>
      </c>
      <c r="D112" s="54">
        <v>1</v>
      </c>
      <c r="E112" s="190">
        <f t="shared" si="34"/>
        <v>4</v>
      </c>
      <c r="F112" s="191">
        <f t="shared" si="35"/>
        <v>45749</v>
      </c>
      <c r="G112" s="192" t="str">
        <f t="shared" si="36"/>
        <v>Wed</v>
      </c>
      <c r="H112" s="193"/>
      <c r="I112" s="194"/>
      <c r="J112" s="214">
        <v>242970</v>
      </c>
      <c r="K112" s="215"/>
      <c r="L112" s="43">
        <f t="shared" si="37"/>
        <v>242810.59771725239</v>
      </c>
      <c r="M112" s="280">
        <f t="shared" si="31"/>
        <v>159.40228274761466</v>
      </c>
      <c r="N112" s="41">
        <f t="shared" si="8"/>
        <v>1.0006564881609215</v>
      </c>
      <c r="O112" s="56"/>
      <c r="P112" s="43">
        <f>IF(D112=0,0,SUM($L$111:L112))</f>
        <v>592517.30434741639</v>
      </c>
      <c r="Q112" s="43">
        <f>IF(D112=0,0,SUM($J$111:J112))</f>
        <v>575280</v>
      </c>
      <c r="R112" s="282">
        <f t="shared" si="32"/>
        <v>-17237.304347416386</v>
      </c>
      <c r="S112" s="198">
        <f t="shared" si="38"/>
        <v>0.97090835285156585</v>
      </c>
      <c r="T112" s="207"/>
      <c r="U112" s="43">
        <f>IF(D112=0,0,SUM($L$21:L112))</f>
        <v>16301608.213438319</v>
      </c>
      <c r="V112" s="43">
        <f>IF(D112=0,0,SUM($J$21:J112))</f>
        <v>17836460</v>
      </c>
      <c r="W112" s="284">
        <f t="shared" si="33"/>
        <v>1534851.786561681</v>
      </c>
      <c r="X112" s="200">
        <f t="shared" si="39"/>
        <v>1.0941533967977721</v>
      </c>
      <c r="Y112" s="201">
        <f t="shared" si="43"/>
        <v>45749</v>
      </c>
      <c r="Z112" s="202">
        <f t="shared" si="43"/>
        <v>45749</v>
      </c>
      <c r="AA112" s="18"/>
      <c r="AB112" s="244"/>
      <c r="AC112" s="247"/>
      <c r="AD112" s="142"/>
      <c r="AE112" s="18"/>
      <c r="AF112" s="18"/>
      <c r="AG112" s="203"/>
      <c r="AH112" s="203"/>
      <c r="AI112" s="18"/>
      <c r="AJ112" s="18"/>
      <c r="AK112" s="18"/>
      <c r="AL112" s="18"/>
      <c r="AM112" s="18"/>
      <c r="AN112" s="18"/>
    </row>
    <row r="113" spans="1:40" ht="20">
      <c r="A113" s="18"/>
      <c r="B113" s="151"/>
      <c r="C113" s="55">
        <v>93</v>
      </c>
      <c r="D113" s="54">
        <v>1</v>
      </c>
      <c r="E113" s="190">
        <f t="shared" si="34"/>
        <v>4</v>
      </c>
      <c r="F113" s="191">
        <f t="shared" si="35"/>
        <v>45750</v>
      </c>
      <c r="G113" s="192" t="str">
        <f t="shared" si="36"/>
        <v>Thu</v>
      </c>
      <c r="H113" s="193"/>
      <c r="I113" s="194"/>
      <c r="J113" s="214">
        <v>353310</v>
      </c>
      <c r="K113" s="215"/>
      <c r="L113" s="43">
        <f t="shared" si="37"/>
        <v>288304.40374346258</v>
      </c>
      <c r="M113" s="280">
        <f t="shared" si="31"/>
        <v>65005.596256537421</v>
      </c>
      <c r="N113" s="41">
        <f t="shared" si="8"/>
        <v>1.2254755578217957</v>
      </c>
      <c r="O113" s="56"/>
      <c r="P113" s="43">
        <f>IF(D113=0,0,SUM($L$111:L113))</f>
        <v>880821.70809087902</v>
      </c>
      <c r="Q113" s="43">
        <f>IF(D113=0,0,SUM($J$111:J113))</f>
        <v>928590</v>
      </c>
      <c r="R113" s="282">
        <f t="shared" si="32"/>
        <v>47768.291909120977</v>
      </c>
      <c r="S113" s="198">
        <f t="shared" si="38"/>
        <v>1.0542315107249747</v>
      </c>
      <c r="T113" s="207"/>
      <c r="U113" s="43">
        <f>IF(D113=0,0,SUM($L$21:L113))</f>
        <v>16589912.617181782</v>
      </c>
      <c r="V113" s="43">
        <f>IF(D113=0,0,SUM($J$21:J113))</f>
        <v>18189770</v>
      </c>
      <c r="W113" s="284">
        <f t="shared" si="33"/>
        <v>1599857.3828182183</v>
      </c>
      <c r="X113" s="200">
        <f t="shared" si="39"/>
        <v>1.0964355521174527</v>
      </c>
      <c r="Y113" s="201">
        <f t="shared" si="43"/>
        <v>45750</v>
      </c>
      <c r="Z113" s="202">
        <f t="shared" si="43"/>
        <v>45750</v>
      </c>
      <c r="AA113" s="18"/>
      <c r="AB113" s="244"/>
      <c r="AC113" s="247"/>
      <c r="AD113" s="142"/>
      <c r="AE113" s="18"/>
      <c r="AF113" s="18"/>
      <c r="AG113" s="203"/>
      <c r="AH113" s="203"/>
      <c r="AI113" s="18"/>
      <c r="AJ113" s="18"/>
      <c r="AK113" s="18"/>
      <c r="AL113" s="18"/>
      <c r="AM113" s="18"/>
      <c r="AN113" s="18"/>
    </row>
    <row r="114" spans="1:40" ht="20">
      <c r="A114" s="18"/>
      <c r="B114" s="151"/>
      <c r="C114" s="55">
        <v>94</v>
      </c>
      <c r="D114" s="54">
        <v>1</v>
      </c>
      <c r="E114" s="190">
        <f t="shared" si="34"/>
        <v>4</v>
      </c>
      <c r="F114" s="191">
        <f t="shared" si="35"/>
        <v>45751</v>
      </c>
      <c r="G114" s="192" t="str">
        <f t="shared" si="36"/>
        <v>Fri</v>
      </c>
      <c r="H114" s="193"/>
      <c r="I114" s="194"/>
      <c r="J114" s="214">
        <v>364780</v>
      </c>
      <c r="K114" s="215"/>
      <c r="L114" s="43">
        <f t="shared" si="37"/>
        <v>343351.24022972299</v>
      </c>
      <c r="M114" s="280">
        <f t="shared" si="31"/>
        <v>21428.759770277014</v>
      </c>
      <c r="N114" s="41">
        <f t="shared" si="8"/>
        <v>1.0624106083203306</v>
      </c>
      <c r="O114" s="56"/>
      <c r="P114" s="43">
        <f>IF(D114=0,0,SUM($L$111:L114))</f>
        <v>1224172.9483206021</v>
      </c>
      <c r="Q114" s="43">
        <f>IF(D114=0,0,SUM($J$111:J114))</f>
        <v>1293370</v>
      </c>
      <c r="R114" s="282">
        <f t="shared" si="32"/>
        <v>69197.051679397933</v>
      </c>
      <c r="S114" s="198">
        <f t="shared" si="38"/>
        <v>1.0565255520262287</v>
      </c>
      <c r="T114" s="207"/>
      <c r="U114" s="43">
        <f>IF(D114=0,0,SUM($L$21:L114))</f>
        <v>16933263.857411504</v>
      </c>
      <c r="V114" s="43">
        <f>IF(D114=0,0,SUM($J$21:J114))</f>
        <v>18554550</v>
      </c>
      <c r="W114" s="284">
        <f t="shared" si="33"/>
        <v>1621286.1425884962</v>
      </c>
      <c r="X114" s="200">
        <f t="shared" si="39"/>
        <v>1.0957456374766685</v>
      </c>
      <c r="Y114" s="201">
        <f t="shared" si="43"/>
        <v>45751</v>
      </c>
      <c r="Z114" s="202">
        <f t="shared" si="43"/>
        <v>45751</v>
      </c>
      <c r="AA114" s="18"/>
      <c r="AB114" s="244"/>
      <c r="AC114" s="247"/>
      <c r="AD114" s="142"/>
      <c r="AE114" s="18"/>
      <c r="AF114" s="18"/>
      <c r="AG114" s="203"/>
      <c r="AH114" s="203"/>
      <c r="AI114" s="18"/>
      <c r="AJ114" s="18"/>
      <c r="AK114" s="18"/>
      <c r="AL114" s="18"/>
      <c r="AM114" s="18"/>
      <c r="AN114" s="18"/>
    </row>
    <row r="115" spans="1:40" ht="20">
      <c r="A115" s="18"/>
      <c r="B115" s="151"/>
      <c r="C115" s="55">
        <v>95</v>
      </c>
      <c r="D115" s="54">
        <v>1</v>
      </c>
      <c r="E115" s="190">
        <f t="shared" si="34"/>
        <v>4</v>
      </c>
      <c r="F115" s="191">
        <f t="shared" si="35"/>
        <v>45752</v>
      </c>
      <c r="G115" s="192" t="str">
        <f t="shared" si="36"/>
        <v>Sat</v>
      </c>
      <c r="H115" s="193"/>
      <c r="I115" s="194"/>
      <c r="J115" s="214">
        <v>81370</v>
      </c>
      <c r="K115" s="215"/>
      <c r="L115" s="43">
        <f t="shared" si="37"/>
        <v>209100.21057175542</v>
      </c>
      <c r="M115" s="280">
        <f t="shared" si="31"/>
        <v>-127730.21057175542</v>
      </c>
      <c r="N115" s="41">
        <f t="shared" si="8"/>
        <v>0.38914355838047726</v>
      </c>
      <c r="O115" s="56"/>
      <c r="P115" s="43">
        <f>IF(D115=0,0,SUM($L$111:L115))</f>
        <v>1433273.1588923575</v>
      </c>
      <c r="Q115" s="43">
        <f>IF(D115=0,0,SUM($J$111:J115))</f>
        <v>1374740</v>
      </c>
      <c r="R115" s="282">
        <f t="shared" si="32"/>
        <v>-58533.158892357489</v>
      </c>
      <c r="S115" s="198">
        <f t="shared" si="38"/>
        <v>0.95916119789922505</v>
      </c>
      <c r="T115" s="207"/>
      <c r="U115" s="43">
        <f>IF(D115=0,0,SUM($L$21:L115))</f>
        <v>17142364.067983259</v>
      </c>
      <c r="V115" s="43">
        <f>IF(D115=0,0,SUM($J$21:J115))</f>
        <v>18635920</v>
      </c>
      <c r="W115" s="284">
        <f t="shared" si="33"/>
        <v>1493555.9320167415</v>
      </c>
      <c r="X115" s="200">
        <f t="shared" si="39"/>
        <v>1.0871266020307113</v>
      </c>
      <c r="Y115" s="201">
        <f t="shared" si="43"/>
        <v>45752</v>
      </c>
      <c r="Z115" s="202">
        <f t="shared" si="43"/>
        <v>45752</v>
      </c>
      <c r="AA115" s="18"/>
      <c r="AB115" s="244"/>
      <c r="AC115" s="247"/>
      <c r="AD115" s="142"/>
      <c r="AE115" s="18"/>
      <c r="AF115" s="18"/>
      <c r="AG115" s="203"/>
      <c r="AH115" s="203"/>
      <c r="AI115" s="18"/>
      <c r="AJ115" s="18"/>
      <c r="AK115" s="18"/>
      <c r="AL115" s="18"/>
      <c r="AM115" s="18"/>
      <c r="AN115" s="18"/>
    </row>
    <row r="116" spans="1:40" ht="20">
      <c r="A116" s="18"/>
      <c r="B116" s="151"/>
      <c r="C116" s="55">
        <v>96</v>
      </c>
      <c r="D116" s="54">
        <v>0</v>
      </c>
      <c r="E116" s="190">
        <f t="shared" si="34"/>
        <v>4</v>
      </c>
      <c r="F116" s="191">
        <f t="shared" si="35"/>
        <v>45753</v>
      </c>
      <c r="G116" s="192" t="str">
        <f t="shared" si="36"/>
        <v>Sun</v>
      </c>
      <c r="H116" s="193"/>
      <c r="I116" s="194"/>
      <c r="J116" s="214"/>
      <c r="K116" s="215"/>
      <c r="L116" s="43">
        <f t="shared" si="37"/>
        <v>0</v>
      </c>
      <c r="M116" s="280">
        <f t="shared" si="31"/>
        <v>0</v>
      </c>
      <c r="N116" s="41" t="str">
        <f t="shared" si="8"/>
        <v>¥0</v>
      </c>
      <c r="O116" s="44"/>
      <c r="P116" s="43">
        <f>IF(D116=0,0,SUM($L$111:L116))</f>
        <v>0</v>
      </c>
      <c r="Q116" s="43">
        <f>IF(D116=0,0,SUM($J$111:J116))</f>
        <v>0</v>
      </c>
      <c r="R116" s="282">
        <f t="shared" si="32"/>
        <v>0</v>
      </c>
      <c r="S116" s="198">
        <f t="shared" si="38"/>
        <v>0</v>
      </c>
      <c r="T116" s="212"/>
      <c r="U116" s="43">
        <f>IF(D116=0,0,SUM($L$21:L116))</f>
        <v>0</v>
      </c>
      <c r="V116" s="43">
        <f>IF(D116=0,0,SUM($J$21:J116))</f>
        <v>0</v>
      </c>
      <c r="W116" s="284">
        <f t="shared" si="33"/>
        <v>0</v>
      </c>
      <c r="X116" s="200">
        <f t="shared" si="39"/>
        <v>0</v>
      </c>
      <c r="Y116" s="201">
        <f t="shared" si="43"/>
        <v>45753</v>
      </c>
      <c r="Z116" s="202">
        <f t="shared" si="43"/>
        <v>45753</v>
      </c>
      <c r="AA116" s="18"/>
      <c r="AB116" s="244"/>
      <c r="AC116" s="247"/>
      <c r="AD116" s="142"/>
      <c r="AE116" s="18"/>
      <c r="AF116" s="18"/>
      <c r="AG116" s="203"/>
      <c r="AH116" s="203"/>
      <c r="AI116" s="18"/>
      <c r="AJ116" s="18"/>
      <c r="AK116" s="18"/>
      <c r="AL116" s="18"/>
      <c r="AM116" s="18"/>
      <c r="AN116" s="18"/>
    </row>
    <row r="117" spans="1:40" ht="20">
      <c r="A117" s="18"/>
      <c r="B117" s="151"/>
      <c r="C117" s="55">
        <v>97</v>
      </c>
      <c r="D117" s="54">
        <v>1</v>
      </c>
      <c r="E117" s="190">
        <f t="shared" si="34"/>
        <v>4</v>
      </c>
      <c r="F117" s="191">
        <f t="shared" si="35"/>
        <v>45754</v>
      </c>
      <c r="G117" s="192" t="str">
        <f t="shared" si="36"/>
        <v>Mon</v>
      </c>
      <c r="H117" s="193"/>
      <c r="I117" s="194"/>
      <c r="J117" s="214">
        <v>188390</v>
      </c>
      <c r="K117" s="215"/>
      <c r="L117" s="43">
        <f t="shared" si="37"/>
        <v>236793.42244756047</v>
      </c>
      <c r="M117" s="280">
        <f t="shared" si="31"/>
        <v>-48403.422447560471</v>
      </c>
      <c r="N117" s="41">
        <f t="shared" si="8"/>
        <v>0.79558797728733477</v>
      </c>
      <c r="O117" s="56"/>
      <c r="P117" s="43">
        <f>IF(D117=0,0,SUM($L$111:L117))</f>
        <v>1670066.5813399181</v>
      </c>
      <c r="Q117" s="43">
        <f>IF(D117=0,0,SUM($J$111:J117))</f>
        <v>1563130</v>
      </c>
      <c r="R117" s="282">
        <f t="shared" si="32"/>
        <v>-106936.58133991808</v>
      </c>
      <c r="S117" s="198">
        <f t="shared" si="38"/>
        <v>0.93596867182737031</v>
      </c>
      <c r="T117" s="207"/>
      <c r="U117" s="43">
        <f>IF(D117=0,0,SUM($L$21:L117))</f>
        <v>17379157.490430821</v>
      </c>
      <c r="V117" s="43">
        <f>IF(D117=0,0,SUM($J$21:J117))</f>
        <v>18824310</v>
      </c>
      <c r="W117" s="284">
        <f t="shared" si="33"/>
        <v>1445152.5095691793</v>
      </c>
      <c r="X117" s="200">
        <f t="shared" si="39"/>
        <v>1.0831543479806141</v>
      </c>
      <c r="Y117" s="201">
        <f t="shared" si="43"/>
        <v>45754</v>
      </c>
      <c r="Z117" s="202">
        <f t="shared" si="43"/>
        <v>45754</v>
      </c>
      <c r="AA117" s="18"/>
      <c r="AB117" s="244"/>
      <c r="AC117" s="247"/>
      <c r="AD117" s="142"/>
      <c r="AE117" s="18"/>
      <c r="AF117" s="18"/>
      <c r="AG117" s="203"/>
      <c r="AH117" s="203"/>
      <c r="AI117" s="18"/>
      <c r="AJ117" s="18"/>
      <c r="AK117" s="18"/>
      <c r="AL117" s="18"/>
      <c r="AM117" s="18"/>
      <c r="AN117" s="18"/>
    </row>
    <row r="118" spans="1:40" ht="20">
      <c r="A118" s="18"/>
      <c r="B118" s="151"/>
      <c r="C118" s="55">
        <v>98</v>
      </c>
      <c r="D118" s="54">
        <v>1</v>
      </c>
      <c r="E118" s="190">
        <f t="shared" si="34"/>
        <v>4</v>
      </c>
      <c r="F118" s="191">
        <f t="shared" si="35"/>
        <v>45755</v>
      </c>
      <c r="G118" s="192" t="str">
        <f t="shared" si="36"/>
        <v>Tue</v>
      </c>
      <c r="H118" s="193"/>
      <c r="I118" s="194"/>
      <c r="J118" s="214">
        <v>327820</v>
      </c>
      <c r="K118" s="215"/>
      <c r="L118" s="43">
        <f t="shared" si="37"/>
        <v>349706.706630164</v>
      </c>
      <c r="M118" s="280">
        <f t="shared" si="31"/>
        <v>-21886.706630164001</v>
      </c>
      <c r="N118" s="41">
        <f t="shared" si="8"/>
        <v>0.93741410669223879</v>
      </c>
      <c r="O118" s="56"/>
      <c r="P118" s="43">
        <f>IF(D118=0,0,SUM($L$111:L118))</f>
        <v>2019773.2879700821</v>
      </c>
      <c r="Q118" s="43">
        <f>IF(D118=0,0,SUM($J$111:J118))</f>
        <v>1890950</v>
      </c>
      <c r="R118" s="282">
        <f t="shared" si="32"/>
        <v>-128823.28797008214</v>
      </c>
      <c r="S118" s="198">
        <f t="shared" si="38"/>
        <v>0.93621893668098144</v>
      </c>
      <c r="T118" s="207"/>
      <c r="U118" s="43">
        <f>IF(D118=0,0,SUM($L$21:L118))</f>
        <v>17728864.197060984</v>
      </c>
      <c r="V118" s="43">
        <f>IF(D118=0,0,SUM($J$21:J118))</f>
        <v>19152130</v>
      </c>
      <c r="W118" s="284">
        <f t="shared" si="33"/>
        <v>1423265.8029390164</v>
      </c>
      <c r="X118" s="200">
        <f t="shared" si="39"/>
        <v>1.080279581766719</v>
      </c>
      <c r="Y118" s="201">
        <f t="shared" si="43"/>
        <v>45755</v>
      </c>
      <c r="Z118" s="202">
        <f t="shared" si="43"/>
        <v>45755</v>
      </c>
      <c r="AA118" s="18"/>
      <c r="AB118" s="244"/>
      <c r="AC118" s="247"/>
      <c r="AD118" s="142"/>
      <c r="AE118" s="18"/>
      <c r="AF118" s="18"/>
      <c r="AG118" s="203"/>
      <c r="AH118" s="203"/>
      <c r="AI118" s="18"/>
      <c r="AJ118" s="18"/>
      <c r="AK118" s="18"/>
      <c r="AL118" s="18"/>
      <c r="AM118" s="18"/>
      <c r="AN118" s="18"/>
    </row>
    <row r="119" spans="1:40" ht="20">
      <c r="A119" s="18"/>
      <c r="B119" s="151"/>
      <c r="C119" s="55">
        <v>99</v>
      </c>
      <c r="D119" s="54">
        <v>1</v>
      </c>
      <c r="E119" s="190">
        <f t="shared" si="34"/>
        <v>4</v>
      </c>
      <c r="F119" s="191">
        <f t="shared" si="35"/>
        <v>45756</v>
      </c>
      <c r="G119" s="192" t="str">
        <f t="shared" si="36"/>
        <v>Wed</v>
      </c>
      <c r="H119" s="193"/>
      <c r="I119" s="194"/>
      <c r="J119" s="214">
        <v>248000</v>
      </c>
      <c r="K119" s="215"/>
      <c r="L119" s="43">
        <f t="shared" si="37"/>
        <v>242810.59771725239</v>
      </c>
      <c r="M119" s="280">
        <f t="shared" si="31"/>
        <v>5189.4022827476147</v>
      </c>
      <c r="N119" s="41">
        <f t="shared" si="8"/>
        <v>1.0213722231712083</v>
      </c>
      <c r="O119" s="56"/>
      <c r="P119" s="43">
        <f>IF(D119=0,0,SUM($L$111:L119))</f>
        <v>2262583.8856873345</v>
      </c>
      <c r="Q119" s="43">
        <f>IF(D119=0,0,SUM($J$111:J119))</f>
        <v>2138950</v>
      </c>
      <c r="R119" s="282">
        <f t="shared" si="32"/>
        <v>-123633.88568733446</v>
      </c>
      <c r="S119" s="198">
        <f t="shared" si="38"/>
        <v>0.94535721461227651</v>
      </c>
      <c r="T119" s="207"/>
      <c r="U119" s="43">
        <f>IF(D119=0,0,SUM($L$21:L119))</f>
        <v>17971674.794778235</v>
      </c>
      <c r="V119" s="43">
        <f>IF(D119=0,0,SUM($J$21:J119))</f>
        <v>19400130</v>
      </c>
      <c r="W119" s="284">
        <f t="shared" si="33"/>
        <v>1428455.2052217647</v>
      </c>
      <c r="X119" s="200">
        <f t="shared" si="39"/>
        <v>1.0794836998517696</v>
      </c>
      <c r="Y119" s="201">
        <f t="shared" ref="Y119:Z134" si="44">Y118+1</f>
        <v>45756</v>
      </c>
      <c r="Z119" s="202">
        <f t="shared" si="44"/>
        <v>45756</v>
      </c>
      <c r="AA119" s="18"/>
      <c r="AB119" s="244"/>
      <c r="AC119" s="247"/>
      <c r="AD119" s="142"/>
      <c r="AE119" s="18"/>
      <c r="AF119" s="18"/>
      <c r="AG119" s="203"/>
      <c r="AH119" s="203"/>
      <c r="AI119" s="18"/>
      <c r="AJ119" s="18"/>
      <c r="AK119" s="18"/>
      <c r="AL119" s="18"/>
      <c r="AM119" s="18"/>
      <c r="AN119" s="18"/>
    </row>
    <row r="120" spans="1:40" ht="20">
      <c r="A120" s="18"/>
      <c r="B120" s="151"/>
      <c r="C120" s="55">
        <v>100</v>
      </c>
      <c r="D120" s="54">
        <v>1</v>
      </c>
      <c r="E120" s="190">
        <f t="shared" si="34"/>
        <v>4</v>
      </c>
      <c r="F120" s="191">
        <f t="shared" si="35"/>
        <v>45757</v>
      </c>
      <c r="G120" s="192" t="str">
        <f t="shared" si="36"/>
        <v>Thu</v>
      </c>
      <c r="H120" s="193"/>
      <c r="I120" s="194"/>
      <c r="J120" s="214">
        <v>333790</v>
      </c>
      <c r="K120" s="215"/>
      <c r="L120" s="43">
        <f t="shared" si="37"/>
        <v>288304.40374346258</v>
      </c>
      <c r="M120" s="280">
        <f t="shared" si="31"/>
        <v>45485.596256537421</v>
      </c>
      <c r="N120" s="41">
        <f t="shared" si="8"/>
        <v>1.1577693426320714</v>
      </c>
      <c r="O120" s="56"/>
      <c r="P120" s="43">
        <f>IF(D120=0,0,SUM($L$111:L120))</f>
        <v>2550888.2894307971</v>
      </c>
      <c r="Q120" s="43">
        <f>IF(D120=0,0,SUM($J$111:J120))</f>
        <v>2472740</v>
      </c>
      <c r="R120" s="282">
        <f t="shared" si="32"/>
        <v>-78148.2894307971</v>
      </c>
      <c r="S120" s="198">
        <f t="shared" si="38"/>
        <v>0.96936428390275176</v>
      </c>
      <c r="T120" s="207"/>
      <c r="U120" s="43">
        <f>IF(D120=0,0,SUM($L$21:L120))</f>
        <v>18259979.198521696</v>
      </c>
      <c r="V120" s="43">
        <f>IF(D120=0,0,SUM($J$21:J120))</f>
        <v>19733920</v>
      </c>
      <c r="W120" s="284">
        <f t="shared" si="33"/>
        <v>1473940.801478304</v>
      </c>
      <c r="X120" s="200">
        <f t="shared" si="39"/>
        <v>1.0807197415426208</v>
      </c>
      <c r="Y120" s="201">
        <f t="shared" si="44"/>
        <v>45757</v>
      </c>
      <c r="Z120" s="202">
        <f t="shared" si="44"/>
        <v>45757</v>
      </c>
      <c r="AA120" s="18"/>
      <c r="AB120" s="244"/>
      <c r="AC120" s="247"/>
      <c r="AD120" s="142"/>
      <c r="AE120" s="18"/>
      <c r="AF120" s="18"/>
      <c r="AG120" s="203"/>
      <c r="AH120" s="203"/>
      <c r="AI120" s="18"/>
      <c r="AJ120" s="18"/>
      <c r="AK120" s="18"/>
      <c r="AL120" s="18"/>
      <c r="AM120" s="18"/>
      <c r="AN120" s="18"/>
    </row>
    <row r="121" spans="1:40" ht="20">
      <c r="A121" s="18"/>
      <c r="B121" s="151"/>
      <c r="C121" s="55">
        <v>101</v>
      </c>
      <c r="D121" s="54">
        <v>1</v>
      </c>
      <c r="E121" s="190">
        <f t="shared" si="34"/>
        <v>4</v>
      </c>
      <c r="F121" s="191">
        <f t="shared" si="35"/>
        <v>45758</v>
      </c>
      <c r="G121" s="192" t="str">
        <f t="shared" si="36"/>
        <v>Fri</v>
      </c>
      <c r="H121" s="193"/>
      <c r="I121" s="194"/>
      <c r="J121" s="214">
        <v>352720</v>
      </c>
      <c r="K121" s="215"/>
      <c r="L121" s="43">
        <f t="shared" si="37"/>
        <v>343351.24022972299</v>
      </c>
      <c r="M121" s="280">
        <f t="shared" si="31"/>
        <v>9368.7597702770145</v>
      </c>
      <c r="N121" s="41">
        <f t="shared" si="8"/>
        <v>1.0272862266756595</v>
      </c>
      <c r="O121" s="56"/>
      <c r="P121" s="43">
        <f>IF(D121=0,0,SUM($L$111:L121))</f>
        <v>2894239.5296605201</v>
      </c>
      <c r="Q121" s="43">
        <f>IF(D121=0,0,SUM($J$111:J121))</f>
        <v>2825460</v>
      </c>
      <c r="R121" s="282">
        <f t="shared" si="32"/>
        <v>-68779.529660520144</v>
      </c>
      <c r="S121" s="198">
        <f t="shared" si="38"/>
        <v>0.97623571616804372</v>
      </c>
      <c r="T121" s="207"/>
      <c r="U121" s="43">
        <f>IF(D121=0,0,SUM($L$21:L121))</f>
        <v>18603330.438751418</v>
      </c>
      <c r="V121" s="43">
        <f>IF(D121=0,0,SUM($J$21:J121))</f>
        <v>20086640</v>
      </c>
      <c r="W121" s="284">
        <f t="shared" si="33"/>
        <v>1483309.5612485819</v>
      </c>
      <c r="X121" s="200">
        <f t="shared" si="39"/>
        <v>1.0797335491154205</v>
      </c>
      <c r="Y121" s="201">
        <f t="shared" si="44"/>
        <v>45758</v>
      </c>
      <c r="Z121" s="202">
        <f t="shared" si="44"/>
        <v>45758</v>
      </c>
      <c r="AA121" s="18"/>
      <c r="AB121" s="244"/>
      <c r="AC121" s="247"/>
      <c r="AD121" s="142"/>
      <c r="AE121" s="18"/>
      <c r="AF121" s="18"/>
      <c r="AG121" s="203"/>
      <c r="AH121" s="203"/>
      <c r="AI121" s="18"/>
      <c r="AJ121" s="18"/>
      <c r="AK121" s="18"/>
      <c r="AL121" s="18"/>
      <c r="AM121" s="18"/>
      <c r="AN121" s="18"/>
    </row>
    <row r="122" spans="1:40" ht="20">
      <c r="A122" s="18"/>
      <c r="B122" s="151"/>
      <c r="C122" s="55">
        <v>102</v>
      </c>
      <c r="D122" s="54">
        <v>1</v>
      </c>
      <c r="E122" s="190">
        <f t="shared" si="34"/>
        <v>4</v>
      </c>
      <c r="F122" s="191">
        <f t="shared" si="35"/>
        <v>45759</v>
      </c>
      <c r="G122" s="192" t="str">
        <f t="shared" si="36"/>
        <v>Sat</v>
      </c>
      <c r="H122" s="193"/>
      <c r="I122" s="194"/>
      <c r="J122" s="214">
        <v>96750</v>
      </c>
      <c r="K122" s="215"/>
      <c r="L122" s="43">
        <f t="shared" si="37"/>
        <v>209100.21057175542</v>
      </c>
      <c r="M122" s="280">
        <f t="shared" si="31"/>
        <v>-112350.21057175542</v>
      </c>
      <c r="N122" s="41">
        <f t="shared" si="8"/>
        <v>0.46269680807805308</v>
      </c>
      <c r="O122" s="56"/>
      <c r="P122" s="43">
        <f>IF(D122=0,0,SUM($L$111:L122))</f>
        <v>3103339.7402322758</v>
      </c>
      <c r="Q122" s="43">
        <f>IF(D122=0,0,SUM($J$111:J122))</f>
        <v>2922210</v>
      </c>
      <c r="R122" s="282">
        <f t="shared" si="32"/>
        <v>-181129.7402322758</v>
      </c>
      <c r="S122" s="198">
        <f t="shared" si="38"/>
        <v>0.9416339313791281</v>
      </c>
      <c r="T122" s="207"/>
      <c r="U122" s="43">
        <f>IF(D122=0,0,SUM($L$21:L122))</f>
        <v>18812430.649323173</v>
      </c>
      <c r="V122" s="43">
        <f>IF(D122=0,0,SUM($J$21:J122))</f>
        <v>20183390</v>
      </c>
      <c r="W122" s="284">
        <f t="shared" si="33"/>
        <v>1370959.3506768271</v>
      </c>
      <c r="X122" s="200">
        <f t="shared" si="39"/>
        <v>1.0728751842987472</v>
      </c>
      <c r="Y122" s="201">
        <f t="shared" si="44"/>
        <v>45759</v>
      </c>
      <c r="Z122" s="202">
        <f t="shared" si="44"/>
        <v>45759</v>
      </c>
      <c r="AA122" s="18"/>
      <c r="AB122" s="244"/>
      <c r="AC122" s="247"/>
      <c r="AD122" s="142"/>
      <c r="AE122" s="18"/>
      <c r="AF122" s="18"/>
      <c r="AG122" s="203"/>
      <c r="AH122" s="203"/>
      <c r="AI122" s="18"/>
      <c r="AJ122" s="18"/>
      <c r="AK122" s="18"/>
      <c r="AL122" s="18"/>
      <c r="AM122" s="18"/>
      <c r="AN122" s="18"/>
    </row>
    <row r="123" spans="1:40" ht="20">
      <c r="A123" s="18"/>
      <c r="B123" s="151"/>
      <c r="C123" s="55">
        <v>103</v>
      </c>
      <c r="D123" s="54">
        <v>0</v>
      </c>
      <c r="E123" s="190">
        <f t="shared" si="34"/>
        <v>4</v>
      </c>
      <c r="F123" s="191">
        <f t="shared" si="35"/>
        <v>45760</v>
      </c>
      <c r="G123" s="192" t="str">
        <f t="shared" si="36"/>
        <v>Sun</v>
      </c>
      <c r="H123" s="193"/>
      <c r="I123" s="194"/>
      <c r="J123" s="214"/>
      <c r="K123" s="215"/>
      <c r="L123" s="43">
        <f t="shared" si="37"/>
        <v>0</v>
      </c>
      <c r="M123" s="280">
        <f t="shared" si="31"/>
        <v>0</v>
      </c>
      <c r="N123" s="41" t="str">
        <f t="shared" si="8"/>
        <v>¥0</v>
      </c>
      <c r="O123" s="44"/>
      <c r="P123" s="43">
        <f>IF(D123=0,0,SUM($L$111:L123))</f>
        <v>0</v>
      </c>
      <c r="Q123" s="43">
        <f>IF(D123=0,0,SUM($J$111:J123))</f>
        <v>0</v>
      </c>
      <c r="R123" s="282">
        <f t="shared" si="32"/>
        <v>0</v>
      </c>
      <c r="S123" s="198">
        <f t="shared" si="38"/>
        <v>0</v>
      </c>
      <c r="T123" s="212"/>
      <c r="U123" s="43">
        <f>IF(D123=0,0,SUM($L$21:L123))</f>
        <v>0</v>
      </c>
      <c r="V123" s="43">
        <f>IF(D123=0,0,SUM($J$21:J123))</f>
        <v>0</v>
      </c>
      <c r="W123" s="284">
        <f t="shared" si="33"/>
        <v>0</v>
      </c>
      <c r="X123" s="200">
        <f t="shared" si="39"/>
        <v>0</v>
      </c>
      <c r="Y123" s="201">
        <f t="shared" si="44"/>
        <v>45760</v>
      </c>
      <c r="Z123" s="202">
        <f t="shared" si="44"/>
        <v>45760</v>
      </c>
      <c r="AA123" s="18"/>
      <c r="AB123" s="244"/>
      <c r="AC123" s="247"/>
      <c r="AD123" s="142"/>
      <c r="AE123" s="18"/>
      <c r="AF123" s="18"/>
      <c r="AG123" s="203"/>
      <c r="AH123" s="203"/>
      <c r="AI123" s="18"/>
      <c r="AJ123" s="18"/>
      <c r="AK123" s="18"/>
      <c r="AL123" s="18"/>
      <c r="AM123" s="18"/>
      <c r="AN123" s="18"/>
    </row>
    <row r="124" spans="1:40" ht="20">
      <c r="A124" s="18"/>
      <c r="B124" s="151"/>
      <c r="C124" s="55">
        <v>104</v>
      </c>
      <c r="D124" s="54">
        <v>1</v>
      </c>
      <c r="E124" s="190">
        <f t="shared" si="34"/>
        <v>4</v>
      </c>
      <c r="F124" s="191">
        <f t="shared" si="35"/>
        <v>45761</v>
      </c>
      <c r="G124" s="192" t="str">
        <f t="shared" si="36"/>
        <v>Mon</v>
      </c>
      <c r="H124" s="193"/>
      <c r="I124" s="194"/>
      <c r="J124" s="214">
        <v>252260</v>
      </c>
      <c r="K124" s="215"/>
      <c r="L124" s="43">
        <f t="shared" si="37"/>
        <v>236793.42244756047</v>
      </c>
      <c r="M124" s="280">
        <f t="shared" si="31"/>
        <v>15466.577552439529</v>
      </c>
      <c r="N124" s="41">
        <f t="shared" si="8"/>
        <v>1.0653167532804451</v>
      </c>
      <c r="O124" s="56"/>
      <c r="P124" s="43">
        <f>IF(D124=0,0,SUM($L$111:L124))</f>
        <v>3340133.1626798362</v>
      </c>
      <c r="Q124" s="43">
        <f>IF(D124=0,0,SUM($J$111:J124))</f>
        <v>3174470</v>
      </c>
      <c r="R124" s="282">
        <f t="shared" si="32"/>
        <v>-165663.16267983615</v>
      </c>
      <c r="S124" s="198">
        <f t="shared" si="38"/>
        <v>0.95040222811149178</v>
      </c>
      <c r="T124" s="207"/>
      <c r="U124" s="43">
        <f>IF(D124=0,0,SUM($L$21:L124))</f>
        <v>19049224.071770735</v>
      </c>
      <c r="V124" s="43">
        <f>IF(D124=0,0,SUM($J$21:J124))</f>
        <v>20435650</v>
      </c>
      <c r="W124" s="284">
        <f t="shared" si="33"/>
        <v>1386425.9282292649</v>
      </c>
      <c r="X124" s="200">
        <f t="shared" si="39"/>
        <v>1.0727812284114935</v>
      </c>
      <c r="Y124" s="201">
        <f t="shared" si="44"/>
        <v>45761</v>
      </c>
      <c r="Z124" s="202">
        <f t="shared" si="44"/>
        <v>45761</v>
      </c>
      <c r="AA124" s="18"/>
      <c r="AB124" s="244"/>
      <c r="AC124" s="247"/>
      <c r="AD124" s="142"/>
      <c r="AE124" s="18"/>
      <c r="AF124" s="18"/>
      <c r="AG124" s="203"/>
      <c r="AH124" s="203"/>
      <c r="AI124" s="18"/>
      <c r="AJ124" s="18"/>
      <c r="AK124" s="18"/>
      <c r="AL124" s="18"/>
      <c r="AM124" s="18"/>
      <c r="AN124" s="18"/>
    </row>
    <row r="125" spans="1:40" ht="20">
      <c r="A125" s="18"/>
      <c r="B125" s="151"/>
      <c r="C125" s="55">
        <v>105</v>
      </c>
      <c r="D125" s="54">
        <v>1</v>
      </c>
      <c r="E125" s="190">
        <f t="shared" si="34"/>
        <v>4</v>
      </c>
      <c r="F125" s="191">
        <f t="shared" si="35"/>
        <v>45762</v>
      </c>
      <c r="G125" s="192" t="str">
        <f t="shared" si="36"/>
        <v>Tue</v>
      </c>
      <c r="H125" s="193"/>
      <c r="I125" s="194"/>
      <c r="J125" s="214">
        <v>320850</v>
      </c>
      <c r="K125" s="215"/>
      <c r="L125" s="43">
        <f t="shared" si="37"/>
        <v>349706.706630164</v>
      </c>
      <c r="M125" s="280">
        <f t="shared" si="31"/>
        <v>-28856.706630164001</v>
      </c>
      <c r="N125" s="41">
        <f t="shared" si="8"/>
        <v>0.91748311918798364</v>
      </c>
      <c r="O125" s="56"/>
      <c r="P125" s="43">
        <f>IF(D125=0,0,SUM($L$111:L125))</f>
        <v>3689839.86931</v>
      </c>
      <c r="Q125" s="43">
        <f>IF(D125=0,0,SUM($J$111:J125))</f>
        <v>3495320</v>
      </c>
      <c r="R125" s="282">
        <f t="shared" si="32"/>
        <v>-194519.86930999998</v>
      </c>
      <c r="S125" s="198">
        <f t="shared" si="38"/>
        <v>0.9472823005334442</v>
      </c>
      <c r="T125" s="207"/>
      <c r="U125" s="43">
        <f>IF(D125=0,0,SUM($L$21:L125))</f>
        <v>19398930.778400898</v>
      </c>
      <c r="V125" s="43">
        <f>IF(D125=0,0,SUM($J$21:J125))</f>
        <v>20756500</v>
      </c>
      <c r="W125" s="284">
        <f t="shared" si="33"/>
        <v>1357569.221599102</v>
      </c>
      <c r="X125" s="200">
        <f t="shared" si="39"/>
        <v>1.0699816519326231</v>
      </c>
      <c r="Y125" s="201">
        <f t="shared" si="44"/>
        <v>45762</v>
      </c>
      <c r="Z125" s="202">
        <f t="shared" si="44"/>
        <v>45762</v>
      </c>
      <c r="AA125" s="18"/>
      <c r="AB125" s="244"/>
      <c r="AC125" s="247"/>
      <c r="AD125" s="142"/>
      <c r="AE125" s="18"/>
      <c r="AF125" s="18"/>
      <c r="AG125" s="203"/>
      <c r="AH125" s="203"/>
      <c r="AI125" s="18"/>
      <c r="AJ125" s="18"/>
      <c r="AK125" s="18"/>
      <c r="AL125" s="18"/>
      <c r="AM125" s="18"/>
      <c r="AN125" s="18"/>
    </row>
    <row r="126" spans="1:40" ht="20">
      <c r="A126" s="18"/>
      <c r="B126" s="151"/>
      <c r="C126" s="55">
        <v>106</v>
      </c>
      <c r="D126" s="54">
        <v>1</v>
      </c>
      <c r="E126" s="190">
        <f t="shared" si="34"/>
        <v>4</v>
      </c>
      <c r="F126" s="191">
        <f t="shared" si="35"/>
        <v>45763</v>
      </c>
      <c r="G126" s="192" t="str">
        <f t="shared" si="36"/>
        <v>Wed</v>
      </c>
      <c r="H126" s="193"/>
      <c r="I126" s="194"/>
      <c r="J126" s="214">
        <v>282460</v>
      </c>
      <c r="K126" s="215"/>
      <c r="L126" s="43">
        <f t="shared" si="37"/>
        <v>242810.59771725239</v>
      </c>
      <c r="M126" s="280">
        <f t="shared" si="31"/>
        <v>39649.402282747615</v>
      </c>
      <c r="N126" s="41">
        <f t="shared" si="8"/>
        <v>1.1632935409554013</v>
      </c>
      <c r="O126" s="56"/>
      <c r="P126" s="43">
        <f>IF(D126=0,0,SUM($L$111:L126))</f>
        <v>3932650.4670272525</v>
      </c>
      <c r="Q126" s="43">
        <f>IF(D126=0,0,SUM($J$111:J126))</f>
        <v>3777780</v>
      </c>
      <c r="R126" s="282">
        <f t="shared" si="32"/>
        <v>-154870.46702725254</v>
      </c>
      <c r="S126" s="198">
        <f t="shared" si="38"/>
        <v>0.96061931556700964</v>
      </c>
      <c r="T126" s="207"/>
      <c r="U126" s="43">
        <f>IF(D126=0,0,SUM($L$21:L126))</f>
        <v>19641741.37611815</v>
      </c>
      <c r="V126" s="43">
        <f>IF(D126=0,0,SUM($J$21:J126))</f>
        <v>21038960</v>
      </c>
      <c r="W126" s="284">
        <f t="shared" si="33"/>
        <v>1397218.6238818504</v>
      </c>
      <c r="X126" s="200">
        <f t="shared" si="39"/>
        <v>1.0711351706107224</v>
      </c>
      <c r="Y126" s="201">
        <f t="shared" si="44"/>
        <v>45763</v>
      </c>
      <c r="Z126" s="202">
        <f t="shared" si="44"/>
        <v>45763</v>
      </c>
      <c r="AA126" s="18"/>
      <c r="AB126" s="244"/>
      <c r="AC126" s="247"/>
      <c r="AD126" s="142"/>
      <c r="AE126" s="18"/>
      <c r="AF126" s="18"/>
      <c r="AG126" s="203"/>
      <c r="AH126" s="203"/>
      <c r="AI126" s="18"/>
      <c r="AJ126" s="18"/>
      <c r="AK126" s="18"/>
      <c r="AL126" s="18"/>
      <c r="AM126" s="18"/>
      <c r="AN126" s="18"/>
    </row>
    <row r="127" spans="1:40" ht="20">
      <c r="A127" s="18"/>
      <c r="B127" s="151"/>
      <c r="C127" s="55">
        <v>107</v>
      </c>
      <c r="D127" s="54">
        <v>1</v>
      </c>
      <c r="E127" s="190">
        <f t="shared" si="34"/>
        <v>4</v>
      </c>
      <c r="F127" s="191">
        <f t="shared" si="35"/>
        <v>45764</v>
      </c>
      <c r="G127" s="192" t="str">
        <f t="shared" si="36"/>
        <v>Thu</v>
      </c>
      <c r="H127" s="193"/>
      <c r="I127" s="194"/>
      <c r="J127" s="214">
        <v>349940</v>
      </c>
      <c r="K127" s="215"/>
      <c r="L127" s="43">
        <f t="shared" si="37"/>
        <v>288304.40374346258</v>
      </c>
      <c r="M127" s="280">
        <f t="shared" si="31"/>
        <v>61635.596256537421</v>
      </c>
      <c r="N127" s="41">
        <f t="shared" si="8"/>
        <v>1.2137865237444714</v>
      </c>
      <c r="O127" s="56"/>
      <c r="P127" s="43">
        <f>IF(D127=0,0,SUM($L$111:L127))</f>
        <v>4220954.8707707152</v>
      </c>
      <c r="Q127" s="43">
        <f>IF(D127=0,0,SUM($J$111:J127))</f>
        <v>4127720</v>
      </c>
      <c r="R127" s="282">
        <f t="shared" si="32"/>
        <v>-93234.870770715177</v>
      </c>
      <c r="S127" s="198">
        <f t="shared" si="38"/>
        <v>0.97791142676830112</v>
      </c>
      <c r="T127" s="207"/>
      <c r="U127" s="43">
        <f>IF(D127=0,0,SUM($L$21:L127))</f>
        <v>19930045.77986161</v>
      </c>
      <c r="V127" s="43">
        <f>IF(D127=0,0,SUM($J$21:J127))</f>
        <v>21388900</v>
      </c>
      <c r="W127" s="284">
        <f t="shared" si="33"/>
        <v>1458854.2201383896</v>
      </c>
      <c r="X127" s="200">
        <f t="shared" si="39"/>
        <v>1.0731987390421598</v>
      </c>
      <c r="Y127" s="201">
        <f t="shared" si="44"/>
        <v>45764</v>
      </c>
      <c r="Z127" s="202">
        <f t="shared" si="44"/>
        <v>45764</v>
      </c>
      <c r="AA127" s="18"/>
      <c r="AB127" s="244"/>
      <c r="AC127" s="247"/>
      <c r="AD127" s="142"/>
      <c r="AE127" s="18"/>
      <c r="AF127" s="18"/>
      <c r="AG127" s="203"/>
      <c r="AH127" s="203"/>
      <c r="AI127" s="18"/>
      <c r="AJ127" s="18"/>
      <c r="AK127" s="18"/>
      <c r="AL127" s="18"/>
      <c r="AM127" s="18"/>
      <c r="AN127" s="18"/>
    </row>
    <row r="128" spans="1:40" ht="20">
      <c r="A128" s="18"/>
      <c r="B128" s="151"/>
      <c r="C128" s="55">
        <v>108</v>
      </c>
      <c r="D128" s="54">
        <v>1</v>
      </c>
      <c r="E128" s="190">
        <f t="shared" si="34"/>
        <v>4</v>
      </c>
      <c r="F128" s="191">
        <f t="shared" si="35"/>
        <v>45765</v>
      </c>
      <c r="G128" s="192" t="str">
        <f t="shared" si="36"/>
        <v>Fri</v>
      </c>
      <c r="H128" s="193"/>
      <c r="I128" s="194"/>
      <c r="J128" s="214">
        <v>350530</v>
      </c>
      <c r="K128" s="215"/>
      <c r="L128" s="43">
        <f t="shared" si="37"/>
        <v>343351.24022972299</v>
      </c>
      <c r="M128" s="280">
        <f t="shared" si="31"/>
        <v>7178.7597702770145</v>
      </c>
      <c r="N128" s="41">
        <f t="shared" si="8"/>
        <v>1.020907918566055</v>
      </c>
      <c r="O128" s="56"/>
      <c r="P128" s="43">
        <f>IF(D128=0,0,SUM($L$111:L128))</f>
        <v>4564306.1110004382</v>
      </c>
      <c r="Q128" s="43">
        <f>IF(D128=0,0,SUM($J$111:J128))</f>
        <v>4478250</v>
      </c>
      <c r="R128" s="282">
        <f t="shared" si="32"/>
        <v>-86056.111000438221</v>
      </c>
      <c r="S128" s="198">
        <f t="shared" si="38"/>
        <v>0.98114585023273648</v>
      </c>
      <c r="T128" s="207"/>
      <c r="U128" s="43">
        <f>IF(D128=0,0,SUM($L$21:L128))</f>
        <v>20273397.020091332</v>
      </c>
      <c r="V128" s="43">
        <f>IF(D128=0,0,SUM($J$21:J128))</f>
        <v>21739430</v>
      </c>
      <c r="W128" s="284">
        <f t="shared" si="33"/>
        <v>1466032.9799086675</v>
      </c>
      <c r="X128" s="200">
        <f t="shared" si="39"/>
        <v>1.0723131391574781</v>
      </c>
      <c r="Y128" s="201">
        <f t="shared" si="44"/>
        <v>45765</v>
      </c>
      <c r="Z128" s="202">
        <f t="shared" si="44"/>
        <v>45765</v>
      </c>
      <c r="AA128" s="18"/>
      <c r="AB128" s="244"/>
      <c r="AC128" s="247"/>
      <c r="AD128" s="142"/>
      <c r="AE128" s="18"/>
      <c r="AF128" s="18"/>
      <c r="AG128" s="203"/>
      <c r="AH128" s="203"/>
      <c r="AI128" s="18"/>
      <c r="AJ128" s="18"/>
      <c r="AK128" s="18"/>
      <c r="AL128" s="18"/>
      <c r="AM128" s="18"/>
      <c r="AN128" s="18"/>
    </row>
    <row r="129" spans="1:40" ht="20">
      <c r="A129" s="18"/>
      <c r="B129" s="151"/>
      <c r="C129" s="55">
        <v>109</v>
      </c>
      <c r="D129" s="54">
        <v>1</v>
      </c>
      <c r="E129" s="190">
        <f t="shared" si="34"/>
        <v>4</v>
      </c>
      <c r="F129" s="191">
        <f t="shared" si="35"/>
        <v>45766</v>
      </c>
      <c r="G129" s="192" t="str">
        <f t="shared" si="36"/>
        <v>Sat</v>
      </c>
      <c r="H129" s="193"/>
      <c r="I129" s="194"/>
      <c r="J129" s="214">
        <v>131870</v>
      </c>
      <c r="K129" s="215"/>
      <c r="L129" s="43">
        <f t="shared" si="37"/>
        <v>209100.21057175542</v>
      </c>
      <c r="M129" s="280">
        <f t="shared" si="31"/>
        <v>-77230.210571755422</v>
      </c>
      <c r="N129" s="41">
        <f t="shared" si="8"/>
        <v>0.63065455381139901</v>
      </c>
      <c r="O129" s="56"/>
      <c r="P129" s="43">
        <f>IF(D129=0,0,SUM($L$111:L129))</f>
        <v>4773406.3215721939</v>
      </c>
      <c r="Q129" s="43">
        <f>IF(D129=0,0,SUM($J$111:J129))</f>
        <v>4610120</v>
      </c>
      <c r="R129" s="282">
        <f t="shared" si="32"/>
        <v>-163286.32157219388</v>
      </c>
      <c r="S129" s="198">
        <f t="shared" si="38"/>
        <v>0.96579249479888962</v>
      </c>
      <c r="T129" s="207"/>
      <c r="U129" s="43">
        <f>IF(D129=0,0,SUM($L$21:L129))</f>
        <v>20482497.230663087</v>
      </c>
      <c r="V129" s="43">
        <f>IF(D129=0,0,SUM($J$21:J129))</f>
        <v>21871300</v>
      </c>
      <c r="W129" s="284">
        <f t="shared" si="33"/>
        <v>1388802.7693369128</v>
      </c>
      <c r="X129" s="200">
        <f t="shared" si="39"/>
        <v>1.0678043674898108</v>
      </c>
      <c r="Y129" s="201">
        <f t="shared" si="44"/>
        <v>45766</v>
      </c>
      <c r="Z129" s="202">
        <f t="shared" si="44"/>
        <v>45766</v>
      </c>
      <c r="AA129" s="18"/>
      <c r="AB129" s="244"/>
      <c r="AC129" s="247"/>
      <c r="AD129" s="142"/>
      <c r="AE129" s="18"/>
      <c r="AF129" s="18"/>
      <c r="AG129" s="203"/>
      <c r="AH129" s="203"/>
      <c r="AI129" s="18"/>
      <c r="AJ129" s="18"/>
      <c r="AK129" s="18"/>
      <c r="AL129" s="18"/>
      <c r="AM129" s="18"/>
      <c r="AN129" s="18"/>
    </row>
    <row r="130" spans="1:40" ht="20">
      <c r="A130" s="18"/>
      <c r="B130" s="151"/>
      <c r="C130" s="55">
        <v>110</v>
      </c>
      <c r="D130" s="54">
        <v>0</v>
      </c>
      <c r="E130" s="190">
        <f t="shared" si="34"/>
        <v>4</v>
      </c>
      <c r="F130" s="191">
        <f t="shared" si="35"/>
        <v>45767</v>
      </c>
      <c r="G130" s="192" t="str">
        <f t="shared" si="36"/>
        <v>Sun</v>
      </c>
      <c r="H130" s="193"/>
      <c r="I130" s="194"/>
      <c r="J130" s="214"/>
      <c r="K130" s="215"/>
      <c r="L130" s="43">
        <f t="shared" si="37"/>
        <v>0</v>
      </c>
      <c r="M130" s="280">
        <f t="shared" si="31"/>
        <v>0</v>
      </c>
      <c r="N130" s="41" t="str">
        <f t="shared" si="8"/>
        <v>¥0</v>
      </c>
      <c r="O130" s="44"/>
      <c r="P130" s="43">
        <f>IF(D130=0,0,SUM($L$111:L130))</f>
        <v>0</v>
      </c>
      <c r="Q130" s="43">
        <f>IF(D130=0,0,SUM($J$111:J130))</f>
        <v>0</v>
      </c>
      <c r="R130" s="282">
        <f t="shared" si="32"/>
        <v>0</v>
      </c>
      <c r="S130" s="198">
        <f t="shared" si="38"/>
        <v>0</v>
      </c>
      <c r="T130" s="212"/>
      <c r="U130" s="43">
        <f>IF(D130=0,0,SUM($L$21:L130))</f>
        <v>0</v>
      </c>
      <c r="V130" s="43">
        <f>IF(D130=0,0,SUM($J$21:J130))</f>
        <v>0</v>
      </c>
      <c r="W130" s="284">
        <f t="shared" si="33"/>
        <v>0</v>
      </c>
      <c r="X130" s="200">
        <f t="shared" si="39"/>
        <v>0</v>
      </c>
      <c r="Y130" s="201">
        <f t="shared" si="44"/>
        <v>45767</v>
      </c>
      <c r="Z130" s="202">
        <f t="shared" si="44"/>
        <v>45767</v>
      </c>
      <c r="AA130" s="18"/>
      <c r="AB130" s="244"/>
      <c r="AC130" s="247"/>
      <c r="AD130" s="142"/>
      <c r="AE130" s="18"/>
      <c r="AF130" s="18"/>
      <c r="AG130" s="203"/>
      <c r="AH130" s="203"/>
      <c r="AI130" s="18"/>
      <c r="AJ130" s="18"/>
      <c r="AK130" s="18"/>
      <c r="AL130" s="18"/>
      <c r="AM130" s="18"/>
      <c r="AN130" s="18"/>
    </row>
    <row r="131" spans="1:40" ht="20">
      <c r="A131" s="18"/>
      <c r="B131" s="151"/>
      <c r="C131" s="55">
        <v>111</v>
      </c>
      <c r="D131" s="54">
        <v>1</v>
      </c>
      <c r="E131" s="190">
        <f t="shared" si="34"/>
        <v>4</v>
      </c>
      <c r="F131" s="191">
        <f t="shared" si="35"/>
        <v>45768</v>
      </c>
      <c r="G131" s="192" t="str">
        <f t="shared" si="36"/>
        <v>Mon</v>
      </c>
      <c r="H131" s="193"/>
      <c r="I131" s="194"/>
      <c r="J131" s="214">
        <v>275300</v>
      </c>
      <c r="K131" s="215"/>
      <c r="L131" s="43">
        <f t="shared" si="37"/>
        <v>236793.42244756047</v>
      </c>
      <c r="M131" s="280">
        <f t="shared" si="31"/>
        <v>38506.577552439529</v>
      </c>
      <c r="N131" s="41">
        <f t="shared" si="8"/>
        <v>1.1626167532629292</v>
      </c>
      <c r="O131" s="56"/>
      <c r="P131" s="43">
        <f>IF(D131=0,0,SUM($L$111:L131))</f>
        <v>5010199.7440197542</v>
      </c>
      <c r="Q131" s="43">
        <f>IF(D131=0,0,SUM($J$111:J131))</f>
        <v>4885420</v>
      </c>
      <c r="R131" s="282">
        <f t="shared" si="32"/>
        <v>-124779.74401975423</v>
      </c>
      <c r="S131" s="198">
        <f t="shared" si="38"/>
        <v>0.9750948564139198</v>
      </c>
      <c r="T131" s="207"/>
      <c r="U131" s="43">
        <f>IF(D131=0,0,SUM($L$21:L131))</f>
        <v>20719290.653110649</v>
      </c>
      <c r="V131" s="43">
        <f>IF(D131=0,0,SUM($J$21:J131))</f>
        <v>22146600</v>
      </c>
      <c r="W131" s="284">
        <f t="shared" si="33"/>
        <v>1427309.3468893506</v>
      </c>
      <c r="X131" s="200">
        <f t="shared" si="39"/>
        <v>1.0688879446109349</v>
      </c>
      <c r="Y131" s="201">
        <f t="shared" si="44"/>
        <v>45768</v>
      </c>
      <c r="Z131" s="202">
        <f t="shared" si="44"/>
        <v>45768</v>
      </c>
      <c r="AA131" s="18"/>
      <c r="AB131" s="244"/>
      <c r="AC131" s="247"/>
      <c r="AD131" s="142"/>
      <c r="AE131" s="18"/>
      <c r="AF131" s="18"/>
      <c r="AG131" s="203"/>
      <c r="AH131" s="203"/>
      <c r="AI131" s="18"/>
      <c r="AJ131" s="18"/>
      <c r="AK131" s="18"/>
      <c r="AL131" s="18"/>
      <c r="AM131" s="18"/>
      <c r="AN131" s="18"/>
    </row>
    <row r="132" spans="1:40" ht="20">
      <c r="A132" s="18"/>
      <c r="B132" s="151"/>
      <c r="C132" s="55">
        <v>112</v>
      </c>
      <c r="D132" s="54">
        <v>1</v>
      </c>
      <c r="E132" s="190">
        <f t="shared" si="34"/>
        <v>4</v>
      </c>
      <c r="F132" s="191">
        <f t="shared" si="35"/>
        <v>45769</v>
      </c>
      <c r="G132" s="192" t="str">
        <f t="shared" si="36"/>
        <v>Tue</v>
      </c>
      <c r="H132" s="193"/>
      <c r="I132" s="194"/>
      <c r="J132" s="214">
        <v>215300</v>
      </c>
      <c r="K132" s="215"/>
      <c r="L132" s="43">
        <f t="shared" si="37"/>
        <v>349706.706630164</v>
      </c>
      <c r="M132" s="280">
        <f>IF(D132=0,0,J132-L132)</f>
        <v>-134406.706630164</v>
      </c>
      <c r="N132" s="41">
        <f>IFERROR(J132/L132,"¥0")</f>
        <v>0.61565876752742055</v>
      </c>
      <c r="O132" s="56"/>
      <c r="P132" s="43">
        <f>IF(D132=0,0,SUM($L$111:L132))</f>
        <v>5359906.4506499181</v>
      </c>
      <c r="Q132" s="43">
        <f>IF(D132=0,0,SUM($J$111:J132))</f>
        <v>5100720</v>
      </c>
      <c r="R132" s="282">
        <f t="shared" si="32"/>
        <v>-259186.45064991806</v>
      </c>
      <c r="S132" s="198">
        <f t="shared" si="38"/>
        <v>0.951643474930707</v>
      </c>
      <c r="T132" s="207"/>
      <c r="U132" s="43">
        <f>IF(D132=0,0,SUM($L$21:L132))</f>
        <v>21068997.359740812</v>
      </c>
      <c r="V132" s="43">
        <f>IF(D132=0,0,SUM($J$21:J132))</f>
        <v>22361900</v>
      </c>
      <c r="W132" s="284">
        <f t="shared" si="33"/>
        <v>1292902.6402591877</v>
      </c>
      <c r="X132" s="200">
        <f t="shared" si="39"/>
        <v>1.0613651716872725</v>
      </c>
      <c r="Y132" s="201">
        <f t="shared" si="44"/>
        <v>45769</v>
      </c>
      <c r="Z132" s="202">
        <f t="shared" si="44"/>
        <v>45769</v>
      </c>
      <c r="AA132" s="18"/>
      <c r="AB132" s="244"/>
      <c r="AC132" s="247"/>
      <c r="AD132" s="142"/>
      <c r="AE132" s="18"/>
      <c r="AF132" s="18"/>
      <c r="AG132" s="203"/>
      <c r="AH132" s="203"/>
      <c r="AI132" s="18"/>
      <c r="AJ132" s="18"/>
      <c r="AK132" s="18"/>
      <c r="AL132" s="18"/>
      <c r="AM132" s="18"/>
      <c r="AN132" s="18"/>
    </row>
    <row r="133" spans="1:40" ht="20">
      <c r="A133" s="18"/>
      <c r="B133" s="151"/>
      <c r="C133" s="55">
        <v>113</v>
      </c>
      <c r="D133" s="54">
        <v>1</v>
      </c>
      <c r="E133" s="190">
        <f t="shared" si="34"/>
        <v>4</v>
      </c>
      <c r="F133" s="191">
        <f t="shared" si="35"/>
        <v>45770</v>
      </c>
      <c r="G133" s="192" t="str">
        <f t="shared" si="36"/>
        <v>Wed</v>
      </c>
      <c r="H133" s="193"/>
      <c r="I133" s="194"/>
      <c r="J133" s="214">
        <v>334180</v>
      </c>
      <c r="K133" s="215"/>
      <c r="L133" s="43">
        <f t="shared" si="37"/>
        <v>242810.59771725239</v>
      </c>
      <c r="M133" s="280">
        <f>IF(D133=0,0,J133-L133)</f>
        <v>91369.402282747615</v>
      </c>
      <c r="N133" s="41">
        <f>IFERROR(J133/L133,"¥0")</f>
        <v>1.3762990707232032</v>
      </c>
      <c r="O133" s="56"/>
      <c r="P133" s="43">
        <f>IF(D133=0,0,SUM($L$111:L133))</f>
        <v>5602717.0483671706</v>
      </c>
      <c r="Q133" s="43">
        <f>IF(D133=0,0,SUM($J$111:J133))</f>
        <v>5434900</v>
      </c>
      <c r="R133" s="282">
        <f t="shared" si="32"/>
        <v>-167817.04836717062</v>
      </c>
      <c r="S133" s="198">
        <f t="shared" si="38"/>
        <v>0.97004720264856525</v>
      </c>
      <c r="T133" s="207"/>
      <c r="U133" s="43">
        <f>IF(D133=0,0,SUM($L$21:L133))</f>
        <v>21311807.957458064</v>
      </c>
      <c r="V133" s="43">
        <f>IF(D133=0,0,SUM($J$21:J133))</f>
        <v>22696080</v>
      </c>
      <c r="W133" s="284">
        <f t="shared" si="33"/>
        <v>1384272.042541936</v>
      </c>
      <c r="X133" s="200">
        <f t="shared" si="39"/>
        <v>1.0649532899932832</v>
      </c>
      <c r="Y133" s="201">
        <f t="shared" si="44"/>
        <v>45770</v>
      </c>
      <c r="Z133" s="202">
        <f t="shared" si="44"/>
        <v>45770</v>
      </c>
      <c r="AA133" s="18"/>
      <c r="AB133" s="244"/>
      <c r="AC133" s="247"/>
      <c r="AD133" s="142"/>
      <c r="AE133" s="18"/>
      <c r="AF133" s="18"/>
      <c r="AG133" s="203"/>
      <c r="AH133" s="203"/>
      <c r="AI133" s="18"/>
      <c r="AJ133" s="18"/>
      <c r="AK133" s="18"/>
      <c r="AL133" s="18"/>
      <c r="AM133" s="18"/>
      <c r="AN133" s="18"/>
    </row>
    <row r="134" spans="1:40" ht="20">
      <c r="A134" s="18"/>
      <c r="B134" s="151"/>
      <c r="C134" s="55">
        <v>114</v>
      </c>
      <c r="D134" s="54">
        <v>1</v>
      </c>
      <c r="E134" s="190">
        <f t="shared" si="34"/>
        <v>4</v>
      </c>
      <c r="F134" s="191">
        <f t="shared" si="35"/>
        <v>45771</v>
      </c>
      <c r="G134" s="192" t="str">
        <f t="shared" si="36"/>
        <v>Thu</v>
      </c>
      <c r="H134" s="193"/>
      <c r="I134" s="194"/>
      <c r="J134" s="214">
        <v>351760</v>
      </c>
      <c r="K134" s="215"/>
      <c r="L134" s="43">
        <f t="shared" si="37"/>
        <v>288304.40374346258</v>
      </c>
      <c r="M134" s="280">
        <f t="shared" si="31"/>
        <v>63455.596256537421</v>
      </c>
      <c r="N134" s="41">
        <f t="shared" si="8"/>
        <v>1.2200992958574477</v>
      </c>
      <c r="O134" s="56"/>
      <c r="P134" s="43">
        <f>IF(D134=0,0,SUM($L$111:L134))</f>
        <v>5891021.4521106333</v>
      </c>
      <c r="Q134" s="43">
        <f>IF(D134=0,0,SUM($J$111:J134))</f>
        <v>5786660</v>
      </c>
      <c r="R134" s="282">
        <f t="shared" si="32"/>
        <v>-104361.45211063325</v>
      </c>
      <c r="S134" s="198">
        <f t="shared" si="38"/>
        <v>0.98228465929737152</v>
      </c>
      <c r="T134" s="207"/>
      <c r="U134" s="43">
        <f>IF(D134=0,0,SUM($L$21:L134))</f>
        <v>21600112.361201525</v>
      </c>
      <c r="V134" s="43">
        <f>IF(D134=0,0,SUM($J$21:J134))</f>
        <v>23047840</v>
      </c>
      <c r="W134" s="284">
        <f t="shared" si="33"/>
        <v>1447727.6387984753</v>
      </c>
      <c r="X134" s="200">
        <f t="shared" si="39"/>
        <v>1.0670240790690935</v>
      </c>
      <c r="Y134" s="201">
        <f t="shared" si="44"/>
        <v>45771</v>
      </c>
      <c r="Z134" s="202">
        <f t="shared" si="44"/>
        <v>45771</v>
      </c>
      <c r="AA134" s="18"/>
      <c r="AB134" s="244"/>
      <c r="AC134" s="247"/>
      <c r="AD134" s="142"/>
      <c r="AE134" s="18"/>
      <c r="AF134" s="18"/>
      <c r="AG134" s="203"/>
      <c r="AH134" s="203"/>
      <c r="AI134" s="18"/>
      <c r="AJ134" s="18"/>
      <c r="AK134" s="18"/>
      <c r="AL134" s="18"/>
      <c r="AM134" s="18"/>
      <c r="AN134" s="18"/>
    </row>
    <row r="135" spans="1:40" ht="20">
      <c r="A135" s="18"/>
      <c r="B135" s="151"/>
      <c r="C135" s="55">
        <v>115</v>
      </c>
      <c r="D135" s="54">
        <v>1</v>
      </c>
      <c r="E135" s="190">
        <f t="shared" si="34"/>
        <v>4</v>
      </c>
      <c r="F135" s="191">
        <f t="shared" si="35"/>
        <v>45772</v>
      </c>
      <c r="G135" s="192" t="str">
        <f t="shared" si="36"/>
        <v>Fri</v>
      </c>
      <c r="H135" s="193"/>
      <c r="I135" s="194"/>
      <c r="J135" s="214">
        <v>321050</v>
      </c>
      <c r="K135" s="215"/>
      <c r="L135" s="43">
        <f t="shared" si="37"/>
        <v>343351.24022972299</v>
      </c>
      <c r="M135" s="280">
        <f t="shared" si="31"/>
        <v>-22301.240229722986</v>
      </c>
      <c r="N135" s="41">
        <f t="shared" si="8"/>
        <v>0.93504831899019181</v>
      </c>
      <c r="O135" s="56"/>
      <c r="P135" s="43">
        <f>IF(D135=0,0,SUM($L$111:L135))</f>
        <v>6234372.6923403563</v>
      </c>
      <c r="Q135" s="43">
        <f>IF(D135=0,0,SUM($J$111:J135))</f>
        <v>6107710</v>
      </c>
      <c r="R135" s="282">
        <f t="shared" si="32"/>
        <v>-126662.6923403563</v>
      </c>
      <c r="S135" s="198">
        <f t="shared" si="38"/>
        <v>0.9796831696481707</v>
      </c>
      <c r="T135" s="207"/>
      <c r="U135" s="43">
        <f>IF(D135=0,0,SUM($L$21:L135))</f>
        <v>21943463.601431247</v>
      </c>
      <c r="V135" s="43">
        <f>IF(D135=0,0,SUM($J$21:J135))</f>
        <v>23368890</v>
      </c>
      <c r="W135" s="284">
        <f t="shared" si="33"/>
        <v>1425426.3985687532</v>
      </c>
      <c r="X135" s="200">
        <f t="shared" si="39"/>
        <v>1.0649590431328162</v>
      </c>
      <c r="Y135" s="201">
        <f t="shared" ref="Y135:Z150" si="45">Y134+1</f>
        <v>45772</v>
      </c>
      <c r="Z135" s="202">
        <f t="shared" si="45"/>
        <v>45772</v>
      </c>
      <c r="AA135" s="18"/>
      <c r="AB135" s="244"/>
      <c r="AC135" s="247"/>
      <c r="AD135" s="142"/>
      <c r="AE135" s="18"/>
      <c r="AF135" s="18"/>
      <c r="AG135" s="203"/>
      <c r="AH135" s="203"/>
      <c r="AI135" s="18"/>
      <c r="AJ135" s="18"/>
      <c r="AK135" s="18"/>
      <c r="AL135" s="18"/>
      <c r="AM135" s="18"/>
      <c r="AN135" s="18"/>
    </row>
    <row r="136" spans="1:40" ht="20">
      <c r="A136" s="18"/>
      <c r="B136" s="151"/>
      <c r="C136" s="55">
        <v>116</v>
      </c>
      <c r="D136" s="54">
        <v>1</v>
      </c>
      <c r="E136" s="190">
        <f t="shared" si="34"/>
        <v>4</v>
      </c>
      <c r="F136" s="191">
        <f t="shared" si="35"/>
        <v>45773</v>
      </c>
      <c r="G136" s="192" t="str">
        <f t="shared" si="36"/>
        <v>Sat</v>
      </c>
      <c r="H136" s="193"/>
      <c r="I136" s="194"/>
      <c r="J136" s="214">
        <v>61970</v>
      </c>
      <c r="K136" s="215"/>
      <c r="L136" s="43">
        <f t="shared" si="37"/>
        <v>209100.21057175542</v>
      </c>
      <c r="M136" s="280">
        <f t="shared" si="31"/>
        <v>-147130.21057175542</v>
      </c>
      <c r="N136" s="41">
        <f t="shared" si="8"/>
        <v>0.29636507696741032</v>
      </c>
      <c r="O136" s="56"/>
      <c r="P136" s="43">
        <v>43886</v>
      </c>
      <c r="Q136" s="43">
        <f>IF(D136=0,0,SUM($J$111:J136))</f>
        <v>6169680</v>
      </c>
      <c r="R136" s="282">
        <f t="shared" si="32"/>
        <v>6125794</v>
      </c>
      <c r="S136" s="198">
        <f t="shared" si="38"/>
        <v>140.58424098801441</v>
      </c>
      <c r="T136" s="207"/>
      <c r="U136" s="43">
        <f>IF(D136=0,0,SUM($L$21:L136))</f>
        <v>22152563.812003002</v>
      </c>
      <c r="V136" s="43">
        <f>IF(D136=0,0,SUM($J$21:J136))</f>
        <v>23430860</v>
      </c>
      <c r="W136" s="284">
        <f t="shared" si="33"/>
        <v>1278296.1879969984</v>
      </c>
      <c r="X136" s="200">
        <f t="shared" si="39"/>
        <v>1.0577042097179006</v>
      </c>
      <c r="Y136" s="201">
        <f t="shared" si="45"/>
        <v>45773</v>
      </c>
      <c r="Z136" s="202">
        <f t="shared" si="45"/>
        <v>45773</v>
      </c>
      <c r="AA136" s="18"/>
      <c r="AB136" s="244"/>
      <c r="AC136" s="247"/>
      <c r="AD136" s="142"/>
      <c r="AE136" s="18"/>
      <c r="AF136" s="18"/>
      <c r="AG136" s="203"/>
      <c r="AH136" s="203"/>
      <c r="AI136" s="18"/>
      <c r="AJ136" s="18"/>
      <c r="AK136" s="18"/>
      <c r="AL136" s="18"/>
      <c r="AM136" s="18"/>
      <c r="AN136" s="18"/>
    </row>
    <row r="137" spans="1:40" ht="20">
      <c r="A137" s="18"/>
      <c r="B137" s="151"/>
      <c r="C137" s="55">
        <v>117</v>
      </c>
      <c r="D137" s="54">
        <v>0</v>
      </c>
      <c r="E137" s="190">
        <f t="shared" si="34"/>
        <v>4</v>
      </c>
      <c r="F137" s="191">
        <f t="shared" si="35"/>
        <v>45774</v>
      </c>
      <c r="G137" s="192" t="str">
        <f t="shared" si="36"/>
        <v>Sun</v>
      </c>
      <c r="H137" s="193"/>
      <c r="I137" s="194"/>
      <c r="J137" s="214"/>
      <c r="K137" s="215"/>
      <c r="L137" s="43">
        <f t="shared" si="37"/>
        <v>0</v>
      </c>
      <c r="M137" s="280">
        <f t="shared" si="31"/>
        <v>0</v>
      </c>
      <c r="N137" s="41" t="str">
        <f t="shared" si="8"/>
        <v>¥0</v>
      </c>
      <c r="O137" s="44"/>
      <c r="P137" s="43">
        <v>13930</v>
      </c>
      <c r="Q137" s="43">
        <f>IF(D137=0,0,SUM($J$111:J137))</f>
        <v>0</v>
      </c>
      <c r="R137" s="282">
        <f t="shared" si="32"/>
        <v>0</v>
      </c>
      <c r="S137" s="198">
        <f t="shared" si="38"/>
        <v>0</v>
      </c>
      <c r="T137" s="212"/>
      <c r="U137" s="43">
        <f>IF(D137=0,0,SUM($L$21:L137))</f>
        <v>0</v>
      </c>
      <c r="V137" s="43">
        <f>IF(D137=0,0,SUM($J$21:J137))</f>
        <v>0</v>
      </c>
      <c r="W137" s="284">
        <f t="shared" si="33"/>
        <v>0</v>
      </c>
      <c r="X137" s="200">
        <f t="shared" si="39"/>
        <v>0</v>
      </c>
      <c r="Y137" s="201">
        <f t="shared" si="45"/>
        <v>45774</v>
      </c>
      <c r="Z137" s="202">
        <f t="shared" si="45"/>
        <v>45774</v>
      </c>
      <c r="AA137" s="18"/>
      <c r="AB137" s="244"/>
      <c r="AC137" s="247"/>
      <c r="AD137" s="142"/>
      <c r="AE137" s="18"/>
      <c r="AF137" s="18"/>
      <c r="AG137" s="203"/>
      <c r="AH137" s="203"/>
      <c r="AI137" s="18"/>
      <c r="AJ137" s="18"/>
      <c r="AK137" s="18"/>
      <c r="AL137" s="18"/>
      <c r="AM137" s="18"/>
      <c r="AN137" s="18"/>
    </row>
    <row r="138" spans="1:40" ht="20">
      <c r="A138" s="18"/>
      <c r="B138" s="151"/>
      <c r="C138" s="55">
        <v>118</v>
      </c>
      <c r="D138" s="54">
        <v>1</v>
      </c>
      <c r="E138" s="190">
        <f t="shared" si="34"/>
        <v>4</v>
      </c>
      <c r="F138" s="191">
        <f t="shared" si="35"/>
        <v>45775</v>
      </c>
      <c r="G138" s="192" t="str">
        <f t="shared" si="36"/>
        <v>Mon</v>
      </c>
      <c r="H138" s="193"/>
      <c r="I138" s="194"/>
      <c r="J138" s="214">
        <v>324030</v>
      </c>
      <c r="K138" s="215"/>
      <c r="L138" s="43">
        <f t="shared" si="37"/>
        <v>236793.42244756047</v>
      </c>
      <c r="M138" s="280">
        <f t="shared" si="31"/>
        <v>87236.577552439529</v>
      </c>
      <c r="N138" s="41">
        <f t="shared" si="8"/>
        <v>1.3684079424619942</v>
      </c>
      <c r="O138" s="56"/>
      <c r="P138" s="43">
        <v>0</v>
      </c>
      <c r="Q138" s="43">
        <f>IF(D138=0,0,SUM($J$111:J138))</f>
        <v>6493710</v>
      </c>
      <c r="R138" s="282">
        <f t="shared" si="32"/>
        <v>6493710</v>
      </c>
      <c r="S138" s="198" t="e">
        <f t="shared" si="38"/>
        <v>#DIV/0!</v>
      </c>
      <c r="T138" s="207"/>
      <c r="U138" s="43">
        <f>IF(D138=0,0,SUM($L$21:L138))</f>
        <v>22389357.234450564</v>
      </c>
      <c r="V138" s="43">
        <f>IF(D138=0,0,SUM($J$21:J138))</f>
        <v>23754890</v>
      </c>
      <c r="W138" s="284">
        <f t="shared" si="33"/>
        <v>1365532.7655494362</v>
      </c>
      <c r="X138" s="200">
        <f t="shared" si="39"/>
        <v>1.0609902620807841</v>
      </c>
      <c r="Y138" s="201">
        <f t="shared" si="45"/>
        <v>45775</v>
      </c>
      <c r="Z138" s="202">
        <f t="shared" si="45"/>
        <v>45775</v>
      </c>
      <c r="AA138" s="18"/>
      <c r="AB138" s="244"/>
      <c r="AC138" s="247"/>
      <c r="AD138" s="142"/>
      <c r="AE138" s="18"/>
      <c r="AF138" s="18"/>
      <c r="AG138" s="203"/>
      <c r="AH138" s="203"/>
      <c r="AI138" s="18"/>
      <c r="AJ138" s="18"/>
      <c r="AK138" s="18"/>
      <c r="AL138" s="18"/>
      <c r="AM138" s="18"/>
      <c r="AN138" s="18"/>
    </row>
    <row r="139" spans="1:40" ht="20">
      <c r="A139" s="18"/>
      <c r="B139" s="151"/>
      <c r="C139" s="55">
        <v>119</v>
      </c>
      <c r="D139" s="54">
        <v>0</v>
      </c>
      <c r="E139" s="190">
        <f t="shared" si="34"/>
        <v>4</v>
      </c>
      <c r="F139" s="191">
        <f t="shared" si="35"/>
        <v>45776</v>
      </c>
      <c r="G139" s="192" t="str">
        <f t="shared" si="36"/>
        <v>Tue</v>
      </c>
      <c r="H139" s="193" t="s">
        <v>171</v>
      </c>
      <c r="I139" s="194"/>
      <c r="J139" s="214"/>
      <c r="K139" s="215"/>
      <c r="L139" s="43">
        <f t="shared" si="37"/>
        <v>0</v>
      </c>
      <c r="M139" s="280">
        <f t="shared" si="31"/>
        <v>0</v>
      </c>
      <c r="N139" s="41" t="str">
        <f t="shared" si="8"/>
        <v>¥0</v>
      </c>
      <c r="O139" s="44"/>
      <c r="P139" s="43">
        <v>0</v>
      </c>
      <c r="Q139" s="43">
        <f>IF(D139=0,0,SUM($J$111:J139))</f>
        <v>0</v>
      </c>
      <c r="R139" s="282">
        <f t="shared" si="32"/>
        <v>0</v>
      </c>
      <c r="S139" s="198">
        <f t="shared" si="38"/>
        <v>0</v>
      </c>
      <c r="T139" s="212"/>
      <c r="U139" s="43">
        <f>IF(D139=0,0,SUM($L$21:L139))</f>
        <v>0</v>
      </c>
      <c r="V139" s="43">
        <f>IF(D139=0,0,SUM($J$21:J139))</f>
        <v>0</v>
      </c>
      <c r="W139" s="284">
        <f t="shared" si="33"/>
        <v>0</v>
      </c>
      <c r="X139" s="200">
        <f t="shared" si="39"/>
        <v>0</v>
      </c>
      <c r="Y139" s="201">
        <f t="shared" si="45"/>
        <v>45776</v>
      </c>
      <c r="Z139" s="202">
        <f t="shared" si="45"/>
        <v>45776</v>
      </c>
      <c r="AA139" s="18"/>
      <c r="AB139" s="244"/>
      <c r="AC139" s="247"/>
      <c r="AD139" s="142"/>
      <c r="AE139" s="18"/>
      <c r="AF139" s="18"/>
      <c r="AG139" s="203"/>
      <c r="AH139" s="203"/>
      <c r="AI139" s="18"/>
      <c r="AJ139" s="18"/>
      <c r="AK139" s="18"/>
      <c r="AL139" s="18"/>
      <c r="AM139" s="18"/>
      <c r="AN139" s="18"/>
    </row>
    <row r="140" spans="1:40" ht="21" thickBot="1">
      <c r="A140" s="18"/>
      <c r="B140" s="151"/>
      <c r="C140" s="216">
        <v>120</v>
      </c>
      <c r="D140" s="38">
        <v>1</v>
      </c>
      <c r="E140" s="217">
        <f t="shared" si="34"/>
        <v>4</v>
      </c>
      <c r="F140" s="218">
        <f t="shared" si="35"/>
        <v>45777</v>
      </c>
      <c r="G140" s="219" t="str">
        <f t="shared" si="36"/>
        <v>Wed</v>
      </c>
      <c r="H140" s="233"/>
      <c r="I140" s="221"/>
      <c r="J140" s="222">
        <v>269570</v>
      </c>
      <c r="K140" s="223"/>
      <c r="L140" s="43">
        <f t="shared" si="37"/>
        <v>242810.59771725239</v>
      </c>
      <c r="M140" s="281">
        <f t="shared" si="31"/>
        <v>26759.402282747615</v>
      </c>
      <c r="N140" s="234">
        <f t="shared" si="8"/>
        <v>1.110206895968801</v>
      </c>
      <c r="O140" s="226"/>
      <c r="P140" s="227">
        <v>0</v>
      </c>
      <c r="Q140" s="224">
        <f>IF(D140=0,0,SUM($J$111:J140))</f>
        <v>6763280</v>
      </c>
      <c r="R140" s="281">
        <f t="shared" si="32"/>
        <v>6763280</v>
      </c>
      <c r="S140" s="228" t="e">
        <f t="shared" si="38"/>
        <v>#DIV/0!</v>
      </c>
      <c r="T140" s="229"/>
      <c r="U140" s="28">
        <f>IF(D140=0,0,SUM($L$21:L140))</f>
        <v>22632167.832167815</v>
      </c>
      <c r="V140" s="224">
        <f>IF(D140=0,0,SUM($J$21:J140))</f>
        <v>24024460</v>
      </c>
      <c r="W140" s="285">
        <f t="shared" si="33"/>
        <v>1392292.1678321846</v>
      </c>
      <c r="X140" s="230">
        <f t="shared" si="39"/>
        <v>1.0615182857495991</v>
      </c>
      <c r="Y140" s="201">
        <f t="shared" si="45"/>
        <v>45777</v>
      </c>
      <c r="Z140" s="202">
        <f t="shared" si="45"/>
        <v>45777</v>
      </c>
      <c r="AA140" s="18"/>
      <c r="AB140" s="244"/>
      <c r="AC140" s="247"/>
      <c r="AD140" s="142"/>
      <c r="AE140" s="18"/>
      <c r="AF140" s="18"/>
      <c r="AG140" s="203"/>
      <c r="AH140" s="203"/>
      <c r="AI140" s="18"/>
      <c r="AJ140" s="18"/>
      <c r="AK140" s="18"/>
      <c r="AL140" s="18"/>
      <c r="AM140" s="18"/>
      <c r="AN140" s="18"/>
    </row>
    <row r="141" spans="1:40" ht="21" thickTop="1">
      <c r="A141" s="18"/>
      <c r="B141" s="151"/>
      <c r="C141" s="55">
        <v>121</v>
      </c>
      <c r="D141" s="62">
        <v>1</v>
      </c>
      <c r="E141" s="190">
        <f t="shared" si="34"/>
        <v>5</v>
      </c>
      <c r="F141" s="191">
        <f t="shared" si="35"/>
        <v>45778</v>
      </c>
      <c r="G141" s="192" t="str">
        <f t="shared" si="36"/>
        <v>Thu</v>
      </c>
      <c r="H141" s="193"/>
      <c r="I141" s="194"/>
      <c r="J141" s="214">
        <f>AE52</f>
        <v>216018.51541073053</v>
      </c>
      <c r="K141" s="215"/>
      <c r="L141" s="43">
        <f t="shared" si="37"/>
        <v>216018.51541073053</v>
      </c>
      <c r="M141" s="282">
        <f t="shared" si="31"/>
        <v>0</v>
      </c>
      <c r="N141" s="60">
        <f t="shared" si="8"/>
        <v>1</v>
      </c>
      <c r="O141" s="56"/>
      <c r="P141" s="43">
        <v>0</v>
      </c>
      <c r="Q141" s="43">
        <f>IF(D141=0,0,$J$141)</f>
        <v>216018.51541073053</v>
      </c>
      <c r="R141" s="282">
        <f t="shared" si="32"/>
        <v>216018.51541073053</v>
      </c>
      <c r="S141" s="231" t="e">
        <f t="shared" si="38"/>
        <v>#DIV/0!</v>
      </c>
      <c r="T141" s="207"/>
      <c r="U141" s="43">
        <f>IF(D141=0,0,SUM($L$21:L141))</f>
        <v>22848186.347578544</v>
      </c>
      <c r="V141" s="43">
        <f>IF(D141=0,0,SUM($J$21:J141))</f>
        <v>24240478.515410729</v>
      </c>
      <c r="W141" s="284">
        <f t="shared" si="33"/>
        <v>1392292.1678321846</v>
      </c>
      <c r="X141" s="232">
        <f t="shared" si="39"/>
        <v>1.0609366602080317</v>
      </c>
      <c r="Y141" s="201">
        <f t="shared" si="45"/>
        <v>45778</v>
      </c>
      <c r="Z141" s="202">
        <f t="shared" si="45"/>
        <v>45778</v>
      </c>
      <c r="AA141" s="18"/>
      <c r="AB141" s="244"/>
      <c r="AC141" s="247"/>
      <c r="AD141" s="142"/>
      <c r="AE141" s="18"/>
      <c r="AF141" s="18"/>
      <c r="AG141" s="203"/>
      <c r="AH141" s="203"/>
      <c r="AI141" s="18"/>
      <c r="AJ141" s="18"/>
      <c r="AK141" s="18"/>
      <c r="AL141" s="18"/>
      <c r="AM141" s="18"/>
      <c r="AN141" s="18"/>
    </row>
    <row r="142" spans="1:40" ht="20">
      <c r="A142" s="18"/>
      <c r="B142" s="151"/>
      <c r="C142" s="55">
        <v>122</v>
      </c>
      <c r="D142" s="54">
        <v>1</v>
      </c>
      <c r="E142" s="190">
        <f t="shared" si="34"/>
        <v>5</v>
      </c>
      <c r="F142" s="191">
        <f t="shared" si="35"/>
        <v>45779</v>
      </c>
      <c r="G142" s="192" t="str">
        <f t="shared" si="36"/>
        <v>Fri</v>
      </c>
      <c r="H142" s="193"/>
      <c r="I142" s="194"/>
      <c r="J142" s="214">
        <f>AE53</f>
        <v>274421.07495830039</v>
      </c>
      <c r="K142" s="215"/>
      <c r="L142" s="43">
        <f t="shared" si="37"/>
        <v>274421.07495830039</v>
      </c>
      <c r="M142" s="280">
        <f t="shared" si="31"/>
        <v>0</v>
      </c>
      <c r="N142" s="41">
        <f t="shared" si="8"/>
        <v>1</v>
      </c>
      <c r="O142" s="56"/>
      <c r="P142" s="43">
        <v>21683</v>
      </c>
      <c r="Q142" s="43">
        <f>IF(D142=0,0,SUM($J$141:J142))</f>
        <v>490439.59036903095</v>
      </c>
      <c r="R142" s="282">
        <f t="shared" si="32"/>
        <v>468756.59036903095</v>
      </c>
      <c r="S142" s="198">
        <f t="shared" si="38"/>
        <v>22.618622440115804</v>
      </c>
      <c r="T142" s="207"/>
      <c r="U142" s="43">
        <f>IF(D142=0,0,SUM($L$21:L142))</f>
        <v>23122607.422536846</v>
      </c>
      <c r="V142" s="43">
        <f>IF(D142=0,0,SUM($J$21:J142))</f>
        <v>24514899.590369031</v>
      </c>
      <c r="W142" s="284">
        <f t="shared" si="33"/>
        <v>1392292.1678321846</v>
      </c>
      <c r="X142" s="200">
        <f t="shared" si="39"/>
        <v>1.0602134587328229</v>
      </c>
      <c r="Y142" s="201">
        <f t="shared" si="45"/>
        <v>45779</v>
      </c>
      <c r="Z142" s="202">
        <f t="shared" si="45"/>
        <v>45779</v>
      </c>
      <c r="AA142" s="18"/>
      <c r="AB142" s="244"/>
      <c r="AC142" s="247"/>
      <c r="AD142" s="142"/>
      <c r="AE142" s="18"/>
      <c r="AF142" s="18"/>
      <c r="AG142" s="203"/>
      <c r="AH142" s="203"/>
      <c r="AI142" s="18"/>
      <c r="AJ142" s="18"/>
      <c r="AK142" s="18"/>
      <c r="AL142" s="18"/>
      <c r="AM142" s="18"/>
      <c r="AN142" s="18"/>
    </row>
    <row r="143" spans="1:40" ht="20">
      <c r="A143" s="18"/>
      <c r="B143" s="151"/>
      <c r="C143" s="55">
        <v>123</v>
      </c>
      <c r="D143" s="54">
        <v>0</v>
      </c>
      <c r="E143" s="190">
        <f t="shared" si="34"/>
        <v>5</v>
      </c>
      <c r="F143" s="191">
        <f t="shared" si="35"/>
        <v>45780</v>
      </c>
      <c r="G143" s="192" t="str">
        <f t="shared" si="36"/>
        <v>Sat</v>
      </c>
      <c r="H143" s="193" t="s">
        <v>172</v>
      </c>
      <c r="I143" s="194"/>
      <c r="J143" s="214"/>
      <c r="K143" s="215"/>
      <c r="L143" s="43">
        <f t="shared" si="37"/>
        <v>0</v>
      </c>
      <c r="M143" s="280">
        <f t="shared" si="31"/>
        <v>0</v>
      </c>
      <c r="N143" s="41" t="str">
        <f t="shared" si="8"/>
        <v>¥0</v>
      </c>
      <c r="O143" s="44"/>
      <c r="P143" s="43">
        <v>22550</v>
      </c>
      <c r="Q143" s="43">
        <f>IF(D143=0,0,SUM($J$141:J143))</f>
        <v>0</v>
      </c>
      <c r="R143" s="282">
        <f t="shared" si="32"/>
        <v>0</v>
      </c>
      <c r="S143" s="198">
        <f t="shared" si="38"/>
        <v>0</v>
      </c>
      <c r="T143" s="212"/>
      <c r="U143" s="43">
        <f>IF(D143=0,0,SUM($L$21:L143))</f>
        <v>0</v>
      </c>
      <c r="V143" s="43">
        <f>IF(D143=0,0,SUM($J$21:J143))</f>
        <v>0</v>
      </c>
      <c r="W143" s="284">
        <f t="shared" si="33"/>
        <v>0</v>
      </c>
      <c r="X143" s="200">
        <f t="shared" si="39"/>
        <v>0</v>
      </c>
      <c r="Y143" s="201">
        <f t="shared" si="45"/>
        <v>45780</v>
      </c>
      <c r="Z143" s="202">
        <f t="shared" si="45"/>
        <v>45780</v>
      </c>
      <c r="AA143" s="18"/>
      <c r="AB143" s="244"/>
      <c r="AC143" s="247"/>
      <c r="AD143" s="142"/>
      <c r="AE143" s="18"/>
      <c r="AF143" s="18"/>
      <c r="AG143" s="203"/>
      <c r="AH143" s="203"/>
      <c r="AI143" s="18"/>
      <c r="AJ143" s="18"/>
      <c r="AK143" s="18"/>
      <c r="AL143" s="18"/>
      <c r="AM143" s="18"/>
      <c r="AN143" s="18"/>
    </row>
    <row r="144" spans="1:40" ht="20">
      <c r="A144" s="18"/>
      <c r="B144" s="151"/>
      <c r="C144" s="55">
        <v>124</v>
      </c>
      <c r="D144" s="54">
        <v>0</v>
      </c>
      <c r="E144" s="190">
        <f t="shared" si="34"/>
        <v>5</v>
      </c>
      <c r="F144" s="191">
        <f t="shared" si="35"/>
        <v>45781</v>
      </c>
      <c r="G144" s="192" t="str">
        <f t="shared" si="36"/>
        <v>Sun</v>
      </c>
      <c r="H144" s="193" t="s">
        <v>173</v>
      </c>
      <c r="I144" s="194"/>
      <c r="J144" s="214"/>
      <c r="K144" s="215"/>
      <c r="L144" s="43">
        <f t="shared" si="37"/>
        <v>0</v>
      </c>
      <c r="M144" s="280">
        <f t="shared" si="31"/>
        <v>0</v>
      </c>
      <c r="N144" s="41" t="str">
        <f t="shared" si="8"/>
        <v>¥0</v>
      </c>
      <c r="O144" s="44"/>
      <c r="P144" s="43">
        <v>34995</v>
      </c>
      <c r="Q144" s="43">
        <f>IF(D144=0,0,SUM($J$141:J144))</f>
        <v>0</v>
      </c>
      <c r="R144" s="282">
        <f t="shared" si="32"/>
        <v>0</v>
      </c>
      <c r="S144" s="198">
        <f t="shared" si="38"/>
        <v>0</v>
      </c>
      <c r="T144" s="212"/>
      <c r="U144" s="43">
        <f>IF(D144=0,0,SUM($L$21:L144))</f>
        <v>0</v>
      </c>
      <c r="V144" s="43">
        <f>IF(D144=0,0,SUM($J$21:J144))</f>
        <v>0</v>
      </c>
      <c r="W144" s="284">
        <f t="shared" si="33"/>
        <v>0</v>
      </c>
      <c r="X144" s="200">
        <f t="shared" si="39"/>
        <v>0</v>
      </c>
      <c r="Y144" s="201">
        <f t="shared" si="45"/>
        <v>45781</v>
      </c>
      <c r="Z144" s="202">
        <f t="shared" si="45"/>
        <v>45781</v>
      </c>
      <c r="AA144" s="18"/>
      <c r="AB144" s="244"/>
      <c r="AC144" s="247"/>
      <c r="AD144" s="142"/>
      <c r="AE144" s="18"/>
      <c r="AF144" s="18"/>
      <c r="AG144" s="203"/>
      <c r="AH144" s="203"/>
      <c r="AI144" s="18"/>
      <c r="AJ144" s="18"/>
      <c r="AK144" s="18"/>
      <c r="AL144" s="18"/>
      <c r="AM144" s="18"/>
      <c r="AN144" s="18"/>
    </row>
    <row r="145" spans="1:40" ht="20">
      <c r="A145" s="18"/>
      <c r="B145" s="151"/>
      <c r="C145" s="55">
        <v>125</v>
      </c>
      <c r="D145" s="54">
        <v>0</v>
      </c>
      <c r="E145" s="190">
        <f t="shared" si="34"/>
        <v>5</v>
      </c>
      <c r="F145" s="191">
        <f t="shared" si="35"/>
        <v>45782</v>
      </c>
      <c r="G145" s="192" t="str">
        <f t="shared" si="36"/>
        <v>Mon</v>
      </c>
      <c r="H145" s="193" t="s">
        <v>174</v>
      </c>
      <c r="I145" s="194"/>
      <c r="J145" s="214"/>
      <c r="K145" s="215"/>
      <c r="L145" s="43">
        <f t="shared" si="37"/>
        <v>0</v>
      </c>
      <c r="M145" s="280">
        <f t="shared" si="31"/>
        <v>0</v>
      </c>
      <c r="N145" s="41" t="str">
        <f t="shared" si="8"/>
        <v>¥0</v>
      </c>
      <c r="O145" s="44"/>
      <c r="P145" s="43">
        <v>0</v>
      </c>
      <c r="Q145" s="43">
        <f>IF(D145=0,0,SUM($J$141:J145))</f>
        <v>0</v>
      </c>
      <c r="R145" s="282">
        <f t="shared" si="32"/>
        <v>0</v>
      </c>
      <c r="S145" s="198">
        <f t="shared" si="38"/>
        <v>0</v>
      </c>
      <c r="T145" s="212"/>
      <c r="U145" s="43">
        <f>IF(D145=0,0,SUM($L$21:L145))</f>
        <v>0</v>
      </c>
      <c r="V145" s="43">
        <f>IF(D145=0,0,SUM($J$21:J145))</f>
        <v>0</v>
      </c>
      <c r="W145" s="284">
        <f t="shared" si="33"/>
        <v>0</v>
      </c>
      <c r="X145" s="200">
        <f t="shared" si="39"/>
        <v>0</v>
      </c>
      <c r="Y145" s="201">
        <f t="shared" si="45"/>
        <v>45782</v>
      </c>
      <c r="Z145" s="202">
        <f t="shared" si="45"/>
        <v>45782</v>
      </c>
      <c r="AA145" s="18"/>
      <c r="AB145" s="244"/>
      <c r="AC145" s="247"/>
      <c r="AD145" s="142"/>
      <c r="AE145" s="18"/>
      <c r="AF145" s="18"/>
      <c r="AG145" s="203"/>
      <c r="AH145" s="203"/>
      <c r="AI145" s="18"/>
      <c r="AJ145" s="18"/>
      <c r="AK145" s="18"/>
      <c r="AL145" s="18"/>
      <c r="AM145" s="18"/>
      <c r="AN145" s="18"/>
    </row>
    <row r="146" spans="1:40" ht="20">
      <c r="A146" s="18"/>
      <c r="B146" s="151"/>
      <c r="C146" s="55">
        <v>126</v>
      </c>
      <c r="D146" s="54">
        <v>0</v>
      </c>
      <c r="E146" s="190">
        <f t="shared" si="34"/>
        <v>5</v>
      </c>
      <c r="F146" s="191">
        <f t="shared" si="35"/>
        <v>45783</v>
      </c>
      <c r="G146" s="192" t="str">
        <f t="shared" si="36"/>
        <v>Tue</v>
      </c>
      <c r="H146" s="193" t="s">
        <v>175</v>
      </c>
      <c r="I146" s="194"/>
      <c r="J146" s="214"/>
      <c r="K146" s="215"/>
      <c r="L146" s="43">
        <f t="shared" si="37"/>
        <v>0</v>
      </c>
      <c r="M146" s="280">
        <f t="shared" si="31"/>
        <v>0</v>
      </c>
      <c r="N146" s="41" t="str">
        <f t="shared" si="8"/>
        <v>¥0</v>
      </c>
      <c r="O146" s="44"/>
      <c r="P146" s="43">
        <v>0</v>
      </c>
      <c r="Q146" s="43">
        <f>IF(D146=0,0,SUM($J$141:J146))</f>
        <v>0</v>
      </c>
      <c r="R146" s="282">
        <f t="shared" si="32"/>
        <v>0</v>
      </c>
      <c r="S146" s="198">
        <f t="shared" si="38"/>
        <v>0</v>
      </c>
      <c r="T146" s="212"/>
      <c r="U146" s="43">
        <f>IF(D146=0,0,SUM($L$21:L146))</f>
        <v>0</v>
      </c>
      <c r="V146" s="43">
        <f>IF(D146=0,0,SUM($J$21:J146))</f>
        <v>0</v>
      </c>
      <c r="W146" s="284">
        <f t="shared" si="33"/>
        <v>0</v>
      </c>
      <c r="X146" s="200">
        <f t="shared" si="39"/>
        <v>0</v>
      </c>
      <c r="Y146" s="201">
        <f t="shared" si="45"/>
        <v>45783</v>
      </c>
      <c r="Z146" s="202">
        <f t="shared" si="45"/>
        <v>45783</v>
      </c>
      <c r="AA146" s="18"/>
      <c r="AB146" s="244"/>
      <c r="AC146" s="247"/>
      <c r="AD146" s="142"/>
      <c r="AE146" s="18"/>
      <c r="AF146" s="18"/>
      <c r="AG146" s="203"/>
      <c r="AH146" s="203"/>
      <c r="AI146" s="18"/>
      <c r="AJ146" s="18"/>
      <c r="AK146" s="18"/>
      <c r="AL146" s="18"/>
      <c r="AM146" s="18"/>
      <c r="AN146" s="18"/>
    </row>
    <row r="147" spans="1:40" ht="20">
      <c r="A147" s="18"/>
      <c r="B147" s="151"/>
      <c r="C147" s="55">
        <v>127</v>
      </c>
      <c r="D147" s="54">
        <v>1</v>
      </c>
      <c r="E147" s="190">
        <f t="shared" si="34"/>
        <v>5</v>
      </c>
      <c r="F147" s="191">
        <f t="shared" si="35"/>
        <v>45784</v>
      </c>
      <c r="G147" s="192" t="str">
        <f t="shared" si="36"/>
        <v>Wed</v>
      </c>
      <c r="H147" s="193"/>
      <c r="I147" s="194"/>
      <c r="J147" s="214">
        <f>AE51</f>
        <v>392955.7201133403</v>
      </c>
      <c r="K147" s="215"/>
      <c r="L147" s="43">
        <f t="shared" si="37"/>
        <v>392955.7201133403</v>
      </c>
      <c r="M147" s="280">
        <f t="shared" si="31"/>
        <v>0</v>
      </c>
      <c r="N147" s="41">
        <f t="shared" si="8"/>
        <v>1</v>
      </c>
      <c r="O147" s="56"/>
      <c r="P147" s="43">
        <v>2860</v>
      </c>
      <c r="Q147" s="43">
        <f>IF(D147=0,0,SUM($J$141:J147))</f>
        <v>883395.31048237125</v>
      </c>
      <c r="R147" s="282">
        <f t="shared" si="32"/>
        <v>880535.31048237125</v>
      </c>
      <c r="S147" s="198">
        <f t="shared" si="38"/>
        <v>308.87947918964028</v>
      </c>
      <c r="T147" s="207"/>
      <c r="U147" s="43">
        <f>IF(D147=0,0,SUM($L$21:L147))</f>
        <v>23515563.142650187</v>
      </c>
      <c r="V147" s="43">
        <f>IF(D147=0,0,SUM($J$21:J147))</f>
        <v>24907855.310482372</v>
      </c>
      <c r="W147" s="284">
        <f t="shared" si="33"/>
        <v>1392292.1678321846</v>
      </c>
      <c r="X147" s="200">
        <f t="shared" si="39"/>
        <v>1.0592072645416253</v>
      </c>
      <c r="Y147" s="201">
        <f t="shared" si="45"/>
        <v>45784</v>
      </c>
      <c r="Z147" s="202">
        <f t="shared" si="45"/>
        <v>45784</v>
      </c>
      <c r="AA147" s="18"/>
      <c r="AB147" s="244"/>
      <c r="AC147" s="247"/>
      <c r="AD147" s="142"/>
      <c r="AE147" s="18"/>
      <c r="AF147" s="18"/>
      <c r="AG147" s="203"/>
      <c r="AH147" s="203"/>
      <c r="AI147" s="18"/>
      <c r="AJ147" s="18"/>
      <c r="AK147" s="18"/>
      <c r="AL147" s="18"/>
      <c r="AM147" s="18"/>
      <c r="AN147" s="18"/>
    </row>
    <row r="148" spans="1:40" ht="20">
      <c r="A148" s="18"/>
      <c r="B148" s="151"/>
      <c r="C148" s="55">
        <v>128</v>
      </c>
      <c r="D148" s="54">
        <v>1</v>
      </c>
      <c r="E148" s="190">
        <f t="shared" si="34"/>
        <v>5</v>
      </c>
      <c r="F148" s="191">
        <f t="shared" si="35"/>
        <v>45785</v>
      </c>
      <c r="G148" s="192" t="str">
        <f t="shared" si="36"/>
        <v>Thu</v>
      </c>
      <c r="H148" s="193"/>
      <c r="I148" s="194"/>
      <c r="J148" s="214">
        <f>AE52</f>
        <v>216018.51541073053</v>
      </c>
      <c r="K148" s="215"/>
      <c r="L148" s="43">
        <f t="shared" si="37"/>
        <v>216018.51541073053</v>
      </c>
      <c r="M148" s="280">
        <f t="shared" si="31"/>
        <v>0</v>
      </c>
      <c r="N148" s="41">
        <f t="shared" si="8"/>
        <v>1</v>
      </c>
      <c r="O148" s="56"/>
      <c r="P148" s="43">
        <v>23745</v>
      </c>
      <c r="Q148" s="43">
        <f>IF(D148=0,0,SUM($J$141:J148))</f>
        <v>1099413.8258931017</v>
      </c>
      <c r="R148" s="282">
        <f t="shared" si="32"/>
        <v>1075668.8258931017</v>
      </c>
      <c r="S148" s="198">
        <f t="shared" si="38"/>
        <v>46.300856007290029</v>
      </c>
      <c r="T148" s="207"/>
      <c r="U148" s="43">
        <f>IF(D148=0,0,SUM($L$21:L148))</f>
        <v>23731581.658060916</v>
      </c>
      <c r="V148" s="43">
        <f>IF(D148=0,0,SUM($J$21:J148))</f>
        <v>25123873.8258931</v>
      </c>
      <c r="W148" s="284">
        <f t="shared" si="33"/>
        <v>1392292.1678321846</v>
      </c>
      <c r="X148" s="200">
        <f t="shared" si="39"/>
        <v>1.0586683259419105</v>
      </c>
      <c r="Y148" s="201">
        <f t="shared" si="45"/>
        <v>45785</v>
      </c>
      <c r="Z148" s="202">
        <f t="shared" si="45"/>
        <v>45785</v>
      </c>
      <c r="AA148" s="18"/>
      <c r="AB148" s="244"/>
      <c r="AC148" s="247"/>
      <c r="AD148" s="142"/>
      <c r="AE148" s="18"/>
      <c r="AF148" s="18"/>
      <c r="AG148" s="203"/>
      <c r="AH148" s="203"/>
      <c r="AI148" s="18"/>
      <c r="AJ148" s="18"/>
      <c r="AK148" s="18"/>
      <c r="AL148" s="18"/>
      <c r="AM148" s="18"/>
      <c r="AN148" s="18"/>
    </row>
    <row r="149" spans="1:40" ht="20">
      <c r="A149" s="18"/>
      <c r="B149" s="151"/>
      <c r="C149" s="55">
        <v>129</v>
      </c>
      <c r="D149" s="54">
        <v>1</v>
      </c>
      <c r="E149" s="190">
        <f t="shared" si="34"/>
        <v>5</v>
      </c>
      <c r="F149" s="191">
        <f t="shared" si="35"/>
        <v>45786</v>
      </c>
      <c r="G149" s="192" t="str">
        <f t="shared" si="36"/>
        <v>Fri</v>
      </c>
      <c r="H149" s="193"/>
      <c r="I149" s="194"/>
      <c r="J149" s="214">
        <f>AE53</f>
        <v>274421.07495830039</v>
      </c>
      <c r="K149" s="215"/>
      <c r="L149" s="43">
        <f t="shared" si="37"/>
        <v>274421.07495830039</v>
      </c>
      <c r="M149" s="280">
        <f t="shared" ref="M149:M212" si="46">IF(D149=0,0,J149-L149)</f>
        <v>0</v>
      </c>
      <c r="N149" s="41">
        <f t="shared" si="8"/>
        <v>1</v>
      </c>
      <c r="O149" s="56"/>
      <c r="P149" s="43">
        <v>18175</v>
      </c>
      <c r="Q149" s="43">
        <f>IF(D149=0,0,SUM($J$141:J149))</f>
        <v>1373834.9008514022</v>
      </c>
      <c r="R149" s="282">
        <f t="shared" ref="R149:R212" si="47">IF(D149=0,0,Q149-P149)</f>
        <v>1355659.9008514022</v>
      </c>
      <c r="S149" s="198">
        <f t="shared" si="38"/>
        <v>75.58926552139765</v>
      </c>
      <c r="T149" s="207"/>
      <c r="U149" s="43">
        <f>IF(D149=0,0,SUM($L$21:L149))</f>
        <v>24006002.733019218</v>
      </c>
      <c r="V149" s="43">
        <f>IF(D149=0,0,SUM($J$21:J149))</f>
        <v>25398294.900851402</v>
      </c>
      <c r="W149" s="284">
        <f t="shared" ref="W149:W212" si="48">IF(D149=0,0,V149-U149)</f>
        <v>1392292.1678321846</v>
      </c>
      <c r="X149" s="200">
        <f t="shared" si="39"/>
        <v>1.0579976676382339</v>
      </c>
      <c r="Y149" s="201">
        <f t="shared" si="45"/>
        <v>45786</v>
      </c>
      <c r="Z149" s="202">
        <f t="shared" si="45"/>
        <v>45786</v>
      </c>
      <c r="AA149" s="18"/>
      <c r="AB149" s="244"/>
      <c r="AC149" s="247"/>
      <c r="AD149" s="142"/>
      <c r="AE149" s="18"/>
      <c r="AF149" s="18"/>
      <c r="AG149" s="203"/>
      <c r="AH149" s="203"/>
      <c r="AI149" s="18"/>
      <c r="AJ149" s="18"/>
      <c r="AK149" s="18"/>
      <c r="AL149" s="18"/>
      <c r="AM149" s="18"/>
      <c r="AN149" s="18"/>
    </row>
    <row r="150" spans="1:40" ht="20">
      <c r="A150" s="18"/>
      <c r="B150" s="151"/>
      <c r="C150" s="55">
        <v>130</v>
      </c>
      <c r="D150" s="54">
        <v>1</v>
      </c>
      <c r="E150" s="190">
        <f t="shared" ref="E150:E213" si="49">MONTH(Y150)</f>
        <v>5</v>
      </c>
      <c r="F150" s="191">
        <f t="shared" ref="F150:F213" si="50">F149+1</f>
        <v>45787</v>
      </c>
      <c r="G150" s="192" t="str">
        <f t="shared" ref="G150:G213" si="51">TEXT(Z150,"ddd")</f>
        <v>Sat</v>
      </c>
      <c r="H150" s="193"/>
      <c r="I150" s="194"/>
      <c r="J150" s="214">
        <f>AE54</f>
        <v>101718.37923617726</v>
      </c>
      <c r="K150" s="215"/>
      <c r="L150" s="43">
        <f t="shared" ref="L150:L213" si="52">IF(D150=0,0,IFERROR(SUMIFS($AE$21:$AE$104,$AA$21:$AA$104,$E150,$AB$21:$AB$104,$G150),0))</f>
        <v>101718.37923617726</v>
      </c>
      <c r="M150" s="280">
        <f t="shared" si="46"/>
        <v>0</v>
      </c>
      <c r="N150" s="41">
        <f t="shared" si="8"/>
        <v>1</v>
      </c>
      <c r="O150" s="56"/>
      <c r="P150" s="43">
        <v>28564</v>
      </c>
      <c r="Q150" s="43">
        <f>IF(D150=0,0,SUM($J$141:J150))</f>
        <v>1475553.2800875795</v>
      </c>
      <c r="R150" s="282">
        <f t="shared" si="47"/>
        <v>1446989.2800875795</v>
      </c>
      <c r="S150" s="198">
        <f t="shared" ref="S150:S213" si="53">IF(D150=0,0,Q150/P150)</f>
        <v>51.657795829981076</v>
      </c>
      <c r="T150" s="207"/>
      <c r="U150" s="43">
        <f>IF(D150=0,0,SUM($L$21:L150))</f>
        <v>24107721.112255394</v>
      </c>
      <c r="V150" s="43">
        <f>IF(D150=0,0,SUM($J$21:J150))</f>
        <v>25500013.280087579</v>
      </c>
      <c r="W150" s="284">
        <f t="shared" si="48"/>
        <v>1392292.1678321846</v>
      </c>
      <c r="X150" s="200">
        <f t="shared" ref="X150:X213" si="54">IF(D150=0,0,V150/U150)</f>
        <v>1.0577529564635788</v>
      </c>
      <c r="Y150" s="201">
        <f t="shared" si="45"/>
        <v>45787</v>
      </c>
      <c r="Z150" s="202">
        <f t="shared" si="45"/>
        <v>45787</v>
      </c>
      <c r="AA150" s="18"/>
      <c r="AB150" s="244"/>
      <c r="AC150" s="247"/>
      <c r="AD150" s="142"/>
      <c r="AE150" s="18"/>
      <c r="AF150" s="18"/>
      <c r="AG150" s="203"/>
      <c r="AH150" s="203"/>
      <c r="AI150" s="18"/>
      <c r="AJ150" s="18"/>
      <c r="AK150" s="18"/>
      <c r="AL150" s="18"/>
      <c r="AM150" s="18"/>
      <c r="AN150" s="18"/>
    </row>
    <row r="151" spans="1:40" ht="20">
      <c r="A151" s="18"/>
      <c r="B151" s="151"/>
      <c r="C151" s="55">
        <v>131</v>
      </c>
      <c r="D151" s="54">
        <v>0</v>
      </c>
      <c r="E151" s="190">
        <f t="shared" si="49"/>
        <v>5</v>
      </c>
      <c r="F151" s="191">
        <f t="shared" si="50"/>
        <v>45788</v>
      </c>
      <c r="G151" s="192" t="str">
        <f t="shared" si="51"/>
        <v>Sun</v>
      </c>
      <c r="H151" s="193"/>
      <c r="I151" s="194"/>
      <c r="J151" s="214"/>
      <c r="K151" s="215"/>
      <c r="L151" s="43">
        <f t="shared" si="52"/>
        <v>0</v>
      </c>
      <c r="M151" s="280">
        <f t="shared" si="46"/>
        <v>0</v>
      </c>
      <c r="N151" s="41" t="str">
        <f t="shared" si="8"/>
        <v>¥0</v>
      </c>
      <c r="O151" s="44"/>
      <c r="P151" s="43">
        <v>43891</v>
      </c>
      <c r="Q151" s="43">
        <f>IF(D151=0,0,SUM($J$141:J151))</f>
        <v>0</v>
      </c>
      <c r="R151" s="282">
        <f t="shared" si="47"/>
        <v>0</v>
      </c>
      <c r="S151" s="198">
        <f t="shared" si="53"/>
        <v>0</v>
      </c>
      <c r="T151" s="212"/>
      <c r="U151" s="43">
        <f>IF(D151=0,0,SUM($L$21:L151))</f>
        <v>0</v>
      </c>
      <c r="V151" s="43">
        <f>IF(D151=0,0,SUM($J$21:J151))</f>
        <v>0</v>
      </c>
      <c r="W151" s="284">
        <f t="shared" si="48"/>
        <v>0</v>
      </c>
      <c r="X151" s="200">
        <f t="shared" si="54"/>
        <v>0</v>
      </c>
      <c r="Y151" s="201">
        <f t="shared" ref="Y151:Z166" si="55">Y150+1</f>
        <v>45788</v>
      </c>
      <c r="Z151" s="202">
        <f t="shared" si="55"/>
        <v>45788</v>
      </c>
      <c r="AA151" s="18"/>
      <c r="AB151" s="244"/>
      <c r="AC151" s="247"/>
      <c r="AD151" s="142"/>
      <c r="AE151" s="18"/>
      <c r="AF151" s="18"/>
      <c r="AG151" s="203"/>
      <c r="AH151" s="203"/>
      <c r="AI151" s="18"/>
      <c r="AJ151" s="18"/>
      <c r="AK151" s="18"/>
      <c r="AL151" s="18"/>
      <c r="AM151" s="18"/>
      <c r="AN151" s="18"/>
    </row>
    <row r="152" spans="1:40" ht="20">
      <c r="A152" s="18"/>
      <c r="B152" s="151"/>
      <c r="C152" s="55">
        <v>132</v>
      </c>
      <c r="D152" s="54">
        <v>1</v>
      </c>
      <c r="E152" s="190">
        <f t="shared" si="49"/>
        <v>5</v>
      </c>
      <c r="F152" s="191">
        <f t="shared" si="50"/>
        <v>45789</v>
      </c>
      <c r="G152" s="192" t="str">
        <f t="shared" si="51"/>
        <v>Mon</v>
      </c>
      <c r="H152" s="193"/>
      <c r="I152" s="194"/>
      <c r="J152" s="214">
        <f t="shared" ref="J152:J157" si="56">AE49</f>
        <v>233847.40793471682</v>
      </c>
      <c r="K152" s="215"/>
      <c r="L152" s="43">
        <f t="shared" si="52"/>
        <v>233847.40793471682</v>
      </c>
      <c r="M152" s="280">
        <f t="shared" si="46"/>
        <v>0</v>
      </c>
      <c r="N152" s="41">
        <f t="shared" si="8"/>
        <v>1</v>
      </c>
      <c r="O152" s="56"/>
      <c r="P152" s="43">
        <v>22286</v>
      </c>
      <c r="Q152" s="43">
        <f>IF(D152=0,0,SUM($J$141:J152))</f>
        <v>1709400.6880222964</v>
      </c>
      <c r="R152" s="282">
        <f t="shared" si="47"/>
        <v>1687114.6880222964</v>
      </c>
      <c r="S152" s="198">
        <f t="shared" si="53"/>
        <v>76.702893656210023</v>
      </c>
      <c r="T152" s="207"/>
      <c r="U152" s="43">
        <f>IF(D152=0,0,SUM($L$21:L152))</f>
        <v>24341568.520190112</v>
      </c>
      <c r="V152" s="43">
        <f>IF(D152=0,0,SUM($J$21:J152))</f>
        <v>25733860.688022297</v>
      </c>
      <c r="W152" s="284">
        <f t="shared" si="48"/>
        <v>1392292.1678321846</v>
      </c>
      <c r="X152" s="200">
        <f t="shared" si="54"/>
        <v>1.0571981286529399</v>
      </c>
      <c r="Y152" s="201">
        <f t="shared" si="55"/>
        <v>45789</v>
      </c>
      <c r="Z152" s="202">
        <f t="shared" si="55"/>
        <v>45789</v>
      </c>
      <c r="AA152" s="18"/>
      <c r="AB152" s="244"/>
      <c r="AC152" s="247"/>
      <c r="AD152" s="142"/>
      <c r="AE152" s="18"/>
      <c r="AF152" s="18"/>
      <c r="AG152" s="203"/>
      <c r="AH152" s="203"/>
      <c r="AI152" s="18"/>
      <c r="AJ152" s="18"/>
      <c r="AK152" s="18"/>
      <c r="AL152" s="18"/>
      <c r="AM152" s="18"/>
      <c r="AN152" s="18"/>
    </row>
    <row r="153" spans="1:40" ht="20">
      <c r="A153" s="18"/>
      <c r="B153" s="151"/>
      <c r="C153" s="55">
        <v>133</v>
      </c>
      <c r="D153" s="54">
        <v>1</v>
      </c>
      <c r="E153" s="190">
        <f t="shared" si="49"/>
        <v>5</v>
      </c>
      <c r="F153" s="191">
        <f t="shared" si="50"/>
        <v>45790</v>
      </c>
      <c r="G153" s="192" t="str">
        <f t="shared" si="51"/>
        <v>Tue</v>
      </c>
      <c r="H153" s="193"/>
      <c r="I153" s="194"/>
      <c r="J153" s="214">
        <f t="shared" si="56"/>
        <v>303173.82297022239</v>
      </c>
      <c r="K153" s="215"/>
      <c r="L153" s="43">
        <f t="shared" si="52"/>
        <v>303173.82297022239</v>
      </c>
      <c r="M153" s="280">
        <f t="shared" si="46"/>
        <v>0</v>
      </c>
      <c r="N153" s="41">
        <f t="shared" si="8"/>
        <v>1</v>
      </c>
      <c r="O153" s="56"/>
      <c r="P153" s="43">
        <v>0</v>
      </c>
      <c r="Q153" s="43">
        <f>IF(D153=0,0,SUM($J$141:J153))</f>
        <v>2012574.5109925189</v>
      </c>
      <c r="R153" s="282">
        <f t="shared" si="47"/>
        <v>2012574.5109925189</v>
      </c>
      <c r="S153" s="198" t="e">
        <f t="shared" si="53"/>
        <v>#DIV/0!</v>
      </c>
      <c r="T153" s="207"/>
      <c r="U153" s="43">
        <f>IF(D153=0,0,SUM($L$21:L153))</f>
        <v>24644742.343160335</v>
      </c>
      <c r="V153" s="43">
        <f>IF(D153=0,0,SUM($J$21:J153))</f>
        <v>26037034.51099252</v>
      </c>
      <c r="W153" s="284">
        <f t="shared" si="48"/>
        <v>1392292.1678321846</v>
      </c>
      <c r="X153" s="200">
        <f t="shared" si="54"/>
        <v>1.0564944907293214</v>
      </c>
      <c r="Y153" s="201">
        <f t="shared" si="55"/>
        <v>45790</v>
      </c>
      <c r="Z153" s="202">
        <f t="shared" si="55"/>
        <v>45790</v>
      </c>
      <c r="AA153" s="18"/>
      <c r="AB153" s="244"/>
      <c r="AC153" s="247"/>
      <c r="AD153" s="142"/>
      <c r="AE153" s="18"/>
      <c r="AF153" s="18"/>
      <c r="AG153" s="203"/>
      <c r="AH153" s="203"/>
      <c r="AI153" s="18"/>
      <c r="AJ153" s="18"/>
      <c r="AK153" s="18"/>
      <c r="AL153" s="18"/>
      <c r="AM153" s="18"/>
      <c r="AN153" s="18"/>
    </row>
    <row r="154" spans="1:40" ht="20">
      <c r="A154" s="18"/>
      <c r="B154" s="151"/>
      <c r="C154" s="55">
        <v>134</v>
      </c>
      <c r="D154" s="54">
        <v>1</v>
      </c>
      <c r="E154" s="190">
        <f t="shared" si="49"/>
        <v>5</v>
      </c>
      <c r="F154" s="191">
        <f t="shared" si="50"/>
        <v>45791</v>
      </c>
      <c r="G154" s="192" t="str">
        <f t="shared" si="51"/>
        <v>Wed</v>
      </c>
      <c r="H154" s="193"/>
      <c r="I154" s="194"/>
      <c r="J154" s="214">
        <f t="shared" si="56"/>
        <v>392955.7201133403</v>
      </c>
      <c r="K154" s="215"/>
      <c r="L154" s="43">
        <f t="shared" si="52"/>
        <v>392955.7201133403</v>
      </c>
      <c r="M154" s="280">
        <f t="shared" si="46"/>
        <v>0</v>
      </c>
      <c r="N154" s="41">
        <f t="shared" si="8"/>
        <v>1</v>
      </c>
      <c r="O154" s="56"/>
      <c r="P154" s="43">
        <v>25499</v>
      </c>
      <c r="Q154" s="43">
        <f>IF(D154=0,0,SUM($J$141:J154))</f>
        <v>2405530.2311058594</v>
      </c>
      <c r="R154" s="282">
        <f t="shared" si="47"/>
        <v>2380031.2311058594</v>
      </c>
      <c r="S154" s="198">
        <f t="shared" si="53"/>
        <v>94.338218404873103</v>
      </c>
      <c r="T154" s="207"/>
      <c r="U154" s="43">
        <f>IF(D154=0,0,SUM($L$21:L154))</f>
        <v>25037698.063273676</v>
      </c>
      <c r="V154" s="43">
        <f>IF(D154=0,0,SUM($J$21:J154))</f>
        <v>26429990.23110586</v>
      </c>
      <c r="W154" s="284">
        <f t="shared" si="48"/>
        <v>1392292.1678321846</v>
      </c>
      <c r="X154" s="200">
        <f t="shared" si="54"/>
        <v>1.055607834406888</v>
      </c>
      <c r="Y154" s="201">
        <f t="shared" si="55"/>
        <v>45791</v>
      </c>
      <c r="Z154" s="202">
        <f t="shared" si="55"/>
        <v>45791</v>
      </c>
      <c r="AA154" s="18"/>
      <c r="AB154" s="244"/>
      <c r="AC154" s="247"/>
      <c r="AD154" s="142"/>
      <c r="AE154" s="18"/>
      <c r="AF154" s="18"/>
      <c r="AG154" s="203"/>
      <c r="AH154" s="203"/>
      <c r="AI154" s="18"/>
      <c r="AJ154" s="18"/>
      <c r="AK154" s="18"/>
      <c r="AL154" s="18"/>
      <c r="AM154" s="18"/>
      <c r="AN154" s="18"/>
    </row>
    <row r="155" spans="1:40" ht="20">
      <c r="A155" s="18"/>
      <c r="B155" s="151"/>
      <c r="C155" s="55">
        <v>135</v>
      </c>
      <c r="D155" s="54">
        <v>1</v>
      </c>
      <c r="E155" s="190">
        <f t="shared" si="49"/>
        <v>5</v>
      </c>
      <c r="F155" s="191">
        <f t="shared" si="50"/>
        <v>45792</v>
      </c>
      <c r="G155" s="192" t="str">
        <f t="shared" si="51"/>
        <v>Thu</v>
      </c>
      <c r="H155" s="193"/>
      <c r="I155" s="194"/>
      <c r="J155" s="214">
        <f t="shared" si="56"/>
        <v>216018.51541073053</v>
      </c>
      <c r="K155" s="215"/>
      <c r="L155" s="43">
        <f t="shared" si="52"/>
        <v>216018.51541073053</v>
      </c>
      <c r="M155" s="280">
        <f t="shared" si="46"/>
        <v>0</v>
      </c>
      <c r="N155" s="41">
        <f t="shared" si="8"/>
        <v>1</v>
      </c>
      <c r="O155" s="56"/>
      <c r="P155" s="43">
        <v>32399</v>
      </c>
      <c r="Q155" s="43">
        <f>IF(D155=0,0,SUM($J$141:J155))</f>
        <v>2621548.74651659</v>
      </c>
      <c r="R155" s="282">
        <f t="shared" si="47"/>
        <v>2589149.74651659</v>
      </c>
      <c r="S155" s="198">
        <f t="shared" si="53"/>
        <v>80.914495710256176</v>
      </c>
      <c r="T155" s="207"/>
      <c r="U155" s="43">
        <f>IF(D155=0,0,SUM($L$21:L155))</f>
        <v>25253716.578684404</v>
      </c>
      <c r="V155" s="43">
        <f>IF(D155=0,0,SUM($J$21:J155))</f>
        <v>26646008.746516589</v>
      </c>
      <c r="W155" s="284">
        <f t="shared" si="48"/>
        <v>1392292.1678321846</v>
      </c>
      <c r="X155" s="200">
        <f t="shared" si="54"/>
        <v>1.0551321689025115</v>
      </c>
      <c r="Y155" s="201">
        <f t="shared" si="55"/>
        <v>45792</v>
      </c>
      <c r="Z155" s="202">
        <f t="shared" si="55"/>
        <v>45792</v>
      </c>
      <c r="AA155" s="18"/>
      <c r="AB155" s="244"/>
      <c r="AC155" s="247"/>
      <c r="AD155" s="142"/>
      <c r="AE155" s="18"/>
      <c r="AF155" s="18"/>
      <c r="AG155" s="203"/>
      <c r="AH155" s="203"/>
      <c r="AI155" s="18"/>
      <c r="AJ155" s="18"/>
      <c r="AK155" s="18"/>
      <c r="AL155" s="18"/>
      <c r="AM155" s="18"/>
      <c r="AN155" s="18"/>
    </row>
    <row r="156" spans="1:40" ht="20">
      <c r="A156" s="18"/>
      <c r="B156" s="151"/>
      <c r="C156" s="55">
        <v>136</v>
      </c>
      <c r="D156" s="54">
        <v>1</v>
      </c>
      <c r="E156" s="190">
        <f t="shared" si="49"/>
        <v>5</v>
      </c>
      <c r="F156" s="191">
        <f t="shared" si="50"/>
        <v>45793</v>
      </c>
      <c r="G156" s="192" t="str">
        <f t="shared" si="51"/>
        <v>Fri</v>
      </c>
      <c r="H156" s="193"/>
      <c r="I156" s="194"/>
      <c r="J156" s="214">
        <f t="shared" si="56"/>
        <v>274421.07495830039</v>
      </c>
      <c r="K156" s="215"/>
      <c r="L156" s="43">
        <f t="shared" si="52"/>
        <v>274421.07495830039</v>
      </c>
      <c r="M156" s="280">
        <f t="shared" si="46"/>
        <v>0</v>
      </c>
      <c r="N156" s="41">
        <f t="shared" si="8"/>
        <v>1</v>
      </c>
      <c r="O156" s="56"/>
      <c r="P156" s="43">
        <v>17486</v>
      </c>
      <c r="Q156" s="43">
        <f>IF(D156=0,0,SUM($J$141:J156))</f>
        <v>2895969.8214748902</v>
      </c>
      <c r="R156" s="282">
        <f t="shared" si="47"/>
        <v>2878483.8214748902</v>
      </c>
      <c r="S156" s="198">
        <f t="shared" si="53"/>
        <v>165.61648298495311</v>
      </c>
      <c r="T156" s="207"/>
      <c r="U156" s="43">
        <f>IF(D156=0,0,SUM($L$21:L156))</f>
        <v>25528137.653642707</v>
      </c>
      <c r="V156" s="43">
        <f>IF(D156=0,0,SUM($J$21:J156))</f>
        <v>26920429.821474891</v>
      </c>
      <c r="W156" s="284">
        <f t="shared" si="48"/>
        <v>1392292.1678321846</v>
      </c>
      <c r="X156" s="200">
        <f t="shared" si="54"/>
        <v>1.0545395119190575</v>
      </c>
      <c r="Y156" s="201">
        <f t="shared" si="55"/>
        <v>45793</v>
      </c>
      <c r="Z156" s="202">
        <f t="shared" si="55"/>
        <v>45793</v>
      </c>
      <c r="AA156" s="18"/>
      <c r="AB156" s="244"/>
      <c r="AC156" s="247"/>
      <c r="AD156" s="142"/>
      <c r="AE156" s="18"/>
      <c r="AF156" s="18"/>
      <c r="AG156" s="203"/>
      <c r="AH156" s="203"/>
      <c r="AI156" s="18"/>
      <c r="AJ156" s="18"/>
      <c r="AK156" s="18"/>
      <c r="AL156" s="18"/>
      <c r="AM156" s="18"/>
      <c r="AN156" s="18"/>
    </row>
    <row r="157" spans="1:40" ht="20">
      <c r="A157" s="18"/>
      <c r="B157" s="151"/>
      <c r="C157" s="55">
        <v>137</v>
      </c>
      <c r="D157" s="54">
        <v>1</v>
      </c>
      <c r="E157" s="190">
        <f t="shared" si="49"/>
        <v>5</v>
      </c>
      <c r="F157" s="191">
        <f t="shared" si="50"/>
        <v>45794</v>
      </c>
      <c r="G157" s="192" t="str">
        <f t="shared" si="51"/>
        <v>Sat</v>
      </c>
      <c r="H157" s="193"/>
      <c r="I157" s="194"/>
      <c r="J157" s="214">
        <f t="shared" si="56"/>
        <v>101718.37923617726</v>
      </c>
      <c r="K157" s="215"/>
      <c r="L157" s="43">
        <f t="shared" si="52"/>
        <v>101718.37923617726</v>
      </c>
      <c r="M157" s="280">
        <f t="shared" si="46"/>
        <v>0</v>
      </c>
      <c r="N157" s="41">
        <f t="shared" si="8"/>
        <v>1</v>
      </c>
      <c r="O157" s="56"/>
      <c r="P157" s="43">
        <v>2760</v>
      </c>
      <c r="Q157" s="43">
        <f>IF(D157=0,0,SUM($J$141:J157))</f>
        <v>2997688.2007110673</v>
      </c>
      <c r="R157" s="282">
        <f t="shared" si="47"/>
        <v>2994928.2007110673</v>
      </c>
      <c r="S157" s="198">
        <f t="shared" si="53"/>
        <v>1086.1189133011114</v>
      </c>
      <c r="T157" s="207"/>
      <c r="U157" s="43">
        <f>IF(D157=0,0,SUM($L$21:L157))</f>
        <v>25629856.032878883</v>
      </c>
      <c r="V157" s="43">
        <f>IF(D157=0,0,SUM($J$21:J157))</f>
        <v>27022148.200711068</v>
      </c>
      <c r="W157" s="284">
        <f t="shared" si="48"/>
        <v>1392292.1678321846</v>
      </c>
      <c r="X157" s="200">
        <f t="shared" si="54"/>
        <v>1.0543230584692362</v>
      </c>
      <c r="Y157" s="201">
        <f t="shared" si="55"/>
        <v>45794</v>
      </c>
      <c r="Z157" s="202">
        <f t="shared" si="55"/>
        <v>45794</v>
      </c>
      <c r="AA157" s="18"/>
      <c r="AB157" s="244"/>
      <c r="AC157" s="247"/>
      <c r="AD157" s="142"/>
      <c r="AE157" s="18"/>
      <c r="AF157" s="18"/>
      <c r="AG157" s="203"/>
      <c r="AH157" s="203"/>
      <c r="AI157" s="18"/>
      <c r="AJ157" s="18"/>
      <c r="AK157" s="18"/>
      <c r="AL157" s="18"/>
      <c r="AM157" s="18"/>
      <c r="AN157" s="18"/>
    </row>
    <row r="158" spans="1:40" ht="20">
      <c r="A158" s="18"/>
      <c r="B158" s="151"/>
      <c r="C158" s="55">
        <v>138</v>
      </c>
      <c r="D158" s="54">
        <v>0</v>
      </c>
      <c r="E158" s="190">
        <f t="shared" si="49"/>
        <v>5</v>
      </c>
      <c r="F158" s="191">
        <f t="shared" si="50"/>
        <v>45795</v>
      </c>
      <c r="G158" s="192" t="str">
        <f t="shared" si="51"/>
        <v>Sun</v>
      </c>
      <c r="H158" s="193"/>
      <c r="I158" s="194"/>
      <c r="J158" s="214"/>
      <c r="K158" s="215"/>
      <c r="L158" s="43">
        <f t="shared" si="52"/>
        <v>0</v>
      </c>
      <c r="M158" s="280">
        <f t="shared" si="46"/>
        <v>0</v>
      </c>
      <c r="N158" s="41" t="str">
        <f t="shared" si="8"/>
        <v>¥0</v>
      </c>
      <c r="O158" s="44"/>
      <c r="P158" s="43">
        <v>0</v>
      </c>
      <c r="Q158" s="43">
        <f>IF(D158=0,0,SUM($J$141:J158))</f>
        <v>0</v>
      </c>
      <c r="R158" s="282">
        <f t="shared" si="47"/>
        <v>0</v>
      </c>
      <c r="S158" s="198">
        <f t="shared" si="53"/>
        <v>0</v>
      </c>
      <c r="T158" s="212"/>
      <c r="U158" s="43">
        <f>IF(D158=0,0,SUM($L$21:L158))</f>
        <v>0</v>
      </c>
      <c r="V158" s="43">
        <f>IF(D158=0,0,SUM($J$21:J158))</f>
        <v>0</v>
      </c>
      <c r="W158" s="284">
        <f t="shared" si="48"/>
        <v>0</v>
      </c>
      <c r="X158" s="200">
        <f t="shared" si="54"/>
        <v>0</v>
      </c>
      <c r="Y158" s="201">
        <f t="shared" si="55"/>
        <v>45795</v>
      </c>
      <c r="Z158" s="202">
        <f t="shared" si="55"/>
        <v>45795</v>
      </c>
      <c r="AA158" s="18"/>
      <c r="AB158" s="244"/>
      <c r="AC158" s="247"/>
      <c r="AD158" s="142"/>
      <c r="AE158" s="18"/>
      <c r="AF158" s="18"/>
      <c r="AG158" s="203"/>
      <c r="AH158" s="203"/>
      <c r="AI158" s="18"/>
      <c r="AJ158" s="18"/>
      <c r="AK158" s="18"/>
      <c r="AL158" s="18"/>
      <c r="AM158" s="18"/>
      <c r="AN158" s="18"/>
    </row>
    <row r="159" spans="1:40" ht="20">
      <c r="A159" s="18"/>
      <c r="B159" s="151"/>
      <c r="C159" s="55">
        <v>139</v>
      </c>
      <c r="D159" s="54">
        <v>1</v>
      </c>
      <c r="E159" s="190">
        <f t="shared" si="49"/>
        <v>5</v>
      </c>
      <c r="F159" s="191">
        <f t="shared" si="50"/>
        <v>45796</v>
      </c>
      <c r="G159" s="192" t="str">
        <f t="shared" si="51"/>
        <v>Mon</v>
      </c>
      <c r="H159" s="193"/>
      <c r="I159" s="194"/>
      <c r="J159" s="214">
        <f t="shared" ref="J159:J164" si="57">AE49</f>
        <v>233847.40793471682</v>
      </c>
      <c r="K159" s="215"/>
      <c r="L159" s="43">
        <f t="shared" si="52"/>
        <v>233847.40793471682</v>
      </c>
      <c r="M159" s="280">
        <f t="shared" si="46"/>
        <v>0</v>
      </c>
      <c r="N159" s="41">
        <f t="shared" si="8"/>
        <v>1</v>
      </c>
      <c r="O159" s="56"/>
      <c r="P159" s="43">
        <v>429</v>
      </c>
      <c r="Q159" s="43">
        <f>IF(D159=0,0,SUM($J$141:J159))</f>
        <v>3231535.6086457842</v>
      </c>
      <c r="R159" s="282">
        <f t="shared" si="47"/>
        <v>3231106.6086457842</v>
      </c>
      <c r="S159" s="198">
        <f t="shared" si="53"/>
        <v>7532.7170364703597</v>
      </c>
      <c r="T159" s="207"/>
      <c r="U159" s="43">
        <f>IF(D159=0,0,SUM($L$21:L159))</f>
        <v>25863703.440813601</v>
      </c>
      <c r="V159" s="43">
        <f>IF(D159=0,0,SUM($J$21:J159))</f>
        <v>27255995.608645786</v>
      </c>
      <c r="W159" s="284">
        <f t="shared" si="48"/>
        <v>1392292.1678321846</v>
      </c>
      <c r="X159" s="200">
        <f t="shared" si="54"/>
        <v>1.0538318949959466</v>
      </c>
      <c r="Y159" s="201">
        <f t="shared" si="55"/>
        <v>45796</v>
      </c>
      <c r="Z159" s="202">
        <f t="shared" si="55"/>
        <v>45796</v>
      </c>
      <c r="AA159" s="18"/>
      <c r="AB159" s="244"/>
      <c r="AC159" s="247"/>
      <c r="AD159" s="142"/>
      <c r="AE159" s="18"/>
      <c r="AF159" s="18"/>
      <c r="AG159" s="203"/>
      <c r="AH159" s="203"/>
      <c r="AI159" s="18"/>
      <c r="AJ159" s="18"/>
      <c r="AK159" s="18"/>
      <c r="AL159" s="18"/>
      <c r="AM159" s="18"/>
      <c r="AN159" s="18"/>
    </row>
    <row r="160" spans="1:40" ht="20">
      <c r="A160" s="18"/>
      <c r="B160" s="151"/>
      <c r="C160" s="55">
        <v>140</v>
      </c>
      <c r="D160" s="54">
        <v>1</v>
      </c>
      <c r="E160" s="190">
        <f t="shared" si="49"/>
        <v>5</v>
      </c>
      <c r="F160" s="191">
        <f t="shared" si="50"/>
        <v>45797</v>
      </c>
      <c r="G160" s="192" t="str">
        <f t="shared" si="51"/>
        <v>Tue</v>
      </c>
      <c r="H160" s="193"/>
      <c r="I160" s="194"/>
      <c r="J160" s="214">
        <f t="shared" si="57"/>
        <v>303173.82297022239</v>
      </c>
      <c r="K160" s="215"/>
      <c r="L160" s="43">
        <f t="shared" si="52"/>
        <v>303173.82297022239</v>
      </c>
      <c r="M160" s="280">
        <f t="shared" si="46"/>
        <v>0</v>
      </c>
      <c r="N160" s="41">
        <f t="shared" si="8"/>
        <v>1</v>
      </c>
      <c r="O160" s="56"/>
      <c r="P160" s="43">
        <v>0</v>
      </c>
      <c r="Q160" s="43">
        <f>IF(D160=0,0,SUM($J$141:J160))</f>
        <v>3534709.4316160064</v>
      </c>
      <c r="R160" s="282">
        <f t="shared" si="47"/>
        <v>3534709.4316160064</v>
      </c>
      <c r="S160" s="198" t="e">
        <f t="shared" si="53"/>
        <v>#DIV/0!</v>
      </c>
      <c r="T160" s="207"/>
      <c r="U160" s="43">
        <f>IF(D160=0,0,SUM($L$21:L160))</f>
        <v>26166877.263783824</v>
      </c>
      <c r="V160" s="43">
        <f>IF(D160=0,0,SUM($J$21:J160))</f>
        <v>27559169.431616008</v>
      </c>
      <c r="W160" s="284">
        <f t="shared" si="48"/>
        <v>1392292.1678321846</v>
      </c>
      <c r="X160" s="200">
        <f t="shared" si="54"/>
        <v>1.0532081896435987</v>
      </c>
      <c r="Y160" s="201">
        <f t="shared" si="55"/>
        <v>45797</v>
      </c>
      <c r="Z160" s="202">
        <f t="shared" si="55"/>
        <v>45797</v>
      </c>
      <c r="AA160" s="18"/>
      <c r="AB160" s="244"/>
      <c r="AC160" s="247"/>
      <c r="AD160" s="142"/>
      <c r="AE160" s="18"/>
      <c r="AF160" s="18"/>
      <c r="AG160" s="203"/>
      <c r="AH160" s="203"/>
      <c r="AI160" s="18"/>
      <c r="AJ160" s="18"/>
      <c r="AK160" s="18"/>
      <c r="AL160" s="18"/>
      <c r="AM160" s="18"/>
      <c r="AN160" s="18"/>
    </row>
    <row r="161" spans="1:40" ht="20">
      <c r="A161" s="18"/>
      <c r="B161" s="151"/>
      <c r="C161" s="55">
        <v>141</v>
      </c>
      <c r="D161" s="54">
        <v>1</v>
      </c>
      <c r="E161" s="190">
        <f t="shared" si="49"/>
        <v>5</v>
      </c>
      <c r="F161" s="191">
        <f t="shared" si="50"/>
        <v>45798</v>
      </c>
      <c r="G161" s="192" t="str">
        <f t="shared" si="51"/>
        <v>Wed</v>
      </c>
      <c r="H161" s="193"/>
      <c r="I161" s="194"/>
      <c r="J161" s="214">
        <f t="shared" si="57"/>
        <v>392955.7201133403</v>
      </c>
      <c r="K161" s="215"/>
      <c r="L161" s="43">
        <f t="shared" si="52"/>
        <v>392955.7201133403</v>
      </c>
      <c r="M161" s="280">
        <f t="shared" si="46"/>
        <v>0</v>
      </c>
      <c r="N161" s="41">
        <f t="shared" si="8"/>
        <v>1</v>
      </c>
      <c r="O161" s="56"/>
      <c r="P161" s="43">
        <v>598</v>
      </c>
      <c r="Q161" s="43">
        <f>IF(D161=0,0,SUM($J$141:J161))</f>
        <v>3927665.1517293467</v>
      </c>
      <c r="R161" s="282">
        <f t="shared" si="47"/>
        <v>3927067.1517293467</v>
      </c>
      <c r="S161" s="198">
        <f t="shared" si="53"/>
        <v>6568.001925968807</v>
      </c>
      <c r="T161" s="207"/>
      <c r="U161" s="43">
        <f>IF(D161=0,0,SUM($L$21:L161))</f>
        <v>26559832.983897164</v>
      </c>
      <c r="V161" s="43">
        <f>IF(D161=0,0,SUM($J$21:J161))</f>
        <v>27952125.151729349</v>
      </c>
      <c r="W161" s="284">
        <f t="shared" si="48"/>
        <v>1392292.1678321846</v>
      </c>
      <c r="X161" s="200">
        <f t="shared" si="54"/>
        <v>1.0524209684856192</v>
      </c>
      <c r="Y161" s="201">
        <f t="shared" si="55"/>
        <v>45798</v>
      </c>
      <c r="Z161" s="202">
        <f t="shared" si="55"/>
        <v>45798</v>
      </c>
      <c r="AA161" s="18"/>
      <c r="AB161" s="244"/>
      <c r="AC161" s="247"/>
      <c r="AD161" s="142"/>
      <c r="AE161" s="18"/>
      <c r="AF161" s="18"/>
      <c r="AG161" s="203"/>
      <c r="AH161" s="203"/>
      <c r="AI161" s="18"/>
      <c r="AJ161" s="18"/>
      <c r="AK161" s="18"/>
      <c r="AL161" s="18"/>
      <c r="AM161" s="18"/>
      <c r="AN161" s="18"/>
    </row>
    <row r="162" spans="1:40" ht="20">
      <c r="A162" s="18"/>
      <c r="B162" s="151"/>
      <c r="C162" s="55">
        <v>142</v>
      </c>
      <c r="D162" s="54">
        <v>1</v>
      </c>
      <c r="E162" s="190">
        <f t="shared" si="49"/>
        <v>5</v>
      </c>
      <c r="F162" s="191">
        <f t="shared" si="50"/>
        <v>45799</v>
      </c>
      <c r="G162" s="192" t="str">
        <f t="shared" si="51"/>
        <v>Thu</v>
      </c>
      <c r="H162" s="193"/>
      <c r="I162" s="194"/>
      <c r="J162" s="214">
        <f t="shared" si="57"/>
        <v>216018.51541073053</v>
      </c>
      <c r="K162" s="215"/>
      <c r="L162" s="43">
        <f t="shared" si="52"/>
        <v>216018.51541073053</v>
      </c>
      <c r="M162" s="280">
        <f t="shared" si="46"/>
        <v>0</v>
      </c>
      <c r="N162" s="41">
        <f t="shared" si="8"/>
        <v>1</v>
      </c>
      <c r="O162" s="56"/>
      <c r="P162" s="43">
        <v>0</v>
      </c>
      <c r="Q162" s="43">
        <f>IF(D162=0,0,SUM($J$141:J162))</f>
        <v>4143683.6671400773</v>
      </c>
      <c r="R162" s="282">
        <f t="shared" si="47"/>
        <v>4143683.6671400773</v>
      </c>
      <c r="S162" s="198" t="e">
        <f t="shared" si="53"/>
        <v>#DIV/0!</v>
      </c>
      <c r="T162" s="207"/>
      <c r="U162" s="43">
        <f>IF(D162=0,0,SUM($L$21:L162))</f>
        <v>26775851.499307893</v>
      </c>
      <c r="V162" s="43">
        <f>IF(D162=0,0,SUM($J$21:J162))</f>
        <v>28168143.667140078</v>
      </c>
      <c r="W162" s="284">
        <f t="shared" si="48"/>
        <v>1392292.1678321846</v>
      </c>
      <c r="X162" s="200">
        <f t="shared" si="54"/>
        <v>1.051998053838481</v>
      </c>
      <c r="Y162" s="201">
        <f t="shared" si="55"/>
        <v>45799</v>
      </c>
      <c r="Z162" s="202">
        <f t="shared" si="55"/>
        <v>45799</v>
      </c>
      <c r="AA162" s="18"/>
      <c r="AB162" s="244"/>
      <c r="AC162" s="247"/>
      <c r="AD162" s="142"/>
      <c r="AE162" s="18"/>
      <c r="AF162" s="18"/>
      <c r="AG162" s="203"/>
      <c r="AH162" s="203"/>
      <c r="AI162" s="18"/>
      <c r="AJ162" s="18"/>
      <c r="AK162" s="18"/>
      <c r="AL162" s="18"/>
      <c r="AM162" s="18"/>
      <c r="AN162" s="18"/>
    </row>
    <row r="163" spans="1:40" ht="20">
      <c r="A163" s="18"/>
      <c r="B163" s="151"/>
      <c r="C163" s="55">
        <v>143</v>
      </c>
      <c r="D163" s="54">
        <v>1</v>
      </c>
      <c r="E163" s="190">
        <f t="shared" si="49"/>
        <v>5</v>
      </c>
      <c r="F163" s="191">
        <f t="shared" si="50"/>
        <v>45800</v>
      </c>
      <c r="G163" s="192" t="str">
        <f t="shared" si="51"/>
        <v>Fri</v>
      </c>
      <c r="H163" s="193"/>
      <c r="I163" s="194"/>
      <c r="J163" s="214">
        <f t="shared" si="57"/>
        <v>274421.07495830039</v>
      </c>
      <c r="K163" s="215"/>
      <c r="L163" s="43">
        <f t="shared" si="52"/>
        <v>274421.07495830039</v>
      </c>
      <c r="M163" s="280">
        <f t="shared" si="46"/>
        <v>0</v>
      </c>
      <c r="N163" s="41">
        <f t="shared" si="8"/>
        <v>1</v>
      </c>
      <c r="O163" s="56"/>
      <c r="P163" s="43">
        <v>0</v>
      </c>
      <c r="Q163" s="43">
        <f>IF(D163=0,0,SUM($J$141:J163))</f>
        <v>4418104.742098378</v>
      </c>
      <c r="R163" s="282">
        <f t="shared" si="47"/>
        <v>4418104.742098378</v>
      </c>
      <c r="S163" s="198" t="e">
        <f t="shared" si="53"/>
        <v>#DIV/0!</v>
      </c>
      <c r="T163" s="207"/>
      <c r="U163" s="43">
        <f>IF(D163=0,0,SUM($L$21:L163))</f>
        <v>27050272.574266195</v>
      </c>
      <c r="V163" s="43">
        <f>IF(D163=0,0,SUM($J$21:J163))</f>
        <v>28442564.74209838</v>
      </c>
      <c r="W163" s="284">
        <f t="shared" si="48"/>
        <v>1392292.1678321846</v>
      </c>
      <c r="X163" s="200">
        <f t="shared" si="54"/>
        <v>1.0514705411566432</v>
      </c>
      <c r="Y163" s="201">
        <f t="shared" si="55"/>
        <v>45800</v>
      </c>
      <c r="Z163" s="202">
        <f t="shared" si="55"/>
        <v>45800</v>
      </c>
      <c r="AA163" s="18"/>
      <c r="AB163" s="244"/>
      <c r="AC163" s="247"/>
      <c r="AD163" s="142"/>
      <c r="AE163" s="18"/>
      <c r="AF163" s="18"/>
      <c r="AG163" s="203"/>
      <c r="AH163" s="203"/>
      <c r="AI163" s="18"/>
      <c r="AJ163" s="18"/>
      <c r="AK163" s="18"/>
      <c r="AL163" s="18"/>
      <c r="AM163" s="18"/>
      <c r="AN163" s="18"/>
    </row>
    <row r="164" spans="1:40" ht="20">
      <c r="A164" s="18"/>
      <c r="B164" s="151"/>
      <c r="C164" s="55">
        <v>144</v>
      </c>
      <c r="D164" s="54">
        <v>1</v>
      </c>
      <c r="E164" s="190">
        <f t="shared" si="49"/>
        <v>5</v>
      </c>
      <c r="F164" s="191">
        <f t="shared" si="50"/>
        <v>45801</v>
      </c>
      <c r="G164" s="192" t="str">
        <f t="shared" si="51"/>
        <v>Sat</v>
      </c>
      <c r="H164" s="193"/>
      <c r="I164" s="194"/>
      <c r="J164" s="214">
        <f t="shared" si="57"/>
        <v>101718.37923617726</v>
      </c>
      <c r="K164" s="215"/>
      <c r="L164" s="43">
        <f t="shared" si="52"/>
        <v>101718.37923617726</v>
      </c>
      <c r="M164" s="280">
        <f t="shared" si="46"/>
        <v>0</v>
      </c>
      <c r="N164" s="41">
        <f t="shared" si="8"/>
        <v>1</v>
      </c>
      <c r="O164" s="56"/>
      <c r="P164" s="43">
        <v>0</v>
      </c>
      <c r="Q164" s="43">
        <f>IF(D164=0,0,SUM($J$141:J164))</f>
        <v>4519823.1213345556</v>
      </c>
      <c r="R164" s="282">
        <f t="shared" si="47"/>
        <v>4519823.1213345556</v>
      </c>
      <c r="S164" s="198" t="e">
        <f t="shared" si="53"/>
        <v>#DIV/0!</v>
      </c>
      <c r="T164" s="207"/>
      <c r="U164" s="43">
        <f>IF(D164=0,0,SUM($L$21:L164))</f>
        <v>27151990.953502372</v>
      </c>
      <c r="V164" s="43">
        <f>IF(D164=0,0,SUM($J$21:J164))</f>
        <v>28544283.121334556</v>
      </c>
      <c r="W164" s="284">
        <f t="shared" si="48"/>
        <v>1392292.1678321846</v>
      </c>
      <c r="X164" s="200">
        <f t="shared" si="54"/>
        <v>1.0512777191999099</v>
      </c>
      <c r="Y164" s="201">
        <f t="shared" si="55"/>
        <v>45801</v>
      </c>
      <c r="Z164" s="202">
        <f t="shared" si="55"/>
        <v>45801</v>
      </c>
      <c r="AA164" s="18"/>
      <c r="AB164" s="244"/>
      <c r="AC164" s="247"/>
      <c r="AD164" s="142"/>
      <c r="AE164" s="18"/>
      <c r="AF164" s="18"/>
      <c r="AG164" s="203"/>
      <c r="AH164" s="203"/>
      <c r="AI164" s="18"/>
      <c r="AJ164" s="18"/>
      <c r="AK164" s="18"/>
      <c r="AL164" s="18"/>
      <c r="AM164" s="18"/>
      <c r="AN164" s="18"/>
    </row>
    <row r="165" spans="1:40" ht="20">
      <c r="A165" s="18"/>
      <c r="B165" s="151"/>
      <c r="C165" s="55">
        <v>145</v>
      </c>
      <c r="D165" s="54">
        <v>0</v>
      </c>
      <c r="E165" s="190">
        <f t="shared" si="49"/>
        <v>5</v>
      </c>
      <c r="F165" s="191">
        <f t="shared" si="50"/>
        <v>45802</v>
      </c>
      <c r="G165" s="192" t="str">
        <f t="shared" si="51"/>
        <v>Sun</v>
      </c>
      <c r="H165" s="193"/>
      <c r="I165" s="194"/>
      <c r="J165" s="214"/>
      <c r="K165" s="215"/>
      <c r="L165" s="43">
        <f t="shared" si="52"/>
        <v>0</v>
      </c>
      <c r="M165" s="280">
        <f t="shared" si="46"/>
        <v>0</v>
      </c>
      <c r="N165" s="41" t="str">
        <f t="shared" si="8"/>
        <v>¥0</v>
      </c>
      <c r="O165" s="44"/>
      <c r="P165" s="43">
        <v>0</v>
      </c>
      <c r="Q165" s="43">
        <f>IF(D165=0,0,SUM($J$141:J165))</f>
        <v>0</v>
      </c>
      <c r="R165" s="282">
        <f t="shared" si="47"/>
        <v>0</v>
      </c>
      <c r="S165" s="198">
        <f t="shared" si="53"/>
        <v>0</v>
      </c>
      <c r="T165" s="212"/>
      <c r="U165" s="43">
        <f>IF(D165=0,0,SUM($L$21:L165))</f>
        <v>0</v>
      </c>
      <c r="V165" s="43">
        <f>IF(D165=0,0,SUM($J$21:J165))</f>
        <v>0</v>
      </c>
      <c r="W165" s="284">
        <f t="shared" si="48"/>
        <v>0</v>
      </c>
      <c r="X165" s="200">
        <f t="shared" si="54"/>
        <v>0</v>
      </c>
      <c r="Y165" s="201">
        <f t="shared" si="55"/>
        <v>45802</v>
      </c>
      <c r="Z165" s="202">
        <f t="shared" si="55"/>
        <v>45802</v>
      </c>
      <c r="AA165" s="18"/>
      <c r="AB165" s="244"/>
      <c r="AC165" s="247"/>
      <c r="AD165" s="142"/>
      <c r="AE165" s="18"/>
      <c r="AF165" s="18"/>
      <c r="AG165" s="203"/>
      <c r="AH165" s="203"/>
      <c r="AI165" s="18"/>
      <c r="AJ165" s="18"/>
      <c r="AK165" s="18"/>
      <c r="AL165" s="18"/>
      <c r="AM165" s="18"/>
      <c r="AN165" s="18"/>
    </row>
    <row r="166" spans="1:40" ht="20">
      <c r="A166" s="18"/>
      <c r="B166" s="151"/>
      <c r="C166" s="55">
        <v>146</v>
      </c>
      <c r="D166" s="54">
        <v>1</v>
      </c>
      <c r="E166" s="190">
        <f t="shared" si="49"/>
        <v>5</v>
      </c>
      <c r="F166" s="191">
        <f t="shared" si="50"/>
        <v>45803</v>
      </c>
      <c r="G166" s="192" t="str">
        <f t="shared" si="51"/>
        <v>Mon</v>
      </c>
      <c r="H166" s="193"/>
      <c r="I166" s="194"/>
      <c r="J166" s="277">
        <f t="shared" ref="J166:J171" si="58">AE49</f>
        <v>233847.40793471682</v>
      </c>
      <c r="K166" s="215"/>
      <c r="L166" s="43">
        <f t="shared" si="52"/>
        <v>233847.40793471682</v>
      </c>
      <c r="M166" s="280">
        <f t="shared" si="46"/>
        <v>0</v>
      </c>
      <c r="N166" s="41">
        <f t="shared" si="8"/>
        <v>1</v>
      </c>
      <c r="O166" s="56"/>
      <c r="P166" s="43">
        <v>0</v>
      </c>
      <c r="Q166" s="43">
        <f>IF(D166=0,0,SUM($J$141:J166))</f>
        <v>4753670.5292692725</v>
      </c>
      <c r="R166" s="282">
        <f t="shared" si="47"/>
        <v>4753670.5292692725</v>
      </c>
      <c r="S166" s="198" t="e">
        <f t="shared" si="53"/>
        <v>#DIV/0!</v>
      </c>
      <c r="T166" s="207"/>
      <c r="U166" s="43">
        <f>IF(D166=0,0,SUM($L$21:L166))</f>
        <v>27385838.36143709</v>
      </c>
      <c r="V166" s="43">
        <f>IF(D166=0,0,SUM($J$21:J166))</f>
        <v>28778130.529269274</v>
      </c>
      <c r="W166" s="284">
        <f t="shared" si="48"/>
        <v>1392292.1678321846</v>
      </c>
      <c r="X166" s="200">
        <f t="shared" si="54"/>
        <v>1.0508398592534132</v>
      </c>
      <c r="Y166" s="201">
        <f t="shared" si="55"/>
        <v>45803</v>
      </c>
      <c r="Z166" s="202">
        <f t="shared" si="55"/>
        <v>45803</v>
      </c>
      <c r="AA166" s="18"/>
      <c r="AB166" s="244"/>
      <c r="AC166" s="247"/>
      <c r="AD166" s="142"/>
      <c r="AE166" s="18"/>
      <c r="AF166" s="18"/>
      <c r="AG166" s="203"/>
      <c r="AH166" s="203"/>
      <c r="AI166" s="18"/>
      <c r="AJ166" s="18"/>
      <c r="AK166" s="18"/>
      <c r="AL166" s="18"/>
      <c r="AM166" s="18"/>
      <c r="AN166" s="18"/>
    </row>
    <row r="167" spans="1:40" ht="20">
      <c r="A167" s="18"/>
      <c r="B167" s="151"/>
      <c r="C167" s="55">
        <v>147</v>
      </c>
      <c r="D167" s="54">
        <v>1</v>
      </c>
      <c r="E167" s="190">
        <f t="shared" si="49"/>
        <v>5</v>
      </c>
      <c r="F167" s="191">
        <f t="shared" si="50"/>
        <v>45804</v>
      </c>
      <c r="G167" s="192" t="str">
        <f t="shared" si="51"/>
        <v>Tue</v>
      </c>
      <c r="H167" s="193"/>
      <c r="I167" s="194"/>
      <c r="J167" s="278">
        <f t="shared" si="58"/>
        <v>303173.82297022239</v>
      </c>
      <c r="K167" s="215"/>
      <c r="L167" s="43">
        <f t="shared" si="52"/>
        <v>303173.82297022239</v>
      </c>
      <c r="M167" s="280">
        <f t="shared" si="46"/>
        <v>0</v>
      </c>
      <c r="N167" s="41">
        <f t="shared" si="8"/>
        <v>1</v>
      </c>
      <c r="O167" s="56"/>
      <c r="P167" s="43">
        <f>IF(D167=0,0,SUM($L$141:L167))</f>
        <v>5056844.3522394951</v>
      </c>
      <c r="Q167" s="43">
        <f>IF(D167=0,0,SUM($J$141:J167))</f>
        <v>5056844.3522394951</v>
      </c>
      <c r="R167" s="282">
        <f t="shared" si="47"/>
        <v>0</v>
      </c>
      <c r="S167" s="198">
        <f t="shared" si="53"/>
        <v>1</v>
      </c>
      <c r="T167" s="207"/>
      <c r="U167" s="43">
        <f>IF(D167=0,0,SUM($L$21:L167))</f>
        <v>27689012.184407312</v>
      </c>
      <c r="V167" s="43">
        <f>IF(D167=0,0,SUM($J$21:J167))</f>
        <v>29081304.352239497</v>
      </c>
      <c r="W167" s="284">
        <f t="shared" si="48"/>
        <v>1392292.1678321846</v>
      </c>
      <c r="X167" s="200">
        <f t="shared" si="54"/>
        <v>1.0502832010965069</v>
      </c>
      <c r="Y167" s="201">
        <f t="shared" ref="Y167:Z182" si="59">Y166+1</f>
        <v>45804</v>
      </c>
      <c r="Z167" s="202">
        <f t="shared" si="59"/>
        <v>45804</v>
      </c>
      <c r="AA167" s="18"/>
      <c r="AB167" s="244"/>
      <c r="AC167" s="247"/>
      <c r="AD167" s="142"/>
      <c r="AE167" s="18"/>
      <c r="AF167" s="18"/>
      <c r="AG167" s="203"/>
      <c r="AH167" s="203"/>
      <c r="AI167" s="18"/>
      <c r="AJ167" s="18"/>
      <c r="AK167" s="18"/>
      <c r="AL167" s="18"/>
      <c r="AM167" s="18"/>
      <c r="AN167" s="18"/>
    </row>
    <row r="168" spans="1:40" ht="20">
      <c r="A168" s="18"/>
      <c r="B168" s="151"/>
      <c r="C168" s="55">
        <v>148</v>
      </c>
      <c r="D168" s="54">
        <v>1</v>
      </c>
      <c r="E168" s="190">
        <f t="shared" si="49"/>
        <v>5</v>
      </c>
      <c r="F168" s="191">
        <f t="shared" si="50"/>
        <v>45805</v>
      </c>
      <c r="G168" s="192" t="str">
        <f t="shared" si="51"/>
        <v>Wed</v>
      </c>
      <c r="H168" s="193"/>
      <c r="I168" s="194"/>
      <c r="J168" s="278">
        <f t="shared" si="58"/>
        <v>392955.7201133403</v>
      </c>
      <c r="K168" s="215"/>
      <c r="L168" s="43">
        <f t="shared" si="52"/>
        <v>392955.7201133403</v>
      </c>
      <c r="M168" s="280">
        <f t="shared" si="46"/>
        <v>0</v>
      </c>
      <c r="N168" s="41">
        <f t="shared" si="8"/>
        <v>1</v>
      </c>
      <c r="O168" s="56"/>
      <c r="P168" s="43">
        <f>IF(D168=0,0,SUM($L$141:L168))</f>
        <v>5449800.0723528359</v>
      </c>
      <c r="Q168" s="43">
        <f>IF(D168=0,0,SUM($J$141:J168))</f>
        <v>5449800.0723528359</v>
      </c>
      <c r="R168" s="282">
        <f t="shared" si="47"/>
        <v>0</v>
      </c>
      <c r="S168" s="198">
        <f t="shared" si="53"/>
        <v>1</v>
      </c>
      <c r="T168" s="207"/>
      <c r="U168" s="43">
        <f>IF(D168=0,0,SUM($L$21:L168))</f>
        <v>28081967.904520653</v>
      </c>
      <c r="V168" s="43">
        <f>IF(D168=0,0,SUM($J$21:J168))</f>
        <v>29474260.072352838</v>
      </c>
      <c r="W168" s="284">
        <f t="shared" si="48"/>
        <v>1392292.1678321846</v>
      </c>
      <c r="X168" s="200">
        <f t="shared" si="54"/>
        <v>1.0495795797704068</v>
      </c>
      <c r="Y168" s="201">
        <f t="shared" si="59"/>
        <v>45805</v>
      </c>
      <c r="Z168" s="202">
        <f t="shared" si="59"/>
        <v>45805</v>
      </c>
      <c r="AA168" s="18"/>
      <c r="AB168" s="244"/>
      <c r="AC168" s="247"/>
      <c r="AD168" s="142"/>
      <c r="AE168" s="18"/>
      <c r="AF168" s="18"/>
      <c r="AG168" s="203"/>
      <c r="AH168" s="203"/>
      <c r="AI168" s="18"/>
      <c r="AJ168" s="18"/>
      <c r="AK168" s="18"/>
      <c r="AL168" s="18"/>
      <c r="AM168" s="18"/>
      <c r="AN168" s="18"/>
    </row>
    <row r="169" spans="1:40" ht="20">
      <c r="A169" s="18"/>
      <c r="B169" s="151"/>
      <c r="C169" s="55">
        <v>149</v>
      </c>
      <c r="D169" s="54">
        <v>1</v>
      </c>
      <c r="E169" s="190">
        <f t="shared" si="49"/>
        <v>5</v>
      </c>
      <c r="F169" s="191">
        <f t="shared" si="50"/>
        <v>45806</v>
      </c>
      <c r="G169" s="192" t="str">
        <f t="shared" si="51"/>
        <v>Thu</v>
      </c>
      <c r="H169" s="193"/>
      <c r="I169" s="194"/>
      <c r="J169" s="278">
        <f t="shared" si="58"/>
        <v>216018.51541073053</v>
      </c>
      <c r="K169" s="215"/>
      <c r="L169" s="43">
        <f t="shared" si="52"/>
        <v>216018.51541073053</v>
      </c>
      <c r="M169" s="280">
        <f t="shared" si="46"/>
        <v>0</v>
      </c>
      <c r="N169" s="41">
        <f t="shared" si="8"/>
        <v>1</v>
      </c>
      <c r="O169" s="56"/>
      <c r="P169" s="43">
        <f>IF(D169=0,0,SUM($L$141:L169))</f>
        <v>5665818.5877635665</v>
      </c>
      <c r="Q169" s="43">
        <f>IF(D169=0,0,SUM($J$141:J169))</f>
        <v>5665818.5877635665</v>
      </c>
      <c r="R169" s="282">
        <f t="shared" si="47"/>
        <v>0</v>
      </c>
      <c r="S169" s="198">
        <f t="shared" si="53"/>
        <v>1</v>
      </c>
      <c r="T169" s="207"/>
      <c r="U169" s="43">
        <f>IF(D169=0,0,SUM($L$21:L169))</f>
        <v>28297986.419931382</v>
      </c>
      <c r="V169" s="43">
        <f>IF(D169=0,0,SUM($J$21:J169))</f>
        <v>29690278.587763567</v>
      </c>
      <c r="W169" s="284">
        <f t="shared" si="48"/>
        <v>1392292.1678321846</v>
      </c>
      <c r="X169" s="200">
        <f t="shared" si="54"/>
        <v>1.0492011038231166</v>
      </c>
      <c r="Y169" s="201">
        <f t="shared" si="59"/>
        <v>45806</v>
      </c>
      <c r="Z169" s="202">
        <f t="shared" si="59"/>
        <v>45806</v>
      </c>
      <c r="AA169" s="18"/>
      <c r="AB169" s="244"/>
      <c r="AC169" s="247"/>
      <c r="AD169" s="142"/>
      <c r="AE169" s="18"/>
      <c r="AF169" s="18"/>
      <c r="AG169" s="203"/>
      <c r="AH169" s="203"/>
      <c r="AI169" s="18"/>
      <c r="AJ169" s="18"/>
      <c r="AK169" s="18"/>
      <c r="AL169" s="18"/>
      <c r="AM169" s="18"/>
      <c r="AN169" s="18"/>
    </row>
    <row r="170" spans="1:40" ht="20">
      <c r="A170" s="18"/>
      <c r="B170" s="151"/>
      <c r="C170" s="55">
        <v>150</v>
      </c>
      <c r="D170" s="54">
        <v>1</v>
      </c>
      <c r="E170" s="190">
        <f t="shared" si="49"/>
        <v>5</v>
      </c>
      <c r="F170" s="191">
        <f t="shared" si="50"/>
        <v>45807</v>
      </c>
      <c r="G170" s="192" t="str">
        <f t="shared" si="51"/>
        <v>Fri</v>
      </c>
      <c r="H170" s="193"/>
      <c r="I170" s="194"/>
      <c r="J170" s="278">
        <f t="shared" si="58"/>
        <v>274421.07495830039</v>
      </c>
      <c r="K170" s="215"/>
      <c r="L170" s="43">
        <f t="shared" si="52"/>
        <v>274421.07495830039</v>
      </c>
      <c r="M170" s="280">
        <f t="shared" si="46"/>
        <v>0</v>
      </c>
      <c r="N170" s="41">
        <f t="shared" si="8"/>
        <v>1</v>
      </c>
      <c r="O170" s="56"/>
      <c r="P170" s="43">
        <f>IF(D170=0,0,SUM($L$141:L170))</f>
        <v>5940239.6627218667</v>
      </c>
      <c r="Q170" s="43">
        <f>IF(D170=0,0,SUM($J$141:J170))</f>
        <v>5940239.6627218667</v>
      </c>
      <c r="R170" s="282">
        <f t="shared" si="47"/>
        <v>0</v>
      </c>
      <c r="S170" s="198">
        <f t="shared" si="53"/>
        <v>1</v>
      </c>
      <c r="T170" s="207"/>
      <c r="U170" s="43">
        <f>IF(D170=0,0,SUM($L$21:L170))</f>
        <v>28572407.494889684</v>
      </c>
      <c r="V170" s="43">
        <f>IF(D170=0,0,SUM($J$21:J170))</f>
        <v>29964699.662721869</v>
      </c>
      <c r="W170" s="284">
        <f t="shared" si="48"/>
        <v>1392292.1678321846</v>
      </c>
      <c r="X170" s="200">
        <f t="shared" si="54"/>
        <v>1.0487285563206812</v>
      </c>
      <c r="Y170" s="201">
        <f t="shared" si="59"/>
        <v>45807</v>
      </c>
      <c r="Z170" s="202">
        <f t="shared" si="59"/>
        <v>45807</v>
      </c>
      <c r="AA170" s="18"/>
      <c r="AB170" s="244"/>
      <c r="AC170" s="247"/>
      <c r="AD170" s="142"/>
      <c r="AE170" s="18"/>
      <c r="AF170" s="18"/>
      <c r="AG170" s="203"/>
      <c r="AH170" s="203"/>
      <c r="AI170" s="18"/>
      <c r="AJ170" s="18"/>
      <c r="AK170" s="18"/>
      <c r="AL170" s="18"/>
      <c r="AM170" s="18"/>
      <c r="AN170" s="18"/>
    </row>
    <row r="171" spans="1:40" ht="21" thickBot="1">
      <c r="A171" s="18"/>
      <c r="B171" s="151"/>
      <c r="C171" s="216">
        <v>151</v>
      </c>
      <c r="D171" s="38">
        <v>1</v>
      </c>
      <c r="E171" s="217">
        <f t="shared" si="49"/>
        <v>5</v>
      </c>
      <c r="F171" s="218">
        <f t="shared" si="50"/>
        <v>45808</v>
      </c>
      <c r="G171" s="219" t="str">
        <f t="shared" si="51"/>
        <v>Sat</v>
      </c>
      <c r="H171" s="233"/>
      <c r="I171" s="221"/>
      <c r="J171" s="279">
        <f t="shared" si="58"/>
        <v>101718.37923617726</v>
      </c>
      <c r="K171" s="223"/>
      <c r="L171" s="43">
        <f t="shared" si="52"/>
        <v>101718.37923617726</v>
      </c>
      <c r="M171" s="281">
        <f t="shared" si="46"/>
        <v>0</v>
      </c>
      <c r="N171" s="225">
        <f t="shared" si="8"/>
        <v>1</v>
      </c>
      <c r="O171" s="226"/>
      <c r="P171" s="227">
        <f>IF(D171=0,0,SUM($L$141:L171))</f>
        <v>6041958.0419580443</v>
      </c>
      <c r="Q171" s="224">
        <f>IF(D171=0,0,SUM($J$141:J171))</f>
        <v>6041958.0419580443</v>
      </c>
      <c r="R171" s="281">
        <f t="shared" si="47"/>
        <v>0</v>
      </c>
      <c r="S171" s="228">
        <f t="shared" si="53"/>
        <v>1</v>
      </c>
      <c r="T171" s="229"/>
      <c r="U171" s="28">
        <f>IF(D171=0,0,SUM($L$21:L171))</f>
        <v>28674125.874125861</v>
      </c>
      <c r="V171" s="224">
        <f>IF(D171=0,0,SUM($J$21:J171))</f>
        <v>30066418.041958045</v>
      </c>
      <c r="W171" s="285">
        <f t="shared" si="48"/>
        <v>1392292.1678321846</v>
      </c>
      <c r="X171" s="230">
        <f t="shared" si="54"/>
        <v>1.0485556970051708</v>
      </c>
      <c r="Y171" s="201">
        <f t="shared" si="59"/>
        <v>45808</v>
      </c>
      <c r="Z171" s="202">
        <f t="shared" si="59"/>
        <v>45808</v>
      </c>
      <c r="AA171" s="18"/>
      <c r="AB171" s="244"/>
      <c r="AC171" s="247"/>
      <c r="AD171" s="142"/>
      <c r="AE171" s="18"/>
      <c r="AF171" s="18"/>
      <c r="AG171" s="203"/>
      <c r="AH171" s="203"/>
      <c r="AI171" s="18"/>
      <c r="AJ171" s="18"/>
      <c r="AK171" s="18"/>
      <c r="AL171" s="18"/>
      <c r="AM171" s="18"/>
      <c r="AN171" s="18"/>
    </row>
    <row r="172" spans="1:40" ht="21" thickTop="1">
      <c r="A172" s="18"/>
      <c r="B172" s="151"/>
      <c r="C172" s="55">
        <v>152</v>
      </c>
      <c r="D172" s="62">
        <v>0</v>
      </c>
      <c r="E172" s="190">
        <f t="shared" si="49"/>
        <v>6</v>
      </c>
      <c r="F172" s="191">
        <f t="shared" si="50"/>
        <v>45809</v>
      </c>
      <c r="G172" s="192" t="str">
        <f t="shared" si="51"/>
        <v>Sun</v>
      </c>
      <c r="H172" s="193"/>
      <c r="I172" s="194"/>
      <c r="J172" s="214"/>
      <c r="K172" s="215"/>
      <c r="L172" s="43">
        <f t="shared" si="52"/>
        <v>0</v>
      </c>
      <c r="M172" s="282">
        <f t="shared" si="46"/>
        <v>0</v>
      </c>
      <c r="N172" s="60" t="str">
        <f t="shared" si="8"/>
        <v>¥0</v>
      </c>
      <c r="O172" s="44"/>
      <c r="P172" s="43">
        <f>IF(D172=0,0,$L$172)</f>
        <v>0</v>
      </c>
      <c r="Q172" s="43">
        <f>IF(D172=0,0,$J$172)</f>
        <v>0</v>
      </c>
      <c r="R172" s="282">
        <f t="shared" si="47"/>
        <v>0</v>
      </c>
      <c r="S172" s="231">
        <f t="shared" si="53"/>
        <v>0</v>
      </c>
      <c r="T172" s="212"/>
      <c r="U172" s="43">
        <f>IF(D172=0,0,SUM($L$21:L172))</f>
        <v>0</v>
      </c>
      <c r="V172" s="43">
        <f>IF(D172=0,0,SUM($J$21:J172))</f>
        <v>0</v>
      </c>
      <c r="W172" s="284">
        <f t="shared" si="48"/>
        <v>0</v>
      </c>
      <c r="X172" s="232">
        <f t="shared" si="54"/>
        <v>0</v>
      </c>
      <c r="Y172" s="201">
        <f t="shared" si="59"/>
        <v>45809</v>
      </c>
      <c r="Z172" s="202">
        <f t="shared" si="59"/>
        <v>45809</v>
      </c>
      <c r="AA172" s="18"/>
      <c r="AB172" s="244"/>
      <c r="AC172" s="247"/>
      <c r="AD172" s="142"/>
      <c r="AE172" s="18"/>
      <c r="AF172" s="18"/>
      <c r="AG172" s="203"/>
      <c r="AH172" s="203"/>
      <c r="AI172" s="18"/>
      <c r="AJ172" s="18"/>
      <c r="AK172" s="18"/>
      <c r="AL172" s="18"/>
      <c r="AM172" s="18"/>
      <c r="AN172" s="18"/>
    </row>
    <row r="173" spans="1:40" ht="20">
      <c r="A173" s="18"/>
      <c r="B173" s="151"/>
      <c r="C173" s="55">
        <v>153</v>
      </c>
      <c r="D173" s="54">
        <v>1</v>
      </c>
      <c r="E173" s="190">
        <f t="shared" si="49"/>
        <v>6</v>
      </c>
      <c r="F173" s="191">
        <f t="shared" si="50"/>
        <v>45810</v>
      </c>
      <c r="G173" s="192" t="str">
        <f t="shared" si="51"/>
        <v>Mon</v>
      </c>
      <c r="H173" s="193"/>
      <c r="I173" s="194"/>
      <c r="J173" s="214">
        <v>201400</v>
      </c>
      <c r="K173" s="215"/>
      <c r="L173" s="43">
        <f t="shared" si="52"/>
        <v>139269.56429516539</v>
      </c>
      <c r="M173" s="280">
        <f t="shared" si="46"/>
        <v>62130.435704834614</v>
      </c>
      <c r="N173" s="41">
        <f t="shared" si="8"/>
        <v>1.4461163931923884</v>
      </c>
      <c r="O173" s="56"/>
      <c r="P173" s="43">
        <f>IF(D173=0,0,SUM($L$172:L173))</f>
        <v>139269.56429516539</v>
      </c>
      <c r="Q173" s="43">
        <f>IF(D173=0,0,SUM($J$172:J173))</f>
        <v>201400</v>
      </c>
      <c r="R173" s="282">
        <f t="shared" si="47"/>
        <v>62130.435704834614</v>
      </c>
      <c r="S173" s="198">
        <f t="shared" si="53"/>
        <v>1.4461163931923884</v>
      </c>
      <c r="T173" s="207"/>
      <c r="U173" s="43">
        <f>IF(D173=0,0,SUM($L$21:L173))</f>
        <v>28813395.438421026</v>
      </c>
      <c r="V173" s="43">
        <f>IF(D173=0,0,SUM($J$21:J173))</f>
        <v>30267818.041958045</v>
      </c>
      <c r="W173" s="284">
        <f t="shared" si="48"/>
        <v>1454422.6035370193</v>
      </c>
      <c r="X173" s="200">
        <f t="shared" si="54"/>
        <v>1.0504773068708739</v>
      </c>
      <c r="Y173" s="201">
        <f t="shared" si="59"/>
        <v>45810</v>
      </c>
      <c r="Z173" s="202">
        <f t="shared" si="59"/>
        <v>45810</v>
      </c>
      <c r="AA173" s="18"/>
      <c r="AB173" s="244"/>
      <c r="AC173" s="247"/>
      <c r="AD173" s="142"/>
      <c r="AE173" s="18"/>
      <c r="AF173" s="18"/>
      <c r="AG173" s="203"/>
      <c r="AH173" s="203"/>
      <c r="AI173" s="18"/>
      <c r="AJ173" s="18"/>
      <c r="AK173" s="18"/>
      <c r="AL173" s="18"/>
      <c r="AM173" s="18"/>
      <c r="AN173" s="18"/>
    </row>
    <row r="174" spans="1:40" ht="20">
      <c r="A174" s="18"/>
      <c r="B174" s="151"/>
      <c r="C174" s="55">
        <v>154</v>
      </c>
      <c r="D174" s="54">
        <v>1</v>
      </c>
      <c r="E174" s="190">
        <f t="shared" si="49"/>
        <v>6</v>
      </c>
      <c r="F174" s="191">
        <f t="shared" si="50"/>
        <v>45811</v>
      </c>
      <c r="G174" s="192" t="str">
        <f t="shared" si="51"/>
        <v>Tue</v>
      </c>
      <c r="H174" s="193"/>
      <c r="I174" s="194"/>
      <c r="J174" s="214">
        <v>221790</v>
      </c>
      <c r="K174" s="215"/>
      <c r="L174" s="43">
        <f t="shared" si="52"/>
        <v>185367.22504469351</v>
      </c>
      <c r="M174" s="280">
        <f t="shared" si="46"/>
        <v>36422.774955306493</v>
      </c>
      <c r="N174" s="41">
        <f t="shared" si="8"/>
        <v>1.1964898322587754</v>
      </c>
      <c r="O174" s="56"/>
      <c r="P174" s="43">
        <f>IF(D174=0,0,SUM($L$172:L174))</f>
        <v>324636.78933985892</v>
      </c>
      <c r="Q174" s="43">
        <f>IF(D174=0,0,SUM($J$172:J174))</f>
        <v>423190</v>
      </c>
      <c r="R174" s="282">
        <f t="shared" si="47"/>
        <v>98553.210660141078</v>
      </c>
      <c r="S174" s="198">
        <f t="shared" si="53"/>
        <v>1.3035799203797778</v>
      </c>
      <c r="T174" s="207"/>
      <c r="U174" s="43">
        <f>IF(D174=0,0,SUM($L$21:L174))</f>
        <v>28998762.66346572</v>
      </c>
      <c r="V174" s="43">
        <f>IF(D174=0,0,SUM($J$21:J174))</f>
        <v>30489608.041958045</v>
      </c>
      <c r="W174" s="284">
        <f t="shared" si="48"/>
        <v>1490845.3784923255</v>
      </c>
      <c r="X174" s="200">
        <f t="shared" si="54"/>
        <v>1.0514106548542699</v>
      </c>
      <c r="Y174" s="201">
        <f t="shared" si="59"/>
        <v>45811</v>
      </c>
      <c r="Z174" s="202">
        <f t="shared" si="59"/>
        <v>45811</v>
      </c>
      <c r="AA174" s="18"/>
      <c r="AB174" s="244"/>
      <c r="AC174" s="247"/>
      <c r="AD174" s="142"/>
      <c r="AE174" s="18"/>
      <c r="AF174" s="18"/>
      <c r="AG174" s="203"/>
      <c r="AH174" s="203"/>
      <c r="AI174" s="18"/>
      <c r="AJ174" s="18"/>
      <c r="AK174" s="18"/>
      <c r="AL174" s="18"/>
      <c r="AM174" s="18"/>
      <c r="AN174" s="18"/>
    </row>
    <row r="175" spans="1:40" ht="20">
      <c r="A175" s="18"/>
      <c r="B175" s="151"/>
      <c r="C175" s="55">
        <v>155</v>
      </c>
      <c r="D175" s="54">
        <v>1</v>
      </c>
      <c r="E175" s="190">
        <f t="shared" si="49"/>
        <v>6</v>
      </c>
      <c r="F175" s="191">
        <f t="shared" si="50"/>
        <v>45812</v>
      </c>
      <c r="G175" s="192" t="str">
        <f t="shared" si="51"/>
        <v>Wed</v>
      </c>
      <c r="H175" s="193"/>
      <c r="I175" s="194"/>
      <c r="J175" s="214">
        <v>354790</v>
      </c>
      <c r="K175" s="215"/>
      <c r="L175" s="43">
        <f t="shared" si="52"/>
        <v>279263.07606018841</v>
      </c>
      <c r="M175" s="280">
        <f t="shared" si="46"/>
        <v>75526.92393981159</v>
      </c>
      <c r="N175" s="41">
        <f t="shared" si="8"/>
        <v>1.2704508057611368</v>
      </c>
      <c r="O175" s="56"/>
      <c r="P175" s="43">
        <f>IF(D175=0,0,SUM($L$172:L175))</f>
        <v>603899.86540004727</v>
      </c>
      <c r="Q175" s="43">
        <f>IF(D175=0,0,SUM($J$172:J175))</f>
        <v>777980</v>
      </c>
      <c r="R175" s="282">
        <f t="shared" si="47"/>
        <v>174080.13459995273</v>
      </c>
      <c r="S175" s="198">
        <f t="shared" si="53"/>
        <v>1.2882599327698725</v>
      </c>
      <c r="T175" s="207"/>
      <c r="U175" s="43">
        <f>IF(D175=0,0,SUM($L$21:L175))</f>
        <v>29278025.739525907</v>
      </c>
      <c r="V175" s="43">
        <f>IF(D175=0,0,SUM($J$21:J175))</f>
        <v>30844398.041958045</v>
      </c>
      <c r="W175" s="284">
        <f t="shared" si="48"/>
        <v>1566372.3024321385</v>
      </c>
      <c r="X175" s="200">
        <f t="shared" si="54"/>
        <v>1.0534999291402871</v>
      </c>
      <c r="Y175" s="201">
        <f t="shared" si="59"/>
        <v>45812</v>
      </c>
      <c r="Z175" s="202">
        <f t="shared" si="59"/>
        <v>45812</v>
      </c>
      <c r="AA175" s="18"/>
      <c r="AB175" s="244"/>
      <c r="AC175" s="247"/>
      <c r="AD175" s="142"/>
      <c r="AE175" s="18"/>
      <c r="AF175" s="18"/>
      <c r="AG175" s="203"/>
      <c r="AH175" s="203"/>
      <c r="AI175" s="18"/>
      <c r="AJ175" s="18"/>
      <c r="AK175" s="18"/>
      <c r="AL175" s="18"/>
      <c r="AM175" s="18"/>
      <c r="AN175" s="18"/>
    </row>
    <row r="176" spans="1:40" ht="20">
      <c r="A176" s="18"/>
      <c r="B176" s="151"/>
      <c r="C176" s="55">
        <v>156</v>
      </c>
      <c r="D176" s="54">
        <v>1</v>
      </c>
      <c r="E176" s="190">
        <f t="shared" si="49"/>
        <v>6</v>
      </c>
      <c r="F176" s="191">
        <f t="shared" si="50"/>
        <v>45813</v>
      </c>
      <c r="G176" s="192" t="str">
        <f t="shared" si="51"/>
        <v>Thu</v>
      </c>
      <c r="H176" s="193"/>
      <c r="I176" s="194"/>
      <c r="J176" s="214">
        <v>200350</v>
      </c>
      <c r="K176" s="215"/>
      <c r="L176" s="43">
        <f t="shared" si="52"/>
        <v>253060.16185255177</v>
      </c>
      <c r="M176" s="280">
        <f t="shared" si="46"/>
        <v>-52710.16185255177</v>
      </c>
      <c r="N176" s="41">
        <f t="shared" si="8"/>
        <v>0.79170896965100368</v>
      </c>
      <c r="O176" s="56"/>
      <c r="P176" s="43">
        <f>IF(D176=0,0,SUM($L$172:L176))</f>
        <v>856960.02725259901</v>
      </c>
      <c r="Q176" s="43">
        <f>IF(D176=0,0,SUM($J$172:J176))</f>
        <v>978330</v>
      </c>
      <c r="R176" s="282">
        <f t="shared" si="47"/>
        <v>121369.97274740099</v>
      </c>
      <c r="S176" s="198">
        <f t="shared" si="53"/>
        <v>1.1416285111179705</v>
      </c>
      <c r="T176" s="207"/>
      <c r="U176" s="43">
        <f>IF(D176=0,0,SUM($L$21:L176))</f>
        <v>29531085.90137846</v>
      </c>
      <c r="V176" s="43">
        <f>IF(D176=0,0,SUM($J$21:J176))</f>
        <v>31044748.041958045</v>
      </c>
      <c r="W176" s="284">
        <f t="shared" si="48"/>
        <v>1513662.140579585</v>
      </c>
      <c r="X176" s="200">
        <f t="shared" si="54"/>
        <v>1.0512565689468578</v>
      </c>
      <c r="Y176" s="201">
        <f t="shared" si="59"/>
        <v>45813</v>
      </c>
      <c r="Z176" s="202">
        <f t="shared" si="59"/>
        <v>45813</v>
      </c>
      <c r="AA176" s="18"/>
      <c r="AB176" s="244"/>
      <c r="AC176" s="247"/>
      <c r="AD176" s="142"/>
      <c r="AE176" s="18"/>
      <c r="AF176" s="18"/>
      <c r="AG176" s="203"/>
      <c r="AH176" s="203"/>
      <c r="AI176" s="18"/>
      <c r="AJ176" s="18"/>
      <c r="AK176" s="18"/>
      <c r="AL176" s="18"/>
      <c r="AM176" s="18"/>
      <c r="AN176" s="18"/>
    </row>
    <row r="177" spans="1:40" ht="20">
      <c r="A177" s="18"/>
      <c r="B177" s="151"/>
      <c r="C177" s="55">
        <v>157</v>
      </c>
      <c r="D177" s="54">
        <v>1</v>
      </c>
      <c r="E177" s="190">
        <f t="shared" si="49"/>
        <v>6</v>
      </c>
      <c r="F177" s="191">
        <f t="shared" si="50"/>
        <v>45814</v>
      </c>
      <c r="G177" s="192" t="str">
        <f t="shared" si="51"/>
        <v>Fri</v>
      </c>
      <c r="H177" s="193"/>
      <c r="I177" s="194"/>
      <c r="J177" s="214">
        <v>380170</v>
      </c>
      <c r="K177" s="215"/>
      <c r="L177" s="43">
        <f t="shared" si="52"/>
        <v>292247.95000360126</v>
      </c>
      <c r="M177" s="280">
        <f t="shared" si="46"/>
        <v>87922.049996398739</v>
      </c>
      <c r="N177" s="41">
        <f t="shared" si="8"/>
        <v>1.300847448186772</v>
      </c>
      <c r="O177" s="56"/>
      <c r="P177" s="43">
        <f>IF(D177=0,0,SUM($L$172:L177))</f>
        <v>1149207.9772562003</v>
      </c>
      <c r="Q177" s="43">
        <f>IF(D177=0,0,SUM($J$172:J177))</f>
        <v>1358500</v>
      </c>
      <c r="R177" s="282">
        <f t="shared" si="47"/>
        <v>209292.02274379972</v>
      </c>
      <c r="S177" s="198">
        <f t="shared" si="53"/>
        <v>1.1821184910702556</v>
      </c>
      <c r="T177" s="207"/>
      <c r="U177" s="43">
        <f>IF(D177=0,0,SUM($L$21:L177))</f>
        <v>29823333.851382062</v>
      </c>
      <c r="V177" s="43">
        <f>IF(D177=0,0,SUM($J$21:J177))</f>
        <v>31424918.041958045</v>
      </c>
      <c r="W177" s="284">
        <f t="shared" si="48"/>
        <v>1601584.1905759834</v>
      </c>
      <c r="X177" s="200">
        <f t="shared" si="54"/>
        <v>1.0537023861435855</v>
      </c>
      <c r="Y177" s="201">
        <f t="shared" si="59"/>
        <v>45814</v>
      </c>
      <c r="Z177" s="202">
        <f t="shared" si="59"/>
        <v>45814</v>
      </c>
      <c r="AA177" s="18"/>
      <c r="AB177" s="244"/>
      <c r="AC177" s="247"/>
      <c r="AD177" s="142"/>
      <c r="AE177" s="18"/>
      <c r="AF177" s="18"/>
      <c r="AG177" s="203"/>
      <c r="AH177" s="203"/>
      <c r="AI177" s="18"/>
      <c r="AJ177" s="18"/>
      <c r="AK177" s="18"/>
      <c r="AL177" s="18"/>
      <c r="AM177" s="18"/>
      <c r="AN177" s="18"/>
    </row>
    <row r="178" spans="1:40" ht="20">
      <c r="A178" s="18"/>
      <c r="B178" s="151"/>
      <c r="C178" s="55">
        <v>158</v>
      </c>
      <c r="D178" s="54">
        <v>1</v>
      </c>
      <c r="E178" s="190">
        <f t="shared" si="49"/>
        <v>6</v>
      </c>
      <c r="F178" s="191">
        <f t="shared" si="50"/>
        <v>45815</v>
      </c>
      <c r="G178" s="192" t="str">
        <f t="shared" si="51"/>
        <v>Sat</v>
      </c>
      <c r="H178" s="193"/>
      <c r="I178" s="194"/>
      <c r="J178" s="214">
        <v>96230</v>
      </c>
      <c r="K178" s="215"/>
      <c r="L178" s="43">
        <f t="shared" si="52"/>
        <v>153387.21908259563</v>
      </c>
      <c r="M178" s="280">
        <f t="shared" si="46"/>
        <v>-57157.219082595635</v>
      </c>
      <c r="N178" s="41">
        <f t="shared" si="8"/>
        <v>0.62736648187214517</v>
      </c>
      <c r="O178" s="56"/>
      <c r="P178" s="43">
        <f>IF(D178=0,0,SUM($L$172:L178))</f>
        <v>1302595.1963387958</v>
      </c>
      <c r="Q178" s="43">
        <f>IF(D178=0,0,SUM($J$172:J178))</f>
        <v>1454730</v>
      </c>
      <c r="R178" s="282">
        <f t="shared" si="47"/>
        <v>152134.80366120418</v>
      </c>
      <c r="S178" s="198">
        <f t="shared" si="53"/>
        <v>1.1167936163812131</v>
      </c>
      <c r="T178" s="207"/>
      <c r="U178" s="43">
        <f>IF(D178=0,0,SUM($L$21:L178))</f>
        <v>29976721.070464656</v>
      </c>
      <c r="V178" s="43">
        <f>IF(D178=0,0,SUM($J$21:J178))</f>
        <v>31521148.041958045</v>
      </c>
      <c r="W178" s="284">
        <f t="shared" si="48"/>
        <v>1544426.9714933895</v>
      </c>
      <c r="X178" s="200">
        <f t="shared" si="54"/>
        <v>1.0515208774122757</v>
      </c>
      <c r="Y178" s="201">
        <f t="shared" si="59"/>
        <v>45815</v>
      </c>
      <c r="Z178" s="202">
        <f t="shared" si="59"/>
        <v>45815</v>
      </c>
      <c r="AA178" s="18"/>
      <c r="AB178" s="244"/>
      <c r="AC178" s="247"/>
      <c r="AD178" s="142"/>
      <c r="AE178" s="18"/>
      <c r="AF178" s="18"/>
      <c r="AG178" s="203"/>
      <c r="AH178" s="203"/>
      <c r="AI178" s="18"/>
      <c r="AJ178" s="18"/>
      <c r="AK178" s="18"/>
      <c r="AL178" s="18"/>
      <c r="AM178" s="18"/>
      <c r="AN178" s="18"/>
    </row>
    <row r="179" spans="1:40" ht="20">
      <c r="A179" s="18"/>
      <c r="B179" s="151"/>
      <c r="C179" s="55">
        <v>159</v>
      </c>
      <c r="D179" s="54">
        <v>0</v>
      </c>
      <c r="E179" s="190">
        <f t="shared" si="49"/>
        <v>6</v>
      </c>
      <c r="F179" s="191">
        <f t="shared" si="50"/>
        <v>45816</v>
      </c>
      <c r="G179" s="192" t="str">
        <f t="shared" si="51"/>
        <v>Sun</v>
      </c>
      <c r="H179" s="193"/>
      <c r="I179" s="194"/>
      <c r="J179" s="214"/>
      <c r="K179" s="215"/>
      <c r="L179" s="43">
        <f t="shared" si="52"/>
        <v>0</v>
      </c>
      <c r="M179" s="280">
        <f t="shared" si="46"/>
        <v>0</v>
      </c>
      <c r="N179" s="41" t="str">
        <f t="shared" si="8"/>
        <v>¥0</v>
      </c>
      <c r="O179" s="44"/>
      <c r="P179" s="43">
        <f>IF(D179=0,0,SUM($L$172:L179))</f>
        <v>0</v>
      </c>
      <c r="Q179" s="43">
        <f>IF(D179=0,0,SUM($J$172:J179))</f>
        <v>0</v>
      </c>
      <c r="R179" s="282">
        <f t="shared" si="47"/>
        <v>0</v>
      </c>
      <c r="S179" s="198">
        <f t="shared" si="53"/>
        <v>0</v>
      </c>
      <c r="T179" s="212"/>
      <c r="U179" s="43">
        <f>IF(D179=0,0,SUM($L$21:L179))</f>
        <v>0</v>
      </c>
      <c r="V179" s="43">
        <f>IF(D179=0,0,SUM($J$21:J179))</f>
        <v>0</v>
      </c>
      <c r="W179" s="284">
        <f t="shared" si="48"/>
        <v>0</v>
      </c>
      <c r="X179" s="200">
        <f t="shared" si="54"/>
        <v>0</v>
      </c>
      <c r="Y179" s="201">
        <f t="shared" si="59"/>
        <v>45816</v>
      </c>
      <c r="Z179" s="202">
        <f t="shared" si="59"/>
        <v>45816</v>
      </c>
      <c r="AA179" s="18"/>
      <c r="AB179" s="244"/>
      <c r="AC179" s="247"/>
      <c r="AD179" s="142"/>
      <c r="AE179" s="18"/>
      <c r="AF179" s="18"/>
      <c r="AG179" s="203"/>
      <c r="AH179" s="203"/>
      <c r="AI179" s="18"/>
      <c r="AJ179" s="18"/>
      <c r="AK179" s="18"/>
      <c r="AL179" s="18"/>
      <c r="AM179" s="18"/>
      <c r="AN179" s="18"/>
    </row>
    <row r="180" spans="1:40" ht="20">
      <c r="A180" s="18"/>
      <c r="B180" s="151"/>
      <c r="C180" s="55">
        <v>160</v>
      </c>
      <c r="D180" s="54">
        <v>1</v>
      </c>
      <c r="E180" s="190">
        <f t="shared" si="49"/>
        <v>6</v>
      </c>
      <c r="F180" s="191">
        <f t="shared" si="50"/>
        <v>45817</v>
      </c>
      <c r="G180" s="192" t="str">
        <f t="shared" si="51"/>
        <v>Mon</v>
      </c>
      <c r="H180" s="193"/>
      <c r="I180" s="194"/>
      <c r="J180" s="214">
        <v>297970</v>
      </c>
      <c r="K180" s="215"/>
      <c r="L180" s="43">
        <f t="shared" si="52"/>
        <v>139269.56429516539</v>
      </c>
      <c r="M180" s="280">
        <f t="shared" si="46"/>
        <v>158700.43570483461</v>
      </c>
      <c r="N180" s="41">
        <f t="shared" si="8"/>
        <v>2.1395198693124922</v>
      </c>
      <c r="O180" s="56"/>
      <c r="P180" s="43">
        <f>IF(D180=0,0,SUM($L$172:L180))</f>
        <v>1441864.7606339613</v>
      </c>
      <c r="Q180" s="43">
        <f>IF(D180=0,0,SUM($J$172:J180))</f>
        <v>1752700</v>
      </c>
      <c r="R180" s="282">
        <f t="shared" si="47"/>
        <v>310835.2393660387</v>
      </c>
      <c r="S180" s="198">
        <f t="shared" si="53"/>
        <v>1.2155786366741983</v>
      </c>
      <c r="T180" s="207"/>
      <c r="U180" s="43">
        <f>IF(D180=0,0,SUM($L$21:L180))</f>
        <v>30115990.634759821</v>
      </c>
      <c r="V180" s="43">
        <f>IF(D180=0,0,SUM($J$21:J180))</f>
        <v>31819118.041958045</v>
      </c>
      <c r="W180" s="284">
        <f t="shared" si="48"/>
        <v>1703127.4071982242</v>
      </c>
      <c r="X180" s="200">
        <f t="shared" si="54"/>
        <v>1.0565522624792052</v>
      </c>
      <c r="Y180" s="201">
        <f t="shared" si="59"/>
        <v>45817</v>
      </c>
      <c r="Z180" s="202">
        <f t="shared" si="59"/>
        <v>45817</v>
      </c>
      <c r="AA180" s="18"/>
      <c r="AB180" s="244"/>
      <c r="AC180" s="247"/>
      <c r="AD180" s="142"/>
      <c r="AE180" s="18"/>
      <c r="AF180" s="18"/>
      <c r="AG180" s="203"/>
      <c r="AH180" s="203"/>
      <c r="AI180" s="18"/>
      <c r="AJ180" s="18"/>
      <c r="AK180" s="18"/>
      <c r="AL180" s="18"/>
      <c r="AM180" s="18"/>
      <c r="AN180" s="18"/>
    </row>
    <row r="181" spans="1:40" ht="20">
      <c r="A181" s="18"/>
      <c r="B181" s="151"/>
      <c r="C181" s="55">
        <v>161</v>
      </c>
      <c r="D181" s="54">
        <v>1</v>
      </c>
      <c r="E181" s="190">
        <f t="shared" si="49"/>
        <v>6</v>
      </c>
      <c r="F181" s="191">
        <f t="shared" si="50"/>
        <v>45818</v>
      </c>
      <c r="G181" s="192" t="str">
        <f t="shared" si="51"/>
        <v>Tue</v>
      </c>
      <c r="H181" s="193"/>
      <c r="I181" s="194"/>
      <c r="J181" s="214">
        <v>265260</v>
      </c>
      <c r="K181" s="215"/>
      <c r="L181" s="43">
        <f t="shared" si="52"/>
        <v>185367.22504469351</v>
      </c>
      <c r="M181" s="280">
        <f t="shared" si="46"/>
        <v>79892.774955306493</v>
      </c>
      <c r="N181" s="41">
        <f t="shared" si="8"/>
        <v>1.4309973078360736</v>
      </c>
      <c r="O181" s="56"/>
      <c r="P181" s="43">
        <f>IF(D181=0,0,SUM($L$172:L181))</f>
        <v>1627231.9856786549</v>
      </c>
      <c r="Q181" s="43">
        <f>IF(D181=0,0,SUM($J$172:J181))</f>
        <v>2017960</v>
      </c>
      <c r="R181" s="282">
        <f t="shared" si="47"/>
        <v>390728.01432134514</v>
      </c>
      <c r="S181" s="198">
        <f t="shared" si="53"/>
        <v>1.240118199347211</v>
      </c>
      <c r="T181" s="207"/>
      <c r="U181" s="43">
        <f>IF(D181=0,0,SUM($L$21:L181))</f>
        <v>30301357.859804515</v>
      </c>
      <c r="V181" s="43">
        <f>IF(D181=0,0,SUM($J$21:J181))</f>
        <v>32084378.041958045</v>
      </c>
      <c r="W181" s="284">
        <f t="shared" si="48"/>
        <v>1783020.1821535304</v>
      </c>
      <c r="X181" s="200">
        <f t="shared" si="54"/>
        <v>1.0588429135883297</v>
      </c>
      <c r="Y181" s="201">
        <f t="shared" si="59"/>
        <v>45818</v>
      </c>
      <c r="Z181" s="202">
        <f t="shared" si="59"/>
        <v>45818</v>
      </c>
      <c r="AA181" s="18"/>
      <c r="AB181" s="244"/>
      <c r="AC181" s="247"/>
      <c r="AD181" s="142"/>
      <c r="AE181" s="18"/>
      <c r="AF181" s="18"/>
      <c r="AG181" s="203"/>
      <c r="AH181" s="203"/>
      <c r="AI181" s="18"/>
      <c r="AJ181" s="18"/>
      <c r="AK181" s="18"/>
      <c r="AL181" s="18"/>
      <c r="AM181" s="18"/>
      <c r="AN181" s="18"/>
    </row>
    <row r="182" spans="1:40" ht="20">
      <c r="A182" s="18"/>
      <c r="B182" s="151"/>
      <c r="C182" s="55">
        <v>162</v>
      </c>
      <c r="D182" s="54">
        <v>1</v>
      </c>
      <c r="E182" s="190">
        <f t="shared" si="49"/>
        <v>6</v>
      </c>
      <c r="F182" s="191">
        <f t="shared" si="50"/>
        <v>45819</v>
      </c>
      <c r="G182" s="192" t="str">
        <f t="shared" si="51"/>
        <v>Wed</v>
      </c>
      <c r="H182" s="193"/>
      <c r="I182" s="194"/>
      <c r="J182" s="214">
        <v>295230</v>
      </c>
      <c r="K182" s="215"/>
      <c r="L182" s="43">
        <f t="shared" si="52"/>
        <v>279263.07606018841</v>
      </c>
      <c r="M182" s="280">
        <f t="shared" si="46"/>
        <v>15966.92393981159</v>
      </c>
      <c r="N182" s="41">
        <f t="shared" si="8"/>
        <v>1.0571752061356308</v>
      </c>
      <c r="O182" s="56"/>
      <c r="P182" s="43">
        <f>IF(D182=0,0,SUM($L$172:L182))</f>
        <v>1906495.0617388433</v>
      </c>
      <c r="Q182" s="43">
        <f>IF(D182=0,0,SUM($J$172:J182))</f>
        <v>2313190</v>
      </c>
      <c r="R182" s="282">
        <f t="shared" si="47"/>
        <v>406694.93826115667</v>
      </c>
      <c r="S182" s="198">
        <f t="shared" si="53"/>
        <v>1.2133207404640352</v>
      </c>
      <c r="T182" s="207"/>
      <c r="U182" s="43">
        <f>IF(D182=0,0,SUM($L$21:L182))</f>
        <v>30580620.935864702</v>
      </c>
      <c r="V182" s="43">
        <f>IF(D182=0,0,SUM($J$21:J182))</f>
        <v>32379608.041958045</v>
      </c>
      <c r="W182" s="284">
        <f t="shared" si="48"/>
        <v>1798987.1060933433</v>
      </c>
      <c r="X182" s="200">
        <f t="shared" si="54"/>
        <v>1.0588276840377531</v>
      </c>
      <c r="Y182" s="201">
        <f t="shared" si="59"/>
        <v>45819</v>
      </c>
      <c r="Z182" s="202">
        <f t="shared" si="59"/>
        <v>45819</v>
      </c>
      <c r="AA182" s="18"/>
      <c r="AB182" s="244"/>
      <c r="AC182" s="247"/>
      <c r="AD182" s="142"/>
      <c r="AE182" s="18"/>
      <c r="AF182" s="18"/>
      <c r="AG182" s="203"/>
      <c r="AH182" s="203"/>
      <c r="AI182" s="18"/>
      <c r="AJ182" s="18"/>
      <c r="AK182" s="18"/>
      <c r="AL182" s="18"/>
      <c r="AM182" s="18"/>
      <c r="AN182" s="18"/>
    </row>
    <row r="183" spans="1:40" ht="20">
      <c r="A183" s="18"/>
      <c r="B183" s="151"/>
      <c r="C183" s="55">
        <v>163</v>
      </c>
      <c r="D183" s="54">
        <v>1</v>
      </c>
      <c r="E183" s="190">
        <f t="shared" si="49"/>
        <v>6</v>
      </c>
      <c r="F183" s="191">
        <f t="shared" si="50"/>
        <v>45820</v>
      </c>
      <c r="G183" s="192" t="str">
        <f t="shared" si="51"/>
        <v>Thu</v>
      </c>
      <c r="H183" s="193"/>
      <c r="I183" s="194"/>
      <c r="J183" s="214">
        <v>167200</v>
      </c>
      <c r="K183" s="215"/>
      <c r="L183" s="43">
        <f t="shared" si="52"/>
        <v>253060.16185255177</v>
      </c>
      <c r="M183" s="280">
        <f t="shared" si="46"/>
        <v>-85860.16185255177</v>
      </c>
      <c r="N183" s="41">
        <f t="shared" si="8"/>
        <v>0.66071245183752347</v>
      </c>
      <c r="O183" s="56"/>
      <c r="P183" s="43">
        <f>IF(D183=0,0,SUM($L$172:L183))</f>
        <v>2159555.2235913952</v>
      </c>
      <c r="Q183" s="43">
        <f>IF(D183=0,0,SUM($J$172:J183))</f>
        <v>2480390</v>
      </c>
      <c r="R183" s="282">
        <f t="shared" si="47"/>
        <v>320834.77640860481</v>
      </c>
      <c r="S183" s="198">
        <f t="shared" si="53"/>
        <v>1.1485652105136022</v>
      </c>
      <c r="T183" s="207"/>
      <c r="U183" s="43">
        <f>IF(D183=0,0,SUM($L$21:L183))</f>
        <v>30833681.097717255</v>
      </c>
      <c r="V183" s="43">
        <f>IF(D183=0,0,SUM($J$21:J183))</f>
        <v>32546808.041958045</v>
      </c>
      <c r="W183" s="284">
        <f t="shared" si="48"/>
        <v>1713126.9442407899</v>
      </c>
      <c r="X183" s="200">
        <f t="shared" si="54"/>
        <v>1.0555602472118588</v>
      </c>
      <c r="Y183" s="201">
        <f t="shared" ref="Y183:Z198" si="60">Y182+1</f>
        <v>45820</v>
      </c>
      <c r="Z183" s="202">
        <f t="shared" si="60"/>
        <v>45820</v>
      </c>
      <c r="AA183" s="18"/>
      <c r="AB183" s="244"/>
      <c r="AC183" s="247"/>
      <c r="AD183" s="142"/>
      <c r="AE183" s="18"/>
      <c r="AF183" s="18"/>
      <c r="AG183" s="203"/>
      <c r="AH183" s="203"/>
      <c r="AI183" s="18"/>
      <c r="AJ183" s="18"/>
      <c r="AK183" s="18"/>
      <c r="AL183" s="18"/>
      <c r="AM183" s="18"/>
      <c r="AN183" s="18"/>
    </row>
    <row r="184" spans="1:40" ht="20">
      <c r="A184" s="18"/>
      <c r="B184" s="151"/>
      <c r="C184" s="55">
        <v>164</v>
      </c>
      <c r="D184" s="54">
        <v>1</v>
      </c>
      <c r="E184" s="190">
        <f t="shared" si="49"/>
        <v>6</v>
      </c>
      <c r="F184" s="191">
        <f t="shared" si="50"/>
        <v>45821</v>
      </c>
      <c r="G184" s="192" t="str">
        <f t="shared" si="51"/>
        <v>Fri</v>
      </c>
      <c r="H184" s="193"/>
      <c r="I184" s="194"/>
      <c r="J184" s="214">
        <v>284950</v>
      </c>
      <c r="K184" s="215"/>
      <c r="L184" s="43">
        <f t="shared" si="52"/>
        <v>292247.95000360126</v>
      </c>
      <c r="M184" s="280">
        <f t="shared" si="46"/>
        <v>-7297.9500036012614</v>
      </c>
      <c r="N184" s="41">
        <f t="shared" si="8"/>
        <v>0.97502822516458598</v>
      </c>
      <c r="O184" s="56"/>
      <c r="P184" s="43">
        <f>IF(D184=0,0,SUM($L$172:L184))</f>
        <v>2451803.1735949963</v>
      </c>
      <c r="Q184" s="43">
        <f>IF(D184=0,0,SUM($J$172:J184))</f>
        <v>2765340</v>
      </c>
      <c r="R184" s="282">
        <f t="shared" si="47"/>
        <v>313536.82640500367</v>
      </c>
      <c r="S184" s="198">
        <f t="shared" si="53"/>
        <v>1.1278800964864055</v>
      </c>
      <c r="T184" s="207"/>
      <c r="U184" s="43">
        <f>IF(D184=0,0,SUM($L$21:L184))</f>
        <v>31125929.047720857</v>
      </c>
      <c r="V184" s="43">
        <f>IF(D184=0,0,SUM($J$21:J184))</f>
        <v>32831758.041958045</v>
      </c>
      <c r="W184" s="284">
        <f t="shared" si="48"/>
        <v>1705828.9942371882</v>
      </c>
      <c r="X184" s="200">
        <f t="shared" si="54"/>
        <v>1.0548041149750707</v>
      </c>
      <c r="Y184" s="201">
        <f t="shared" si="60"/>
        <v>45821</v>
      </c>
      <c r="Z184" s="202">
        <f t="shared" si="60"/>
        <v>45821</v>
      </c>
      <c r="AA184" s="18"/>
      <c r="AB184" s="244"/>
      <c r="AC184" s="247"/>
      <c r="AD184" s="142"/>
      <c r="AE184" s="18"/>
      <c r="AF184" s="18"/>
      <c r="AG184" s="203"/>
      <c r="AH184" s="203"/>
      <c r="AI184" s="18"/>
      <c r="AJ184" s="18"/>
      <c r="AK184" s="18"/>
      <c r="AL184" s="18"/>
      <c r="AM184" s="18"/>
      <c r="AN184" s="18"/>
    </row>
    <row r="185" spans="1:40" ht="20">
      <c r="A185" s="18"/>
      <c r="B185" s="151"/>
      <c r="C185" s="55">
        <v>165</v>
      </c>
      <c r="D185" s="54">
        <v>1</v>
      </c>
      <c r="E185" s="190">
        <f t="shared" si="49"/>
        <v>6</v>
      </c>
      <c r="F185" s="191">
        <f t="shared" si="50"/>
        <v>45822</v>
      </c>
      <c r="G185" s="192" t="str">
        <f t="shared" si="51"/>
        <v>Sat</v>
      </c>
      <c r="H185" s="193"/>
      <c r="I185" s="194"/>
      <c r="J185" s="214">
        <v>61200</v>
      </c>
      <c r="K185" s="215"/>
      <c r="L185" s="43">
        <f t="shared" si="52"/>
        <v>153387.21908259563</v>
      </c>
      <c r="M185" s="280">
        <f t="shared" si="46"/>
        <v>-92187.219082595635</v>
      </c>
      <c r="N185" s="41">
        <f t="shared" si="8"/>
        <v>0.39899021812922464</v>
      </c>
      <c r="O185" s="56"/>
      <c r="P185" s="43">
        <f>IF(D185=0,0,SUM($L$172:L185))</f>
        <v>2605190.3926775921</v>
      </c>
      <c r="Q185" s="43">
        <f>IF(D185=0,0,SUM($J$172:J185))</f>
        <v>2826540</v>
      </c>
      <c r="R185" s="282">
        <f t="shared" si="47"/>
        <v>221349.60732240789</v>
      </c>
      <c r="S185" s="198">
        <f t="shared" si="53"/>
        <v>1.0849648486131973</v>
      </c>
      <c r="T185" s="207"/>
      <c r="U185" s="43">
        <f>IF(D185=0,0,SUM($L$21:L185))</f>
        <v>31279316.266803451</v>
      </c>
      <c r="V185" s="43">
        <f>IF(D185=0,0,SUM($J$21:J185))</f>
        <v>32892958.041958045</v>
      </c>
      <c r="W185" s="284">
        <f t="shared" si="48"/>
        <v>1613641.7751545943</v>
      </c>
      <c r="X185" s="200">
        <f t="shared" si="54"/>
        <v>1.0515881409104566</v>
      </c>
      <c r="Y185" s="201">
        <f t="shared" si="60"/>
        <v>45822</v>
      </c>
      <c r="Z185" s="202">
        <f t="shared" si="60"/>
        <v>45822</v>
      </c>
      <c r="AA185" s="18"/>
      <c r="AB185" s="244"/>
      <c r="AC185" s="247"/>
      <c r="AD185" s="142"/>
      <c r="AE185" s="18"/>
      <c r="AF185" s="18"/>
      <c r="AG185" s="203"/>
      <c r="AH185" s="203"/>
      <c r="AI185" s="18"/>
      <c r="AJ185" s="18"/>
      <c r="AK185" s="18"/>
      <c r="AL185" s="18"/>
      <c r="AM185" s="18"/>
      <c r="AN185" s="18"/>
    </row>
    <row r="186" spans="1:40" ht="20">
      <c r="A186" s="18"/>
      <c r="B186" s="151"/>
      <c r="C186" s="55">
        <v>166</v>
      </c>
      <c r="D186" s="54">
        <v>0</v>
      </c>
      <c r="E186" s="190">
        <f t="shared" si="49"/>
        <v>6</v>
      </c>
      <c r="F186" s="191">
        <f t="shared" si="50"/>
        <v>45823</v>
      </c>
      <c r="G186" s="192" t="str">
        <f t="shared" si="51"/>
        <v>Sun</v>
      </c>
      <c r="H186" s="193"/>
      <c r="I186" s="194"/>
      <c r="J186" s="214"/>
      <c r="K186" s="215"/>
      <c r="L186" s="43">
        <f t="shared" si="52"/>
        <v>0</v>
      </c>
      <c r="M186" s="280">
        <f t="shared" si="46"/>
        <v>0</v>
      </c>
      <c r="N186" s="41" t="str">
        <f t="shared" si="8"/>
        <v>¥0</v>
      </c>
      <c r="O186" s="44"/>
      <c r="P186" s="43">
        <f>IF(D186=0,0,SUM($L$172:L186))</f>
        <v>0</v>
      </c>
      <c r="Q186" s="43">
        <f>IF(D186=0,0,SUM($J$172:J186))</f>
        <v>0</v>
      </c>
      <c r="R186" s="282">
        <f t="shared" si="47"/>
        <v>0</v>
      </c>
      <c r="S186" s="198">
        <f t="shared" si="53"/>
        <v>0</v>
      </c>
      <c r="T186" s="212"/>
      <c r="U186" s="43">
        <f>IF(D186=0,0,SUM($L$21:L186))</f>
        <v>0</v>
      </c>
      <c r="V186" s="43">
        <f>IF(D186=0,0,SUM($J$21:J186))</f>
        <v>0</v>
      </c>
      <c r="W186" s="284">
        <f t="shared" si="48"/>
        <v>0</v>
      </c>
      <c r="X186" s="200">
        <f t="shared" si="54"/>
        <v>0</v>
      </c>
      <c r="Y186" s="201">
        <f t="shared" si="60"/>
        <v>45823</v>
      </c>
      <c r="Z186" s="202">
        <f t="shared" si="60"/>
        <v>45823</v>
      </c>
      <c r="AA186" s="18"/>
      <c r="AB186" s="244"/>
      <c r="AC186" s="247"/>
      <c r="AD186" s="142"/>
      <c r="AE186" s="18"/>
      <c r="AF186" s="18"/>
      <c r="AG186" s="203"/>
      <c r="AH186" s="203"/>
      <c r="AI186" s="18"/>
      <c r="AJ186" s="18"/>
      <c r="AK186" s="18"/>
      <c r="AL186" s="18"/>
      <c r="AM186" s="18"/>
      <c r="AN186" s="18"/>
    </row>
    <row r="187" spans="1:40" ht="20">
      <c r="A187" s="18"/>
      <c r="B187" s="151"/>
      <c r="C187" s="55">
        <v>167</v>
      </c>
      <c r="D187" s="54">
        <v>1</v>
      </c>
      <c r="E187" s="190">
        <f t="shared" si="49"/>
        <v>6</v>
      </c>
      <c r="F187" s="191">
        <f t="shared" si="50"/>
        <v>45824</v>
      </c>
      <c r="G187" s="192" t="str">
        <f t="shared" si="51"/>
        <v>Mon</v>
      </c>
      <c r="H187" s="193"/>
      <c r="I187" s="194"/>
      <c r="J187" s="214">
        <v>351410</v>
      </c>
      <c r="K187" s="215"/>
      <c r="L187" s="43">
        <f t="shared" si="52"/>
        <v>139269.56429516539</v>
      </c>
      <c r="M187" s="280">
        <f t="shared" si="46"/>
        <v>212140.43570483461</v>
      </c>
      <c r="N187" s="41">
        <f t="shared" si="8"/>
        <v>2.5232361555696983</v>
      </c>
      <c r="O187" s="56"/>
      <c r="P187" s="43">
        <f>IF(D187=0,0,SUM($L$172:L187))</f>
        <v>2744459.9569727574</v>
      </c>
      <c r="Q187" s="43">
        <f>IF(D187=0,0,SUM($J$172:J187))</f>
        <v>3177950</v>
      </c>
      <c r="R187" s="282">
        <f t="shared" si="47"/>
        <v>433490.04302724265</v>
      </c>
      <c r="S187" s="198">
        <f t="shared" si="53"/>
        <v>1.157950944748124</v>
      </c>
      <c r="T187" s="207"/>
      <c r="U187" s="43">
        <f>IF(D187=0,0,SUM($L$21:L187))</f>
        <v>31418585.831098616</v>
      </c>
      <c r="V187" s="43">
        <f>IF(D187=0,0,SUM($J$21:J187))</f>
        <v>33244368.041958045</v>
      </c>
      <c r="W187" s="284">
        <f t="shared" si="48"/>
        <v>1825782.2108594291</v>
      </c>
      <c r="X187" s="200">
        <f t="shared" si="54"/>
        <v>1.0581115337486717</v>
      </c>
      <c r="Y187" s="201">
        <f t="shared" si="60"/>
        <v>45824</v>
      </c>
      <c r="Z187" s="202">
        <f t="shared" si="60"/>
        <v>45824</v>
      </c>
      <c r="AA187" s="18"/>
      <c r="AB187" s="244"/>
      <c r="AC187" s="247"/>
      <c r="AD187" s="142"/>
      <c r="AE187" s="18"/>
      <c r="AF187" s="18"/>
      <c r="AG187" s="203"/>
      <c r="AH187" s="203"/>
      <c r="AI187" s="18"/>
      <c r="AJ187" s="18"/>
      <c r="AK187" s="18"/>
      <c r="AL187" s="18"/>
      <c r="AM187" s="18"/>
      <c r="AN187" s="18"/>
    </row>
    <row r="188" spans="1:40" ht="20">
      <c r="A188" s="18"/>
      <c r="B188" s="151"/>
      <c r="C188" s="55">
        <v>168</v>
      </c>
      <c r="D188" s="54">
        <v>1</v>
      </c>
      <c r="E188" s="190">
        <f t="shared" si="49"/>
        <v>6</v>
      </c>
      <c r="F188" s="191">
        <f t="shared" si="50"/>
        <v>45825</v>
      </c>
      <c r="G188" s="192" t="str">
        <f t="shared" si="51"/>
        <v>Tue</v>
      </c>
      <c r="H188" s="193"/>
      <c r="I188" s="194"/>
      <c r="J188" s="214">
        <v>220490</v>
      </c>
      <c r="K188" s="215"/>
      <c r="L188" s="43">
        <f t="shared" si="52"/>
        <v>185367.22504469351</v>
      </c>
      <c r="M188" s="280">
        <f t="shared" si="46"/>
        <v>35122.774955306493</v>
      </c>
      <c r="N188" s="41">
        <f t="shared" si="8"/>
        <v>1.1894767262488724</v>
      </c>
      <c r="O188" s="56"/>
      <c r="P188" s="43">
        <f>IF(D188=0,0,SUM($L$172:L188))</f>
        <v>2929827.1820174507</v>
      </c>
      <c r="Q188" s="43">
        <f>IF(D188=0,0,SUM($J$172:J188))</f>
        <v>3398440</v>
      </c>
      <c r="R188" s="282">
        <f t="shared" si="47"/>
        <v>468612.81798254931</v>
      </c>
      <c r="S188" s="198">
        <f t="shared" si="53"/>
        <v>1.159945549300238</v>
      </c>
      <c r="T188" s="207"/>
      <c r="U188" s="43">
        <f>IF(D188=0,0,SUM($L$21:L188))</f>
        <v>31603953.05614331</v>
      </c>
      <c r="V188" s="43">
        <f>IF(D188=0,0,SUM($J$21:J188))</f>
        <v>33464858.041958045</v>
      </c>
      <c r="W188" s="284">
        <f t="shared" si="48"/>
        <v>1860904.9858147353</v>
      </c>
      <c r="X188" s="200">
        <f t="shared" si="54"/>
        <v>1.0588820323365531</v>
      </c>
      <c r="Y188" s="201">
        <f t="shared" si="60"/>
        <v>45825</v>
      </c>
      <c r="Z188" s="202">
        <f t="shared" si="60"/>
        <v>45825</v>
      </c>
      <c r="AA188" s="18"/>
      <c r="AB188" s="244"/>
      <c r="AC188" s="247"/>
      <c r="AD188" s="142"/>
      <c r="AE188" s="18"/>
      <c r="AF188" s="18"/>
      <c r="AG188" s="203"/>
      <c r="AH188" s="203"/>
      <c r="AI188" s="18"/>
      <c r="AJ188" s="18"/>
      <c r="AK188" s="18"/>
      <c r="AL188" s="18"/>
      <c r="AM188" s="18"/>
      <c r="AN188" s="18"/>
    </row>
    <row r="189" spans="1:40" ht="20">
      <c r="A189" s="18"/>
      <c r="B189" s="151"/>
      <c r="C189" s="55">
        <v>169</v>
      </c>
      <c r="D189" s="54">
        <v>1</v>
      </c>
      <c r="E189" s="190">
        <f t="shared" si="49"/>
        <v>6</v>
      </c>
      <c r="F189" s="191">
        <f t="shared" si="50"/>
        <v>45826</v>
      </c>
      <c r="G189" s="192" t="str">
        <f t="shared" si="51"/>
        <v>Wed</v>
      </c>
      <c r="H189" s="193"/>
      <c r="I189" s="194"/>
      <c r="J189" s="214">
        <v>244790</v>
      </c>
      <c r="K189" s="215"/>
      <c r="L189" s="43">
        <f t="shared" si="52"/>
        <v>279263.07606018841</v>
      </c>
      <c r="M189" s="280">
        <f t="shared" si="46"/>
        <v>-34473.07606018841</v>
      </c>
      <c r="N189" s="41">
        <f t="shared" si="8"/>
        <v>0.87655698509616586</v>
      </c>
      <c r="O189" s="56"/>
      <c r="P189" s="43">
        <f>IF(D189=0,0,SUM($L$172:L189))</f>
        <v>3209090.2580776392</v>
      </c>
      <c r="Q189" s="43">
        <f>IF(D189=0,0,SUM($J$172:J189))</f>
        <v>3643230</v>
      </c>
      <c r="R189" s="282">
        <f t="shared" si="47"/>
        <v>434139.74192236084</v>
      </c>
      <c r="S189" s="198">
        <f t="shared" si="53"/>
        <v>1.135284366287169</v>
      </c>
      <c r="T189" s="207"/>
      <c r="U189" s="43">
        <f>IF(D189=0,0,SUM($L$21:L189))</f>
        <v>31883216.132203497</v>
      </c>
      <c r="V189" s="43">
        <f>IF(D189=0,0,SUM($J$21:J189))</f>
        <v>33709648.041958049</v>
      </c>
      <c r="W189" s="284">
        <f t="shared" si="48"/>
        <v>1826431.9097545519</v>
      </c>
      <c r="X189" s="200">
        <f t="shared" si="54"/>
        <v>1.0572850587651279</v>
      </c>
      <c r="Y189" s="201">
        <f t="shared" si="60"/>
        <v>45826</v>
      </c>
      <c r="Z189" s="202">
        <f t="shared" si="60"/>
        <v>45826</v>
      </c>
      <c r="AA189" s="18"/>
      <c r="AB189" s="244"/>
      <c r="AC189" s="247"/>
      <c r="AD189" s="142"/>
      <c r="AE189" s="18"/>
      <c r="AF189" s="18"/>
      <c r="AG189" s="203"/>
      <c r="AH189" s="203"/>
      <c r="AI189" s="18"/>
      <c r="AJ189" s="18"/>
      <c r="AK189" s="18"/>
      <c r="AL189" s="18"/>
      <c r="AM189" s="18"/>
      <c r="AN189" s="18"/>
    </row>
    <row r="190" spans="1:40" ht="20">
      <c r="A190" s="18"/>
      <c r="B190" s="151"/>
      <c r="C190" s="55">
        <v>170</v>
      </c>
      <c r="D190" s="54">
        <v>1</v>
      </c>
      <c r="E190" s="190">
        <f t="shared" si="49"/>
        <v>6</v>
      </c>
      <c r="F190" s="191">
        <f t="shared" si="50"/>
        <v>45827</v>
      </c>
      <c r="G190" s="192" t="str">
        <f t="shared" si="51"/>
        <v>Thu</v>
      </c>
      <c r="H190" s="193"/>
      <c r="I190" s="194"/>
      <c r="J190" s="214">
        <v>242730</v>
      </c>
      <c r="K190" s="215"/>
      <c r="L190" s="43">
        <f t="shared" si="52"/>
        <v>253060.16185255177</v>
      </c>
      <c r="M190" s="280">
        <f t="shared" si="46"/>
        <v>-10330.16185255177</v>
      </c>
      <c r="N190" s="41">
        <f t="shared" si="8"/>
        <v>0.95917902771843344</v>
      </c>
      <c r="O190" s="56"/>
      <c r="P190" s="43">
        <f>IF(D190=0,0,SUM($L$172:L190))</f>
        <v>3462150.4199301908</v>
      </c>
      <c r="Q190" s="43">
        <f>IF(D190=0,0,SUM($J$172:J190))</f>
        <v>3885960</v>
      </c>
      <c r="R190" s="282">
        <f t="shared" si="47"/>
        <v>423809.58006980922</v>
      </c>
      <c r="S190" s="198">
        <f t="shared" si="53"/>
        <v>1.1224122376746284</v>
      </c>
      <c r="T190" s="207"/>
      <c r="U190" s="43">
        <f>IF(D190=0,0,SUM($L$21:L190))</f>
        <v>32136276.29405605</v>
      </c>
      <c r="V190" s="43">
        <f>IF(D190=0,0,SUM($J$21:J190))</f>
        <v>33952378.041958049</v>
      </c>
      <c r="W190" s="284">
        <f t="shared" si="48"/>
        <v>1816101.7479019985</v>
      </c>
      <c r="X190" s="200">
        <f t="shared" si="54"/>
        <v>1.0565125134998266</v>
      </c>
      <c r="Y190" s="201">
        <f t="shared" si="60"/>
        <v>45827</v>
      </c>
      <c r="Z190" s="202">
        <f t="shared" si="60"/>
        <v>45827</v>
      </c>
      <c r="AA190" s="18"/>
      <c r="AB190" s="244"/>
      <c r="AC190" s="247"/>
      <c r="AD190" s="142"/>
      <c r="AE190" s="18"/>
      <c r="AF190" s="18"/>
      <c r="AG190" s="203"/>
      <c r="AH190" s="203"/>
      <c r="AI190" s="18"/>
      <c r="AJ190" s="18"/>
      <c r="AK190" s="18"/>
      <c r="AL190" s="18"/>
      <c r="AM190" s="18"/>
      <c r="AN190" s="18"/>
    </row>
    <row r="191" spans="1:40" ht="20">
      <c r="A191" s="18"/>
      <c r="B191" s="151"/>
      <c r="C191" s="55">
        <v>171</v>
      </c>
      <c r="D191" s="54">
        <v>1</v>
      </c>
      <c r="E191" s="190">
        <f t="shared" si="49"/>
        <v>6</v>
      </c>
      <c r="F191" s="191">
        <f t="shared" si="50"/>
        <v>45828</v>
      </c>
      <c r="G191" s="192" t="str">
        <f t="shared" si="51"/>
        <v>Fri</v>
      </c>
      <c r="H191" s="193"/>
      <c r="I191" s="194"/>
      <c r="J191" s="214">
        <v>336680</v>
      </c>
      <c r="K191" s="215"/>
      <c r="L191" s="43">
        <f t="shared" si="52"/>
        <v>292247.95000360126</v>
      </c>
      <c r="M191" s="280">
        <f t="shared" si="46"/>
        <v>44432.049996398739</v>
      </c>
      <c r="N191" s="41">
        <f t="shared" si="8"/>
        <v>1.1520354548110645</v>
      </c>
      <c r="O191" s="56"/>
      <c r="P191" s="43">
        <f>IF(D191=0,0,SUM($L$172:L191))</f>
        <v>3754398.3699337919</v>
      </c>
      <c r="Q191" s="43">
        <f>IF(D191=0,0,SUM($J$172:J191))</f>
        <v>4222640</v>
      </c>
      <c r="R191" s="282">
        <f t="shared" si="47"/>
        <v>468241.63006620808</v>
      </c>
      <c r="S191" s="198">
        <f t="shared" si="53"/>
        <v>1.124718152931242</v>
      </c>
      <c r="T191" s="207"/>
      <c r="U191" s="43">
        <f>IF(D191=0,0,SUM($L$21:L191))</f>
        <v>32428524.244059652</v>
      </c>
      <c r="V191" s="43">
        <f>IF(D191=0,0,SUM($J$21:J191))</f>
        <v>34289058.041958049</v>
      </c>
      <c r="W191" s="284">
        <f t="shared" si="48"/>
        <v>1860533.7978983968</v>
      </c>
      <c r="X191" s="200">
        <f t="shared" si="54"/>
        <v>1.0573733724018974</v>
      </c>
      <c r="Y191" s="201">
        <f t="shared" si="60"/>
        <v>45828</v>
      </c>
      <c r="Z191" s="202">
        <f t="shared" si="60"/>
        <v>45828</v>
      </c>
      <c r="AA191" s="18"/>
      <c r="AB191" s="244"/>
      <c r="AC191" s="247"/>
      <c r="AD191" s="142"/>
      <c r="AE191" s="18"/>
      <c r="AF191" s="18"/>
      <c r="AG191" s="203"/>
      <c r="AH191" s="203"/>
      <c r="AI191" s="18"/>
      <c r="AJ191" s="18"/>
      <c r="AK191" s="18"/>
      <c r="AL191" s="18"/>
      <c r="AM191" s="18"/>
      <c r="AN191" s="18"/>
    </row>
    <row r="192" spans="1:40" ht="20">
      <c r="A192" s="18"/>
      <c r="B192" s="151"/>
      <c r="C192" s="55">
        <v>172</v>
      </c>
      <c r="D192" s="54">
        <v>1</v>
      </c>
      <c r="E192" s="190">
        <f t="shared" si="49"/>
        <v>6</v>
      </c>
      <c r="F192" s="191">
        <f t="shared" si="50"/>
        <v>45829</v>
      </c>
      <c r="G192" s="192" t="str">
        <f t="shared" si="51"/>
        <v>Sat</v>
      </c>
      <c r="H192" s="193"/>
      <c r="I192" s="194"/>
      <c r="J192" s="214">
        <v>55870</v>
      </c>
      <c r="K192" s="215"/>
      <c r="L192" s="43">
        <f t="shared" si="52"/>
        <v>153387.21908259563</v>
      </c>
      <c r="M192" s="280">
        <f t="shared" si="46"/>
        <v>-97517.219082595635</v>
      </c>
      <c r="N192" s="41">
        <f t="shared" si="8"/>
        <v>0.36424156024313364</v>
      </c>
      <c r="O192" s="56"/>
      <c r="P192" s="43">
        <f>IF(D192=0,0,SUM($L$172:L192))</f>
        <v>3907785.5890163877</v>
      </c>
      <c r="Q192" s="43">
        <f>IF(D192=0,0,SUM($J$172:J192))</f>
        <v>4278510</v>
      </c>
      <c r="R192" s="282">
        <f t="shared" si="47"/>
        <v>370724.4109836123</v>
      </c>
      <c r="S192" s="198">
        <f t="shared" si="53"/>
        <v>1.094868155516415</v>
      </c>
      <c r="T192" s="207"/>
      <c r="U192" s="43">
        <f>IF(D192=0,0,SUM($L$21:L192))</f>
        <v>32581911.463142246</v>
      </c>
      <c r="V192" s="43">
        <f>IF(D192=0,0,SUM($J$21:J192))</f>
        <v>34344928.041958049</v>
      </c>
      <c r="W192" s="284">
        <f t="shared" si="48"/>
        <v>1763016.5788158029</v>
      </c>
      <c r="X192" s="200">
        <f t="shared" si="54"/>
        <v>1.0541102869550851</v>
      </c>
      <c r="Y192" s="201">
        <f t="shared" si="60"/>
        <v>45829</v>
      </c>
      <c r="Z192" s="202">
        <f t="shared" si="60"/>
        <v>45829</v>
      </c>
      <c r="AA192" s="18"/>
      <c r="AB192" s="244"/>
      <c r="AC192" s="247"/>
      <c r="AD192" s="142"/>
      <c r="AE192" s="18"/>
      <c r="AF192" s="18"/>
      <c r="AG192" s="203"/>
      <c r="AH192" s="203"/>
      <c r="AI192" s="18"/>
      <c r="AJ192" s="18"/>
      <c r="AK192" s="18"/>
      <c r="AL192" s="18"/>
      <c r="AM192" s="18"/>
      <c r="AN192" s="18"/>
    </row>
    <row r="193" spans="1:40" ht="20">
      <c r="A193" s="18"/>
      <c r="B193" s="151"/>
      <c r="C193" s="55">
        <v>173</v>
      </c>
      <c r="D193" s="54">
        <v>0</v>
      </c>
      <c r="E193" s="190">
        <f t="shared" si="49"/>
        <v>6</v>
      </c>
      <c r="F193" s="191">
        <f t="shared" si="50"/>
        <v>45830</v>
      </c>
      <c r="G193" s="192" t="str">
        <f t="shared" si="51"/>
        <v>Sun</v>
      </c>
      <c r="H193" s="193"/>
      <c r="I193" s="194"/>
      <c r="J193" s="214"/>
      <c r="K193" s="215"/>
      <c r="L193" s="43">
        <f t="shared" si="52"/>
        <v>0</v>
      </c>
      <c r="M193" s="280">
        <f t="shared" si="46"/>
        <v>0</v>
      </c>
      <c r="N193" s="41" t="str">
        <f t="shared" si="8"/>
        <v>¥0</v>
      </c>
      <c r="O193" s="44"/>
      <c r="P193" s="43">
        <f>IF(D193=0,0,SUM($L$172:L193))</f>
        <v>0</v>
      </c>
      <c r="Q193" s="43">
        <f>IF(D193=0,0,SUM($J$172:J193))</f>
        <v>0</v>
      </c>
      <c r="R193" s="282">
        <f t="shared" si="47"/>
        <v>0</v>
      </c>
      <c r="S193" s="198">
        <f t="shared" si="53"/>
        <v>0</v>
      </c>
      <c r="T193" s="212"/>
      <c r="U193" s="43">
        <f>IF(D193=0,0,SUM($L$21:L193))</f>
        <v>0</v>
      </c>
      <c r="V193" s="43">
        <f>IF(D193=0,0,SUM($J$21:J193))</f>
        <v>0</v>
      </c>
      <c r="W193" s="284">
        <f t="shared" si="48"/>
        <v>0</v>
      </c>
      <c r="X193" s="200">
        <f t="shared" si="54"/>
        <v>0</v>
      </c>
      <c r="Y193" s="201">
        <f t="shared" si="60"/>
        <v>45830</v>
      </c>
      <c r="Z193" s="202">
        <f t="shared" si="60"/>
        <v>45830</v>
      </c>
      <c r="AA193" s="18"/>
      <c r="AB193" s="244"/>
      <c r="AC193" s="247"/>
      <c r="AD193" s="142"/>
      <c r="AE193" s="18"/>
      <c r="AF193" s="18"/>
      <c r="AG193" s="203"/>
      <c r="AH193" s="203"/>
      <c r="AI193" s="18"/>
      <c r="AJ193" s="18"/>
      <c r="AK193" s="18"/>
      <c r="AL193" s="18"/>
      <c r="AM193" s="18"/>
      <c r="AN193" s="18"/>
    </row>
    <row r="194" spans="1:40" ht="20">
      <c r="A194" s="18"/>
      <c r="B194" s="151"/>
      <c r="C194" s="55">
        <v>174</v>
      </c>
      <c r="D194" s="54">
        <v>1</v>
      </c>
      <c r="E194" s="190">
        <f t="shared" si="49"/>
        <v>6</v>
      </c>
      <c r="F194" s="191">
        <f t="shared" si="50"/>
        <v>45831</v>
      </c>
      <c r="G194" s="192" t="str">
        <f t="shared" si="51"/>
        <v>Mon</v>
      </c>
      <c r="H194" s="193"/>
      <c r="I194" s="194"/>
      <c r="J194" s="214">
        <v>357190</v>
      </c>
      <c r="K194" s="215"/>
      <c r="L194" s="43">
        <f t="shared" si="52"/>
        <v>139269.56429516539</v>
      </c>
      <c r="M194" s="280">
        <f t="shared" si="46"/>
        <v>217920.43570483461</v>
      </c>
      <c r="N194" s="41">
        <f t="shared" si="8"/>
        <v>2.5647384035967686</v>
      </c>
      <c r="O194" s="56"/>
      <c r="P194" s="43">
        <f>IF(D194=0,0,SUM($L$172:L194))</f>
        <v>4047055.1533115529</v>
      </c>
      <c r="Q194" s="43">
        <f>IF(D194=0,0,SUM($J$172:J194))</f>
        <v>4635700</v>
      </c>
      <c r="R194" s="282">
        <f t="shared" si="47"/>
        <v>588644.84668844705</v>
      </c>
      <c r="S194" s="198">
        <f t="shared" si="53"/>
        <v>1.1454501666988108</v>
      </c>
      <c r="T194" s="207"/>
      <c r="U194" s="43">
        <f>IF(D194=0,0,SUM($L$21:L194))</f>
        <v>32721181.027437411</v>
      </c>
      <c r="V194" s="43">
        <f>IF(D194=0,0,SUM($J$21:J194))</f>
        <v>34702118.041958049</v>
      </c>
      <c r="W194" s="284">
        <f t="shared" si="48"/>
        <v>1980937.0145206377</v>
      </c>
      <c r="X194" s="200">
        <f t="shared" si="54"/>
        <v>1.0605398996099675</v>
      </c>
      <c r="Y194" s="201">
        <f t="shared" si="60"/>
        <v>45831</v>
      </c>
      <c r="Z194" s="202">
        <f t="shared" si="60"/>
        <v>45831</v>
      </c>
      <c r="AA194" s="18"/>
      <c r="AB194" s="244"/>
      <c r="AC194" s="247"/>
      <c r="AD194" s="142"/>
      <c r="AE194" s="18"/>
      <c r="AF194" s="18"/>
      <c r="AG194" s="203"/>
      <c r="AH194" s="203"/>
      <c r="AI194" s="18"/>
      <c r="AJ194" s="18"/>
      <c r="AK194" s="18"/>
      <c r="AL194" s="18"/>
      <c r="AM194" s="18"/>
      <c r="AN194" s="18"/>
    </row>
    <row r="195" spans="1:40" ht="20">
      <c r="A195" s="18"/>
      <c r="B195" s="151"/>
      <c r="C195" s="55">
        <v>175</v>
      </c>
      <c r="D195" s="54">
        <v>1</v>
      </c>
      <c r="E195" s="190">
        <f t="shared" si="49"/>
        <v>6</v>
      </c>
      <c r="F195" s="191">
        <f t="shared" si="50"/>
        <v>45832</v>
      </c>
      <c r="G195" s="192" t="str">
        <f t="shared" si="51"/>
        <v>Tue</v>
      </c>
      <c r="H195" s="193"/>
      <c r="I195" s="194"/>
      <c r="J195" s="214">
        <v>252030</v>
      </c>
      <c r="K195" s="215"/>
      <c r="L195" s="43">
        <f t="shared" si="52"/>
        <v>185367.22504469351</v>
      </c>
      <c r="M195" s="280">
        <f t="shared" si="46"/>
        <v>66662.774955306493</v>
      </c>
      <c r="N195" s="41">
        <f t="shared" si="8"/>
        <v>1.3596254674429828</v>
      </c>
      <c r="O195" s="56"/>
      <c r="P195" s="43">
        <f>IF(D195=0,0,SUM($L$172:L195))</f>
        <v>4232422.3783562463</v>
      </c>
      <c r="Q195" s="43">
        <f>IF(D195=0,0,SUM($J$172:J195))</f>
        <v>4887730</v>
      </c>
      <c r="R195" s="282">
        <f t="shared" si="47"/>
        <v>655307.62164375372</v>
      </c>
      <c r="S195" s="198">
        <f t="shared" si="53"/>
        <v>1.1548303933451596</v>
      </c>
      <c r="T195" s="207"/>
      <c r="U195" s="43">
        <f>IF(D195=0,0,SUM($L$21:L195))</f>
        <v>32906548.252482105</v>
      </c>
      <c r="V195" s="43">
        <f>IF(D195=0,0,SUM($J$21:J195))</f>
        <v>34954148.041958049</v>
      </c>
      <c r="W195" s="284">
        <f t="shared" si="48"/>
        <v>2047599.7894759439</v>
      </c>
      <c r="X195" s="200">
        <f t="shared" si="54"/>
        <v>1.0622246907747759</v>
      </c>
      <c r="Y195" s="201">
        <f t="shared" si="60"/>
        <v>45832</v>
      </c>
      <c r="Z195" s="202">
        <f t="shared" si="60"/>
        <v>45832</v>
      </c>
      <c r="AA195" s="18"/>
      <c r="AB195" s="244"/>
      <c r="AC195" s="247"/>
      <c r="AD195" s="142"/>
      <c r="AE195" s="18"/>
      <c r="AF195" s="18"/>
      <c r="AG195" s="203"/>
      <c r="AH195" s="203"/>
      <c r="AI195" s="18"/>
      <c r="AJ195" s="18"/>
      <c r="AK195" s="18"/>
      <c r="AL195" s="18"/>
      <c r="AM195" s="18"/>
      <c r="AN195" s="18"/>
    </row>
    <row r="196" spans="1:40" ht="20">
      <c r="A196" s="18"/>
      <c r="B196" s="151"/>
      <c r="C196" s="55">
        <v>176</v>
      </c>
      <c r="D196" s="54">
        <v>1</v>
      </c>
      <c r="E196" s="190">
        <f t="shared" si="49"/>
        <v>6</v>
      </c>
      <c r="F196" s="191">
        <f t="shared" si="50"/>
        <v>45833</v>
      </c>
      <c r="G196" s="192" t="str">
        <f t="shared" si="51"/>
        <v>Wed</v>
      </c>
      <c r="H196" s="193"/>
      <c r="I196" s="194"/>
      <c r="J196" s="214">
        <v>191500</v>
      </c>
      <c r="K196" s="215"/>
      <c r="L196" s="43">
        <f t="shared" si="52"/>
        <v>279263.07606018841</v>
      </c>
      <c r="M196" s="280">
        <f t="shared" si="46"/>
        <v>-87763.07606018841</v>
      </c>
      <c r="N196" s="41">
        <f t="shared" si="8"/>
        <v>0.68573333324856311</v>
      </c>
      <c r="O196" s="56"/>
      <c r="P196" s="43">
        <f>IF(D196=0,0,SUM($L$172:L196))</f>
        <v>4511685.4544164343</v>
      </c>
      <c r="Q196" s="43">
        <f>IF(D196=0,0,SUM($J$172:J196))</f>
        <v>5079230</v>
      </c>
      <c r="R196" s="282">
        <f t="shared" si="47"/>
        <v>567544.54558356572</v>
      </c>
      <c r="S196" s="198">
        <f t="shared" si="53"/>
        <v>1.1257943514275808</v>
      </c>
      <c r="T196" s="207"/>
      <c r="U196" s="43">
        <f>IF(D196=0,0,SUM($L$21:L196))</f>
        <v>33185811.328542292</v>
      </c>
      <c r="V196" s="43">
        <f>IF(D196=0,0,SUM($J$21:J196))</f>
        <v>35145648.041958049</v>
      </c>
      <c r="W196" s="284">
        <f t="shared" si="48"/>
        <v>1959836.7134157568</v>
      </c>
      <c r="X196" s="200">
        <f t="shared" si="54"/>
        <v>1.0590564652469459</v>
      </c>
      <c r="Y196" s="201">
        <f t="shared" si="60"/>
        <v>45833</v>
      </c>
      <c r="Z196" s="202">
        <f t="shared" si="60"/>
        <v>45833</v>
      </c>
      <c r="AA196" s="18"/>
      <c r="AB196" s="244"/>
      <c r="AC196" s="247"/>
      <c r="AD196" s="142"/>
      <c r="AE196" s="18"/>
      <c r="AF196" s="18"/>
      <c r="AG196" s="203"/>
      <c r="AH196" s="203"/>
      <c r="AI196" s="18"/>
      <c r="AJ196" s="18"/>
      <c r="AK196" s="18"/>
      <c r="AL196" s="18"/>
      <c r="AM196" s="18"/>
      <c r="AN196" s="18"/>
    </row>
    <row r="197" spans="1:40" ht="20">
      <c r="A197" s="18"/>
      <c r="B197" s="151"/>
      <c r="C197" s="55">
        <v>177</v>
      </c>
      <c r="D197" s="54">
        <v>1</v>
      </c>
      <c r="E197" s="190">
        <f t="shared" si="49"/>
        <v>6</v>
      </c>
      <c r="F197" s="191">
        <f t="shared" si="50"/>
        <v>45834</v>
      </c>
      <c r="G197" s="192" t="str">
        <f t="shared" si="51"/>
        <v>Thu</v>
      </c>
      <c r="H197" s="193"/>
      <c r="I197" s="194"/>
      <c r="J197" s="214">
        <v>291000</v>
      </c>
      <c r="K197" s="215"/>
      <c r="L197" s="43">
        <f t="shared" si="52"/>
        <v>253060.16185255177</v>
      </c>
      <c r="M197" s="280">
        <f t="shared" si="46"/>
        <v>37939.83814744823</v>
      </c>
      <c r="N197" s="41">
        <f t="shared" si="8"/>
        <v>1.1499241835210485</v>
      </c>
      <c r="O197" s="56"/>
      <c r="P197" s="43">
        <f>IF(D197=0,0,SUM($L$172:L197))</f>
        <v>4764745.6162689859</v>
      </c>
      <c r="Q197" s="43">
        <f>IF(D197=0,0,SUM($J$172:J197))</f>
        <v>5370230</v>
      </c>
      <c r="R197" s="282">
        <f t="shared" si="47"/>
        <v>605484.3837310141</v>
      </c>
      <c r="S197" s="198">
        <f t="shared" si="53"/>
        <v>1.1270759097114478</v>
      </c>
      <c r="T197" s="207"/>
      <c r="U197" s="43">
        <f>IF(D197=0,0,SUM($L$21:L197))</f>
        <v>33438871.490394846</v>
      </c>
      <c r="V197" s="43">
        <f>IF(D197=0,0,SUM($J$21:J197))</f>
        <v>35436648.041958049</v>
      </c>
      <c r="W197" s="284">
        <f t="shared" si="48"/>
        <v>1997776.5515632033</v>
      </c>
      <c r="X197" s="200">
        <f t="shared" si="54"/>
        <v>1.0597441379604289</v>
      </c>
      <c r="Y197" s="201">
        <f t="shared" si="60"/>
        <v>45834</v>
      </c>
      <c r="Z197" s="202">
        <f t="shared" si="60"/>
        <v>45834</v>
      </c>
      <c r="AA197" s="18"/>
      <c r="AB197" s="244"/>
      <c r="AC197" s="247"/>
      <c r="AD197" s="142"/>
      <c r="AE197" s="18"/>
      <c r="AF197" s="18"/>
      <c r="AG197" s="203"/>
      <c r="AH197" s="203"/>
      <c r="AI197" s="18"/>
      <c r="AJ197" s="18"/>
      <c r="AK197" s="18"/>
      <c r="AL197" s="18"/>
      <c r="AM197" s="18"/>
      <c r="AN197" s="18"/>
    </row>
    <row r="198" spans="1:40" ht="20">
      <c r="A198" s="18"/>
      <c r="B198" s="151"/>
      <c r="C198" s="55">
        <v>178</v>
      </c>
      <c r="D198" s="54">
        <v>1</v>
      </c>
      <c r="E198" s="190">
        <f t="shared" si="49"/>
        <v>6</v>
      </c>
      <c r="F198" s="191">
        <f t="shared" si="50"/>
        <v>45835</v>
      </c>
      <c r="G198" s="192" t="str">
        <f t="shared" si="51"/>
        <v>Fri</v>
      </c>
      <c r="H198" s="193"/>
      <c r="I198" s="194"/>
      <c r="J198" s="214">
        <v>353150</v>
      </c>
      <c r="K198" s="215"/>
      <c r="L198" s="43">
        <f t="shared" si="52"/>
        <v>292247.95000360126</v>
      </c>
      <c r="M198" s="280">
        <f t="shared" si="46"/>
        <v>60902.049996398739</v>
      </c>
      <c r="N198" s="41">
        <f t="shared" si="8"/>
        <v>1.2083917098328603</v>
      </c>
      <c r="O198" s="56"/>
      <c r="P198" s="43">
        <f>IF(D198=0,0,SUM($L$172:L198))</f>
        <v>5056993.5662725875</v>
      </c>
      <c r="Q198" s="43">
        <f>IF(D198=0,0,SUM($J$172:J198))</f>
        <v>5723380</v>
      </c>
      <c r="R198" s="282">
        <f t="shared" si="47"/>
        <v>666386.43372741248</v>
      </c>
      <c r="S198" s="198">
        <f t="shared" si="53"/>
        <v>1.131775218812191</v>
      </c>
      <c r="T198" s="207"/>
      <c r="U198" s="43">
        <f>IF(D198=0,0,SUM($L$21:L198))</f>
        <v>33731119.440398447</v>
      </c>
      <c r="V198" s="43">
        <f>IF(D198=0,0,SUM($J$21:J198))</f>
        <v>35789798.041958049</v>
      </c>
      <c r="W198" s="284">
        <f t="shared" si="48"/>
        <v>2058678.6015596017</v>
      </c>
      <c r="X198" s="200">
        <f t="shared" si="54"/>
        <v>1.0610320272707583</v>
      </c>
      <c r="Y198" s="201">
        <f t="shared" si="60"/>
        <v>45835</v>
      </c>
      <c r="Z198" s="202">
        <f t="shared" si="60"/>
        <v>45835</v>
      </c>
      <c r="AA198" s="18"/>
      <c r="AB198" s="244"/>
      <c r="AC198" s="247"/>
      <c r="AD198" s="142"/>
      <c r="AE198" s="18"/>
      <c r="AF198" s="18"/>
      <c r="AG198" s="203"/>
      <c r="AH198" s="203"/>
      <c r="AI198" s="18"/>
      <c r="AJ198" s="18"/>
      <c r="AK198" s="18"/>
      <c r="AL198" s="18"/>
      <c r="AM198" s="18"/>
      <c r="AN198" s="18"/>
    </row>
    <row r="199" spans="1:40" ht="20">
      <c r="A199" s="18"/>
      <c r="B199" s="151"/>
      <c r="C199" s="55">
        <v>179</v>
      </c>
      <c r="D199" s="54">
        <v>1</v>
      </c>
      <c r="E199" s="190">
        <f t="shared" si="49"/>
        <v>6</v>
      </c>
      <c r="F199" s="191">
        <f t="shared" si="50"/>
        <v>45836</v>
      </c>
      <c r="G199" s="192" t="str">
        <f t="shared" si="51"/>
        <v>Sat</v>
      </c>
      <c r="H199" s="193"/>
      <c r="I199" s="194"/>
      <c r="J199" s="214">
        <v>73660</v>
      </c>
      <c r="K199" s="215"/>
      <c r="L199" s="43">
        <f t="shared" si="52"/>
        <v>153387.21908259563</v>
      </c>
      <c r="M199" s="280">
        <f t="shared" si="46"/>
        <v>-79727.219082595635</v>
      </c>
      <c r="N199" s="41">
        <f t="shared" si="8"/>
        <v>0.48022254031697198</v>
      </c>
      <c r="O199" s="56"/>
      <c r="P199" s="43">
        <f>IF(D199=0,0,SUM($L$172:L199))</f>
        <v>5210380.7853551833</v>
      </c>
      <c r="Q199" s="43">
        <f>IF(D199=0,0,SUM($J$172:J199))</f>
        <v>5797040</v>
      </c>
      <c r="R199" s="282">
        <f t="shared" si="47"/>
        <v>586659.2146448167</v>
      </c>
      <c r="S199" s="198">
        <f t="shared" si="53"/>
        <v>1.1125943071749649</v>
      </c>
      <c r="T199" s="207"/>
      <c r="U199" s="43">
        <f>IF(D199=0,0,SUM($L$21:L199))</f>
        <v>33884506.659481041</v>
      </c>
      <c r="V199" s="43">
        <f>IF(D199=0,0,SUM($J$21:J199))</f>
        <v>35863458.041958049</v>
      </c>
      <c r="W199" s="284">
        <f t="shared" si="48"/>
        <v>1978951.3824770078</v>
      </c>
      <c r="X199" s="200">
        <f t="shared" si="54"/>
        <v>1.0584028388656881</v>
      </c>
      <c r="Y199" s="201">
        <f t="shared" ref="Y199:Z214" si="61">Y198+1</f>
        <v>45836</v>
      </c>
      <c r="Z199" s="202">
        <f t="shared" si="61"/>
        <v>45836</v>
      </c>
      <c r="AA199" s="18"/>
      <c r="AB199" s="244"/>
      <c r="AC199" s="247"/>
      <c r="AD199" s="142"/>
      <c r="AE199" s="18"/>
      <c r="AF199" s="18"/>
      <c r="AG199" s="203"/>
      <c r="AH199" s="203"/>
      <c r="AI199" s="18"/>
      <c r="AJ199" s="18"/>
      <c r="AK199" s="18"/>
      <c r="AL199" s="18"/>
      <c r="AM199" s="18"/>
      <c r="AN199" s="18"/>
    </row>
    <row r="200" spans="1:40" ht="20">
      <c r="A200" s="18"/>
      <c r="B200" s="151"/>
      <c r="C200" s="55">
        <v>180</v>
      </c>
      <c r="D200" s="54">
        <v>0</v>
      </c>
      <c r="E200" s="190">
        <f t="shared" si="49"/>
        <v>6</v>
      </c>
      <c r="F200" s="191">
        <f t="shared" si="50"/>
        <v>45837</v>
      </c>
      <c r="G200" s="192" t="str">
        <f t="shared" si="51"/>
        <v>Sun</v>
      </c>
      <c r="H200" s="193"/>
      <c r="I200" s="194"/>
      <c r="J200" s="214"/>
      <c r="K200" s="215"/>
      <c r="L200" s="43">
        <f t="shared" si="52"/>
        <v>0</v>
      </c>
      <c r="M200" s="280">
        <f t="shared" si="46"/>
        <v>0</v>
      </c>
      <c r="N200" s="41" t="str">
        <f t="shared" si="8"/>
        <v>¥0</v>
      </c>
      <c r="O200" s="44"/>
      <c r="P200" s="43">
        <f>IF(D200=0,0,SUM($L$172:L200))</f>
        <v>0</v>
      </c>
      <c r="Q200" s="43">
        <f>IF(D200=0,0,SUM($J$172:J200))</f>
        <v>0</v>
      </c>
      <c r="R200" s="282">
        <f t="shared" si="47"/>
        <v>0</v>
      </c>
      <c r="S200" s="198">
        <f t="shared" si="53"/>
        <v>0</v>
      </c>
      <c r="T200" s="212"/>
      <c r="U200" s="43">
        <f>IF(D200=0,0,SUM($L$21:L200))</f>
        <v>0</v>
      </c>
      <c r="V200" s="43">
        <f>IF(D200=0,0,SUM($J$21:J200))</f>
        <v>0</v>
      </c>
      <c r="W200" s="284">
        <f t="shared" si="48"/>
        <v>0</v>
      </c>
      <c r="X200" s="200">
        <f t="shared" si="54"/>
        <v>0</v>
      </c>
      <c r="Y200" s="201">
        <f t="shared" si="61"/>
        <v>45837</v>
      </c>
      <c r="Z200" s="202">
        <f t="shared" si="61"/>
        <v>45837</v>
      </c>
      <c r="AA200" s="18"/>
      <c r="AB200" s="244"/>
      <c r="AC200" s="247"/>
      <c r="AD200" s="142"/>
      <c r="AE200" s="18"/>
      <c r="AF200" s="18"/>
      <c r="AG200" s="203"/>
      <c r="AH200" s="203"/>
      <c r="AI200" s="18"/>
      <c r="AJ200" s="18"/>
      <c r="AK200" s="18"/>
      <c r="AL200" s="18"/>
      <c r="AM200" s="18"/>
      <c r="AN200" s="18"/>
    </row>
    <row r="201" spans="1:40" ht="21" thickBot="1">
      <c r="A201" s="18"/>
      <c r="B201" s="151"/>
      <c r="C201" s="216">
        <v>181</v>
      </c>
      <c r="D201" s="38">
        <v>1</v>
      </c>
      <c r="E201" s="217">
        <f t="shared" si="49"/>
        <v>6</v>
      </c>
      <c r="F201" s="218">
        <f t="shared" si="50"/>
        <v>45838</v>
      </c>
      <c r="G201" s="219" t="str">
        <f t="shared" si="51"/>
        <v>Mon</v>
      </c>
      <c r="H201" s="233"/>
      <c r="I201" s="221"/>
      <c r="J201" s="222">
        <v>306040</v>
      </c>
      <c r="K201" s="223"/>
      <c r="L201" s="43">
        <f t="shared" si="52"/>
        <v>139269.56429516539</v>
      </c>
      <c r="M201" s="281">
        <f t="shared" si="46"/>
        <v>166770.43570483461</v>
      </c>
      <c r="N201" s="225">
        <f t="shared" si="8"/>
        <v>2.1974650495163779</v>
      </c>
      <c r="O201" s="226"/>
      <c r="P201" s="235">
        <f>IF(D201=0,0,SUM($L$172:L201))</f>
        <v>5349650.3496503485</v>
      </c>
      <c r="Q201" s="224">
        <f>IF(D201=0,0,SUM($J$172:J201))</f>
        <v>6103080</v>
      </c>
      <c r="R201" s="281">
        <f t="shared" si="47"/>
        <v>753429.65034965146</v>
      </c>
      <c r="S201" s="228">
        <f t="shared" si="53"/>
        <v>1.1408371764705885</v>
      </c>
      <c r="T201" s="229"/>
      <c r="U201" s="28">
        <f>IF(D201=0,0,SUM($L$21:L201))</f>
        <v>34023776.223776206</v>
      </c>
      <c r="V201" s="224">
        <f>IF(D201=0,0,SUM($J$21:J201))</f>
        <v>36169498.041958049</v>
      </c>
      <c r="W201" s="285">
        <f t="shared" si="48"/>
        <v>2145721.8181818426</v>
      </c>
      <c r="X201" s="230">
        <f t="shared" si="54"/>
        <v>1.0630653635877838</v>
      </c>
      <c r="Y201" s="201">
        <f t="shared" si="61"/>
        <v>45838</v>
      </c>
      <c r="Z201" s="202">
        <f t="shared" si="61"/>
        <v>45838</v>
      </c>
      <c r="AA201" s="18"/>
      <c r="AB201" s="244"/>
      <c r="AC201" s="247"/>
      <c r="AD201" s="142"/>
      <c r="AE201" s="18"/>
      <c r="AF201" s="18"/>
      <c r="AG201" s="203"/>
      <c r="AH201" s="203"/>
      <c r="AI201" s="18"/>
      <c r="AJ201" s="18"/>
      <c r="AK201" s="18"/>
      <c r="AL201" s="18"/>
      <c r="AM201" s="18"/>
      <c r="AN201" s="18"/>
    </row>
    <row r="202" spans="1:40" ht="21" thickTop="1">
      <c r="A202" s="18"/>
      <c r="B202" s="151"/>
      <c r="C202" s="55">
        <v>182</v>
      </c>
      <c r="D202" s="62">
        <v>1</v>
      </c>
      <c r="E202" s="190">
        <f t="shared" si="49"/>
        <v>7</v>
      </c>
      <c r="F202" s="191">
        <f t="shared" si="50"/>
        <v>45839</v>
      </c>
      <c r="G202" s="192" t="str">
        <f t="shared" si="51"/>
        <v>Tue</v>
      </c>
      <c r="H202" s="193"/>
      <c r="I202" s="194"/>
      <c r="J202" s="214">
        <v>316470</v>
      </c>
      <c r="K202" s="215"/>
      <c r="L202" s="43">
        <f t="shared" si="52"/>
        <v>186812.13009555428</v>
      </c>
      <c r="M202" s="282">
        <f t="shared" si="46"/>
        <v>129657.86990444572</v>
      </c>
      <c r="N202" s="60">
        <f t="shared" si="8"/>
        <v>1.6940548766192314</v>
      </c>
      <c r="O202" s="56"/>
      <c r="P202" s="43">
        <f>IF(D202=0,0,$L$202)</f>
        <v>186812.13009555428</v>
      </c>
      <c r="Q202" s="43">
        <f>IF(D202=0,0,$J$202)</f>
        <v>316470</v>
      </c>
      <c r="R202" s="282">
        <f t="shared" si="47"/>
        <v>129657.86990444572</v>
      </c>
      <c r="S202" s="231">
        <f t="shared" si="53"/>
        <v>1.6940548766192314</v>
      </c>
      <c r="T202" s="207"/>
      <c r="U202" s="43">
        <f>IF(D202=0,0,SUM($L$21:L202))</f>
        <v>34210588.353871763</v>
      </c>
      <c r="V202" s="43">
        <f>IF(D202=0,0,SUM($J$21:J202))</f>
        <v>36485968.041958049</v>
      </c>
      <c r="W202" s="284">
        <f t="shared" si="48"/>
        <v>2275379.6880862862</v>
      </c>
      <c r="X202" s="232">
        <f t="shared" si="54"/>
        <v>1.0665109779624347</v>
      </c>
      <c r="Y202" s="201">
        <f t="shared" si="61"/>
        <v>45839</v>
      </c>
      <c r="Z202" s="202">
        <f t="shared" si="61"/>
        <v>45839</v>
      </c>
      <c r="AA202" s="18"/>
      <c r="AB202" s="244"/>
      <c r="AC202" s="247"/>
      <c r="AD202" s="142"/>
      <c r="AE202" s="18"/>
      <c r="AF202" s="18"/>
      <c r="AG202" s="203"/>
      <c r="AH202" s="203"/>
      <c r="AI202" s="18"/>
      <c r="AJ202" s="18"/>
      <c r="AK202" s="18"/>
      <c r="AL202" s="18"/>
      <c r="AM202" s="18"/>
      <c r="AN202" s="18"/>
    </row>
    <row r="203" spans="1:40" ht="20">
      <c r="A203" s="18"/>
      <c r="B203" s="151"/>
      <c r="C203" s="55">
        <v>183</v>
      </c>
      <c r="D203" s="54">
        <v>1</v>
      </c>
      <c r="E203" s="190">
        <f t="shared" si="49"/>
        <v>7</v>
      </c>
      <c r="F203" s="191">
        <f t="shared" si="50"/>
        <v>45840</v>
      </c>
      <c r="G203" s="192" t="str">
        <f t="shared" si="51"/>
        <v>Wed</v>
      </c>
      <c r="H203" s="193"/>
      <c r="I203" s="194"/>
      <c r="J203" s="214">
        <v>347600</v>
      </c>
      <c r="K203" s="215"/>
      <c r="L203" s="43">
        <f t="shared" si="52"/>
        <v>270734.47987696819</v>
      </c>
      <c r="M203" s="280">
        <f t="shared" si="46"/>
        <v>76865.520123031805</v>
      </c>
      <c r="N203" s="41">
        <f t="shared" si="8"/>
        <v>1.2839147793733636</v>
      </c>
      <c r="O203" s="56"/>
      <c r="P203" s="43">
        <f>IF(D203=0,0,SUM($L$202:L203))</f>
        <v>457546.60997252248</v>
      </c>
      <c r="Q203" s="43">
        <f>IF(D203=0,0,SUM($J$202:J203))</f>
        <v>664070</v>
      </c>
      <c r="R203" s="282">
        <f t="shared" si="47"/>
        <v>206523.39002747752</v>
      </c>
      <c r="S203" s="198">
        <f t="shared" si="53"/>
        <v>1.4513712603834614</v>
      </c>
      <c r="T203" s="207"/>
      <c r="U203" s="43">
        <f>IF(D203=0,0,SUM($L$21:L203))</f>
        <v>34481322.833748728</v>
      </c>
      <c r="V203" s="43">
        <f>IF(D203=0,0,SUM($J$21:J203))</f>
        <v>36833568.041958049</v>
      </c>
      <c r="W203" s="284">
        <f t="shared" si="48"/>
        <v>2352245.2082093209</v>
      </c>
      <c r="X203" s="200">
        <f t="shared" si="54"/>
        <v>1.0682179514849428</v>
      </c>
      <c r="Y203" s="201">
        <f t="shared" si="61"/>
        <v>45840</v>
      </c>
      <c r="Z203" s="202">
        <f t="shared" si="61"/>
        <v>45840</v>
      </c>
      <c r="AA203" s="18"/>
      <c r="AB203" s="244"/>
      <c r="AC203" s="247"/>
      <c r="AD203" s="142"/>
      <c r="AE203" s="18"/>
      <c r="AF203" s="18"/>
      <c r="AG203" s="203"/>
      <c r="AH203" s="203"/>
      <c r="AI203" s="18"/>
      <c r="AJ203" s="18"/>
      <c r="AK203" s="18"/>
      <c r="AL203" s="18"/>
      <c r="AM203" s="18"/>
      <c r="AN203" s="18"/>
    </row>
    <row r="204" spans="1:40" ht="20">
      <c r="A204" s="18"/>
      <c r="B204" s="151"/>
      <c r="C204" s="55">
        <v>184</v>
      </c>
      <c r="D204" s="54">
        <v>1</v>
      </c>
      <c r="E204" s="190">
        <f t="shared" si="49"/>
        <v>7</v>
      </c>
      <c r="F204" s="191">
        <f t="shared" si="50"/>
        <v>45841</v>
      </c>
      <c r="G204" s="192" t="str">
        <f t="shared" si="51"/>
        <v>Thu</v>
      </c>
      <c r="H204" s="193"/>
      <c r="I204" s="194"/>
      <c r="J204" s="214">
        <v>221970</v>
      </c>
      <c r="K204" s="215"/>
      <c r="L204" s="43">
        <f t="shared" si="52"/>
        <v>242688.77545011236</v>
      </c>
      <c r="M204" s="280">
        <f t="shared" si="46"/>
        <v>-20718.775450112356</v>
      </c>
      <c r="N204" s="41">
        <f t="shared" si="8"/>
        <v>0.91462820885850427</v>
      </c>
      <c r="O204" s="56"/>
      <c r="P204" s="43">
        <f>IF(D204=0,0,SUM($L$202:L204))</f>
        <v>700235.38542263489</v>
      </c>
      <c r="Q204" s="43">
        <f>IF(D204=0,0,SUM($J$202:J204))</f>
        <v>886040</v>
      </c>
      <c r="R204" s="282">
        <f t="shared" si="47"/>
        <v>185804.61457736511</v>
      </c>
      <c r="S204" s="198">
        <f t="shared" si="53"/>
        <v>1.2653459371597175</v>
      </c>
      <c r="T204" s="207"/>
      <c r="U204" s="43">
        <f>IF(D204=0,0,SUM($L$21:L204))</f>
        <v>34724011.609198838</v>
      </c>
      <c r="V204" s="43">
        <f>IF(D204=0,0,SUM($J$21:J204))</f>
        <v>37055538.041958049</v>
      </c>
      <c r="W204" s="284">
        <f t="shared" si="48"/>
        <v>2331526.4327592105</v>
      </c>
      <c r="X204" s="200">
        <f t="shared" si="54"/>
        <v>1.06714450101559</v>
      </c>
      <c r="Y204" s="201">
        <f t="shared" si="61"/>
        <v>45841</v>
      </c>
      <c r="Z204" s="202">
        <f t="shared" si="61"/>
        <v>45841</v>
      </c>
      <c r="AA204" s="18"/>
      <c r="AB204" s="244"/>
      <c r="AC204" s="247"/>
      <c r="AD204" s="142"/>
      <c r="AE204" s="18"/>
      <c r="AF204" s="18"/>
      <c r="AG204" s="203"/>
      <c r="AH204" s="203"/>
      <c r="AI204" s="18"/>
      <c r="AJ204" s="18"/>
      <c r="AK204" s="18"/>
      <c r="AL204" s="18"/>
      <c r="AM204" s="18"/>
      <c r="AN204" s="18"/>
    </row>
    <row r="205" spans="1:40" ht="20">
      <c r="A205" s="18"/>
      <c r="B205" s="151"/>
      <c r="C205" s="55">
        <v>185</v>
      </c>
      <c r="D205" s="54">
        <v>1</v>
      </c>
      <c r="E205" s="190">
        <f t="shared" si="49"/>
        <v>7</v>
      </c>
      <c r="F205" s="191">
        <f t="shared" si="50"/>
        <v>45842</v>
      </c>
      <c r="G205" s="192" t="str">
        <f t="shared" si="51"/>
        <v>Fri</v>
      </c>
      <c r="H205" s="193"/>
      <c r="I205" s="194"/>
      <c r="J205" s="214">
        <v>329910</v>
      </c>
      <c r="K205" s="215"/>
      <c r="L205" s="43">
        <f t="shared" si="52"/>
        <v>364056.7470173653</v>
      </c>
      <c r="M205" s="280">
        <f t="shared" si="46"/>
        <v>-34146.747017365298</v>
      </c>
      <c r="N205" s="41">
        <f t="shared" si="8"/>
        <v>0.90620487795619253</v>
      </c>
      <c r="O205" s="56"/>
      <c r="P205" s="43">
        <f>IF(D205=0,0,SUM($L$202:L205))</f>
        <v>1064292.1324400003</v>
      </c>
      <c r="Q205" s="43">
        <f>IF(D205=0,0,SUM($J$202:J205))</f>
        <v>1215950</v>
      </c>
      <c r="R205" s="282">
        <f t="shared" si="47"/>
        <v>151657.86755999969</v>
      </c>
      <c r="S205" s="198">
        <f t="shared" si="53"/>
        <v>1.1424964659019965</v>
      </c>
      <c r="T205" s="207"/>
      <c r="U205" s="43">
        <f>IF(D205=0,0,SUM($L$21:L205))</f>
        <v>35088068.356216207</v>
      </c>
      <c r="V205" s="43">
        <f>IF(D205=0,0,SUM($J$21:J205))</f>
        <v>37385448.041958049</v>
      </c>
      <c r="W205" s="284">
        <f t="shared" si="48"/>
        <v>2297379.6857418418</v>
      </c>
      <c r="X205" s="200">
        <f t="shared" si="54"/>
        <v>1.0654746696916657</v>
      </c>
      <c r="Y205" s="201">
        <f t="shared" si="61"/>
        <v>45842</v>
      </c>
      <c r="Z205" s="202">
        <f t="shared" si="61"/>
        <v>45842</v>
      </c>
      <c r="AA205" s="18"/>
      <c r="AB205" s="244"/>
      <c r="AC205" s="247"/>
      <c r="AD205" s="142"/>
      <c r="AE205" s="18"/>
      <c r="AF205" s="18"/>
      <c r="AG205" s="203"/>
      <c r="AH205" s="203"/>
      <c r="AI205" s="18"/>
      <c r="AJ205" s="18"/>
      <c r="AK205" s="18"/>
      <c r="AL205" s="18"/>
      <c r="AM205" s="18"/>
      <c r="AN205" s="18"/>
    </row>
    <row r="206" spans="1:40" ht="20">
      <c r="A206" s="18"/>
      <c r="B206" s="151"/>
      <c r="C206" s="55">
        <v>186</v>
      </c>
      <c r="D206" s="54">
        <v>1</v>
      </c>
      <c r="E206" s="190">
        <f t="shared" si="49"/>
        <v>7</v>
      </c>
      <c r="F206" s="191">
        <f t="shared" si="50"/>
        <v>45843</v>
      </c>
      <c r="G206" s="192" t="str">
        <f t="shared" si="51"/>
        <v>Sat</v>
      </c>
      <c r="H206" s="193"/>
      <c r="I206" s="194"/>
      <c r="J206" s="214">
        <v>76330</v>
      </c>
      <c r="K206" s="215"/>
      <c r="L206" s="43">
        <f t="shared" si="52"/>
        <v>149126.404724797</v>
      </c>
      <c r="M206" s="280">
        <f t="shared" si="46"/>
        <v>-72796.404724797001</v>
      </c>
      <c r="N206" s="41">
        <f t="shared" si="8"/>
        <v>0.51184765126512644</v>
      </c>
      <c r="O206" s="56"/>
      <c r="P206" s="43">
        <f>IF(D206=0,0,SUM($L$202:L206))</f>
        <v>1213418.5371647973</v>
      </c>
      <c r="Q206" s="43">
        <f>IF(D206=0,0,SUM($J$202:J206))</f>
        <v>1292280</v>
      </c>
      <c r="R206" s="282">
        <f t="shared" si="47"/>
        <v>78861.462835202692</v>
      </c>
      <c r="S206" s="198">
        <f t="shared" si="53"/>
        <v>1.0649911472586084</v>
      </c>
      <c r="T206" s="207"/>
      <c r="U206" s="43">
        <f>IF(D206=0,0,SUM($L$21:L206))</f>
        <v>35237194.760941006</v>
      </c>
      <c r="V206" s="43">
        <f>IF(D206=0,0,SUM($J$21:J206))</f>
        <v>37461778.041958049</v>
      </c>
      <c r="W206" s="284">
        <f t="shared" si="48"/>
        <v>2224583.2810170427</v>
      </c>
      <c r="X206" s="200">
        <f t="shared" si="54"/>
        <v>1.0631316793549894</v>
      </c>
      <c r="Y206" s="201">
        <f t="shared" si="61"/>
        <v>45843</v>
      </c>
      <c r="Z206" s="202">
        <f t="shared" si="61"/>
        <v>45843</v>
      </c>
      <c r="AA206" s="18"/>
      <c r="AB206" s="244"/>
      <c r="AC206" s="247"/>
      <c r="AD206" s="142"/>
      <c r="AE206" s="18"/>
      <c r="AF206" s="18"/>
      <c r="AG206" s="203"/>
      <c r="AH206" s="203"/>
      <c r="AI206" s="18"/>
      <c r="AJ206" s="18"/>
      <c r="AK206" s="18"/>
      <c r="AL206" s="18"/>
      <c r="AM206" s="18"/>
      <c r="AN206" s="18"/>
    </row>
    <row r="207" spans="1:40" ht="20">
      <c r="A207" s="18"/>
      <c r="B207" s="151"/>
      <c r="C207" s="55">
        <v>187</v>
      </c>
      <c r="D207" s="54">
        <v>0</v>
      </c>
      <c r="E207" s="190">
        <f t="shared" si="49"/>
        <v>7</v>
      </c>
      <c r="F207" s="191">
        <f t="shared" si="50"/>
        <v>45844</v>
      </c>
      <c r="G207" s="192" t="str">
        <f t="shared" si="51"/>
        <v>Sun</v>
      </c>
      <c r="H207" s="193"/>
      <c r="I207" s="194"/>
      <c r="J207" s="214"/>
      <c r="K207" s="215"/>
      <c r="L207" s="43">
        <f t="shared" si="52"/>
        <v>0</v>
      </c>
      <c r="M207" s="280">
        <f t="shared" si="46"/>
        <v>0</v>
      </c>
      <c r="N207" s="41" t="str">
        <f t="shared" si="8"/>
        <v>¥0</v>
      </c>
      <c r="O207" s="44"/>
      <c r="P207" s="43">
        <f>IF(D207=0,0,SUM($L$202:L207))</f>
        <v>0</v>
      </c>
      <c r="Q207" s="43">
        <f>IF(D207=0,0,SUM($J$202:J207))</f>
        <v>0</v>
      </c>
      <c r="R207" s="282">
        <f t="shared" si="47"/>
        <v>0</v>
      </c>
      <c r="S207" s="198">
        <f t="shared" si="53"/>
        <v>0</v>
      </c>
      <c r="T207" s="212"/>
      <c r="U207" s="43">
        <f>IF(D207=0,0,SUM($L$21:L207))</f>
        <v>0</v>
      </c>
      <c r="V207" s="43">
        <f>IF(D207=0,0,SUM($J$21:J207))</f>
        <v>0</v>
      </c>
      <c r="W207" s="284">
        <f t="shared" si="48"/>
        <v>0</v>
      </c>
      <c r="X207" s="200">
        <f t="shared" si="54"/>
        <v>0</v>
      </c>
      <c r="Y207" s="201">
        <f t="shared" si="61"/>
        <v>45844</v>
      </c>
      <c r="Z207" s="202">
        <f t="shared" si="61"/>
        <v>45844</v>
      </c>
      <c r="AA207" s="18"/>
      <c r="AB207" s="244"/>
      <c r="AC207" s="247"/>
      <c r="AD207" s="142"/>
      <c r="AE207" s="18"/>
      <c r="AF207" s="18"/>
      <c r="AG207" s="203"/>
      <c r="AH207" s="203"/>
      <c r="AI207" s="18"/>
      <c r="AJ207" s="18"/>
      <c r="AK207" s="18"/>
      <c r="AL207" s="18"/>
      <c r="AM207" s="18"/>
      <c r="AN207" s="18"/>
    </row>
    <row r="208" spans="1:40" ht="20">
      <c r="A208" s="18"/>
      <c r="B208" s="151"/>
      <c r="C208" s="55">
        <v>188</v>
      </c>
      <c r="D208" s="54">
        <v>1</v>
      </c>
      <c r="E208" s="190">
        <f t="shared" si="49"/>
        <v>7</v>
      </c>
      <c r="F208" s="191">
        <f t="shared" si="50"/>
        <v>45845</v>
      </c>
      <c r="G208" s="192" t="str">
        <f t="shared" si="51"/>
        <v>Mon</v>
      </c>
      <c r="H208" s="193"/>
      <c r="I208" s="194"/>
      <c r="J208" s="214">
        <v>94600</v>
      </c>
      <c r="K208" s="215"/>
      <c r="L208" s="43">
        <f t="shared" si="52"/>
        <v>330515.0037909075</v>
      </c>
      <c r="M208" s="280">
        <f t="shared" si="46"/>
        <v>-235915.0037909075</v>
      </c>
      <c r="N208" s="41">
        <f t="shared" si="8"/>
        <v>0.2862199867327247</v>
      </c>
      <c r="O208" s="56"/>
      <c r="P208" s="43">
        <f>IF(D208=0,0,SUM($L$202:L208))</f>
        <v>1543933.5409557049</v>
      </c>
      <c r="Q208" s="43">
        <f>IF(D208=0,0,SUM($J$202:J208))</f>
        <v>1386880</v>
      </c>
      <c r="R208" s="282">
        <f t="shared" si="47"/>
        <v>-157053.54095570487</v>
      </c>
      <c r="S208" s="198">
        <f t="shared" si="53"/>
        <v>0.89827700688561518</v>
      </c>
      <c r="T208" s="207"/>
      <c r="U208" s="43">
        <f>IF(D208=0,0,SUM($L$21:L208))</f>
        <v>35567709.764731914</v>
      </c>
      <c r="V208" s="43">
        <f>IF(D208=0,0,SUM($J$21:J208))</f>
        <v>37556378.041958049</v>
      </c>
      <c r="W208" s="284">
        <f t="shared" si="48"/>
        <v>1988668.2772261351</v>
      </c>
      <c r="X208" s="200">
        <f t="shared" si="54"/>
        <v>1.0559121824368363</v>
      </c>
      <c r="Y208" s="201">
        <f t="shared" si="61"/>
        <v>45845</v>
      </c>
      <c r="Z208" s="202">
        <f t="shared" si="61"/>
        <v>45845</v>
      </c>
      <c r="AA208" s="18"/>
      <c r="AB208" s="244"/>
      <c r="AC208" s="247"/>
      <c r="AD208" s="142"/>
      <c r="AE208" s="18"/>
      <c r="AF208" s="18"/>
      <c r="AG208" s="203"/>
      <c r="AH208" s="203"/>
      <c r="AI208" s="18"/>
      <c r="AJ208" s="18"/>
      <c r="AK208" s="18"/>
      <c r="AL208" s="18"/>
      <c r="AM208" s="18"/>
      <c r="AN208" s="18"/>
    </row>
    <row r="209" spans="1:40" ht="20">
      <c r="A209" s="18"/>
      <c r="B209" s="151"/>
      <c r="C209" s="55">
        <v>189</v>
      </c>
      <c r="D209" s="54">
        <v>1</v>
      </c>
      <c r="E209" s="190">
        <f t="shared" si="49"/>
        <v>7</v>
      </c>
      <c r="F209" s="191">
        <f t="shared" si="50"/>
        <v>45846</v>
      </c>
      <c r="G209" s="192" t="str">
        <f t="shared" si="51"/>
        <v>Tue</v>
      </c>
      <c r="H209" s="193"/>
      <c r="I209" s="194"/>
      <c r="J209" s="214">
        <v>283650</v>
      </c>
      <c r="K209" s="215"/>
      <c r="L209" s="43">
        <f t="shared" si="52"/>
        <v>186812.13009555428</v>
      </c>
      <c r="M209" s="280">
        <f t="shared" si="46"/>
        <v>96837.869904445717</v>
      </c>
      <c r="N209" s="41">
        <f t="shared" si="8"/>
        <v>1.5183703534396467</v>
      </c>
      <c r="O209" s="56"/>
      <c r="P209" s="43">
        <f>IF(D209=0,0,SUM($L$202:L209))</f>
        <v>1730745.6710512592</v>
      </c>
      <c r="Q209" s="43">
        <f>IF(D209=0,0,SUM($J$202:J209))</f>
        <v>1670530</v>
      </c>
      <c r="R209" s="282">
        <f t="shared" si="47"/>
        <v>-60215.671051259153</v>
      </c>
      <c r="S209" s="198">
        <f t="shared" si="53"/>
        <v>0.96520824979750841</v>
      </c>
      <c r="T209" s="207"/>
      <c r="U209" s="43">
        <f>IF(D209=0,0,SUM($L$21:L209))</f>
        <v>35754521.89482747</v>
      </c>
      <c r="V209" s="43">
        <f>IF(D209=0,0,SUM($J$21:J209))</f>
        <v>37840028.041958049</v>
      </c>
      <c r="W209" s="284">
        <f t="shared" si="48"/>
        <v>2085506.1471305788</v>
      </c>
      <c r="X209" s="200">
        <f t="shared" si="54"/>
        <v>1.0583284585168033</v>
      </c>
      <c r="Y209" s="201">
        <f t="shared" si="61"/>
        <v>45846</v>
      </c>
      <c r="Z209" s="202">
        <f t="shared" si="61"/>
        <v>45846</v>
      </c>
      <c r="AA209" s="18"/>
      <c r="AB209" s="244"/>
      <c r="AC209" s="247"/>
      <c r="AD209" s="142"/>
      <c r="AE209" s="18"/>
      <c r="AF209" s="18"/>
      <c r="AG209" s="203"/>
      <c r="AH209" s="203"/>
      <c r="AI209" s="18"/>
      <c r="AJ209" s="18"/>
      <c r="AK209" s="18"/>
      <c r="AL209" s="18"/>
      <c r="AM209" s="18"/>
      <c r="AN209" s="18"/>
    </row>
    <row r="210" spans="1:40" ht="20">
      <c r="A210" s="18"/>
      <c r="B210" s="151"/>
      <c r="C210" s="55">
        <v>190</v>
      </c>
      <c r="D210" s="54">
        <v>1</v>
      </c>
      <c r="E210" s="190">
        <f t="shared" si="49"/>
        <v>7</v>
      </c>
      <c r="F210" s="191">
        <f t="shared" si="50"/>
        <v>45847</v>
      </c>
      <c r="G210" s="192" t="str">
        <f t="shared" si="51"/>
        <v>Wed</v>
      </c>
      <c r="H210" s="193"/>
      <c r="I210" s="194"/>
      <c r="J210" s="214">
        <v>221610</v>
      </c>
      <c r="K210" s="215"/>
      <c r="L210" s="43">
        <f t="shared" si="52"/>
        <v>270734.47987696819</v>
      </c>
      <c r="M210" s="280">
        <f t="shared" si="46"/>
        <v>-49124.479876968195</v>
      </c>
      <c r="N210" s="41">
        <f t="shared" si="8"/>
        <v>0.81855107668852456</v>
      </c>
      <c r="O210" s="56"/>
      <c r="P210" s="43">
        <f>IF(D210=0,0,SUM($L$202:L210))</f>
        <v>2001480.1509282272</v>
      </c>
      <c r="Q210" s="43">
        <f>IF(D210=0,0,SUM($J$202:J210))</f>
        <v>1892140</v>
      </c>
      <c r="R210" s="282">
        <f t="shared" si="47"/>
        <v>-109340.15092822723</v>
      </c>
      <c r="S210" s="198">
        <f t="shared" si="53"/>
        <v>0.94537035459606311</v>
      </c>
      <c r="T210" s="207"/>
      <c r="U210" s="43">
        <f>IF(D210=0,0,SUM($L$21:L210))</f>
        <v>36025256.374704435</v>
      </c>
      <c r="V210" s="43">
        <f>IF(D210=0,0,SUM($J$21:J210))</f>
        <v>38061638.041958049</v>
      </c>
      <c r="W210" s="284">
        <f t="shared" si="48"/>
        <v>2036381.6672536135</v>
      </c>
      <c r="X210" s="200">
        <f t="shared" si="54"/>
        <v>1.0565265003549977</v>
      </c>
      <c r="Y210" s="201">
        <f t="shared" si="61"/>
        <v>45847</v>
      </c>
      <c r="Z210" s="202">
        <f t="shared" si="61"/>
        <v>45847</v>
      </c>
      <c r="AA210" s="18"/>
      <c r="AB210" s="244"/>
      <c r="AC210" s="247"/>
      <c r="AD210" s="142"/>
      <c r="AE210" s="18"/>
      <c r="AF210" s="18"/>
      <c r="AG210" s="203"/>
      <c r="AH210" s="203"/>
      <c r="AI210" s="18"/>
      <c r="AJ210" s="18"/>
      <c r="AK210" s="18"/>
      <c r="AL210" s="18"/>
      <c r="AM210" s="18"/>
      <c r="AN210" s="18"/>
    </row>
    <row r="211" spans="1:40" ht="20">
      <c r="A211" s="18"/>
      <c r="B211" s="151"/>
      <c r="C211" s="55">
        <v>191</v>
      </c>
      <c r="D211" s="54">
        <v>1</v>
      </c>
      <c r="E211" s="190">
        <f t="shared" si="49"/>
        <v>7</v>
      </c>
      <c r="F211" s="191">
        <f t="shared" si="50"/>
        <v>45848</v>
      </c>
      <c r="G211" s="192" t="str">
        <f t="shared" si="51"/>
        <v>Thu</v>
      </c>
      <c r="H211" s="193"/>
      <c r="I211" s="194"/>
      <c r="J211" s="214">
        <v>308050</v>
      </c>
      <c r="K211" s="215"/>
      <c r="L211" s="43">
        <f t="shared" si="52"/>
        <v>242688.77545011236</v>
      </c>
      <c r="M211" s="280">
        <f t="shared" si="46"/>
        <v>65361.224549887644</v>
      </c>
      <c r="N211" s="41">
        <f t="shared" si="8"/>
        <v>1.2693211683509584</v>
      </c>
      <c r="O211" s="56"/>
      <c r="P211" s="43">
        <f>IF(D211=0,0,SUM($L$202:L211))</f>
        <v>2244168.9263783395</v>
      </c>
      <c r="Q211" s="43">
        <f>IF(D211=0,0,SUM($J$202:J211))</f>
        <v>2200190</v>
      </c>
      <c r="R211" s="282">
        <f t="shared" si="47"/>
        <v>-43978.926378339529</v>
      </c>
      <c r="S211" s="198">
        <f t="shared" si="53"/>
        <v>0.98040302320319839</v>
      </c>
      <c r="T211" s="207"/>
      <c r="U211" s="43">
        <f>IF(D211=0,0,SUM($L$21:L211))</f>
        <v>36267945.150154546</v>
      </c>
      <c r="V211" s="43">
        <f>IF(D211=0,0,SUM($J$21:J211))</f>
        <v>38369688.041958049</v>
      </c>
      <c r="W211" s="284">
        <f t="shared" si="48"/>
        <v>2101742.891803503</v>
      </c>
      <c r="X211" s="200">
        <f t="shared" si="54"/>
        <v>1.05795042655717</v>
      </c>
      <c r="Y211" s="201">
        <f t="shared" si="61"/>
        <v>45848</v>
      </c>
      <c r="Z211" s="202">
        <f t="shared" si="61"/>
        <v>45848</v>
      </c>
      <c r="AA211" s="18"/>
      <c r="AB211" s="244"/>
      <c r="AC211" s="247"/>
      <c r="AD211" s="142"/>
      <c r="AE211" s="18"/>
      <c r="AF211" s="18"/>
      <c r="AG211" s="203"/>
      <c r="AH211" s="203"/>
      <c r="AI211" s="18"/>
      <c r="AJ211" s="18"/>
      <c r="AK211" s="18"/>
      <c r="AL211" s="18"/>
      <c r="AM211" s="18"/>
      <c r="AN211" s="18"/>
    </row>
    <row r="212" spans="1:40" ht="20">
      <c r="A212" s="18"/>
      <c r="B212" s="151"/>
      <c r="C212" s="55">
        <v>192</v>
      </c>
      <c r="D212" s="54">
        <v>1</v>
      </c>
      <c r="E212" s="190">
        <f t="shared" si="49"/>
        <v>7</v>
      </c>
      <c r="F212" s="191">
        <f t="shared" si="50"/>
        <v>45849</v>
      </c>
      <c r="G212" s="192" t="str">
        <f t="shared" si="51"/>
        <v>Fri</v>
      </c>
      <c r="H212" s="193"/>
      <c r="I212" s="194"/>
      <c r="J212" s="214">
        <v>370370</v>
      </c>
      <c r="K212" s="215"/>
      <c r="L212" s="43">
        <f t="shared" si="52"/>
        <v>364056.7470173653</v>
      </c>
      <c r="M212" s="280">
        <f t="shared" si="46"/>
        <v>6313.2529826347018</v>
      </c>
      <c r="N212" s="41">
        <f t="shared" si="8"/>
        <v>1.0173413981044377</v>
      </c>
      <c r="O212" s="56"/>
      <c r="P212" s="43">
        <f>IF(D212=0,0,SUM($L$202:L212))</f>
        <v>2608225.6733957049</v>
      </c>
      <c r="Q212" s="43">
        <f>IF(D212=0,0,SUM($J$202:J212))</f>
        <v>2570560</v>
      </c>
      <c r="R212" s="282">
        <f t="shared" si="47"/>
        <v>-37665.673395704944</v>
      </c>
      <c r="S212" s="198">
        <f t="shared" si="53"/>
        <v>0.98555889017583853</v>
      </c>
      <c r="T212" s="207"/>
      <c r="U212" s="43">
        <f>IF(D212=0,0,SUM($L$21:L212))</f>
        <v>36632001.897171915</v>
      </c>
      <c r="V212" s="43">
        <f>IF(D212=0,0,SUM($J$21:J212))</f>
        <v>38740058.041958049</v>
      </c>
      <c r="W212" s="284">
        <f t="shared" si="48"/>
        <v>2108056.1447861344</v>
      </c>
      <c r="X212" s="200">
        <f t="shared" si="54"/>
        <v>1.0575468452612435</v>
      </c>
      <c r="Y212" s="201">
        <f t="shared" si="61"/>
        <v>45849</v>
      </c>
      <c r="Z212" s="202">
        <f t="shared" si="61"/>
        <v>45849</v>
      </c>
      <c r="AA212" s="18"/>
      <c r="AB212" s="244"/>
      <c r="AC212" s="247"/>
      <c r="AD212" s="142"/>
      <c r="AE212" s="18"/>
      <c r="AF212" s="18"/>
      <c r="AG212" s="203"/>
      <c r="AH212" s="203"/>
      <c r="AI212" s="18"/>
      <c r="AJ212" s="18"/>
      <c r="AK212" s="18"/>
      <c r="AL212" s="18"/>
      <c r="AM212" s="18"/>
      <c r="AN212" s="18"/>
    </row>
    <row r="213" spans="1:40" ht="20">
      <c r="A213" s="18"/>
      <c r="B213" s="151"/>
      <c r="C213" s="55">
        <v>193</v>
      </c>
      <c r="D213" s="54">
        <v>1</v>
      </c>
      <c r="E213" s="190">
        <f t="shared" si="49"/>
        <v>7</v>
      </c>
      <c r="F213" s="191">
        <f t="shared" si="50"/>
        <v>45850</v>
      </c>
      <c r="G213" s="192" t="str">
        <f t="shared" si="51"/>
        <v>Sat</v>
      </c>
      <c r="H213" s="193"/>
      <c r="I213" s="194"/>
      <c r="J213" s="214">
        <v>84100</v>
      </c>
      <c r="K213" s="215"/>
      <c r="L213" s="43">
        <f t="shared" si="52"/>
        <v>149126.404724797</v>
      </c>
      <c r="M213" s="280">
        <f t="shared" ref="M213:M276" si="62">IF(D213=0,0,J213-L213)</f>
        <v>-65026.404724797001</v>
      </c>
      <c r="N213" s="41">
        <f t="shared" si="8"/>
        <v>0.56395110011001093</v>
      </c>
      <c r="O213" s="56"/>
      <c r="P213" s="43">
        <f>IF(D213=0,0,SUM($L$202:L213))</f>
        <v>2757352.0781205017</v>
      </c>
      <c r="Q213" s="43">
        <f>IF(D213=0,0,SUM($J$202:J213))</f>
        <v>2654660</v>
      </c>
      <c r="R213" s="282">
        <f t="shared" ref="R213:R276" si="63">IF(D213=0,0,Q213-P213)</f>
        <v>-102692.07812050171</v>
      </c>
      <c r="S213" s="198">
        <f t="shared" si="53"/>
        <v>0.96275699467784326</v>
      </c>
      <c r="T213" s="207"/>
      <c r="U213" s="43">
        <f>IF(D213=0,0,SUM($L$21:L213))</f>
        <v>36781128.301896714</v>
      </c>
      <c r="V213" s="43">
        <f>IF(D213=0,0,SUM($J$21:J213))</f>
        <v>38824158.041958049</v>
      </c>
      <c r="W213" s="284">
        <f t="shared" ref="W213:W276" si="64">IF(D213=0,0,V213-U213)</f>
        <v>2043029.7400613353</v>
      </c>
      <c r="X213" s="200">
        <f t="shared" si="54"/>
        <v>1.0555455972772858</v>
      </c>
      <c r="Y213" s="201">
        <f t="shared" si="61"/>
        <v>45850</v>
      </c>
      <c r="Z213" s="202">
        <f t="shared" si="61"/>
        <v>45850</v>
      </c>
      <c r="AA213" s="18"/>
      <c r="AB213" s="244"/>
      <c r="AC213" s="247"/>
      <c r="AD213" s="142"/>
      <c r="AE213" s="18"/>
      <c r="AF213" s="18"/>
      <c r="AG213" s="203"/>
      <c r="AH213" s="203"/>
      <c r="AI213" s="18"/>
      <c r="AJ213" s="18"/>
      <c r="AK213" s="18"/>
      <c r="AL213" s="18"/>
      <c r="AM213" s="18"/>
      <c r="AN213" s="18"/>
    </row>
    <row r="214" spans="1:40" ht="20">
      <c r="A214" s="18"/>
      <c r="B214" s="151"/>
      <c r="C214" s="55">
        <v>194</v>
      </c>
      <c r="D214" s="54">
        <v>0</v>
      </c>
      <c r="E214" s="190">
        <f t="shared" ref="E214:E277" si="65">MONTH(Y214)</f>
        <v>7</v>
      </c>
      <c r="F214" s="191">
        <f t="shared" ref="F214:F277" si="66">F213+1</f>
        <v>45851</v>
      </c>
      <c r="G214" s="192" t="str">
        <f t="shared" ref="G214:G277" si="67">TEXT(Z214,"ddd")</f>
        <v>Sun</v>
      </c>
      <c r="H214" s="193"/>
      <c r="I214" s="194"/>
      <c r="J214" s="214"/>
      <c r="K214" s="215"/>
      <c r="L214" s="43">
        <f t="shared" ref="L214:L277" si="68">IF(D214=0,0,IFERROR(SUMIFS($AE$21:$AE$104,$AA$21:$AA$104,$E214,$AB$21:$AB$104,$G214),0))</f>
        <v>0</v>
      </c>
      <c r="M214" s="280">
        <f t="shared" si="62"/>
        <v>0</v>
      </c>
      <c r="N214" s="41" t="str">
        <f t="shared" si="8"/>
        <v>¥0</v>
      </c>
      <c r="O214" s="44"/>
      <c r="P214" s="43">
        <f>IF(D214=0,0,SUM($L$202:L214))</f>
        <v>0</v>
      </c>
      <c r="Q214" s="43">
        <f>IF(D214=0,0,SUM($J$202:J214))</f>
        <v>0</v>
      </c>
      <c r="R214" s="282">
        <f t="shared" si="63"/>
        <v>0</v>
      </c>
      <c r="S214" s="198">
        <f t="shared" ref="S214:S277" si="69">IF(D214=0,0,Q214/P214)</f>
        <v>0</v>
      </c>
      <c r="T214" s="212"/>
      <c r="U214" s="43">
        <f>IF(D214=0,0,SUM($L$21:L214))</f>
        <v>0</v>
      </c>
      <c r="V214" s="43">
        <f>IF(D214=0,0,SUM($J$21:J214))</f>
        <v>0</v>
      </c>
      <c r="W214" s="284">
        <f t="shared" si="64"/>
        <v>0</v>
      </c>
      <c r="X214" s="200">
        <f t="shared" ref="X214:X277" si="70">IF(D214=0,0,V214/U214)</f>
        <v>0</v>
      </c>
      <c r="Y214" s="201">
        <f t="shared" si="61"/>
        <v>45851</v>
      </c>
      <c r="Z214" s="202">
        <f t="shared" si="61"/>
        <v>45851</v>
      </c>
      <c r="AA214" s="18"/>
      <c r="AB214" s="244"/>
      <c r="AC214" s="247"/>
      <c r="AD214" s="142"/>
      <c r="AE214" s="18"/>
      <c r="AF214" s="18"/>
      <c r="AG214" s="203"/>
      <c r="AH214" s="203"/>
      <c r="AI214" s="18"/>
      <c r="AJ214" s="18"/>
      <c r="AK214" s="18"/>
      <c r="AL214" s="18"/>
      <c r="AM214" s="18"/>
      <c r="AN214" s="18"/>
    </row>
    <row r="215" spans="1:40" ht="20">
      <c r="A215" s="18"/>
      <c r="B215" s="151"/>
      <c r="C215" s="55">
        <v>195</v>
      </c>
      <c r="D215" s="54">
        <v>1</v>
      </c>
      <c r="E215" s="190">
        <f t="shared" si="65"/>
        <v>7</v>
      </c>
      <c r="F215" s="191">
        <f t="shared" si="66"/>
        <v>45852</v>
      </c>
      <c r="G215" s="192" t="str">
        <f t="shared" si="67"/>
        <v>Mon</v>
      </c>
      <c r="H215" s="193"/>
      <c r="I215" s="194"/>
      <c r="J215" s="214">
        <v>323390</v>
      </c>
      <c r="K215" s="215"/>
      <c r="L215" s="43">
        <f t="shared" si="68"/>
        <v>330515.0037909075</v>
      </c>
      <c r="M215" s="280">
        <f t="shared" si="62"/>
        <v>-7125.0037909075036</v>
      </c>
      <c r="N215" s="41">
        <f t="shared" si="8"/>
        <v>0.97844272208769389</v>
      </c>
      <c r="O215" s="56"/>
      <c r="P215" s="43">
        <f>IF(D215=0,0,SUM($L$202:L215))</f>
        <v>3087867.0819114093</v>
      </c>
      <c r="Q215" s="43">
        <f>IF(D215=0,0,SUM($J$202:J215))</f>
        <v>2978050</v>
      </c>
      <c r="R215" s="282">
        <f t="shared" si="63"/>
        <v>-109817.08191140927</v>
      </c>
      <c r="S215" s="198">
        <f t="shared" si="69"/>
        <v>0.96443594267554034</v>
      </c>
      <c r="T215" s="207"/>
      <c r="U215" s="43">
        <f>IF(D215=0,0,SUM($L$21:L215))</f>
        <v>37111643.305687621</v>
      </c>
      <c r="V215" s="43">
        <f>IF(D215=0,0,SUM($J$21:J215))</f>
        <v>39147548.041958049</v>
      </c>
      <c r="W215" s="284">
        <f t="shared" si="64"/>
        <v>2035904.7362704277</v>
      </c>
      <c r="X215" s="200">
        <f t="shared" si="70"/>
        <v>1.0548589217540365</v>
      </c>
      <c r="Y215" s="201">
        <f t="shared" ref="Y215:Z230" si="71">Y214+1</f>
        <v>45852</v>
      </c>
      <c r="Z215" s="202">
        <f t="shared" si="71"/>
        <v>45852</v>
      </c>
      <c r="AA215" s="18"/>
      <c r="AB215" s="244"/>
      <c r="AC215" s="247"/>
      <c r="AD215" s="142"/>
      <c r="AE215" s="18"/>
      <c r="AF215" s="18"/>
      <c r="AG215" s="203"/>
      <c r="AH215" s="203"/>
      <c r="AI215" s="18"/>
      <c r="AJ215" s="18"/>
      <c r="AK215" s="18"/>
      <c r="AL215" s="18"/>
      <c r="AM215" s="18"/>
      <c r="AN215" s="18"/>
    </row>
    <row r="216" spans="1:40" ht="20">
      <c r="A216" s="18"/>
      <c r="B216" s="151"/>
      <c r="C216" s="55">
        <v>196</v>
      </c>
      <c r="D216" s="54">
        <v>1</v>
      </c>
      <c r="E216" s="190">
        <f t="shared" si="65"/>
        <v>7</v>
      </c>
      <c r="F216" s="191">
        <f t="shared" si="66"/>
        <v>45853</v>
      </c>
      <c r="G216" s="192" t="str">
        <f t="shared" si="67"/>
        <v>Tue</v>
      </c>
      <c r="H216" s="193"/>
      <c r="I216" s="194"/>
      <c r="J216" s="214">
        <v>190110</v>
      </c>
      <c r="K216" s="215"/>
      <c r="L216" s="43">
        <f t="shared" si="68"/>
        <v>186812.13009555428</v>
      </c>
      <c r="M216" s="280">
        <f t="shared" si="62"/>
        <v>3297.8699044457171</v>
      </c>
      <c r="N216" s="41">
        <f t="shared" si="8"/>
        <v>1.0176534034634628</v>
      </c>
      <c r="O216" s="56"/>
      <c r="P216" s="43">
        <f>IF(D216=0,0,SUM($L$202:L216))</f>
        <v>3274679.2120069638</v>
      </c>
      <c r="Q216" s="43">
        <f>IF(D216=0,0,SUM($J$202:J216))</f>
        <v>3168160</v>
      </c>
      <c r="R216" s="282">
        <f t="shared" si="63"/>
        <v>-106519.21200696379</v>
      </c>
      <c r="S216" s="198">
        <f t="shared" si="69"/>
        <v>0.96747186362059534</v>
      </c>
      <c r="T216" s="207"/>
      <c r="U216" s="43">
        <f>IF(D216=0,0,SUM($L$21:L216))</f>
        <v>37298455.435783178</v>
      </c>
      <c r="V216" s="43">
        <f>IF(D216=0,0,SUM($J$21:J216))</f>
        <v>39337658.041958049</v>
      </c>
      <c r="W216" s="284">
        <f t="shared" si="64"/>
        <v>2039202.6061748713</v>
      </c>
      <c r="X216" s="200">
        <f t="shared" si="70"/>
        <v>1.0546725751066495</v>
      </c>
      <c r="Y216" s="201">
        <f t="shared" si="71"/>
        <v>45853</v>
      </c>
      <c r="Z216" s="202">
        <f t="shared" si="71"/>
        <v>45853</v>
      </c>
      <c r="AA216" s="18"/>
      <c r="AB216" s="244"/>
      <c r="AC216" s="247"/>
      <c r="AD216" s="142"/>
      <c r="AE216" s="18"/>
      <c r="AF216" s="18"/>
      <c r="AG216" s="203"/>
      <c r="AH216" s="203"/>
      <c r="AI216" s="18"/>
      <c r="AJ216" s="18"/>
      <c r="AK216" s="18"/>
      <c r="AL216" s="18"/>
      <c r="AM216" s="18"/>
      <c r="AN216" s="18"/>
    </row>
    <row r="217" spans="1:40" ht="20">
      <c r="A217" s="18"/>
      <c r="B217" s="151"/>
      <c r="C217" s="55">
        <v>197</v>
      </c>
      <c r="D217" s="54">
        <v>1</v>
      </c>
      <c r="E217" s="190">
        <f t="shared" si="65"/>
        <v>7</v>
      </c>
      <c r="F217" s="191">
        <f t="shared" si="66"/>
        <v>45854</v>
      </c>
      <c r="G217" s="192" t="str">
        <f t="shared" si="67"/>
        <v>Wed</v>
      </c>
      <c r="H217" s="193"/>
      <c r="I217" s="194"/>
      <c r="J217" s="214">
        <v>243160</v>
      </c>
      <c r="K217" s="215"/>
      <c r="L217" s="43">
        <f t="shared" si="68"/>
        <v>270734.47987696819</v>
      </c>
      <c r="M217" s="280">
        <f t="shared" si="62"/>
        <v>-27574.479876968195</v>
      </c>
      <c r="N217" s="41">
        <f t="shared" si="8"/>
        <v>0.89814936062263273</v>
      </c>
      <c r="O217" s="56"/>
      <c r="P217" s="43">
        <f>IF(D217=0,0,SUM($L$202:L217))</f>
        <v>3545413.6918839319</v>
      </c>
      <c r="Q217" s="43">
        <f>IF(D217=0,0,SUM($J$202:J217))</f>
        <v>3411320</v>
      </c>
      <c r="R217" s="282">
        <f t="shared" si="63"/>
        <v>-134093.69188393187</v>
      </c>
      <c r="S217" s="198">
        <f t="shared" si="69"/>
        <v>0.96217826647680194</v>
      </c>
      <c r="T217" s="207"/>
      <c r="U217" s="43">
        <f>IF(D217=0,0,SUM($L$21:L217))</f>
        <v>37569189.915660143</v>
      </c>
      <c r="V217" s="43">
        <f>IF(D217=0,0,SUM($J$21:J217))</f>
        <v>39580818.041958049</v>
      </c>
      <c r="W217" s="284">
        <f t="shared" si="64"/>
        <v>2011628.126297906</v>
      </c>
      <c r="X217" s="200">
        <f t="shared" si="70"/>
        <v>1.0535446234218477</v>
      </c>
      <c r="Y217" s="201">
        <f t="shared" si="71"/>
        <v>45854</v>
      </c>
      <c r="Z217" s="202">
        <f t="shared" si="71"/>
        <v>45854</v>
      </c>
      <c r="AA217" s="18"/>
      <c r="AB217" s="244"/>
      <c r="AC217" s="247"/>
      <c r="AD217" s="142"/>
      <c r="AE217" s="18"/>
      <c r="AF217" s="18"/>
      <c r="AG217" s="203"/>
      <c r="AH217" s="203"/>
      <c r="AI217" s="18"/>
      <c r="AJ217" s="18"/>
      <c r="AK217" s="18"/>
      <c r="AL217" s="18"/>
      <c r="AM217" s="18"/>
      <c r="AN217" s="18"/>
    </row>
    <row r="218" spans="1:40" ht="20">
      <c r="A218" s="18"/>
      <c r="B218" s="151"/>
      <c r="C218" s="55">
        <v>198</v>
      </c>
      <c r="D218" s="54">
        <v>1</v>
      </c>
      <c r="E218" s="190">
        <f t="shared" si="65"/>
        <v>7</v>
      </c>
      <c r="F218" s="191">
        <f t="shared" si="66"/>
        <v>45855</v>
      </c>
      <c r="G218" s="192" t="str">
        <f t="shared" si="67"/>
        <v>Thu</v>
      </c>
      <c r="H218" s="193"/>
      <c r="I218" s="194"/>
      <c r="J218" s="214">
        <v>326680</v>
      </c>
      <c r="K218" s="215"/>
      <c r="L218" s="43">
        <f t="shared" si="68"/>
        <v>242688.77545011236</v>
      </c>
      <c r="M218" s="280">
        <f t="shared" si="62"/>
        <v>83991.224549887644</v>
      </c>
      <c r="N218" s="41">
        <f t="shared" si="8"/>
        <v>1.3460861524976175</v>
      </c>
      <c r="O218" s="56"/>
      <c r="P218" s="43">
        <f>IF(D218=0,0,SUM($L$202:L218))</f>
        <v>3788102.4673340442</v>
      </c>
      <c r="Q218" s="43">
        <f>IF(D218=0,0,SUM($J$202:J218))</f>
        <v>3738000</v>
      </c>
      <c r="R218" s="282">
        <f t="shared" si="63"/>
        <v>-50102.467334044166</v>
      </c>
      <c r="S218" s="198">
        <f t="shared" si="69"/>
        <v>0.98677372965327814</v>
      </c>
      <c r="T218" s="207"/>
      <c r="U218" s="43">
        <f>IF(D218=0,0,SUM($L$21:L218))</f>
        <v>37811878.691110253</v>
      </c>
      <c r="V218" s="43">
        <f>IF(D218=0,0,SUM($J$21:J218))</f>
        <v>39907498.041958049</v>
      </c>
      <c r="W218" s="284">
        <f t="shared" si="64"/>
        <v>2095619.3508477956</v>
      </c>
      <c r="X218" s="200">
        <f t="shared" si="70"/>
        <v>1.0554222488643625</v>
      </c>
      <c r="Y218" s="201">
        <f t="shared" si="71"/>
        <v>45855</v>
      </c>
      <c r="Z218" s="202">
        <f t="shared" si="71"/>
        <v>45855</v>
      </c>
      <c r="AA218" s="18"/>
      <c r="AB218" s="244"/>
      <c r="AC218" s="247"/>
      <c r="AD218" s="142"/>
      <c r="AE218" s="18"/>
      <c r="AF218" s="18"/>
      <c r="AG218" s="203"/>
      <c r="AH218" s="203"/>
      <c r="AI218" s="18"/>
      <c r="AJ218" s="18"/>
      <c r="AK218" s="18"/>
      <c r="AL218" s="18"/>
      <c r="AM218" s="18"/>
      <c r="AN218" s="18"/>
    </row>
    <row r="219" spans="1:40" ht="20">
      <c r="A219" s="18"/>
      <c r="B219" s="151"/>
      <c r="C219" s="55">
        <v>199</v>
      </c>
      <c r="D219" s="54">
        <v>1</v>
      </c>
      <c r="E219" s="190">
        <f t="shared" si="65"/>
        <v>7</v>
      </c>
      <c r="F219" s="191">
        <f t="shared" si="66"/>
        <v>45856</v>
      </c>
      <c r="G219" s="192" t="str">
        <f t="shared" si="67"/>
        <v>Fri</v>
      </c>
      <c r="H219" s="193"/>
      <c r="I219" s="194"/>
      <c r="J219" s="214">
        <v>256310</v>
      </c>
      <c r="K219" s="215"/>
      <c r="L219" s="43">
        <f t="shared" si="68"/>
        <v>364056.7470173653</v>
      </c>
      <c r="M219" s="280">
        <f t="shared" si="62"/>
        <v>-107746.7470173653</v>
      </c>
      <c r="N219" s="41">
        <f t="shared" si="8"/>
        <v>0.70403859315859396</v>
      </c>
      <c r="O219" s="56"/>
      <c r="P219" s="43">
        <f>IF(D219=0,0,SUM($L$202:L219))</f>
        <v>4152159.2143514096</v>
      </c>
      <c r="Q219" s="43">
        <f>IF(D219=0,0,SUM($J$202:J219))</f>
        <v>3994310</v>
      </c>
      <c r="R219" s="282">
        <f t="shared" si="63"/>
        <v>-157849.21435140958</v>
      </c>
      <c r="S219" s="198">
        <f t="shared" si="69"/>
        <v>0.96198382427007523</v>
      </c>
      <c r="T219" s="207"/>
      <c r="U219" s="43">
        <f>IF(D219=0,0,SUM($L$21:L219))</f>
        <v>38175935.438127622</v>
      </c>
      <c r="V219" s="43">
        <f>IF(D219=0,0,SUM($J$21:J219))</f>
        <v>40163808.041958049</v>
      </c>
      <c r="W219" s="284">
        <f t="shared" si="64"/>
        <v>1987872.6038304269</v>
      </c>
      <c r="X219" s="200">
        <f t="shared" si="70"/>
        <v>1.0520713528304291</v>
      </c>
      <c r="Y219" s="201">
        <f t="shared" si="71"/>
        <v>45856</v>
      </c>
      <c r="Z219" s="202">
        <f t="shared" si="71"/>
        <v>45856</v>
      </c>
      <c r="AA219" s="18"/>
      <c r="AB219" s="244"/>
      <c r="AC219" s="247"/>
      <c r="AD219" s="142"/>
      <c r="AE219" s="18"/>
      <c r="AF219" s="18"/>
      <c r="AG219" s="203"/>
      <c r="AH219" s="203"/>
      <c r="AI219" s="18"/>
      <c r="AJ219" s="18"/>
      <c r="AK219" s="18"/>
      <c r="AL219" s="18"/>
      <c r="AM219" s="18"/>
      <c r="AN219" s="18"/>
    </row>
    <row r="220" spans="1:40" ht="20">
      <c r="A220" s="18"/>
      <c r="B220" s="151"/>
      <c r="C220" s="55">
        <v>200</v>
      </c>
      <c r="D220" s="54">
        <v>1</v>
      </c>
      <c r="E220" s="190">
        <f t="shared" si="65"/>
        <v>7</v>
      </c>
      <c r="F220" s="191">
        <f t="shared" si="66"/>
        <v>45857</v>
      </c>
      <c r="G220" s="192" t="str">
        <f t="shared" si="67"/>
        <v>Sat</v>
      </c>
      <c r="H220" s="193"/>
      <c r="I220" s="194"/>
      <c r="J220" s="214">
        <v>49340</v>
      </c>
      <c r="K220" s="215"/>
      <c r="L220" s="43">
        <f t="shared" si="68"/>
        <v>149126.404724797</v>
      </c>
      <c r="M220" s="280">
        <f t="shared" si="62"/>
        <v>-99786.404724797001</v>
      </c>
      <c r="N220" s="41">
        <f t="shared" si="8"/>
        <v>0.33086025302530248</v>
      </c>
      <c r="O220" s="56"/>
      <c r="P220" s="43">
        <f>IF(D220=0,0,SUM($L$202:L220))</f>
        <v>4301285.6190762063</v>
      </c>
      <c r="Q220" s="43">
        <f>IF(D220=0,0,SUM($J$202:J220))</f>
        <v>4043650</v>
      </c>
      <c r="R220" s="282">
        <f t="shared" si="63"/>
        <v>-257635.61907620635</v>
      </c>
      <c r="S220" s="198">
        <f t="shared" si="69"/>
        <v>0.94010264793075071</v>
      </c>
      <c r="T220" s="207"/>
      <c r="U220" s="43">
        <f>IF(D220=0,0,SUM($L$21:L220))</f>
        <v>38325061.842852421</v>
      </c>
      <c r="V220" s="43">
        <f>IF(D220=0,0,SUM($J$21:J220))</f>
        <v>40213148.041958049</v>
      </c>
      <c r="W220" s="284">
        <f t="shared" si="64"/>
        <v>1888086.1991056278</v>
      </c>
      <c r="X220" s="200">
        <f t="shared" si="70"/>
        <v>1.0492650529005669</v>
      </c>
      <c r="Y220" s="201">
        <f t="shared" si="71"/>
        <v>45857</v>
      </c>
      <c r="Z220" s="202">
        <f t="shared" si="71"/>
        <v>45857</v>
      </c>
      <c r="AA220" s="18"/>
      <c r="AB220" s="244"/>
      <c r="AC220" s="247"/>
      <c r="AD220" s="142"/>
      <c r="AE220" s="18"/>
      <c r="AF220" s="18"/>
      <c r="AG220" s="203"/>
      <c r="AH220" s="203"/>
      <c r="AI220" s="18"/>
      <c r="AJ220" s="18"/>
      <c r="AK220" s="18"/>
      <c r="AL220" s="18"/>
      <c r="AM220" s="18"/>
      <c r="AN220" s="18"/>
    </row>
    <row r="221" spans="1:40" ht="20">
      <c r="A221" s="18"/>
      <c r="B221" s="151"/>
      <c r="C221" s="55">
        <v>201</v>
      </c>
      <c r="D221" s="54">
        <v>0</v>
      </c>
      <c r="E221" s="190">
        <f t="shared" si="65"/>
        <v>7</v>
      </c>
      <c r="F221" s="191">
        <f t="shared" si="66"/>
        <v>45858</v>
      </c>
      <c r="G221" s="192" t="str">
        <f t="shared" si="67"/>
        <v>Sun</v>
      </c>
      <c r="H221" s="193"/>
      <c r="I221" s="194"/>
      <c r="J221" s="214"/>
      <c r="K221" s="215"/>
      <c r="L221" s="43">
        <f t="shared" si="68"/>
        <v>0</v>
      </c>
      <c r="M221" s="280">
        <f t="shared" si="62"/>
        <v>0</v>
      </c>
      <c r="N221" s="41" t="str">
        <f t="shared" si="8"/>
        <v>¥0</v>
      </c>
      <c r="O221" s="44"/>
      <c r="P221" s="43">
        <f>IF(D221=0,0,SUM($L$202:L221))</f>
        <v>0</v>
      </c>
      <c r="Q221" s="43">
        <f>IF(D221=0,0,SUM($J$202:J221))</f>
        <v>0</v>
      </c>
      <c r="R221" s="282">
        <f t="shared" si="63"/>
        <v>0</v>
      </c>
      <c r="S221" s="198">
        <f t="shared" si="69"/>
        <v>0</v>
      </c>
      <c r="T221" s="212"/>
      <c r="U221" s="43">
        <f>IF(D221=0,0,SUM($L$21:L221))</f>
        <v>0</v>
      </c>
      <c r="V221" s="43">
        <f>IF(D221=0,0,SUM($J$21:J221))</f>
        <v>0</v>
      </c>
      <c r="W221" s="284">
        <f t="shared" si="64"/>
        <v>0</v>
      </c>
      <c r="X221" s="200">
        <f t="shared" si="70"/>
        <v>0</v>
      </c>
      <c r="Y221" s="201">
        <f t="shared" si="71"/>
        <v>45858</v>
      </c>
      <c r="Z221" s="202">
        <f t="shared" si="71"/>
        <v>45858</v>
      </c>
      <c r="AA221" s="18"/>
      <c r="AB221" s="244"/>
      <c r="AC221" s="247"/>
      <c r="AD221" s="142"/>
      <c r="AE221" s="18"/>
      <c r="AF221" s="18"/>
      <c r="AG221" s="203"/>
      <c r="AH221" s="203"/>
      <c r="AI221" s="18"/>
      <c r="AJ221" s="18"/>
      <c r="AK221" s="18"/>
      <c r="AL221" s="18"/>
      <c r="AM221" s="18"/>
      <c r="AN221" s="18"/>
    </row>
    <row r="222" spans="1:40" ht="20">
      <c r="A222" s="18"/>
      <c r="B222" s="151"/>
      <c r="C222" s="55">
        <v>202</v>
      </c>
      <c r="D222" s="54">
        <v>0</v>
      </c>
      <c r="E222" s="190">
        <f t="shared" si="65"/>
        <v>7</v>
      </c>
      <c r="F222" s="191">
        <f t="shared" si="66"/>
        <v>45859</v>
      </c>
      <c r="G222" s="192" t="str">
        <f t="shared" si="67"/>
        <v>Mon</v>
      </c>
      <c r="H222" s="193" t="s">
        <v>176</v>
      </c>
      <c r="I222" s="194"/>
      <c r="J222" s="214"/>
      <c r="K222" s="215"/>
      <c r="L222" s="43">
        <f t="shared" si="68"/>
        <v>0</v>
      </c>
      <c r="M222" s="280">
        <f t="shared" si="62"/>
        <v>0</v>
      </c>
      <c r="N222" s="41" t="str">
        <f t="shared" si="8"/>
        <v>¥0</v>
      </c>
      <c r="O222" s="44"/>
      <c r="P222" s="43">
        <f>IF(D222=0,0,SUM($L$202:L222))</f>
        <v>0</v>
      </c>
      <c r="Q222" s="43">
        <f>IF(D222=0,0,SUM($J$202:J222))</f>
        <v>0</v>
      </c>
      <c r="R222" s="282">
        <f t="shared" si="63"/>
        <v>0</v>
      </c>
      <c r="S222" s="198">
        <f t="shared" si="69"/>
        <v>0</v>
      </c>
      <c r="T222" s="212"/>
      <c r="U222" s="43">
        <f>IF(D222=0,0,SUM($L$21:L222))</f>
        <v>0</v>
      </c>
      <c r="V222" s="43">
        <f>IF(D222=0,0,SUM($J$21:J222))</f>
        <v>0</v>
      </c>
      <c r="W222" s="284">
        <f t="shared" si="64"/>
        <v>0</v>
      </c>
      <c r="X222" s="200">
        <f t="shared" si="70"/>
        <v>0</v>
      </c>
      <c r="Y222" s="201">
        <f t="shared" si="71"/>
        <v>45859</v>
      </c>
      <c r="Z222" s="202">
        <f t="shared" si="71"/>
        <v>45859</v>
      </c>
      <c r="AA222" s="18"/>
      <c r="AB222" s="244"/>
      <c r="AC222" s="247"/>
      <c r="AD222" s="142"/>
      <c r="AE222" s="18"/>
      <c r="AF222" s="18"/>
      <c r="AG222" s="203"/>
      <c r="AH222" s="203"/>
      <c r="AI222" s="18"/>
      <c r="AJ222" s="18"/>
      <c r="AK222" s="18"/>
      <c r="AL222" s="18"/>
      <c r="AM222" s="18"/>
      <c r="AN222" s="18"/>
    </row>
    <row r="223" spans="1:40" ht="20">
      <c r="A223" s="18"/>
      <c r="B223" s="151"/>
      <c r="C223" s="55">
        <v>203</v>
      </c>
      <c r="D223" s="54">
        <v>1</v>
      </c>
      <c r="E223" s="190">
        <f t="shared" si="65"/>
        <v>7</v>
      </c>
      <c r="F223" s="191">
        <f t="shared" si="66"/>
        <v>45860</v>
      </c>
      <c r="G223" s="192" t="str">
        <f t="shared" si="67"/>
        <v>Tue</v>
      </c>
      <c r="H223" s="193"/>
      <c r="I223" s="194"/>
      <c r="J223" s="214">
        <v>218650</v>
      </c>
      <c r="K223" s="215"/>
      <c r="L223" s="43">
        <f t="shared" si="68"/>
        <v>186812.13009555428</v>
      </c>
      <c r="M223" s="280">
        <f t="shared" si="62"/>
        <v>31837.869904445717</v>
      </c>
      <c r="N223" s="41">
        <f t="shared" si="8"/>
        <v>1.1704272088121936</v>
      </c>
      <c r="O223" s="56"/>
      <c r="P223" s="43">
        <f>IF(D223=0,0,SUM($L$202:L223))</f>
        <v>4488097.7491717609</v>
      </c>
      <c r="Q223" s="43">
        <f>IF(D223=0,0,SUM($J$202:J223))</f>
        <v>4262300</v>
      </c>
      <c r="R223" s="282">
        <f t="shared" si="63"/>
        <v>-225797.74917176086</v>
      </c>
      <c r="S223" s="198">
        <f t="shared" si="69"/>
        <v>0.94968965432773167</v>
      </c>
      <c r="T223" s="207"/>
      <c r="U223" s="43">
        <f>IF(D223=0,0,SUM($L$21:L223))</f>
        <v>38511873.972947977</v>
      </c>
      <c r="V223" s="43">
        <f>IF(D223=0,0,SUM($J$21:J223))</f>
        <v>40431798.041958049</v>
      </c>
      <c r="W223" s="284">
        <f t="shared" si="64"/>
        <v>1919924.0690100715</v>
      </c>
      <c r="X223" s="200">
        <f t="shared" si="70"/>
        <v>1.0498527822966675</v>
      </c>
      <c r="Y223" s="201">
        <f t="shared" si="71"/>
        <v>45860</v>
      </c>
      <c r="Z223" s="202">
        <f t="shared" si="71"/>
        <v>45860</v>
      </c>
      <c r="AA223" s="18"/>
      <c r="AB223" s="244"/>
      <c r="AC223" s="247"/>
      <c r="AD223" s="142"/>
      <c r="AE223" s="18"/>
      <c r="AF223" s="18"/>
      <c r="AG223" s="203"/>
      <c r="AH223" s="203"/>
      <c r="AI223" s="18"/>
      <c r="AJ223" s="18"/>
      <c r="AK223" s="18"/>
      <c r="AL223" s="18"/>
      <c r="AM223" s="18"/>
      <c r="AN223" s="18"/>
    </row>
    <row r="224" spans="1:40" ht="20">
      <c r="A224" s="18"/>
      <c r="B224" s="151"/>
      <c r="C224" s="55">
        <v>204</v>
      </c>
      <c r="D224" s="54">
        <v>1</v>
      </c>
      <c r="E224" s="190">
        <f t="shared" si="65"/>
        <v>7</v>
      </c>
      <c r="F224" s="191">
        <f t="shared" si="66"/>
        <v>45861</v>
      </c>
      <c r="G224" s="192" t="str">
        <f t="shared" si="67"/>
        <v>Wed</v>
      </c>
      <c r="H224" s="193"/>
      <c r="I224" s="194"/>
      <c r="J224" s="214">
        <v>247120</v>
      </c>
      <c r="K224" s="215"/>
      <c r="L224" s="43">
        <f t="shared" si="68"/>
        <v>270734.47987696819</v>
      </c>
      <c r="M224" s="280">
        <f t="shared" si="62"/>
        <v>-23614.479876968195</v>
      </c>
      <c r="N224" s="41">
        <f t="shared" si="8"/>
        <v>0.91277623785600015</v>
      </c>
      <c r="O224" s="56"/>
      <c r="P224" s="43">
        <f>IF(D224=0,0,SUM($L$202:L224))</f>
        <v>4758832.2290487289</v>
      </c>
      <c r="Q224" s="43">
        <f>IF(D224=0,0,SUM($J$202:J224))</f>
        <v>4509420</v>
      </c>
      <c r="R224" s="282">
        <f t="shared" si="63"/>
        <v>-249412.22904872894</v>
      </c>
      <c r="S224" s="198">
        <f t="shared" si="69"/>
        <v>0.94758961504751649</v>
      </c>
      <c r="T224" s="207"/>
      <c r="U224" s="43">
        <f>IF(D224=0,0,SUM($L$21:L224))</f>
        <v>38782608.452824943</v>
      </c>
      <c r="V224" s="43">
        <f>IF(D224=0,0,SUM($J$21:J224))</f>
        <v>40678918.041958049</v>
      </c>
      <c r="W224" s="284">
        <f t="shared" si="64"/>
        <v>1896309.5891331062</v>
      </c>
      <c r="X224" s="200">
        <f t="shared" si="70"/>
        <v>1.0488958753622715</v>
      </c>
      <c r="Y224" s="201">
        <f t="shared" si="71"/>
        <v>45861</v>
      </c>
      <c r="Z224" s="202">
        <f t="shared" si="71"/>
        <v>45861</v>
      </c>
      <c r="AA224" s="18"/>
      <c r="AB224" s="244"/>
      <c r="AC224" s="247"/>
      <c r="AD224" s="142"/>
      <c r="AE224" s="18"/>
      <c r="AF224" s="18"/>
      <c r="AG224" s="203"/>
      <c r="AH224" s="203"/>
      <c r="AI224" s="18"/>
      <c r="AJ224" s="18"/>
      <c r="AK224" s="18"/>
      <c r="AL224" s="18"/>
      <c r="AM224" s="18"/>
      <c r="AN224" s="18"/>
    </row>
    <row r="225" spans="1:40" ht="20">
      <c r="A225" s="18"/>
      <c r="B225" s="151"/>
      <c r="C225" s="55">
        <v>205</v>
      </c>
      <c r="D225" s="54">
        <v>1</v>
      </c>
      <c r="E225" s="190">
        <f t="shared" si="65"/>
        <v>7</v>
      </c>
      <c r="F225" s="191">
        <f t="shared" si="66"/>
        <v>45862</v>
      </c>
      <c r="G225" s="192" t="str">
        <f t="shared" si="67"/>
        <v>Thu</v>
      </c>
      <c r="H225" s="193"/>
      <c r="I225" s="194"/>
      <c r="J225" s="214">
        <v>343680</v>
      </c>
      <c r="K225" s="215"/>
      <c r="L225" s="43">
        <f t="shared" si="68"/>
        <v>242688.77545011236</v>
      </c>
      <c r="M225" s="280">
        <f t="shared" si="62"/>
        <v>100991.22454988764</v>
      </c>
      <c r="N225" s="41">
        <f t="shared" si="8"/>
        <v>1.416134715594408</v>
      </c>
      <c r="O225" s="56"/>
      <c r="P225" s="43">
        <f>IF(D225=0,0,SUM($L$202:L225))</f>
        <v>5001521.0044988412</v>
      </c>
      <c r="Q225" s="43">
        <f>IF(D225=0,0,SUM($J$202:J225))</f>
        <v>4853100</v>
      </c>
      <c r="R225" s="282">
        <f t="shared" si="63"/>
        <v>-148421.00449884124</v>
      </c>
      <c r="S225" s="198">
        <f t="shared" si="69"/>
        <v>0.97032482631476757</v>
      </c>
      <c r="T225" s="207"/>
      <c r="U225" s="43">
        <f>IF(D225=0,0,SUM($L$21:L225))</f>
        <v>39025297.228275053</v>
      </c>
      <c r="V225" s="43">
        <f>IF(D225=0,0,SUM($J$21:J225))</f>
        <v>41022598.041958049</v>
      </c>
      <c r="W225" s="284">
        <f t="shared" si="64"/>
        <v>1997300.8136829957</v>
      </c>
      <c r="X225" s="200">
        <f t="shared" si="70"/>
        <v>1.0511796438602365</v>
      </c>
      <c r="Y225" s="201">
        <f t="shared" si="71"/>
        <v>45862</v>
      </c>
      <c r="Z225" s="202">
        <f t="shared" si="71"/>
        <v>45862</v>
      </c>
      <c r="AA225" s="18"/>
      <c r="AB225" s="244"/>
      <c r="AC225" s="247"/>
      <c r="AD225" s="142"/>
      <c r="AE225" s="18"/>
      <c r="AF225" s="18"/>
      <c r="AG225" s="203"/>
      <c r="AH225" s="203"/>
      <c r="AI225" s="18"/>
      <c r="AJ225" s="18"/>
      <c r="AK225" s="18"/>
      <c r="AL225" s="18"/>
      <c r="AM225" s="18"/>
      <c r="AN225" s="18"/>
    </row>
    <row r="226" spans="1:40" ht="20">
      <c r="A226" s="18"/>
      <c r="B226" s="151"/>
      <c r="C226" s="55">
        <v>206</v>
      </c>
      <c r="D226" s="54">
        <v>1</v>
      </c>
      <c r="E226" s="190">
        <f t="shared" si="65"/>
        <v>7</v>
      </c>
      <c r="F226" s="191">
        <f t="shared" si="66"/>
        <v>45863</v>
      </c>
      <c r="G226" s="192" t="str">
        <f t="shared" si="67"/>
        <v>Fri</v>
      </c>
      <c r="H226" s="193"/>
      <c r="I226" s="194"/>
      <c r="J226" s="214">
        <v>343970</v>
      </c>
      <c r="K226" s="215"/>
      <c r="L226" s="43">
        <f t="shared" si="68"/>
        <v>364056.7470173653</v>
      </c>
      <c r="M226" s="280">
        <f t="shared" si="62"/>
        <v>-20086.747017365298</v>
      </c>
      <c r="N226" s="41">
        <f t="shared" si="8"/>
        <v>0.94482523073138602</v>
      </c>
      <c r="O226" s="56"/>
      <c r="P226" s="43">
        <f>IF(D226=0,0,SUM($L$202:L226))</f>
        <v>5365577.7515162062</v>
      </c>
      <c r="Q226" s="43">
        <f>IF(D226=0,0,SUM($J$202:J226))</f>
        <v>5197070</v>
      </c>
      <c r="R226" s="282">
        <f t="shared" si="63"/>
        <v>-168507.75151620619</v>
      </c>
      <c r="S226" s="198">
        <f t="shared" si="69"/>
        <v>0.96859466784008685</v>
      </c>
      <c r="T226" s="207"/>
      <c r="U226" s="43">
        <f>IF(D226=0,0,SUM($L$21:L226))</f>
        <v>39389353.975292422</v>
      </c>
      <c r="V226" s="43">
        <f>IF(D226=0,0,SUM($J$21:J226))</f>
        <v>41366568.041958049</v>
      </c>
      <c r="W226" s="284">
        <f t="shared" si="64"/>
        <v>1977214.0666656271</v>
      </c>
      <c r="X226" s="200">
        <f t="shared" si="70"/>
        <v>1.0501966614610097</v>
      </c>
      <c r="Y226" s="201">
        <f t="shared" si="71"/>
        <v>45863</v>
      </c>
      <c r="Z226" s="202">
        <f t="shared" si="71"/>
        <v>45863</v>
      </c>
      <c r="AA226" s="18"/>
      <c r="AB226" s="244"/>
      <c r="AC226" s="247"/>
      <c r="AD226" s="142"/>
      <c r="AE226" s="18"/>
      <c r="AF226" s="18"/>
      <c r="AG226" s="203"/>
      <c r="AH226" s="203"/>
      <c r="AI226" s="18"/>
      <c r="AJ226" s="18"/>
      <c r="AK226" s="18"/>
      <c r="AL226" s="18"/>
      <c r="AM226" s="18"/>
      <c r="AN226" s="18"/>
    </row>
    <row r="227" spans="1:40" ht="20">
      <c r="A227" s="18"/>
      <c r="B227" s="151"/>
      <c r="C227" s="55">
        <v>207</v>
      </c>
      <c r="D227" s="54">
        <v>1</v>
      </c>
      <c r="E227" s="190">
        <f t="shared" si="65"/>
        <v>7</v>
      </c>
      <c r="F227" s="191">
        <f t="shared" si="66"/>
        <v>45864</v>
      </c>
      <c r="G227" s="192" t="str">
        <f t="shared" si="67"/>
        <v>Sat</v>
      </c>
      <c r="H227" s="193"/>
      <c r="I227" s="194"/>
      <c r="J227" s="214">
        <v>108950</v>
      </c>
      <c r="K227" s="215"/>
      <c r="L227" s="43">
        <f t="shared" si="68"/>
        <v>149126.404724797</v>
      </c>
      <c r="M227" s="280">
        <f t="shared" si="62"/>
        <v>-40176.404724797001</v>
      </c>
      <c r="N227" s="41">
        <f t="shared" si="8"/>
        <v>0.73058825632563251</v>
      </c>
      <c r="O227" s="56"/>
      <c r="P227" s="43">
        <f>IF(D227=0,0,SUM($L$202:L227))</f>
        <v>5514704.1562410034</v>
      </c>
      <c r="Q227" s="43">
        <f>IF(D227=0,0,SUM($J$202:J227))</f>
        <v>5306020</v>
      </c>
      <c r="R227" s="282">
        <f t="shared" si="63"/>
        <v>-208684.15624100342</v>
      </c>
      <c r="S227" s="198">
        <f t="shared" si="69"/>
        <v>0.96215859449054308</v>
      </c>
      <c r="T227" s="207"/>
      <c r="U227" s="43">
        <f>IF(D227=0,0,SUM($L$21:L227))</f>
        <v>39538480.380017221</v>
      </c>
      <c r="V227" s="43">
        <f>IF(D227=0,0,SUM($J$21:J227))</f>
        <v>41475518.041958049</v>
      </c>
      <c r="W227" s="284">
        <f t="shared" si="64"/>
        <v>1937037.661940828</v>
      </c>
      <c r="X227" s="200">
        <f t="shared" si="70"/>
        <v>1.0489912015667604</v>
      </c>
      <c r="Y227" s="201">
        <f t="shared" si="71"/>
        <v>45864</v>
      </c>
      <c r="Z227" s="202">
        <f t="shared" si="71"/>
        <v>45864</v>
      </c>
      <c r="AA227" s="18"/>
      <c r="AB227" s="244"/>
      <c r="AC227" s="247"/>
      <c r="AD227" s="142"/>
      <c r="AE227" s="18"/>
      <c r="AF227" s="18"/>
      <c r="AG227" s="203"/>
      <c r="AH227" s="203"/>
      <c r="AI227" s="18"/>
      <c r="AJ227" s="18"/>
      <c r="AK227" s="18"/>
      <c r="AL227" s="18"/>
      <c r="AM227" s="18"/>
      <c r="AN227" s="18"/>
    </row>
    <row r="228" spans="1:40" ht="20">
      <c r="A228" s="18"/>
      <c r="B228" s="151"/>
      <c r="C228" s="55">
        <v>208</v>
      </c>
      <c r="D228" s="54">
        <v>0</v>
      </c>
      <c r="E228" s="190">
        <f t="shared" si="65"/>
        <v>7</v>
      </c>
      <c r="F228" s="191">
        <f t="shared" si="66"/>
        <v>45865</v>
      </c>
      <c r="G228" s="192" t="str">
        <f t="shared" si="67"/>
        <v>Sun</v>
      </c>
      <c r="H228" s="193"/>
      <c r="I228" s="194"/>
      <c r="J228" s="214"/>
      <c r="K228" s="215"/>
      <c r="L228" s="43">
        <f t="shared" si="68"/>
        <v>0</v>
      </c>
      <c r="M228" s="280">
        <f t="shared" si="62"/>
        <v>0</v>
      </c>
      <c r="N228" s="41" t="str">
        <f t="shared" si="8"/>
        <v>¥0</v>
      </c>
      <c r="O228" s="44"/>
      <c r="P228" s="43">
        <f>IF(D228=0,0,SUM($L$202:L228))</f>
        <v>0</v>
      </c>
      <c r="Q228" s="43">
        <f>IF(D228=0,0,SUM($J$202:J228))</f>
        <v>0</v>
      </c>
      <c r="R228" s="282">
        <f t="shared" si="63"/>
        <v>0</v>
      </c>
      <c r="S228" s="198">
        <f t="shared" si="69"/>
        <v>0</v>
      </c>
      <c r="T228" s="212"/>
      <c r="U228" s="43">
        <f>IF(D228=0,0,SUM($L$21:L228))</f>
        <v>0</v>
      </c>
      <c r="V228" s="43">
        <f>IF(D228=0,0,SUM($J$21:J228))</f>
        <v>0</v>
      </c>
      <c r="W228" s="284">
        <f t="shared" si="64"/>
        <v>0</v>
      </c>
      <c r="X228" s="200">
        <f t="shared" si="70"/>
        <v>0</v>
      </c>
      <c r="Y228" s="201">
        <f t="shared" si="71"/>
        <v>45865</v>
      </c>
      <c r="Z228" s="202">
        <f t="shared" si="71"/>
        <v>45865</v>
      </c>
      <c r="AA228" s="18"/>
      <c r="AB228" s="244"/>
      <c r="AC228" s="247"/>
      <c r="AD228" s="142"/>
      <c r="AE228" s="18"/>
      <c r="AF228" s="18"/>
      <c r="AG228" s="203"/>
      <c r="AH228" s="203"/>
      <c r="AI228" s="18"/>
      <c r="AJ228" s="18"/>
      <c r="AK228" s="18"/>
      <c r="AL228" s="18"/>
      <c r="AM228" s="18"/>
      <c r="AN228" s="18"/>
    </row>
    <row r="229" spans="1:40" ht="20">
      <c r="A229" s="18"/>
      <c r="B229" s="151"/>
      <c r="C229" s="55">
        <v>209</v>
      </c>
      <c r="D229" s="54">
        <v>1</v>
      </c>
      <c r="E229" s="190">
        <f t="shared" si="65"/>
        <v>7</v>
      </c>
      <c r="F229" s="191">
        <f t="shared" si="66"/>
        <v>45866</v>
      </c>
      <c r="G229" s="192" t="str">
        <f t="shared" si="67"/>
        <v>Mon</v>
      </c>
      <c r="H229" s="193"/>
      <c r="I229" s="194"/>
      <c r="J229" s="214">
        <v>298450</v>
      </c>
      <c r="K229" s="215"/>
      <c r="L229" s="43">
        <f t="shared" si="68"/>
        <v>330515.0037909075</v>
      </c>
      <c r="M229" s="280">
        <f t="shared" si="62"/>
        <v>-32065.003790907504</v>
      </c>
      <c r="N229" s="41">
        <f t="shared" si="8"/>
        <v>0.90298472558543008</v>
      </c>
      <c r="O229" s="56"/>
      <c r="P229" s="43">
        <f>IF(D229=0,0,SUM($L$202:L229))</f>
        <v>5845219.160031911</v>
      </c>
      <c r="Q229" s="43">
        <f>IF(D229=0,0,SUM($J$202:J229))</f>
        <v>5604470</v>
      </c>
      <c r="R229" s="282">
        <f t="shared" si="63"/>
        <v>-240749.16003191099</v>
      </c>
      <c r="S229" s="198">
        <f t="shared" si="69"/>
        <v>0.95881263756916235</v>
      </c>
      <c r="T229" s="207"/>
      <c r="U229" s="43">
        <f>IF(D229=0,0,SUM($L$21:L229))</f>
        <v>39868995.383808129</v>
      </c>
      <c r="V229" s="43">
        <f>IF(D229=0,0,SUM($J$21:J229))</f>
        <v>41773968.041958049</v>
      </c>
      <c r="W229" s="284">
        <f t="shared" si="64"/>
        <v>1904972.6581499204</v>
      </c>
      <c r="X229" s="200">
        <f t="shared" si="70"/>
        <v>1.0477808041013137</v>
      </c>
      <c r="Y229" s="201">
        <f t="shared" si="71"/>
        <v>45866</v>
      </c>
      <c r="Z229" s="202">
        <f t="shared" si="71"/>
        <v>45866</v>
      </c>
      <c r="AA229" s="18"/>
      <c r="AB229" s="244"/>
      <c r="AC229" s="247"/>
      <c r="AD229" s="142"/>
      <c r="AE229" s="18"/>
      <c r="AF229" s="18"/>
      <c r="AG229" s="203"/>
      <c r="AH229" s="203"/>
      <c r="AI229" s="18"/>
      <c r="AJ229" s="18"/>
      <c r="AK229" s="18"/>
      <c r="AL229" s="18"/>
      <c r="AM229" s="18"/>
      <c r="AN229" s="18"/>
    </row>
    <row r="230" spans="1:40" ht="20">
      <c r="A230" s="18"/>
      <c r="B230" s="151"/>
      <c r="C230" s="55">
        <v>210</v>
      </c>
      <c r="D230" s="54">
        <v>1</v>
      </c>
      <c r="E230" s="190">
        <f t="shared" si="65"/>
        <v>7</v>
      </c>
      <c r="F230" s="191">
        <f t="shared" si="66"/>
        <v>45867</v>
      </c>
      <c r="G230" s="192" t="str">
        <f t="shared" si="67"/>
        <v>Tue</v>
      </c>
      <c r="H230" s="193"/>
      <c r="I230" s="194"/>
      <c r="J230" s="214">
        <v>305580</v>
      </c>
      <c r="K230" s="215"/>
      <c r="L230" s="43">
        <f t="shared" si="68"/>
        <v>186812.13009555428</v>
      </c>
      <c r="M230" s="280">
        <f t="shared" si="62"/>
        <v>118767.86990444572</v>
      </c>
      <c r="N230" s="41">
        <f t="shared" si="8"/>
        <v>1.6357610174654935</v>
      </c>
      <c r="O230" s="56"/>
      <c r="P230" s="43">
        <f>IF(D230=0,0,SUM($L$202:L230))</f>
        <v>6032031.2901274655</v>
      </c>
      <c r="Q230" s="43">
        <f>IF(D230=0,0,SUM($J$202:J230))</f>
        <v>5910050</v>
      </c>
      <c r="R230" s="282">
        <f t="shared" si="63"/>
        <v>-121981.2901274655</v>
      </c>
      <c r="S230" s="198">
        <f t="shared" si="69"/>
        <v>0.97977774247837368</v>
      </c>
      <c r="T230" s="207"/>
      <c r="U230" s="43">
        <f>IF(D230=0,0,SUM($L$21:L230))</f>
        <v>40055807.513903685</v>
      </c>
      <c r="V230" s="43">
        <f>IF(D230=0,0,SUM($J$21:J230))</f>
        <v>42079548.041958049</v>
      </c>
      <c r="W230" s="284">
        <f t="shared" si="64"/>
        <v>2023740.528054364</v>
      </c>
      <c r="X230" s="200">
        <f t="shared" si="70"/>
        <v>1.0505230240921222</v>
      </c>
      <c r="Y230" s="201">
        <f t="shared" si="71"/>
        <v>45867</v>
      </c>
      <c r="Z230" s="202">
        <f t="shared" si="71"/>
        <v>45867</v>
      </c>
      <c r="AA230" s="18"/>
      <c r="AB230" s="244"/>
      <c r="AC230" s="247"/>
      <c r="AD230" s="142"/>
      <c r="AE230" s="18"/>
      <c r="AF230" s="18"/>
      <c r="AG230" s="203"/>
      <c r="AH230" s="203"/>
      <c r="AI230" s="18"/>
      <c r="AJ230" s="18"/>
      <c r="AK230" s="18"/>
      <c r="AL230" s="18"/>
      <c r="AM230" s="18"/>
      <c r="AN230" s="18"/>
    </row>
    <row r="231" spans="1:40" ht="20">
      <c r="A231" s="18"/>
      <c r="B231" s="151"/>
      <c r="C231" s="55">
        <v>211</v>
      </c>
      <c r="D231" s="54">
        <v>1</v>
      </c>
      <c r="E231" s="190">
        <f t="shared" si="65"/>
        <v>7</v>
      </c>
      <c r="F231" s="191">
        <f t="shared" si="66"/>
        <v>45868</v>
      </c>
      <c r="G231" s="192" t="str">
        <f t="shared" si="67"/>
        <v>Wed</v>
      </c>
      <c r="H231" s="193"/>
      <c r="I231" s="194"/>
      <c r="J231" s="214">
        <v>320020</v>
      </c>
      <c r="K231" s="215"/>
      <c r="L231" s="43">
        <f t="shared" si="68"/>
        <v>270734.47987696819</v>
      </c>
      <c r="M231" s="280">
        <f t="shared" si="62"/>
        <v>49285.520123031805</v>
      </c>
      <c r="N231" s="41">
        <f t="shared" si="8"/>
        <v>1.1820437505611734</v>
      </c>
      <c r="O231" s="56"/>
      <c r="P231" s="43">
        <f>IF(D231=0,0,SUM($L$202:L231))</f>
        <v>6302765.7700044336</v>
      </c>
      <c r="Q231" s="43">
        <f>IF(D231=0,0,SUM($J$202:J231))</f>
        <v>6230070</v>
      </c>
      <c r="R231" s="282">
        <f t="shared" si="63"/>
        <v>-72695.77000443358</v>
      </c>
      <c r="S231" s="198">
        <f t="shared" si="69"/>
        <v>0.98846605241933616</v>
      </c>
      <c r="T231" s="207"/>
      <c r="U231" s="43">
        <f>IF(D231=0,0,SUM($L$21:L231))</f>
        <v>40326541.99378065</v>
      </c>
      <c r="V231" s="43">
        <f>IF(D231=0,0,SUM($J$21:J231))</f>
        <v>42399568.041958049</v>
      </c>
      <c r="W231" s="284">
        <f t="shared" si="64"/>
        <v>2073026.0481773987</v>
      </c>
      <c r="X231" s="200">
        <f t="shared" si="70"/>
        <v>1.0514059957954518</v>
      </c>
      <c r="Y231" s="201">
        <f t="shared" ref="Y231:Z246" si="72">Y230+1</f>
        <v>45868</v>
      </c>
      <c r="Z231" s="202">
        <f t="shared" si="72"/>
        <v>45868</v>
      </c>
      <c r="AA231" s="18"/>
      <c r="AB231" s="244"/>
      <c r="AC231" s="247"/>
      <c r="AD231" s="142"/>
      <c r="AE231" s="18"/>
      <c r="AF231" s="18"/>
      <c r="AG231" s="203"/>
      <c r="AH231" s="203"/>
      <c r="AI231" s="18"/>
      <c r="AJ231" s="18"/>
      <c r="AK231" s="18"/>
      <c r="AL231" s="18"/>
      <c r="AM231" s="18"/>
      <c r="AN231" s="18"/>
    </row>
    <row r="232" spans="1:40" ht="21" thickBot="1">
      <c r="A232" s="18"/>
      <c r="B232" s="151"/>
      <c r="C232" s="39">
        <v>212</v>
      </c>
      <c r="D232" s="38">
        <v>1</v>
      </c>
      <c r="E232" s="217">
        <f t="shared" si="65"/>
        <v>7</v>
      </c>
      <c r="F232" s="236">
        <f t="shared" si="66"/>
        <v>45869</v>
      </c>
      <c r="G232" s="219" t="str">
        <f t="shared" si="67"/>
        <v>Thu</v>
      </c>
      <c r="H232" s="233"/>
      <c r="I232" s="221"/>
      <c r="J232" s="237">
        <v>351250</v>
      </c>
      <c r="K232" s="223"/>
      <c r="L232" s="43">
        <f t="shared" si="68"/>
        <v>242688.77545011236</v>
      </c>
      <c r="M232" s="281">
        <f t="shared" si="62"/>
        <v>108561.22454988764</v>
      </c>
      <c r="N232" s="225">
        <f t="shared" si="8"/>
        <v>1.4473269286910375</v>
      </c>
      <c r="O232" s="226"/>
      <c r="P232" s="238">
        <f>IF(D232=0,0,SUM($L$202:L232))</f>
        <v>6545454.5454545459</v>
      </c>
      <c r="Q232" s="26">
        <f>IF(D232=0,0,SUM($J$202:J232))</f>
        <v>6581320</v>
      </c>
      <c r="R232" s="283">
        <f t="shared" si="63"/>
        <v>35865.454545454122</v>
      </c>
      <c r="S232" s="228">
        <f t="shared" si="69"/>
        <v>1.0054794444444444</v>
      </c>
      <c r="T232" s="229"/>
      <c r="U232" s="28">
        <f>IF(D232=0,0,SUM($L$21:L232))</f>
        <v>40569230.769230761</v>
      </c>
      <c r="V232" s="224">
        <f>IF(D232=0,0,SUM($J$21:J232))</f>
        <v>42750818.041958049</v>
      </c>
      <c r="W232" s="285">
        <f t="shared" si="64"/>
        <v>2181587.2727272883</v>
      </c>
      <c r="X232" s="230">
        <f t="shared" si="70"/>
        <v>1.0537744303099257</v>
      </c>
      <c r="Y232" s="201">
        <f t="shared" si="72"/>
        <v>45869</v>
      </c>
      <c r="Z232" s="202">
        <f t="shared" si="72"/>
        <v>45869</v>
      </c>
      <c r="AA232" s="18"/>
      <c r="AB232" s="244"/>
      <c r="AC232" s="247"/>
      <c r="AD232" s="142"/>
      <c r="AE232" s="18"/>
      <c r="AF232" s="18"/>
      <c r="AG232" s="203"/>
      <c r="AH232" s="203"/>
      <c r="AI232" s="18"/>
      <c r="AJ232" s="18"/>
      <c r="AK232" s="18"/>
      <c r="AL232" s="18"/>
      <c r="AM232" s="18"/>
      <c r="AN232" s="18"/>
    </row>
    <row r="233" spans="1:40" ht="21" thickTop="1">
      <c r="A233" s="18"/>
      <c r="B233" s="151"/>
      <c r="C233" s="55">
        <v>213</v>
      </c>
      <c r="D233" s="62">
        <v>1</v>
      </c>
      <c r="E233" s="190">
        <f t="shared" si="65"/>
        <v>8</v>
      </c>
      <c r="F233" s="191">
        <f t="shared" si="66"/>
        <v>45870</v>
      </c>
      <c r="G233" s="192" t="str">
        <f t="shared" si="67"/>
        <v>Fri</v>
      </c>
      <c r="H233" s="193"/>
      <c r="I233" s="194"/>
      <c r="J233" s="214">
        <v>327530</v>
      </c>
      <c r="K233" s="215"/>
      <c r="L233" s="43">
        <f t="shared" si="68"/>
        <v>320856.12916472479</v>
      </c>
      <c r="M233" s="282">
        <f t="shared" si="62"/>
        <v>6673.8708352752146</v>
      </c>
      <c r="N233" s="60">
        <f t="shared" si="8"/>
        <v>1.0208001974363061</v>
      </c>
      <c r="O233" s="56"/>
      <c r="P233" s="43">
        <f>IF(D233=0,0,$L$233)</f>
        <v>320856.12916472479</v>
      </c>
      <c r="Q233" s="43">
        <f>IF(D233=0,0,$J$233)</f>
        <v>327530</v>
      </c>
      <c r="R233" s="282">
        <f t="shared" si="63"/>
        <v>6673.8708352752146</v>
      </c>
      <c r="S233" s="231">
        <f t="shared" si="69"/>
        <v>1.0208001974363061</v>
      </c>
      <c r="T233" s="207"/>
      <c r="U233" s="43">
        <f>IF(D233=0,0,SUM($L$21:L233))</f>
        <v>40890086.898395486</v>
      </c>
      <c r="V233" s="43">
        <f>IF(D233=0,0,SUM($J$21:J233))</f>
        <v>43078348.041958049</v>
      </c>
      <c r="W233" s="284">
        <f t="shared" si="64"/>
        <v>2188261.1435625628</v>
      </c>
      <c r="X233" s="232">
        <f t="shared" si="70"/>
        <v>1.0535156882644929</v>
      </c>
      <c r="Y233" s="201">
        <f t="shared" si="72"/>
        <v>45870</v>
      </c>
      <c r="Z233" s="202">
        <f t="shared" si="72"/>
        <v>45870</v>
      </c>
      <c r="AA233" s="18"/>
      <c r="AB233" s="244"/>
      <c r="AC233" s="247"/>
      <c r="AD233" s="142"/>
      <c r="AE233" s="18"/>
      <c r="AF233" s="18"/>
      <c r="AG233" s="203"/>
      <c r="AH233" s="203"/>
      <c r="AI233" s="18"/>
      <c r="AJ233" s="18"/>
      <c r="AK233" s="18"/>
      <c r="AL233" s="18"/>
      <c r="AM233" s="18"/>
      <c r="AN233" s="18"/>
    </row>
    <row r="234" spans="1:40" ht="20">
      <c r="A234" s="18"/>
      <c r="B234" s="151"/>
      <c r="C234" s="55">
        <v>214</v>
      </c>
      <c r="D234" s="54">
        <v>1</v>
      </c>
      <c r="E234" s="190">
        <f t="shared" si="65"/>
        <v>8</v>
      </c>
      <c r="F234" s="191">
        <f t="shared" si="66"/>
        <v>45871</v>
      </c>
      <c r="G234" s="192" t="str">
        <f t="shared" si="67"/>
        <v>Sat</v>
      </c>
      <c r="H234" s="193"/>
      <c r="I234" s="194"/>
      <c r="J234" s="214">
        <v>74170</v>
      </c>
      <c r="K234" s="215"/>
      <c r="L234" s="43">
        <f t="shared" si="68"/>
        <v>174650.27223444887</v>
      </c>
      <c r="M234" s="280">
        <f t="shared" si="62"/>
        <v>-100480.27223444887</v>
      </c>
      <c r="N234" s="41">
        <f t="shared" si="8"/>
        <v>0.42467726532046224</v>
      </c>
      <c r="O234" s="56"/>
      <c r="P234" s="43">
        <f>IF(D234=0,0,SUM($L$233:L234))</f>
        <v>495506.40139917366</v>
      </c>
      <c r="Q234" s="43">
        <f>IF(D234=0,0,SUM($J$233:J234))</f>
        <v>401700</v>
      </c>
      <c r="R234" s="282">
        <f t="shared" si="63"/>
        <v>-93806.401399173657</v>
      </c>
      <c r="S234" s="198">
        <f t="shared" si="69"/>
        <v>0.81068579309108779</v>
      </c>
      <c r="T234" s="207"/>
      <c r="U234" s="43">
        <f>IF(D234=0,0,SUM($L$21:L234))</f>
        <v>41064737.170629933</v>
      </c>
      <c r="V234" s="43">
        <f>IF(D234=0,0,SUM($J$21:J234))</f>
        <v>43152518.041958049</v>
      </c>
      <c r="W234" s="284">
        <f t="shared" si="64"/>
        <v>2087780.8713281155</v>
      </c>
      <c r="X234" s="200">
        <f t="shared" si="70"/>
        <v>1.0508412086665277</v>
      </c>
      <c r="Y234" s="201">
        <f t="shared" si="72"/>
        <v>45871</v>
      </c>
      <c r="Z234" s="202">
        <f t="shared" si="72"/>
        <v>45871</v>
      </c>
      <c r="AA234" s="18"/>
      <c r="AB234" s="244"/>
      <c r="AC234" s="247"/>
      <c r="AD234" s="142"/>
      <c r="AE234" s="18"/>
      <c r="AF234" s="18"/>
      <c r="AG234" s="203"/>
      <c r="AH234" s="203"/>
      <c r="AI234" s="18"/>
      <c r="AJ234" s="18"/>
      <c r="AK234" s="18"/>
      <c r="AL234" s="18"/>
      <c r="AM234" s="18"/>
      <c r="AN234" s="18"/>
    </row>
    <row r="235" spans="1:40" ht="20">
      <c r="A235" s="18"/>
      <c r="B235" s="151"/>
      <c r="C235" s="55">
        <v>215</v>
      </c>
      <c r="D235" s="54">
        <v>0</v>
      </c>
      <c r="E235" s="190">
        <f t="shared" si="65"/>
        <v>8</v>
      </c>
      <c r="F235" s="191">
        <f t="shared" si="66"/>
        <v>45872</v>
      </c>
      <c r="G235" s="192" t="str">
        <f t="shared" si="67"/>
        <v>Sun</v>
      </c>
      <c r="H235" s="193"/>
      <c r="I235" s="194"/>
      <c r="J235" s="214"/>
      <c r="K235" s="215"/>
      <c r="L235" s="43">
        <f t="shared" si="68"/>
        <v>0</v>
      </c>
      <c r="M235" s="280">
        <f t="shared" si="62"/>
        <v>0</v>
      </c>
      <c r="N235" s="41" t="str">
        <f t="shared" si="8"/>
        <v>¥0</v>
      </c>
      <c r="O235" s="44"/>
      <c r="P235" s="43">
        <f>IF(D235=0,0,SUM($L$233:L235))</f>
        <v>0</v>
      </c>
      <c r="Q235" s="43">
        <f>IF(D235=0,0,SUM($J$233:J235))</f>
        <v>0</v>
      </c>
      <c r="R235" s="282">
        <f t="shared" si="63"/>
        <v>0</v>
      </c>
      <c r="S235" s="198">
        <f t="shared" si="69"/>
        <v>0</v>
      </c>
      <c r="T235" s="212"/>
      <c r="U235" s="43">
        <f>IF(D235=0,0,SUM($L$21:L235))</f>
        <v>0</v>
      </c>
      <c r="V235" s="43">
        <f>IF(D235=0,0,SUM($J$21:J235))</f>
        <v>0</v>
      </c>
      <c r="W235" s="284">
        <f t="shared" si="64"/>
        <v>0</v>
      </c>
      <c r="X235" s="200">
        <f t="shared" si="70"/>
        <v>0</v>
      </c>
      <c r="Y235" s="201">
        <f t="shared" si="72"/>
        <v>45872</v>
      </c>
      <c r="Z235" s="202">
        <f t="shared" si="72"/>
        <v>45872</v>
      </c>
      <c r="AA235" s="18"/>
      <c r="AB235" s="244"/>
      <c r="AC235" s="247"/>
      <c r="AD235" s="142"/>
      <c r="AE235" s="18"/>
      <c r="AF235" s="18"/>
      <c r="AG235" s="203"/>
      <c r="AH235" s="203"/>
      <c r="AI235" s="18"/>
      <c r="AJ235" s="18"/>
      <c r="AK235" s="18"/>
      <c r="AL235" s="18"/>
      <c r="AM235" s="18"/>
      <c r="AN235" s="18"/>
    </row>
    <row r="236" spans="1:40" ht="20">
      <c r="A236" s="18"/>
      <c r="B236" s="151"/>
      <c r="C236" s="55">
        <v>216</v>
      </c>
      <c r="D236" s="54">
        <v>1</v>
      </c>
      <c r="E236" s="190">
        <f t="shared" si="65"/>
        <v>8</v>
      </c>
      <c r="F236" s="191">
        <f t="shared" si="66"/>
        <v>45873</v>
      </c>
      <c r="G236" s="192" t="str">
        <f t="shared" si="67"/>
        <v>Mon</v>
      </c>
      <c r="H236" s="193"/>
      <c r="I236" s="194"/>
      <c r="J236" s="214">
        <v>325280</v>
      </c>
      <c r="K236" s="215"/>
      <c r="L236" s="43">
        <f t="shared" si="68"/>
        <v>208711.40875077047</v>
      </c>
      <c r="M236" s="280">
        <f t="shared" si="62"/>
        <v>116568.59124922953</v>
      </c>
      <c r="N236" s="41">
        <f t="shared" si="8"/>
        <v>1.5585156649890095</v>
      </c>
      <c r="O236" s="56"/>
      <c r="P236" s="43">
        <f>IF(D236=0,0,SUM($L$233:L236))</f>
        <v>704217.81014994415</v>
      </c>
      <c r="Q236" s="43">
        <f>IF(D236=0,0,SUM($J$233:J236))</f>
        <v>726980</v>
      </c>
      <c r="R236" s="282">
        <f t="shared" si="63"/>
        <v>22762.189850055845</v>
      </c>
      <c r="S236" s="198">
        <f t="shared" si="69"/>
        <v>1.0323226557493757</v>
      </c>
      <c r="T236" s="207"/>
      <c r="U236" s="43">
        <f>IF(D236=0,0,SUM($L$21:L236))</f>
        <v>41273448.579380706</v>
      </c>
      <c r="V236" s="43">
        <f>IF(D236=0,0,SUM($J$21:J236))</f>
        <v>43477798.041958049</v>
      </c>
      <c r="W236" s="284">
        <f t="shared" si="64"/>
        <v>2204349.462577343</v>
      </c>
      <c r="X236" s="200">
        <f t="shared" si="70"/>
        <v>1.0534084148151019</v>
      </c>
      <c r="Y236" s="201">
        <f t="shared" si="72"/>
        <v>45873</v>
      </c>
      <c r="Z236" s="202">
        <f t="shared" si="72"/>
        <v>45873</v>
      </c>
      <c r="AA236" s="18"/>
      <c r="AB236" s="244"/>
      <c r="AC236" s="247"/>
      <c r="AD236" s="142"/>
      <c r="AE236" s="18"/>
      <c r="AF236" s="18"/>
      <c r="AG236" s="203"/>
      <c r="AH236" s="203"/>
      <c r="AI236" s="18"/>
      <c r="AJ236" s="18"/>
      <c r="AK236" s="18"/>
      <c r="AL236" s="18"/>
      <c r="AM236" s="18"/>
      <c r="AN236" s="18"/>
    </row>
    <row r="237" spans="1:40" ht="20">
      <c r="A237" s="18"/>
      <c r="B237" s="151"/>
      <c r="C237" s="55">
        <v>217</v>
      </c>
      <c r="D237" s="54">
        <v>1</v>
      </c>
      <c r="E237" s="190">
        <f t="shared" si="65"/>
        <v>8</v>
      </c>
      <c r="F237" s="191">
        <f t="shared" si="66"/>
        <v>45874</v>
      </c>
      <c r="G237" s="192" t="str">
        <f t="shared" si="67"/>
        <v>Tue</v>
      </c>
      <c r="H237" s="193"/>
      <c r="I237" s="194"/>
      <c r="J237" s="214">
        <v>200060</v>
      </c>
      <c r="K237" s="215"/>
      <c r="L237" s="43">
        <f t="shared" si="68"/>
        <v>175029.67989248806</v>
      </c>
      <c r="M237" s="280">
        <f t="shared" si="62"/>
        <v>25030.320107511943</v>
      </c>
      <c r="N237" s="41">
        <f t="shared" si="8"/>
        <v>1.143006146859703</v>
      </c>
      <c r="O237" s="56"/>
      <c r="P237" s="43">
        <f>IF(D237=0,0,SUM($L$233:L237))</f>
        <v>879247.49004243221</v>
      </c>
      <c r="Q237" s="43">
        <f>IF(D237=0,0,SUM($J$233:J237))</f>
        <v>927040</v>
      </c>
      <c r="R237" s="282">
        <f t="shared" si="63"/>
        <v>47792.509957567789</v>
      </c>
      <c r="S237" s="198">
        <f t="shared" si="69"/>
        <v>1.0543561517079354</v>
      </c>
      <c r="T237" s="207"/>
      <c r="U237" s="43">
        <f>IF(D237=0,0,SUM($L$21:L237))</f>
        <v>41448478.259273194</v>
      </c>
      <c r="V237" s="43">
        <f>IF(D237=0,0,SUM($J$21:J237))</f>
        <v>43677858.041958049</v>
      </c>
      <c r="W237" s="284">
        <f t="shared" si="64"/>
        <v>2229379.7826848552</v>
      </c>
      <c r="X237" s="200">
        <f t="shared" si="70"/>
        <v>1.0537867703788637</v>
      </c>
      <c r="Y237" s="201">
        <f t="shared" si="72"/>
        <v>45874</v>
      </c>
      <c r="Z237" s="202">
        <f t="shared" si="72"/>
        <v>45874</v>
      </c>
      <c r="AA237" s="18"/>
      <c r="AB237" s="244"/>
      <c r="AC237" s="247"/>
      <c r="AD237" s="142"/>
      <c r="AE237" s="18"/>
      <c r="AF237" s="18"/>
      <c r="AG237" s="203"/>
      <c r="AH237" s="203"/>
      <c r="AI237" s="18"/>
      <c r="AJ237" s="18"/>
      <c r="AK237" s="18"/>
      <c r="AL237" s="18"/>
      <c r="AM237" s="18"/>
      <c r="AN237" s="18"/>
    </row>
    <row r="238" spans="1:40" ht="20">
      <c r="A238" s="18"/>
      <c r="B238" s="151"/>
      <c r="C238" s="55">
        <v>218</v>
      </c>
      <c r="D238" s="54">
        <v>1</v>
      </c>
      <c r="E238" s="190">
        <f t="shared" si="65"/>
        <v>8</v>
      </c>
      <c r="F238" s="191">
        <f t="shared" si="66"/>
        <v>45875</v>
      </c>
      <c r="G238" s="192" t="str">
        <f t="shared" si="67"/>
        <v>Wed</v>
      </c>
      <c r="H238" s="193"/>
      <c r="I238" s="194"/>
      <c r="J238" s="214">
        <v>294840</v>
      </c>
      <c r="K238" s="215"/>
      <c r="L238" s="43">
        <f t="shared" si="68"/>
        <v>328105.4192113186</v>
      </c>
      <c r="M238" s="280">
        <f t="shared" si="62"/>
        <v>-33265.4192113186</v>
      </c>
      <c r="N238" s="41">
        <f t="shared" si="8"/>
        <v>0.89861362457444272</v>
      </c>
      <c r="O238" s="56"/>
      <c r="P238" s="43">
        <f>IF(D238=0,0,SUM($L$233:L238))</f>
        <v>1207352.9092537509</v>
      </c>
      <c r="Q238" s="43">
        <f>IF(D238=0,0,SUM($J$233:J238))</f>
        <v>1221880</v>
      </c>
      <c r="R238" s="282">
        <f t="shared" si="63"/>
        <v>14527.090746249072</v>
      </c>
      <c r="S238" s="198">
        <f t="shared" si="69"/>
        <v>1.012032182665819</v>
      </c>
      <c r="T238" s="207"/>
      <c r="U238" s="43">
        <f>IF(D238=0,0,SUM($L$21:L238))</f>
        <v>41776583.678484514</v>
      </c>
      <c r="V238" s="43">
        <f>IF(D238=0,0,SUM($J$21:J238))</f>
        <v>43972698.041958049</v>
      </c>
      <c r="W238" s="284">
        <f t="shared" si="64"/>
        <v>2196114.3634735346</v>
      </c>
      <c r="X238" s="200">
        <f t="shared" si="70"/>
        <v>1.0525680697199891</v>
      </c>
      <c r="Y238" s="201">
        <f t="shared" si="72"/>
        <v>45875</v>
      </c>
      <c r="Z238" s="202">
        <f t="shared" si="72"/>
        <v>45875</v>
      </c>
      <c r="AA238" s="18"/>
      <c r="AB238" s="244"/>
      <c r="AC238" s="247"/>
      <c r="AD238" s="142"/>
      <c r="AE238" s="18"/>
      <c r="AF238" s="18"/>
      <c r="AG238" s="203"/>
      <c r="AH238" s="203"/>
      <c r="AI238" s="18"/>
      <c r="AJ238" s="18"/>
      <c r="AK238" s="18"/>
      <c r="AL238" s="18"/>
      <c r="AM238" s="18"/>
      <c r="AN238" s="18"/>
    </row>
    <row r="239" spans="1:40" ht="20">
      <c r="A239" s="18"/>
      <c r="B239" s="151"/>
      <c r="C239" s="55">
        <v>219</v>
      </c>
      <c r="D239" s="54">
        <v>1</v>
      </c>
      <c r="E239" s="190">
        <f t="shared" si="65"/>
        <v>8</v>
      </c>
      <c r="F239" s="191">
        <f t="shared" si="66"/>
        <v>45876</v>
      </c>
      <c r="G239" s="192" t="str">
        <f t="shared" si="67"/>
        <v>Thu</v>
      </c>
      <c r="H239" s="193"/>
      <c r="I239" s="194"/>
      <c r="J239" s="214">
        <v>234020</v>
      </c>
      <c r="K239" s="215"/>
      <c r="L239" s="43">
        <f t="shared" si="68"/>
        <v>305799.96860153653</v>
      </c>
      <c r="M239" s="280">
        <f t="shared" si="62"/>
        <v>-71779.96860153653</v>
      </c>
      <c r="N239" s="41">
        <f t="shared" si="8"/>
        <v>0.76527149780362713</v>
      </c>
      <c r="O239" s="56"/>
      <c r="P239" s="43">
        <f>IF(D239=0,0,SUM($L$233:L239))</f>
        <v>1513152.8778552874</v>
      </c>
      <c r="Q239" s="43">
        <f>IF(D239=0,0,SUM($J$233:J239))</f>
        <v>1455900</v>
      </c>
      <c r="R239" s="282">
        <f t="shared" si="63"/>
        <v>-57252.877855287399</v>
      </c>
      <c r="S239" s="198">
        <f t="shared" si="69"/>
        <v>0.96216319005622453</v>
      </c>
      <c r="T239" s="207"/>
      <c r="U239" s="43">
        <f>IF(D239=0,0,SUM($L$21:L239))</f>
        <v>42082383.647086054</v>
      </c>
      <c r="V239" s="43">
        <f>IF(D239=0,0,SUM($J$21:J239))</f>
        <v>44206718.041958049</v>
      </c>
      <c r="W239" s="284">
        <f t="shared" si="64"/>
        <v>2124334.3948719949</v>
      </c>
      <c r="X239" s="200">
        <f t="shared" si="70"/>
        <v>1.0504803723260361</v>
      </c>
      <c r="Y239" s="201">
        <f t="shared" si="72"/>
        <v>45876</v>
      </c>
      <c r="Z239" s="202">
        <f t="shared" si="72"/>
        <v>45876</v>
      </c>
      <c r="AA239" s="18"/>
      <c r="AB239" s="244"/>
      <c r="AC239" s="247"/>
      <c r="AD239" s="142"/>
      <c r="AE239" s="18"/>
      <c r="AF239" s="18"/>
      <c r="AG239" s="203"/>
      <c r="AH239" s="203"/>
      <c r="AI239" s="18"/>
      <c r="AJ239" s="18"/>
      <c r="AK239" s="18"/>
      <c r="AL239" s="18"/>
      <c r="AM239" s="18"/>
      <c r="AN239" s="18"/>
    </row>
    <row r="240" spans="1:40" ht="20">
      <c r="A240" s="18"/>
      <c r="B240" s="151"/>
      <c r="C240" s="55">
        <v>220</v>
      </c>
      <c r="D240" s="54">
        <v>1</v>
      </c>
      <c r="E240" s="190">
        <f t="shared" si="65"/>
        <v>8</v>
      </c>
      <c r="F240" s="191">
        <f t="shared" si="66"/>
        <v>45877</v>
      </c>
      <c r="G240" s="192" t="str">
        <f t="shared" si="67"/>
        <v>Fri</v>
      </c>
      <c r="H240" s="193"/>
      <c r="I240" s="194"/>
      <c r="J240" s="214">
        <v>303240</v>
      </c>
      <c r="K240" s="215"/>
      <c r="L240" s="43">
        <f t="shared" si="68"/>
        <v>320856.12916472479</v>
      </c>
      <c r="M240" s="280">
        <f t="shared" si="62"/>
        <v>-17616.129164724785</v>
      </c>
      <c r="N240" s="41">
        <f t="shared" si="8"/>
        <v>0.94509648542297031</v>
      </c>
      <c r="O240" s="56"/>
      <c r="P240" s="43">
        <f>IF(D240=0,0,SUM($L$233:L240))</f>
        <v>1834009.0070200122</v>
      </c>
      <c r="Q240" s="43">
        <f>IF(D240=0,0,SUM($J$233:J240))</f>
        <v>1759140</v>
      </c>
      <c r="R240" s="282">
        <f t="shared" si="63"/>
        <v>-74869.007020012243</v>
      </c>
      <c r="S240" s="198">
        <f t="shared" si="69"/>
        <v>0.95917740494542991</v>
      </c>
      <c r="T240" s="207"/>
      <c r="U240" s="43">
        <f>IF(D240=0,0,SUM($L$21:L240))</f>
        <v>42403239.77625078</v>
      </c>
      <c r="V240" s="43">
        <f>IF(D240=0,0,SUM($J$21:J240))</f>
        <v>44509958.041958049</v>
      </c>
      <c r="W240" s="284">
        <f t="shared" si="64"/>
        <v>2106718.2657072693</v>
      </c>
      <c r="X240" s="200">
        <f t="shared" si="70"/>
        <v>1.0496829552841667</v>
      </c>
      <c r="Y240" s="201">
        <f t="shared" si="72"/>
        <v>45877</v>
      </c>
      <c r="Z240" s="202">
        <f t="shared" si="72"/>
        <v>45877</v>
      </c>
      <c r="AA240" s="18"/>
      <c r="AB240" s="244"/>
      <c r="AC240" s="247"/>
      <c r="AD240" s="142"/>
      <c r="AE240" s="18"/>
      <c r="AF240" s="18"/>
      <c r="AG240" s="203"/>
      <c r="AH240" s="203"/>
      <c r="AI240" s="18"/>
      <c r="AJ240" s="18"/>
      <c r="AK240" s="18"/>
      <c r="AL240" s="18"/>
      <c r="AM240" s="18"/>
      <c r="AN240" s="18"/>
    </row>
    <row r="241" spans="1:40" ht="20">
      <c r="A241" s="18"/>
      <c r="B241" s="151"/>
      <c r="C241" s="55">
        <v>221</v>
      </c>
      <c r="D241" s="54">
        <v>1</v>
      </c>
      <c r="E241" s="190">
        <f t="shared" si="65"/>
        <v>8</v>
      </c>
      <c r="F241" s="191">
        <f t="shared" si="66"/>
        <v>45878</v>
      </c>
      <c r="G241" s="192" t="str">
        <f t="shared" si="67"/>
        <v>Sat</v>
      </c>
      <c r="H241" s="193"/>
      <c r="I241" s="194"/>
      <c r="J241" s="214">
        <v>68970</v>
      </c>
      <c r="K241" s="215"/>
      <c r="L241" s="43">
        <f t="shared" si="68"/>
        <v>174650.27223444887</v>
      </c>
      <c r="M241" s="280">
        <f t="shared" si="62"/>
        <v>-105680.27223444887</v>
      </c>
      <c r="N241" s="41">
        <f t="shared" si="8"/>
        <v>0.39490347834909367</v>
      </c>
      <c r="O241" s="56"/>
      <c r="P241" s="43">
        <f>IF(D241=0,0,SUM($L$233:L241))</f>
        <v>2008659.2792544612</v>
      </c>
      <c r="Q241" s="43">
        <f>IF(D241=0,0,SUM($J$233:J241))</f>
        <v>1828110</v>
      </c>
      <c r="R241" s="282">
        <f t="shared" si="63"/>
        <v>-180549.27925446117</v>
      </c>
      <c r="S241" s="198">
        <f t="shared" si="69"/>
        <v>0.91011453205668891</v>
      </c>
      <c r="T241" s="207"/>
      <c r="U241" s="43">
        <f>IF(D241=0,0,SUM($L$21:L241))</f>
        <v>42577890.048485227</v>
      </c>
      <c r="V241" s="43">
        <f>IF(D241=0,0,SUM($J$21:J241))</f>
        <v>44578928.041958049</v>
      </c>
      <c r="W241" s="284">
        <f t="shared" si="64"/>
        <v>2001037.993472822</v>
      </c>
      <c r="X241" s="200">
        <f t="shared" si="70"/>
        <v>1.0469971149625816</v>
      </c>
      <c r="Y241" s="201">
        <f t="shared" si="72"/>
        <v>45878</v>
      </c>
      <c r="Z241" s="202">
        <f t="shared" si="72"/>
        <v>45878</v>
      </c>
      <c r="AA241" s="18"/>
      <c r="AB241" s="244"/>
      <c r="AC241" s="247"/>
      <c r="AD241" s="142"/>
      <c r="AE241" s="18"/>
      <c r="AF241" s="18"/>
      <c r="AG241" s="203"/>
      <c r="AH241" s="203"/>
      <c r="AI241" s="18"/>
      <c r="AJ241" s="18"/>
      <c r="AK241" s="18"/>
      <c r="AL241" s="18"/>
      <c r="AM241" s="18"/>
      <c r="AN241" s="18"/>
    </row>
    <row r="242" spans="1:40" ht="20">
      <c r="A242" s="18"/>
      <c r="B242" s="151"/>
      <c r="C242" s="55">
        <v>222</v>
      </c>
      <c r="D242" s="54">
        <v>0</v>
      </c>
      <c r="E242" s="190">
        <f t="shared" si="65"/>
        <v>8</v>
      </c>
      <c r="F242" s="191">
        <f t="shared" si="66"/>
        <v>45879</v>
      </c>
      <c r="G242" s="192" t="str">
        <f t="shared" si="67"/>
        <v>Sun</v>
      </c>
      <c r="H242" s="193"/>
      <c r="I242" s="194"/>
      <c r="J242" s="214"/>
      <c r="K242" s="215"/>
      <c r="L242" s="43">
        <f t="shared" si="68"/>
        <v>0</v>
      </c>
      <c r="M242" s="280">
        <f t="shared" si="62"/>
        <v>0</v>
      </c>
      <c r="N242" s="41" t="str">
        <f t="shared" si="8"/>
        <v>¥0</v>
      </c>
      <c r="O242" s="44"/>
      <c r="P242" s="43">
        <f>IF(D242=0,0,SUM($L$233:L242))</f>
        <v>0</v>
      </c>
      <c r="Q242" s="43">
        <f>IF(D242=0,0,SUM($J$233:J242))</f>
        <v>0</v>
      </c>
      <c r="R242" s="282">
        <f t="shared" si="63"/>
        <v>0</v>
      </c>
      <c r="S242" s="198">
        <f t="shared" si="69"/>
        <v>0</v>
      </c>
      <c r="T242" s="212"/>
      <c r="U242" s="43">
        <f>IF(D242=0,0,SUM($L$21:L242))</f>
        <v>0</v>
      </c>
      <c r="V242" s="43">
        <f>IF(D242=0,0,SUM($J$21:J242))</f>
        <v>0</v>
      </c>
      <c r="W242" s="284">
        <f t="shared" si="64"/>
        <v>0</v>
      </c>
      <c r="X242" s="200">
        <f t="shared" si="70"/>
        <v>0</v>
      </c>
      <c r="Y242" s="201">
        <f t="shared" si="72"/>
        <v>45879</v>
      </c>
      <c r="Z242" s="202">
        <f t="shared" si="72"/>
        <v>45879</v>
      </c>
      <c r="AA242" s="18"/>
      <c r="AB242" s="244"/>
      <c r="AC242" s="247"/>
      <c r="AD242" s="142"/>
      <c r="AE242" s="18"/>
      <c r="AF242" s="18"/>
      <c r="AG242" s="203"/>
      <c r="AH242" s="203"/>
      <c r="AI242" s="18"/>
      <c r="AJ242" s="18"/>
      <c r="AK242" s="18"/>
      <c r="AL242" s="18"/>
      <c r="AM242" s="18"/>
      <c r="AN242" s="18"/>
    </row>
    <row r="243" spans="1:40" ht="20">
      <c r="A243" s="18"/>
      <c r="B243" s="151"/>
      <c r="C243" s="55">
        <v>223</v>
      </c>
      <c r="D243" s="54">
        <v>0</v>
      </c>
      <c r="E243" s="190">
        <f t="shared" si="65"/>
        <v>8</v>
      </c>
      <c r="F243" s="191">
        <f t="shared" si="66"/>
        <v>45880</v>
      </c>
      <c r="G243" s="192" t="str">
        <f t="shared" si="67"/>
        <v>Mon</v>
      </c>
      <c r="H243" s="193" t="s">
        <v>177</v>
      </c>
      <c r="I243" s="194"/>
      <c r="J243" s="214"/>
      <c r="K243" s="215"/>
      <c r="L243" s="43">
        <f t="shared" si="68"/>
        <v>0</v>
      </c>
      <c r="M243" s="280">
        <f t="shared" si="62"/>
        <v>0</v>
      </c>
      <c r="N243" s="41" t="str">
        <f t="shared" si="8"/>
        <v>¥0</v>
      </c>
      <c r="O243" s="44"/>
      <c r="P243" s="43">
        <f>IF(D243=0,0,SUM($L$233:L243))</f>
        <v>0</v>
      </c>
      <c r="Q243" s="43">
        <f>IF(D243=0,0,SUM($J$233:J243))</f>
        <v>0</v>
      </c>
      <c r="R243" s="282">
        <f t="shared" si="63"/>
        <v>0</v>
      </c>
      <c r="S243" s="198">
        <f t="shared" si="69"/>
        <v>0</v>
      </c>
      <c r="T243" s="212"/>
      <c r="U243" s="43">
        <f>IF(D243=0,0,SUM($L$21:L243))</f>
        <v>0</v>
      </c>
      <c r="V243" s="43">
        <f>IF(D243=0,0,SUM($J$21:J243))</f>
        <v>0</v>
      </c>
      <c r="W243" s="284">
        <f t="shared" si="64"/>
        <v>0</v>
      </c>
      <c r="X243" s="200">
        <f t="shared" si="70"/>
        <v>0</v>
      </c>
      <c r="Y243" s="201">
        <f t="shared" si="72"/>
        <v>45880</v>
      </c>
      <c r="Z243" s="202">
        <f t="shared" si="72"/>
        <v>45880</v>
      </c>
      <c r="AA243" s="18"/>
      <c r="AB243" s="244"/>
      <c r="AC243" s="247"/>
      <c r="AD243" s="142"/>
      <c r="AE243" s="18"/>
      <c r="AF243" s="18"/>
      <c r="AG243" s="203"/>
      <c r="AH243" s="203"/>
      <c r="AI243" s="18"/>
      <c r="AJ243" s="18"/>
      <c r="AK243" s="18"/>
      <c r="AL243" s="18"/>
      <c r="AM243" s="18"/>
      <c r="AN243" s="18"/>
    </row>
    <row r="244" spans="1:40" ht="20">
      <c r="A244" s="18"/>
      <c r="B244" s="151"/>
      <c r="C244" s="55">
        <v>224</v>
      </c>
      <c r="D244" s="54">
        <v>0</v>
      </c>
      <c r="E244" s="190">
        <f t="shared" si="65"/>
        <v>8</v>
      </c>
      <c r="F244" s="191">
        <f t="shared" si="66"/>
        <v>45881</v>
      </c>
      <c r="G244" s="192" t="str">
        <f t="shared" si="67"/>
        <v>Tue</v>
      </c>
      <c r="H244" s="193"/>
      <c r="I244" s="194"/>
      <c r="J244" s="214"/>
      <c r="K244" s="215"/>
      <c r="L244" s="43">
        <f t="shared" si="68"/>
        <v>0</v>
      </c>
      <c r="M244" s="280">
        <f t="shared" si="62"/>
        <v>0</v>
      </c>
      <c r="N244" s="41" t="str">
        <f t="shared" si="8"/>
        <v>¥0</v>
      </c>
      <c r="O244" s="44"/>
      <c r="P244" s="43">
        <f>IF(D244=0,0,SUM($L$233:L244))</f>
        <v>0</v>
      </c>
      <c r="Q244" s="43">
        <f>IF(D244=0,0,SUM($J$233:J244))</f>
        <v>0</v>
      </c>
      <c r="R244" s="282">
        <f t="shared" si="63"/>
        <v>0</v>
      </c>
      <c r="S244" s="198">
        <f t="shared" si="69"/>
        <v>0</v>
      </c>
      <c r="T244" s="212"/>
      <c r="U244" s="43">
        <f>IF(D244=0,0,SUM($L$21:L244))</f>
        <v>0</v>
      </c>
      <c r="V244" s="43">
        <f>IF(D244=0,0,SUM($J$21:J244))</f>
        <v>0</v>
      </c>
      <c r="W244" s="284">
        <f t="shared" si="64"/>
        <v>0</v>
      </c>
      <c r="X244" s="200">
        <f t="shared" si="70"/>
        <v>0</v>
      </c>
      <c r="Y244" s="201">
        <f t="shared" si="72"/>
        <v>45881</v>
      </c>
      <c r="Z244" s="202">
        <f t="shared" si="72"/>
        <v>45881</v>
      </c>
      <c r="AA244" s="18"/>
      <c r="AB244" s="244"/>
      <c r="AC244" s="247"/>
      <c r="AD244" s="142"/>
      <c r="AE244" s="18"/>
      <c r="AF244" s="18"/>
      <c r="AG244" s="203"/>
      <c r="AH244" s="203"/>
      <c r="AI244" s="18"/>
      <c r="AJ244" s="18"/>
      <c r="AK244" s="18"/>
      <c r="AL244" s="18"/>
      <c r="AM244" s="18"/>
      <c r="AN244" s="18"/>
    </row>
    <row r="245" spans="1:40" ht="20">
      <c r="A245" s="18"/>
      <c r="B245" s="151"/>
      <c r="C245" s="55">
        <v>225</v>
      </c>
      <c r="D245" s="54">
        <v>0</v>
      </c>
      <c r="E245" s="190">
        <f t="shared" si="65"/>
        <v>8</v>
      </c>
      <c r="F245" s="191">
        <f t="shared" si="66"/>
        <v>45882</v>
      </c>
      <c r="G245" s="192" t="str">
        <f t="shared" si="67"/>
        <v>Wed</v>
      </c>
      <c r="H245" s="193"/>
      <c r="I245" s="194"/>
      <c r="J245" s="214"/>
      <c r="K245" s="215"/>
      <c r="L245" s="43">
        <f t="shared" si="68"/>
        <v>0</v>
      </c>
      <c r="M245" s="280">
        <f t="shared" si="62"/>
        <v>0</v>
      </c>
      <c r="N245" s="41" t="str">
        <f t="shared" si="8"/>
        <v>¥0</v>
      </c>
      <c r="O245" s="44"/>
      <c r="P245" s="43">
        <f>IF(D245=0,0,SUM($L$233:L245))</f>
        <v>0</v>
      </c>
      <c r="Q245" s="43">
        <f>IF(D245=0,0,SUM($J$233:J245))</f>
        <v>0</v>
      </c>
      <c r="R245" s="282">
        <f t="shared" si="63"/>
        <v>0</v>
      </c>
      <c r="S245" s="198">
        <f t="shared" si="69"/>
        <v>0</v>
      </c>
      <c r="T245" s="212"/>
      <c r="U245" s="43">
        <f>IF(D245=0,0,SUM($L$21:L245))</f>
        <v>0</v>
      </c>
      <c r="V245" s="43">
        <f>IF(D245=0,0,SUM($J$21:J245))</f>
        <v>0</v>
      </c>
      <c r="W245" s="284">
        <f t="shared" si="64"/>
        <v>0</v>
      </c>
      <c r="X245" s="200">
        <f t="shared" si="70"/>
        <v>0</v>
      </c>
      <c r="Y245" s="201">
        <f t="shared" si="72"/>
        <v>45882</v>
      </c>
      <c r="Z245" s="202">
        <f t="shared" si="72"/>
        <v>45882</v>
      </c>
      <c r="AA245" s="18"/>
      <c r="AB245" s="244"/>
      <c r="AC245" s="247"/>
      <c r="AD245" s="142"/>
      <c r="AE245" s="18"/>
      <c r="AF245" s="18"/>
      <c r="AG245" s="203"/>
      <c r="AH245" s="203"/>
      <c r="AI245" s="18"/>
      <c r="AJ245" s="18"/>
      <c r="AK245" s="18"/>
      <c r="AL245" s="18"/>
      <c r="AM245" s="18"/>
      <c r="AN245" s="18"/>
    </row>
    <row r="246" spans="1:40" ht="20">
      <c r="A246" s="18"/>
      <c r="B246" s="151"/>
      <c r="C246" s="55">
        <v>226</v>
      </c>
      <c r="D246" s="54">
        <v>0</v>
      </c>
      <c r="E246" s="190">
        <f t="shared" si="65"/>
        <v>8</v>
      </c>
      <c r="F246" s="191">
        <f t="shared" si="66"/>
        <v>45883</v>
      </c>
      <c r="G246" s="192" t="str">
        <f t="shared" si="67"/>
        <v>Thu</v>
      </c>
      <c r="H246" s="193"/>
      <c r="I246" s="194"/>
      <c r="J246" s="214"/>
      <c r="K246" s="215"/>
      <c r="L246" s="43">
        <f t="shared" si="68"/>
        <v>0</v>
      </c>
      <c r="M246" s="280">
        <f t="shared" si="62"/>
        <v>0</v>
      </c>
      <c r="N246" s="41" t="str">
        <f t="shared" si="8"/>
        <v>¥0</v>
      </c>
      <c r="O246" s="44"/>
      <c r="P246" s="43">
        <f>IF(D246=0,0,SUM($L$233:L246))</f>
        <v>0</v>
      </c>
      <c r="Q246" s="43">
        <f>IF(D246=0,0,SUM($J$233:J246))</f>
        <v>0</v>
      </c>
      <c r="R246" s="282">
        <f t="shared" si="63"/>
        <v>0</v>
      </c>
      <c r="S246" s="198">
        <f t="shared" si="69"/>
        <v>0</v>
      </c>
      <c r="T246" s="212"/>
      <c r="U246" s="43">
        <f>IF(D246=0,0,SUM($L$21:L246))</f>
        <v>0</v>
      </c>
      <c r="V246" s="43">
        <f>IF(D246=0,0,SUM($J$21:J246))</f>
        <v>0</v>
      </c>
      <c r="W246" s="284">
        <f t="shared" si="64"/>
        <v>0</v>
      </c>
      <c r="X246" s="200">
        <f t="shared" si="70"/>
        <v>0</v>
      </c>
      <c r="Y246" s="201">
        <f t="shared" si="72"/>
        <v>45883</v>
      </c>
      <c r="Z246" s="202">
        <f t="shared" si="72"/>
        <v>45883</v>
      </c>
      <c r="AA246" s="18"/>
      <c r="AB246" s="244"/>
      <c r="AC246" s="247"/>
      <c r="AD246" s="142"/>
      <c r="AE246" s="18"/>
      <c r="AF246" s="18"/>
      <c r="AG246" s="203"/>
      <c r="AH246" s="203"/>
      <c r="AI246" s="18"/>
      <c r="AJ246" s="18"/>
      <c r="AK246" s="18"/>
      <c r="AL246" s="18"/>
      <c r="AM246" s="18"/>
      <c r="AN246" s="18"/>
    </row>
    <row r="247" spans="1:40" ht="20">
      <c r="A247" s="18"/>
      <c r="B247" s="151"/>
      <c r="C247" s="55">
        <v>227</v>
      </c>
      <c r="D247" s="54">
        <v>0</v>
      </c>
      <c r="E247" s="190">
        <f t="shared" si="65"/>
        <v>8</v>
      </c>
      <c r="F247" s="191">
        <f t="shared" si="66"/>
        <v>45884</v>
      </c>
      <c r="G247" s="192" t="str">
        <f t="shared" si="67"/>
        <v>Fri</v>
      </c>
      <c r="H247" s="193"/>
      <c r="I247" s="194"/>
      <c r="J247" s="214"/>
      <c r="K247" s="215"/>
      <c r="L247" s="43">
        <f t="shared" si="68"/>
        <v>0</v>
      </c>
      <c r="M247" s="280">
        <f t="shared" si="62"/>
        <v>0</v>
      </c>
      <c r="N247" s="41" t="str">
        <f t="shared" si="8"/>
        <v>¥0</v>
      </c>
      <c r="O247" s="44"/>
      <c r="P247" s="43">
        <f>IF(D247=0,0,SUM($L$233:L247))</f>
        <v>0</v>
      </c>
      <c r="Q247" s="43">
        <f>IF(D247=0,0,SUM($J$233:J247))</f>
        <v>0</v>
      </c>
      <c r="R247" s="282">
        <f t="shared" si="63"/>
        <v>0</v>
      </c>
      <c r="S247" s="198">
        <f t="shared" si="69"/>
        <v>0</v>
      </c>
      <c r="T247" s="212"/>
      <c r="U247" s="43">
        <f>IF(D247=0,0,SUM($L$21:L247))</f>
        <v>0</v>
      </c>
      <c r="V247" s="43">
        <f>IF(D247=0,0,SUM($J$21:J247))</f>
        <v>0</v>
      </c>
      <c r="W247" s="284">
        <f t="shared" si="64"/>
        <v>0</v>
      </c>
      <c r="X247" s="200">
        <f t="shared" si="70"/>
        <v>0</v>
      </c>
      <c r="Y247" s="201">
        <f t="shared" ref="Y247:Z262" si="73">Y246+1</f>
        <v>45884</v>
      </c>
      <c r="Z247" s="202">
        <f t="shared" si="73"/>
        <v>45884</v>
      </c>
      <c r="AA247" s="18"/>
      <c r="AB247" s="244"/>
      <c r="AC247" s="247"/>
      <c r="AD247" s="142"/>
      <c r="AE247" s="18"/>
      <c r="AF247" s="18"/>
      <c r="AG247" s="203"/>
      <c r="AH247" s="203"/>
      <c r="AI247" s="18"/>
      <c r="AJ247" s="18"/>
      <c r="AK247" s="18"/>
      <c r="AL247" s="18"/>
      <c r="AM247" s="18"/>
      <c r="AN247" s="18"/>
    </row>
    <row r="248" spans="1:40" ht="20">
      <c r="A248" s="18"/>
      <c r="B248" s="151"/>
      <c r="C248" s="55">
        <v>228</v>
      </c>
      <c r="D248" s="54">
        <v>0</v>
      </c>
      <c r="E248" s="190">
        <f t="shared" si="65"/>
        <v>8</v>
      </c>
      <c r="F248" s="191">
        <f t="shared" si="66"/>
        <v>45885</v>
      </c>
      <c r="G248" s="192" t="str">
        <f t="shared" si="67"/>
        <v>Sat</v>
      </c>
      <c r="H248" s="193"/>
      <c r="I248" s="194"/>
      <c r="J248" s="214"/>
      <c r="K248" s="215"/>
      <c r="L248" s="43">
        <f t="shared" si="68"/>
        <v>0</v>
      </c>
      <c r="M248" s="280">
        <f t="shared" si="62"/>
        <v>0</v>
      </c>
      <c r="N248" s="41" t="str">
        <f t="shared" si="8"/>
        <v>¥0</v>
      </c>
      <c r="O248" s="44"/>
      <c r="P248" s="43">
        <f>IF(D248=0,0,SUM($L$233:L248))</f>
        <v>0</v>
      </c>
      <c r="Q248" s="43">
        <f>IF(D248=0,0,SUM($J$233:J248))</f>
        <v>0</v>
      </c>
      <c r="R248" s="282">
        <f t="shared" si="63"/>
        <v>0</v>
      </c>
      <c r="S248" s="198">
        <f t="shared" si="69"/>
        <v>0</v>
      </c>
      <c r="T248" s="212"/>
      <c r="U248" s="43">
        <f>IF(D248=0,0,SUM($L$21:L248))</f>
        <v>0</v>
      </c>
      <c r="V248" s="43">
        <f>IF(D248=0,0,SUM($J$21:J248))</f>
        <v>0</v>
      </c>
      <c r="W248" s="284">
        <f t="shared" si="64"/>
        <v>0</v>
      </c>
      <c r="X248" s="200">
        <f t="shared" si="70"/>
        <v>0</v>
      </c>
      <c r="Y248" s="201">
        <f t="shared" si="73"/>
        <v>45885</v>
      </c>
      <c r="Z248" s="202">
        <f t="shared" si="73"/>
        <v>45885</v>
      </c>
      <c r="AA248" s="18"/>
      <c r="AB248" s="244"/>
      <c r="AC248" s="247"/>
      <c r="AD248" s="142"/>
      <c r="AE248" s="18"/>
      <c r="AF248" s="18"/>
      <c r="AG248" s="203"/>
      <c r="AH248" s="203"/>
      <c r="AI248" s="18"/>
      <c r="AJ248" s="18"/>
      <c r="AK248" s="18"/>
      <c r="AL248" s="18"/>
      <c r="AM248" s="18"/>
      <c r="AN248" s="18"/>
    </row>
    <row r="249" spans="1:40" ht="20">
      <c r="A249" s="18"/>
      <c r="B249" s="151"/>
      <c r="C249" s="55">
        <v>229</v>
      </c>
      <c r="D249" s="54">
        <v>0</v>
      </c>
      <c r="E249" s="190">
        <f t="shared" si="65"/>
        <v>8</v>
      </c>
      <c r="F249" s="191">
        <f t="shared" si="66"/>
        <v>45886</v>
      </c>
      <c r="G249" s="192" t="str">
        <f t="shared" si="67"/>
        <v>Sun</v>
      </c>
      <c r="H249" s="193"/>
      <c r="I249" s="194"/>
      <c r="J249" s="214"/>
      <c r="K249" s="215"/>
      <c r="L249" s="43">
        <f t="shared" si="68"/>
        <v>0</v>
      </c>
      <c r="M249" s="280">
        <f t="shared" si="62"/>
        <v>0</v>
      </c>
      <c r="N249" s="41" t="str">
        <f t="shared" si="8"/>
        <v>¥0</v>
      </c>
      <c r="O249" s="44"/>
      <c r="P249" s="43">
        <f>IF(D249=0,0,SUM($L$233:L249))</f>
        <v>0</v>
      </c>
      <c r="Q249" s="43">
        <f>IF(D249=0,0,SUM($J$233:J249))</f>
        <v>0</v>
      </c>
      <c r="R249" s="282">
        <f t="shared" si="63"/>
        <v>0</v>
      </c>
      <c r="S249" s="198">
        <f t="shared" si="69"/>
        <v>0</v>
      </c>
      <c r="T249" s="212"/>
      <c r="U249" s="43">
        <f>IF(D249=0,0,SUM($L$21:L249))</f>
        <v>0</v>
      </c>
      <c r="V249" s="43">
        <f>IF(D249=0,0,SUM($J$21:J249))</f>
        <v>0</v>
      </c>
      <c r="W249" s="284">
        <f t="shared" si="64"/>
        <v>0</v>
      </c>
      <c r="X249" s="200">
        <f t="shared" si="70"/>
        <v>0</v>
      </c>
      <c r="Y249" s="201">
        <f t="shared" si="73"/>
        <v>45886</v>
      </c>
      <c r="Z249" s="202">
        <f t="shared" si="73"/>
        <v>45886</v>
      </c>
      <c r="AA249" s="18"/>
      <c r="AB249" s="244"/>
      <c r="AC249" s="247"/>
      <c r="AD249" s="142"/>
      <c r="AE249" s="18"/>
      <c r="AF249" s="18"/>
      <c r="AG249" s="203"/>
      <c r="AH249" s="203"/>
      <c r="AI249" s="18"/>
      <c r="AJ249" s="18"/>
      <c r="AK249" s="18"/>
      <c r="AL249" s="18"/>
      <c r="AM249" s="18"/>
      <c r="AN249" s="18"/>
    </row>
    <row r="250" spans="1:40" ht="20">
      <c r="A250" s="18"/>
      <c r="B250" s="151"/>
      <c r="C250" s="55">
        <v>230</v>
      </c>
      <c r="D250" s="54">
        <v>1</v>
      </c>
      <c r="E250" s="190">
        <f t="shared" si="65"/>
        <v>8</v>
      </c>
      <c r="F250" s="191">
        <f t="shared" si="66"/>
        <v>45887</v>
      </c>
      <c r="G250" s="192" t="str">
        <f t="shared" si="67"/>
        <v>Mon</v>
      </c>
      <c r="H250" s="193"/>
      <c r="I250" s="194"/>
      <c r="J250" s="214">
        <v>283000</v>
      </c>
      <c r="K250" s="215"/>
      <c r="L250" s="43">
        <f t="shared" si="68"/>
        <v>208711.40875077047</v>
      </c>
      <c r="M250" s="280">
        <f t="shared" si="62"/>
        <v>74288.591249229532</v>
      </c>
      <c r="N250" s="41">
        <f t="shared" si="8"/>
        <v>1.3559392928919383</v>
      </c>
      <c r="O250" s="56"/>
      <c r="P250" s="43">
        <f>IF(D250=0,0,SUM($L$233:L250))</f>
        <v>2217370.6880052318</v>
      </c>
      <c r="Q250" s="43">
        <f>IF(D250=0,0,SUM($J$233:J250))</f>
        <v>2111110</v>
      </c>
      <c r="R250" s="282">
        <f t="shared" si="63"/>
        <v>-106260.68800523179</v>
      </c>
      <c r="S250" s="198">
        <f t="shared" si="69"/>
        <v>0.9520780676952012</v>
      </c>
      <c r="T250" s="207"/>
      <c r="U250" s="43">
        <f>IF(D250=0,0,SUM($L$21:L250))</f>
        <v>42786601.457235999</v>
      </c>
      <c r="V250" s="43">
        <f>IF(D250=0,0,SUM($J$21:J250))</f>
        <v>44861928.041958049</v>
      </c>
      <c r="W250" s="284">
        <f t="shared" si="64"/>
        <v>2075326.5847220495</v>
      </c>
      <c r="X250" s="200">
        <f t="shared" si="70"/>
        <v>1.0485041231142482</v>
      </c>
      <c r="Y250" s="201">
        <f t="shared" si="73"/>
        <v>45887</v>
      </c>
      <c r="Z250" s="202">
        <f t="shared" si="73"/>
        <v>45887</v>
      </c>
      <c r="AA250" s="18"/>
      <c r="AB250" s="244"/>
      <c r="AC250" s="247"/>
      <c r="AD250" s="142"/>
      <c r="AE250" s="18"/>
      <c r="AF250" s="18"/>
      <c r="AG250" s="203"/>
      <c r="AH250" s="203"/>
      <c r="AI250" s="18"/>
      <c r="AJ250" s="18"/>
      <c r="AK250" s="18"/>
      <c r="AL250" s="18"/>
      <c r="AM250" s="18"/>
      <c r="AN250" s="18"/>
    </row>
    <row r="251" spans="1:40" ht="20">
      <c r="A251" s="18"/>
      <c r="B251" s="151"/>
      <c r="C251" s="55">
        <v>231</v>
      </c>
      <c r="D251" s="54">
        <v>1</v>
      </c>
      <c r="E251" s="190">
        <f t="shared" si="65"/>
        <v>8</v>
      </c>
      <c r="F251" s="191">
        <f t="shared" si="66"/>
        <v>45888</v>
      </c>
      <c r="G251" s="192" t="str">
        <f t="shared" si="67"/>
        <v>Tue</v>
      </c>
      <c r="H251" s="193"/>
      <c r="I251" s="194"/>
      <c r="J251" s="214">
        <v>236820</v>
      </c>
      <c r="K251" s="215"/>
      <c r="L251" s="43">
        <f t="shared" si="68"/>
        <v>175029.67989248806</v>
      </c>
      <c r="M251" s="280">
        <f t="shared" si="62"/>
        <v>61790.320107511943</v>
      </c>
      <c r="N251" s="41">
        <f t="shared" si="8"/>
        <v>1.3530276701955155</v>
      </c>
      <c r="O251" s="56"/>
      <c r="P251" s="43">
        <f>IF(D251=0,0,SUM($L$233:L251))</f>
        <v>2392400.3678977201</v>
      </c>
      <c r="Q251" s="43">
        <f>IF(D251=0,0,SUM($J$233:J251))</f>
        <v>2347930</v>
      </c>
      <c r="R251" s="282">
        <f t="shared" si="63"/>
        <v>-44470.367897720076</v>
      </c>
      <c r="S251" s="198">
        <f t="shared" si="69"/>
        <v>0.98141182032303498</v>
      </c>
      <c r="T251" s="207"/>
      <c r="U251" s="43">
        <f>IF(D251=0,0,SUM($L$21:L251))</f>
        <v>42961631.137128487</v>
      </c>
      <c r="V251" s="43">
        <f>IF(D251=0,0,SUM($J$21:J251))</f>
        <v>45098748.041958049</v>
      </c>
      <c r="W251" s="284">
        <f t="shared" si="64"/>
        <v>2137116.9048295617</v>
      </c>
      <c r="X251" s="200">
        <f t="shared" si="70"/>
        <v>1.0497447803601343</v>
      </c>
      <c r="Y251" s="201">
        <f t="shared" si="73"/>
        <v>45888</v>
      </c>
      <c r="Z251" s="202">
        <f t="shared" si="73"/>
        <v>45888</v>
      </c>
      <c r="AA251" s="18"/>
      <c r="AB251" s="244"/>
      <c r="AC251" s="247"/>
      <c r="AD251" s="142"/>
      <c r="AE251" s="18"/>
      <c r="AF251" s="18"/>
      <c r="AG251" s="203"/>
      <c r="AH251" s="203"/>
      <c r="AI251" s="18"/>
      <c r="AJ251" s="18"/>
      <c r="AK251" s="18"/>
      <c r="AL251" s="18"/>
      <c r="AM251" s="18"/>
      <c r="AN251" s="18"/>
    </row>
    <row r="252" spans="1:40" ht="20">
      <c r="A252" s="18"/>
      <c r="B252" s="151"/>
      <c r="C252" s="55">
        <v>232</v>
      </c>
      <c r="D252" s="54">
        <v>1</v>
      </c>
      <c r="E252" s="190">
        <f t="shared" si="65"/>
        <v>8</v>
      </c>
      <c r="F252" s="191">
        <f t="shared" si="66"/>
        <v>45889</v>
      </c>
      <c r="G252" s="192" t="str">
        <f t="shared" si="67"/>
        <v>Wed</v>
      </c>
      <c r="H252" s="193"/>
      <c r="I252" s="194"/>
      <c r="J252" s="214">
        <v>190280</v>
      </c>
      <c r="K252" s="215"/>
      <c r="L252" s="43">
        <f t="shared" si="68"/>
        <v>328105.4192113186</v>
      </c>
      <c r="M252" s="280">
        <f t="shared" si="62"/>
        <v>-137825.4192113186</v>
      </c>
      <c r="N252" s="41">
        <f t="shared" si="8"/>
        <v>0.57993555991054457</v>
      </c>
      <c r="O252" s="56"/>
      <c r="P252" s="43">
        <f>IF(D252=0,0,SUM($L$233:L252))</f>
        <v>2720505.7871090388</v>
      </c>
      <c r="Q252" s="43">
        <f>IF(D252=0,0,SUM($J$233:J252))</f>
        <v>2538210</v>
      </c>
      <c r="R252" s="282">
        <f t="shared" si="63"/>
        <v>-182295.78710903879</v>
      </c>
      <c r="S252" s="198">
        <f t="shared" si="69"/>
        <v>0.93299195025688353</v>
      </c>
      <c r="T252" s="207"/>
      <c r="U252" s="43">
        <f>IF(D252=0,0,SUM($L$21:L252))</f>
        <v>43289736.556339808</v>
      </c>
      <c r="V252" s="43">
        <f>IF(D252=0,0,SUM($J$21:J252))</f>
        <v>45289028.041958049</v>
      </c>
      <c r="W252" s="284">
        <f t="shared" si="64"/>
        <v>1999291.4856182411</v>
      </c>
      <c r="X252" s="200">
        <f t="shared" si="70"/>
        <v>1.0461839605564762</v>
      </c>
      <c r="Y252" s="201">
        <f t="shared" si="73"/>
        <v>45889</v>
      </c>
      <c r="Z252" s="202">
        <f t="shared" si="73"/>
        <v>45889</v>
      </c>
      <c r="AA252" s="18"/>
      <c r="AB252" s="244"/>
      <c r="AC252" s="247"/>
      <c r="AD252" s="142"/>
      <c r="AE252" s="18"/>
      <c r="AF252" s="18"/>
      <c r="AG252" s="203"/>
      <c r="AH252" s="203"/>
      <c r="AI252" s="18"/>
      <c r="AJ252" s="18"/>
      <c r="AK252" s="18"/>
      <c r="AL252" s="18"/>
      <c r="AM252" s="18"/>
      <c r="AN252" s="18"/>
    </row>
    <row r="253" spans="1:40" ht="20">
      <c r="A253" s="18"/>
      <c r="B253" s="151"/>
      <c r="C253" s="55">
        <v>233</v>
      </c>
      <c r="D253" s="54">
        <v>1</v>
      </c>
      <c r="E253" s="190">
        <f t="shared" si="65"/>
        <v>8</v>
      </c>
      <c r="F253" s="191">
        <f t="shared" si="66"/>
        <v>45890</v>
      </c>
      <c r="G253" s="192" t="str">
        <f t="shared" si="67"/>
        <v>Thu</v>
      </c>
      <c r="H253" s="193"/>
      <c r="I253" s="194"/>
      <c r="J253" s="214">
        <v>279230</v>
      </c>
      <c r="K253" s="215"/>
      <c r="L253" s="43">
        <f t="shared" si="68"/>
        <v>305799.96860153653</v>
      </c>
      <c r="M253" s="280">
        <f t="shared" si="62"/>
        <v>-26569.96860153653</v>
      </c>
      <c r="N253" s="41">
        <f t="shared" si="8"/>
        <v>0.91311323960219981</v>
      </c>
      <c r="O253" s="56"/>
      <c r="P253" s="43">
        <f>IF(D253=0,0,SUM($L$233:L253))</f>
        <v>3026305.7557105753</v>
      </c>
      <c r="Q253" s="43">
        <f>IF(D253=0,0,SUM($J$233:J253))</f>
        <v>2817440</v>
      </c>
      <c r="R253" s="282">
        <f t="shared" si="63"/>
        <v>-208865.75571057526</v>
      </c>
      <c r="S253" s="198">
        <f t="shared" si="69"/>
        <v>0.9309832605920767</v>
      </c>
      <c r="T253" s="207"/>
      <c r="U253" s="43">
        <f>IF(D253=0,0,SUM($L$21:L253))</f>
        <v>43595536.524941348</v>
      </c>
      <c r="V253" s="43">
        <f>IF(D253=0,0,SUM($J$21:J253))</f>
        <v>45568258.041958049</v>
      </c>
      <c r="W253" s="284">
        <f t="shared" si="64"/>
        <v>1972721.5170167014</v>
      </c>
      <c r="X253" s="200">
        <f t="shared" si="70"/>
        <v>1.0452505387997253</v>
      </c>
      <c r="Y253" s="201">
        <f t="shared" si="73"/>
        <v>45890</v>
      </c>
      <c r="Z253" s="202">
        <f t="shared" si="73"/>
        <v>45890</v>
      </c>
      <c r="AA253" s="18"/>
      <c r="AB253" s="244"/>
      <c r="AC253" s="247"/>
      <c r="AD253" s="142"/>
      <c r="AE253" s="18"/>
      <c r="AF253" s="18"/>
      <c r="AG253" s="203"/>
      <c r="AH253" s="203"/>
      <c r="AI253" s="18"/>
      <c r="AJ253" s="18"/>
      <c r="AK253" s="18"/>
      <c r="AL253" s="18"/>
      <c r="AM253" s="18"/>
      <c r="AN253" s="18"/>
    </row>
    <row r="254" spans="1:40" ht="20">
      <c r="A254" s="18"/>
      <c r="B254" s="151"/>
      <c r="C254" s="55">
        <v>234</v>
      </c>
      <c r="D254" s="54">
        <v>1</v>
      </c>
      <c r="E254" s="190">
        <f t="shared" si="65"/>
        <v>8</v>
      </c>
      <c r="F254" s="191">
        <f t="shared" si="66"/>
        <v>45891</v>
      </c>
      <c r="G254" s="192" t="str">
        <f t="shared" si="67"/>
        <v>Fri</v>
      </c>
      <c r="H254" s="193"/>
      <c r="I254" s="194"/>
      <c r="J254" s="214">
        <v>316460</v>
      </c>
      <c r="K254" s="215"/>
      <c r="L254" s="43">
        <f t="shared" si="68"/>
        <v>320856.12916472479</v>
      </c>
      <c r="M254" s="280">
        <f t="shared" si="62"/>
        <v>-4396.1291647247854</v>
      </c>
      <c r="N254" s="41">
        <f t="shared" si="8"/>
        <v>0.98629875272705836</v>
      </c>
      <c r="O254" s="56"/>
      <c r="P254" s="43">
        <f>IF(D254=0,0,SUM($L$233:L254))</f>
        <v>3347161.8848752999</v>
      </c>
      <c r="Q254" s="43">
        <f>IF(D254=0,0,SUM($J$233:J254))</f>
        <v>3133900</v>
      </c>
      <c r="R254" s="282">
        <f t="shared" si="63"/>
        <v>-213261.88487529987</v>
      </c>
      <c r="S254" s="198">
        <f t="shared" si="69"/>
        <v>0.93628575724438112</v>
      </c>
      <c r="T254" s="207"/>
      <c r="U254" s="43">
        <f>IF(D254=0,0,SUM($L$21:L254))</f>
        <v>43916392.654106073</v>
      </c>
      <c r="V254" s="43">
        <f>IF(D254=0,0,SUM($J$21:J254))</f>
        <v>45884718.041958049</v>
      </c>
      <c r="W254" s="284">
        <f t="shared" si="64"/>
        <v>1968325.3878519759</v>
      </c>
      <c r="X254" s="200">
        <f t="shared" si="70"/>
        <v>1.044819833071329</v>
      </c>
      <c r="Y254" s="201">
        <f t="shared" si="73"/>
        <v>45891</v>
      </c>
      <c r="Z254" s="202">
        <f t="shared" si="73"/>
        <v>45891</v>
      </c>
      <c r="AA254" s="18"/>
      <c r="AB254" s="244"/>
      <c r="AC254" s="247"/>
      <c r="AD254" s="142"/>
      <c r="AE254" s="18"/>
      <c r="AF254" s="18"/>
      <c r="AG254" s="203"/>
      <c r="AH254" s="203"/>
      <c r="AI254" s="18"/>
      <c r="AJ254" s="18"/>
      <c r="AK254" s="18"/>
      <c r="AL254" s="18"/>
      <c r="AM254" s="18"/>
      <c r="AN254" s="18"/>
    </row>
    <row r="255" spans="1:40" ht="20">
      <c r="A255" s="18"/>
      <c r="B255" s="151"/>
      <c r="C255" s="55">
        <v>235</v>
      </c>
      <c r="D255" s="54">
        <v>1</v>
      </c>
      <c r="E255" s="190">
        <f t="shared" si="65"/>
        <v>8</v>
      </c>
      <c r="F255" s="191">
        <f t="shared" si="66"/>
        <v>45892</v>
      </c>
      <c r="G255" s="192" t="str">
        <f t="shared" si="67"/>
        <v>Sat</v>
      </c>
      <c r="H255" s="193"/>
      <c r="I255" s="194"/>
      <c r="J255" s="214">
        <v>114770</v>
      </c>
      <c r="K255" s="215"/>
      <c r="L255" s="43">
        <f t="shared" si="68"/>
        <v>174650.27223444887</v>
      </c>
      <c r="M255" s="280">
        <f t="shared" si="62"/>
        <v>-59880.272234448872</v>
      </c>
      <c r="N255" s="41">
        <f t="shared" si="8"/>
        <v>0.65714183282768568</v>
      </c>
      <c r="O255" s="56"/>
      <c r="P255" s="43">
        <f>IF(D255=0,0,SUM($L$233:L255))</f>
        <v>3521812.1571097486</v>
      </c>
      <c r="Q255" s="43">
        <f>IF(D255=0,0,SUM($J$233:J255))</f>
        <v>3248670</v>
      </c>
      <c r="R255" s="282">
        <f t="shared" si="63"/>
        <v>-273142.15710974857</v>
      </c>
      <c r="S255" s="198">
        <f t="shared" si="69"/>
        <v>0.92244272410771944</v>
      </c>
      <c r="T255" s="207"/>
      <c r="U255" s="43">
        <f>IF(D255=0,0,SUM($L$21:L255))</f>
        <v>44091042.92634052</v>
      </c>
      <c r="V255" s="43">
        <f>IF(D255=0,0,SUM($J$21:J255))</f>
        <v>45999488.041958049</v>
      </c>
      <c r="W255" s="284">
        <f t="shared" si="64"/>
        <v>1908445.1156175286</v>
      </c>
      <c r="X255" s="200">
        <f t="shared" si="70"/>
        <v>1.0432841908231978</v>
      </c>
      <c r="Y255" s="201">
        <f t="shared" si="73"/>
        <v>45892</v>
      </c>
      <c r="Z255" s="202">
        <f t="shared" si="73"/>
        <v>45892</v>
      </c>
      <c r="AA255" s="18"/>
      <c r="AB255" s="244"/>
      <c r="AC255" s="247"/>
      <c r="AD255" s="142"/>
      <c r="AE255" s="18"/>
      <c r="AF255" s="18"/>
      <c r="AG255" s="203"/>
      <c r="AH255" s="203"/>
      <c r="AI255" s="18"/>
      <c r="AJ255" s="18"/>
      <c r="AK255" s="18"/>
      <c r="AL255" s="18"/>
      <c r="AM255" s="18"/>
      <c r="AN255" s="18"/>
    </row>
    <row r="256" spans="1:40" ht="20">
      <c r="A256" s="18"/>
      <c r="B256" s="151"/>
      <c r="C256" s="55">
        <v>236</v>
      </c>
      <c r="D256" s="54">
        <v>0</v>
      </c>
      <c r="E256" s="190">
        <f t="shared" si="65"/>
        <v>8</v>
      </c>
      <c r="F256" s="191">
        <f t="shared" si="66"/>
        <v>45893</v>
      </c>
      <c r="G256" s="192" t="str">
        <f t="shared" si="67"/>
        <v>Sun</v>
      </c>
      <c r="H256" s="193"/>
      <c r="I256" s="194"/>
      <c r="J256" s="214"/>
      <c r="K256" s="215"/>
      <c r="L256" s="43">
        <f t="shared" si="68"/>
        <v>0</v>
      </c>
      <c r="M256" s="280">
        <f t="shared" si="62"/>
        <v>0</v>
      </c>
      <c r="N256" s="41" t="str">
        <f t="shared" si="8"/>
        <v>¥0</v>
      </c>
      <c r="O256" s="44"/>
      <c r="P256" s="43">
        <f>IF(D256=0,0,SUM($L$233:L256))</f>
        <v>0</v>
      </c>
      <c r="Q256" s="43">
        <f>IF(D256=0,0,SUM($J$233:J256))</f>
        <v>0</v>
      </c>
      <c r="R256" s="282">
        <f t="shared" si="63"/>
        <v>0</v>
      </c>
      <c r="S256" s="198">
        <f t="shared" si="69"/>
        <v>0</v>
      </c>
      <c r="T256" s="212"/>
      <c r="U256" s="43">
        <f>IF(D256=0,0,SUM($L$21:L256))</f>
        <v>0</v>
      </c>
      <c r="V256" s="43">
        <f>IF(D256=0,0,SUM($J$21:J256))</f>
        <v>0</v>
      </c>
      <c r="W256" s="284">
        <f t="shared" si="64"/>
        <v>0</v>
      </c>
      <c r="X256" s="200">
        <f t="shared" si="70"/>
        <v>0</v>
      </c>
      <c r="Y256" s="201">
        <f t="shared" si="73"/>
        <v>45893</v>
      </c>
      <c r="Z256" s="202">
        <f t="shared" si="73"/>
        <v>45893</v>
      </c>
      <c r="AA256" s="18"/>
      <c r="AB256" s="244"/>
      <c r="AC256" s="247"/>
      <c r="AD256" s="142"/>
      <c r="AE256" s="18"/>
      <c r="AF256" s="18"/>
      <c r="AG256" s="203"/>
      <c r="AH256" s="203"/>
      <c r="AI256" s="18"/>
      <c r="AJ256" s="18"/>
      <c r="AK256" s="18"/>
      <c r="AL256" s="18"/>
      <c r="AM256" s="18"/>
      <c r="AN256" s="18"/>
    </row>
    <row r="257" spans="1:40" ht="20">
      <c r="A257" s="18"/>
      <c r="B257" s="151"/>
      <c r="C257" s="55">
        <v>237</v>
      </c>
      <c r="D257" s="54">
        <v>1</v>
      </c>
      <c r="E257" s="190">
        <f t="shared" si="65"/>
        <v>8</v>
      </c>
      <c r="F257" s="191">
        <f t="shared" si="66"/>
        <v>45894</v>
      </c>
      <c r="G257" s="192" t="str">
        <f t="shared" si="67"/>
        <v>Mon</v>
      </c>
      <c r="H257" s="193"/>
      <c r="I257" s="194"/>
      <c r="J257" s="214">
        <v>245600</v>
      </c>
      <c r="K257" s="215"/>
      <c r="L257" s="43">
        <f t="shared" si="68"/>
        <v>208711.40875077047</v>
      </c>
      <c r="M257" s="280">
        <f t="shared" si="62"/>
        <v>36888.591249229532</v>
      </c>
      <c r="N257" s="41">
        <f t="shared" si="8"/>
        <v>1.1767444888136398</v>
      </c>
      <c r="O257" s="56"/>
      <c r="P257" s="43">
        <f>IF(D257=0,0,SUM($L$233:L257))</f>
        <v>3730523.5658605192</v>
      </c>
      <c r="Q257" s="43">
        <f>IF(D257=0,0,SUM($J$233:J257))</f>
        <v>3494270</v>
      </c>
      <c r="R257" s="282">
        <f t="shared" si="63"/>
        <v>-236253.56586051919</v>
      </c>
      <c r="S257" s="198">
        <f t="shared" si="69"/>
        <v>0.93667013176848202</v>
      </c>
      <c r="T257" s="207"/>
      <c r="U257" s="43">
        <f>IF(D257=0,0,SUM($L$21:L257))</f>
        <v>44299754.335091293</v>
      </c>
      <c r="V257" s="43">
        <f>IF(D257=0,0,SUM($J$21:J257))</f>
        <v>46245088.041958049</v>
      </c>
      <c r="W257" s="284">
        <f t="shared" si="64"/>
        <v>1945333.7068667561</v>
      </c>
      <c r="X257" s="200">
        <f t="shared" si="70"/>
        <v>1.0439129682786026</v>
      </c>
      <c r="Y257" s="201">
        <f t="shared" si="73"/>
        <v>45894</v>
      </c>
      <c r="Z257" s="202">
        <f t="shared" si="73"/>
        <v>45894</v>
      </c>
      <c r="AA257" s="18"/>
      <c r="AB257" s="244"/>
      <c r="AC257" s="247"/>
      <c r="AD257" s="142"/>
      <c r="AE257" s="18"/>
      <c r="AF257" s="18"/>
      <c r="AG257" s="203"/>
      <c r="AH257" s="203"/>
      <c r="AI257" s="18"/>
      <c r="AJ257" s="18"/>
      <c r="AK257" s="18"/>
      <c r="AL257" s="18"/>
      <c r="AM257" s="18"/>
      <c r="AN257" s="18"/>
    </row>
    <row r="258" spans="1:40" ht="20">
      <c r="A258" s="18"/>
      <c r="B258" s="151"/>
      <c r="C258" s="55">
        <v>238</v>
      </c>
      <c r="D258" s="54">
        <v>1</v>
      </c>
      <c r="E258" s="190">
        <f t="shared" si="65"/>
        <v>8</v>
      </c>
      <c r="F258" s="191">
        <f t="shared" si="66"/>
        <v>45895</v>
      </c>
      <c r="G258" s="192" t="str">
        <f t="shared" si="67"/>
        <v>Tue</v>
      </c>
      <c r="H258" s="193"/>
      <c r="I258" s="194"/>
      <c r="J258" s="214">
        <v>189700</v>
      </c>
      <c r="K258" s="215"/>
      <c r="L258" s="43">
        <f t="shared" si="68"/>
        <v>175029.67989248806</v>
      </c>
      <c r="M258" s="280">
        <f t="shared" si="62"/>
        <v>14670.320107511943</v>
      </c>
      <c r="N258" s="41">
        <f t="shared" si="8"/>
        <v>1.0838161854407959</v>
      </c>
      <c r="O258" s="56"/>
      <c r="P258" s="43">
        <f>IF(D258=0,0,SUM($L$233:L258))</f>
        <v>3905553.245753007</v>
      </c>
      <c r="Q258" s="43">
        <f>IF(D258=0,0,SUM($J$233:J258))</f>
        <v>3683970</v>
      </c>
      <c r="R258" s="282">
        <f t="shared" si="63"/>
        <v>-221583.24575300701</v>
      </c>
      <c r="S258" s="198">
        <f t="shared" si="69"/>
        <v>0.94326456924023194</v>
      </c>
      <c r="T258" s="207"/>
      <c r="U258" s="43">
        <f>IF(D258=0,0,SUM($L$21:L258))</f>
        <v>44474784.014983781</v>
      </c>
      <c r="V258" s="43">
        <f>IF(D258=0,0,SUM($J$21:J258))</f>
        <v>46434788.041958049</v>
      </c>
      <c r="W258" s="284">
        <f t="shared" si="64"/>
        <v>1960004.0269742683</v>
      </c>
      <c r="X258" s="200">
        <f t="shared" si="70"/>
        <v>1.0440700066427289</v>
      </c>
      <c r="Y258" s="201">
        <f t="shared" si="73"/>
        <v>45895</v>
      </c>
      <c r="Z258" s="202">
        <f t="shared" si="73"/>
        <v>45895</v>
      </c>
      <c r="AA258" s="18"/>
      <c r="AB258" s="244"/>
      <c r="AC258" s="247"/>
      <c r="AD258" s="142"/>
      <c r="AE258" s="18"/>
      <c r="AF258" s="18"/>
      <c r="AG258" s="203"/>
      <c r="AH258" s="203"/>
      <c r="AI258" s="18"/>
      <c r="AJ258" s="18"/>
      <c r="AK258" s="18"/>
      <c r="AL258" s="18"/>
      <c r="AM258" s="18"/>
      <c r="AN258" s="18"/>
    </row>
    <row r="259" spans="1:40" ht="20">
      <c r="A259" s="18"/>
      <c r="B259" s="151"/>
      <c r="C259" s="55">
        <v>239</v>
      </c>
      <c r="D259" s="54">
        <v>1</v>
      </c>
      <c r="E259" s="190">
        <f t="shared" si="65"/>
        <v>8</v>
      </c>
      <c r="F259" s="191">
        <f t="shared" si="66"/>
        <v>45896</v>
      </c>
      <c r="G259" s="192" t="str">
        <f t="shared" si="67"/>
        <v>Wed</v>
      </c>
      <c r="H259" s="193"/>
      <c r="I259" s="194"/>
      <c r="J259" s="214">
        <v>345200</v>
      </c>
      <c r="K259" s="215"/>
      <c r="L259" s="43">
        <f t="shared" si="68"/>
        <v>328105.4192113186</v>
      </c>
      <c r="M259" s="280">
        <f t="shared" si="62"/>
        <v>17094.5807886814</v>
      </c>
      <c r="N259" s="41">
        <f t="shared" si="8"/>
        <v>1.0521008791313853</v>
      </c>
      <c r="O259" s="56"/>
      <c r="P259" s="43">
        <f>IF(D259=0,0,SUM($L$233:L259))</f>
        <v>4233658.6649643257</v>
      </c>
      <c r="Q259" s="43">
        <f>IF(D259=0,0,SUM($J$233:J259))</f>
        <v>4029170</v>
      </c>
      <c r="R259" s="282">
        <f t="shared" si="63"/>
        <v>-204488.66496432573</v>
      </c>
      <c r="S259" s="198">
        <f t="shared" si="69"/>
        <v>0.95169930286147697</v>
      </c>
      <c r="T259" s="207"/>
      <c r="U259" s="43">
        <f>IF(D259=0,0,SUM($L$21:L259))</f>
        <v>44802889.434195101</v>
      </c>
      <c r="V259" s="43">
        <f>IF(D259=0,0,SUM($J$21:J259))</f>
        <v>46779988.041958049</v>
      </c>
      <c r="W259" s="284">
        <f t="shared" si="64"/>
        <v>1977098.6077629477</v>
      </c>
      <c r="X259" s="200">
        <f t="shared" si="70"/>
        <v>1.0441288192063336</v>
      </c>
      <c r="Y259" s="201">
        <f t="shared" si="73"/>
        <v>45896</v>
      </c>
      <c r="Z259" s="202">
        <f t="shared" si="73"/>
        <v>45896</v>
      </c>
      <c r="AA259" s="18"/>
      <c r="AB259" s="244"/>
      <c r="AC259" s="247"/>
      <c r="AD259" s="142"/>
      <c r="AE259" s="18"/>
      <c r="AF259" s="18"/>
      <c r="AG259" s="203"/>
      <c r="AH259" s="203"/>
      <c r="AI259" s="18"/>
      <c r="AJ259" s="18"/>
      <c r="AK259" s="18"/>
      <c r="AL259" s="18"/>
      <c r="AM259" s="18"/>
      <c r="AN259" s="18"/>
    </row>
    <row r="260" spans="1:40" ht="20">
      <c r="A260" s="18"/>
      <c r="B260" s="151"/>
      <c r="C260" s="55">
        <v>240</v>
      </c>
      <c r="D260" s="54">
        <v>1</v>
      </c>
      <c r="E260" s="190">
        <f t="shared" si="65"/>
        <v>8</v>
      </c>
      <c r="F260" s="191">
        <f t="shared" si="66"/>
        <v>45897</v>
      </c>
      <c r="G260" s="192" t="str">
        <f t="shared" si="67"/>
        <v>Thu</v>
      </c>
      <c r="H260" s="193"/>
      <c r="I260" s="194"/>
      <c r="J260" s="214">
        <v>256380</v>
      </c>
      <c r="K260" s="215"/>
      <c r="L260" s="43">
        <f t="shared" si="68"/>
        <v>305799.96860153653</v>
      </c>
      <c r="M260" s="280">
        <f t="shared" si="62"/>
        <v>-49419.96860153653</v>
      </c>
      <c r="N260" s="41">
        <f t="shared" si="8"/>
        <v>0.83839119138062523</v>
      </c>
      <c r="O260" s="56"/>
      <c r="P260" s="43">
        <f>IF(D260=0,0,SUM($L$233:L260))</f>
        <v>4539458.6335658627</v>
      </c>
      <c r="Q260" s="43">
        <f>IF(D260=0,0,SUM($J$233:J260))</f>
        <v>4285550</v>
      </c>
      <c r="R260" s="282">
        <f t="shared" si="63"/>
        <v>-253908.63356586266</v>
      </c>
      <c r="S260" s="198">
        <f t="shared" si="69"/>
        <v>0.94406631846176536</v>
      </c>
      <c r="T260" s="207"/>
      <c r="U260" s="43">
        <f>IF(D260=0,0,SUM($L$21:L260))</f>
        <v>45108689.402796641</v>
      </c>
      <c r="V260" s="43">
        <f>IF(D260=0,0,SUM($J$21:J260))</f>
        <v>47036368.041958049</v>
      </c>
      <c r="W260" s="284">
        <f t="shared" si="64"/>
        <v>1927678.6391614079</v>
      </c>
      <c r="X260" s="200">
        <f t="shared" si="70"/>
        <v>1.0427340865957835</v>
      </c>
      <c r="Y260" s="201">
        <f t="shared" si="73"/>
        <v>45897</v>
      </c>
      <c r="Z260" s="202">
        <f t="shared" si="73"/>
        <v>45897</v>
      </c>
      <c r="AA260" s="18"/>
      <c r="AB260" s="244"/>
      <c r="AC260" s="247"/>
      <c r="AD260" s="142"/>
      <c r="AE260" s="18"/>
      <c r="AF260" s="18"/>
      <c r="AG260" s="203"/>
      <c r="AH260" s="203"/>
      <c r="AI260" s="18"/>
      <c r="AJ260" s="18"/>
      <c r="AK260" s="18"/>
      <c r="AL260" s="18"/>
      <c r="AM260" s="18"/>
      <c r="AN260" s="18"/>
    </row>
    <row r="261" spans="1:40" ht="20">
      <c r="A261" s="18"/>
      <c r="B261" s="151"/>
      <c r="C261" s="55">
        <v>241</v>
      </c>
      <c r="D261" s="54">
        <v>1</v>
      </c>
      <c r="E261" s="190">
        <f t="shared" si="65"/>
        <v>8</v>
      </c>
      <c r="F261" s="191">
        <f t="shared" si="66"/>
        <v>45898</v>
      </c>
      <c r="G261" s="192" t="str">
        <f t="shared" si="67"/>
        <v>Fri</v>
      </c>
      <c r="H261" s="193"/>
      <c r="I261" s="194"/>
      <c r="J261" s="214">
        <v>413400</v>
      </c>
      <c r="K261" s="215"/>
      <c r="L261" s="43">
        <f t="shared" si="68"/>
        <v>320856.12916472479</v>
      </c>
      <c r="M261" s="280">
        <f t="shared" si="62"/>
        <v>92543.870835275215</v>
      </c>
      <c r="N261" s="41">
        <f t="shared" si="8"/>
        <v>1.2884279352125574</v>
      </c>
      <c r="O261" s="56"/>
      <c r="P261" s="43">
        <f>IF(D261=0,0,SUM($L$233:L261))</f>
        <v>4860314.7627305873</v>
      </c>
      <c r="Q261" s="43">
        <f>IF(D261=0,0,SUM($J$233:J261))</f>
        <v>4698950</v>
      </c>
      <c r="R261" s="282">
        <f t="shared" si="63"/>
        <v>-161364.76273058727</v>
      </c>
      <c r="S261" s="198">
        <f t="shared" si="69"/>
        <v>0.96679952418556314</v>
      </c>
      <c r="T261" s="207"/>
      <c r="U261" s="43">
        <f>IF(D261=0,0,SUM($L$21:L261))</f>
        <v>45429545.531961367</v>
      </c>
      <c r="V261" s="43">
        <f>IF(D261=0,0,SUM($J$21:J261))</f>
        <v>47449768.041958049</v>
      </c>
      <c r="W261" s="284">
        <f t="shared" si="64"/>
        <v>2020222.5099966824</v>
      </c>
      <c r="X261" s="200">
        <f t="shared" si="70"/>
        <v>1.0444693532884977</v>
      </c>
      <c r="Y261" s="201">
        <f t="shared" si="73"/>
        <v>45898</v>
      </c>
      <c r="Z261" s="202">
        <f t="shared" si="73"/>
        <v>45898</v>
      </c>
      <c r="AA261" s="18"/>
      <c r="AB261" s="244"/>
      <c r="AC261" s="247"/>
      <c r="AD261" s="142"/>
      <c r="AE261" s="18"/>
      <c r="AF261" s="18"/>
      <c r="AG261" s="203"/>
      <c r="AH261" s="203"/>
      <c r="AI261" s="18"/>
      <c r="AJ261" s="18"/>
      <c r="AK261" s="18"/>
      <c r="AL261" s="18"/>
      <c r="AM261" s="18"/>
      <c r="AN261" s="18"/>
    </row>
    <row r="262" spans="1:40" ht="20">
      <c r="A262" s="18"/>
      <c r="B262" s="151"/>
      <c r="C262" s="55">
        <v>242</v>
      </c>
      <c r="D262" s="54">
        <v>1</v>
      </c>
      <c r="E262" s="190">
        <f t="shared" si="65"/>
        <v>8</v>
      </c>
      <c r="F262" s="191">
        <f t="shared" si="66"/>
        <v>45899</v>
      </c>
      <c r="G262" s="192" t="str">
        <f t="shared" si="67"/>
        <v>Sat</v>
      </c>
      <c r="H262" s="193"/>
      <c r="I262" s="194"/>
      <c r="J262" s="214">
        <v>158300</v>
      </c>
      <c r="K262" s="215"/>
      <c r="L262" s="43">
        <f t="shared" si="68"/>
        <v>174650.27223444887</v>
      </c>
      <c r="M262" s="280">
        <f t="shared" si="62"/>
        <v>-16350.272234448872</v>
      </c>
      <c r="N262" s="41">
        <f t="shared" si="8"/>
        <v>0.90638278414762263</v>
      </c>
      <c r="O262" s="56"/>
      <c r="P262" s="43">
        <f>IF(D262=0,0,SUM($L$233:L262))</f>
        <v>5034965.0349650364</v>
      </c>
      <c r="Q262" s="43">
        <f>IF(D262=0,0,SUM($J$233:J262))</f>
        <v>4857250</v>
      </c>
      <c r="R262" s="282">
        <f t="shared" si="63"/>
        <v>-177715.03496503644</v>
      </c>
      <c r="S262" s="198">
        <f t="shared" si="69"/>
        <v>0.96470381944444417</v>
      </c>
      <c r="T262" s="207"/>
      <c r="U262" s="43">
        <f>IF(D262=0,0,SUM($L$21:L262))</f>
        <v>45604195.804195814</v>
      </c>
      <c r="V262" s="43">
        <f>IF(D262=0,0,SUM($J$21:J262))</f>
        <v>47608068.041958049</v>
      </c>
      <c r="W262" s="284">
        <f t="shared" si="64"/>
        <v>2003872.2377622351</v>
      </c>
      <c r="X262" s="200">
        <f t="shared" si="70"/>
        <v>1.0439405235072223</v>
      </c>
      <c r="Y262" s="201">
        <f t="shared" si="73"/>
        <v>45899</v>
      </c>
      <c r="Z262" s="202">
        <f t="shared" si="73"/>
        <v>45899</v>
      </c>
      <c r="AA262" s="18"/>
      <c r="AB262" s="244"/>
      <c r="AC262" s="247"/>
      <c r="AD262" s="142"/>
      <c r="AE262" s="18"/>
      <c r="AF262" s="18"/>
      <c r="AG262" s="203"/>
      <c r="AH262" s="203"/>
      <c r="AI262" s="18"/>
      <c r="AJ262" s="18"/>
      <c r="AK262" s="18"/>
      <c r="AL262" s="18"/>
      <c r="AM262" s="18"/>
      <c r="AN262" s="18"/>
    </row>
    <row r="263" spans="1:40" ht="21" thickBot="1">
      <c r="A263" s="18"/>
      <c r="B263" s="151"/>
      <c r="C263" s="39">
        <v>243</v>
      </c>
      <c r="D263" s="38">
        <v>0</v>
      </c>
      <c r="E263" s="217">
        <f t="shared" si="65"/>
        <v>8</v>
      </c>
      <c r="F263" s="236">
        <f t="shared" si="66"/>
        <v>45900</v>
      </c>
      <c r="G263" s="219" t="str">
        <f t="shared" si="67"/>
        <v>Sun</v>
      </c>
      <c r="H263" s="233"/>
      <c r="I263" s="221"/>
      <c r="J263" s="237"/>
      <c r="K263" s="223"/>
      <c r="L263" s="43">
        <f t="shared" si="68"/>
        <v>0</v>
      </c>
      <c r="M263" s="281">
        <f t="shared" si="62"/>
        <v>0</v>
      </c>
      <c r="N263" s="225" t="str">
        <f t="shared" si="8"/>
        <v>¥0</v>
      </c>
      <c r="O263" s="239"/>
      <c r="P263" s="238">
        <f>IF(D263=0,0,SUM($L$233:L263))</f>
        <v>0</v>
      </c>
      <c r="Q263" s="26">
        <f>IF(D263=0,0,SUM($J$233:J263))</f>
        <v>0</v>
      </c>
      <c r="R263" s="283">
        <f t="shared" si="63"/>
        <v>0</v>
      </c>
      <c r="S263" s="228">
        <f t="shared" si="69"/>
        <v>0</v>
      </c>
      <c r="T263" s="240"/>
      <c r="U263" s="28">
        <f>IF(D263=0,0,SUM($L$21:L263))</f>
        <v>0</v>
      </c>
      <c r="V263" s="224">
        <f>IF(D263=0,0,SUM($J$21:J263))</f>
        <v>0</v>
      </c>
      <c r="W263" s="285">
        <f t="shared" si="64"/>
        <v>0</v>
      </c>
      <c r="X263" s="230">
        <f t="shared" si="70"/>
        <v>0</v>
      </c>
      <c r="Y263" s="201">
        <f t="shared" ref="Y263:Z278" si="74">Y262+1</f>
        <v>45900</v>
      </c>
      <c r="Z263" s="202">
        <f t="shared" si="74"/>
        <v>45900</v>
      </c>
      <c r="AA263" s="18"/>
      <c r="AB263" s="244"/>
      <c r="AC263" s="247"/>
      <c r="AD263" s="142"/>
      <c r="AE263" s="18"/>
      <c r="AF263" s="18"/>
      <c r="AG263" s="203"/>
      <c r="AH263" s="203"/>
      <c r="AI263" s="18"/>
      <c r="AJ263" s="18"/>
      <c r="AK263" s="18"/>
      <c r="AL263" s="18"/>
      <c r="AM263" s="18"/>
      <c r="AN263" s="18"/>
    </row>
    <row r="264" spans="1:40" ht="21" thickTop="1">
      <c r="A264" s="18"/>
      <c r="B264" s="151"/>
      <c r="C264" s="55">
        <v>244</v>
      </c>
      <c r="D264" s="62">
        <v>1</v>
      </c>
      <c r="E264" s="190">
        <f t="shared" si="65"/>
        <v>9</v>
      </c>
      <c r="F264" s="191">
        <f t="shared" si="66"/>
        <v>45901</v>
      </c>
      <c r="G264" s="192" t="str">
        <f t="shared" si="67"/>
        <v>Mon</v>
      </c>
      <c r="H264" s="193"/>
      <c r="I264" s="194"/>
      <c r="J264" s="214">
        <v>201980</v>
      </c>
      <c r="K264" s="215"/>
      <c r="L264" s="43">
        <f t="shared" si="68"/>
        <v>197544.23813353875</v>
      </c>
      <c r="M264" s="282">
        <f t="shared" si="62"/>
        <v>4435.7618664612528</v>
      </c>
      <c r="N264" s="60">
        <f t="shared" si="8"/>
        <v>1.022454524153029</v>
      </c>
      <c r="O264" s="56"/>
      <c r="P264" s="43">
        <f>IF(D264=0,0,$L$264)</f>
        <v>197544.23813353875</v>
      </c>
      <c r="Q264" s="43">
        <f>IF(D264=0,0,$J$264)</f>
        <v>201980</v>
      </c>
      <c r="R264" s="282">
        <f t="shared" si="63"/>
        <v>4435.7618664612528</v>
      </c>
      <c r="S264" s="231">
        <f t="shared" si="69"/>
        <v>1.022454524153029</v>
      </c>
      <c r="T264" s="207"/>
      <c r="U264" s="43">
        <f>IF(D264=0,0,SUM($L$21:L264))</f>
        <v>45801740.042329356</v>
      </c>
      <c r="V264" s="43">
        <f>IF(D264=0,0,SUM($J$21:J264))</f>
        <v>47810048.041958049</v>
      </c>
      <c r="W264" s="284">
        <f t="shared" si="64"/>
        <v>2008307.9996286929</v>
      </c>
      <c r="X264" s="232">
        <f t="shared" si="70"/>
        <v>1.0438478537665303</v>
      </c>
      <c r="Y264" s="201">
        <f t="shared" si="74"/>
        <v>45901</v>
      </c>
      <c r="Z264" s="202">
        <f t="shared" si="74"/>
        <v>45901</v>
      </c>
      <c r="AA264" s="18"/>
      <c r="AB264" s="244"/>
      <c r="AC264" s="247"/>
      <c r="AD264" s="142"/>
      <c r="AE264" s="18"/>
      <c r="AF264" s="18"/>
      <c r="AG264" s="203"/>
      <c r="AH264" s="203"/>
      <c r="AI264" s="18"/>
      <c r="AJ264" s="18"/>
      <c r="AK264" s="18"/>
      <c r="AL264" s="18"/>
      <c r="AM264" s="18"/>
      <c r="AN264" s="18"/>
    </row>
    <row r="265" spans="1:40" ht="20">
      <c r="A265" s="18"/>
      <c r="B265" s="151"/>
      <c r="C265" s="55">
        <v>245</v>
      </c>
      <c r="D265" s="54">
        <v>1</v>
      </c>
      <c r="E265" s="190">
        <f t="shared" si="65"/>
        <v>9</v>
      </c>
      <c r="F265" s="191">
        <f t="shared" si="66"/>
        <v>45902</v>
      </c>
      <c r="G265" s="192" t="str">
        <f t="shared" si="67"/>
        <v>Tue</v>
      </c>
      <c r="H265" s="193"/>
      <c r="I265" s="194"/>
      <c r="J265" s="214">
        <v>254550</v>
      </c>
      <c r="K265" s="215"/>
      <c r="L265" s="43">
        <f t="shared" si="68"/>
        <v>326639.88500175095</v>
      </c>
      <c r="M265" s="280">
        <f t="shared" si="62"/>
        <v>-72089.885001750954</v>
      </c>
      <c r="N265" s="41">
        <f t="shared" si="8"/>
        <v>0.77929858442925759</v>
      </c>
      <c r="O265" s="56"/>
      <c r="P265" s="43">
        <f>IF(D265=0,0,SUM($L$264:L265))</f>
        <v>524184.1231352897</v>
      </c>
      <c r="Q265" s="43">
        <f>IF(D265=0,0,SUM($J$264:J265))</f>
        <v>456530</v>
      </c>
      <c r="R265" s="282">
        <f t="shared" si="63"/>
        <v>-67654.123135289701</v>
      </c>
      <c r="S265" s="198">
        <f t="shared" si="69"/>
        <v>0.87093442905017471</v>
      </c>
      <c r="T265" s="207"/>
      <c r="U265" s="43">
        <f>IF(D265=0,0,SUM($L$21:L265))</f>
        <v>46128379.927331105</v>
      </c>
      <c r="V265" s="43">
        <f>IF(D265=0,0,SUM($J$21:J265))</f>
        <v>48064598.041958049</v>
      </c>
      <c r="W265" s="284">
        <f t="shared" si="64"/>
        <v>1936218.1146269441</v>
      </c>
      <c r="X265" s="200">
        <f t="shared" si="70"/>
        <v>1.0419745527087054</v>
      </c>
      <c r="Y265" s="201">
        <f t="shared" si="74"/>
        <v>45902</v>
      </c>
      <c r="Z265" s="202">
        <f t="shared" si="74"/>
        <v>45902</v>
      </c>
      <c r="AA265" s="18"/>
      <c r="AB265" s="244"/>
      <c r="AC265" s="247"/>
      <c r="AD265" s="142"/>
      <c r="AE265" s="18"/>
      <c r="AF265" s="18"/>
      <c r="AG265" s="203"/>
      <c r="AH265" s="203"/>
      <c r="AI265" s="18"/>
      <c r="AJ265" s="18"/>
      <c r="AK265" s="18"/>
      <c r="AL265" s="18"/>
      <c r="AM265" s="18"/>
      <c r="AN265" s="18"/>
    </row>
    <row r="266" spans="1:40" ht="20">
      <c r="A266" s="18"/>
      <c r="B266" s="151"/>
      <c r="C266" s="55">
        <v>246</v>
      </c>
      <c r="D266" s="54">
        <v>1</v>
      </c>
      <c r="E266" s="190">
        <f t="shared" si="65"/>
        <v>9</v>
      </c>
      <c r="F266" s="191">
        <f t="shared" si="66"/>
        <v>45903</v>
      </c>
      <c r="G266" s="192" t="str">
        <f t="shared" si="67"/>
        <v>Wed</v>
      </c>
      <c r="H266" s="193"/>
      <c r="I266" s="194"/>
      <c r="J266" s="214">
        <v>234700</v>
      </c>
      <c r="K266" s="215"/>
      <c r="L266" s="43">
        <f t="shared" si="68"/>
        <v>220316.81492979266</v>
      </c>
      <c r="M266" s="280">
        <f t="shared" si="62"/>
        <v>14383.185070207343</v>
      </c>
      <c r="N266" s="41">
        <f t="shared" si="8"/>
        <v>1.0652841004205273</v>
      </c>
      <c r="O266" s="56"/>
      <c r="P266" s="43">
        <f>IF(D266=0,0,SUM($L$264:L266))</f>
        <v>744500.9380650823</v>
      </c>
      <c r="Q266" s="43">
        <f>IF(D266=0,0,SUM($J$264:J266))</f>
        <v>691230</v>
      </c>
      <c r="R266" s="282">
        <f t="shared" si="63"/>
        <v>-53270.9380650823</v>
      </c>
      <c r="S266" s="198">
        <f t="shared" si="69"/>
        <v>0.92844745339941337</v>
      </c>
      <c r="T266" s="207"/>
      <c r="U266" s="43">
        <f>IF(D266=0,0,SUM($L$21:L266))</f>
        <v>46348696.742260896</v>
      </c>
      <c r="V266" s="43">
        <f>IF(D266=0,0,SUM($J$21:J266))</f>
        <v>48299298.041958049</v>
      </c>
      <c r="W266" s="284">
        <f t="shared" si="64"/>
        <v>1950601.2996971533</v>
      </c>
      <c r="X266" s="200">
        <f t="shared" si="70"/>
        <v>1.0420853537812336</v>
      </c>
      <c r="Y266" s="201">
        <f t="shared" si="74"/>
        <v>45903</v>
      </c>
      <c r="Z266" s="202">
        <f t="shared" si="74"/>
        <v>45903</v>
      </c>
      <c r="AA266" s="18"/>
      <c r="AB266" s="244"/>
      <c r="AC266" s="247"/>
      <c r="AD266" s="142"/>
      <c r="AE266" s="18"/>
      <c r="AF266" s="18"/>
      <c r="AG266" s="203"/>
      <c r="AH266" s="203"/>
      <c r="AI266" s="18"/>
      <c r="AJ266" s="18"/>
      <c r="AK266" s="18"/>
      <c r="AL266" s="18"/>
      <c r="AM266" s="18"/>
      <c r="AN266" s="18"/>
    </row>
    <row r="267" spans="1:40" ht="20">
      <c r="A267" s="18"/>
      <c r="B267" s="151"/>
      <c r="C267" s="55">
        <v>247</v>
      </c>
      <c r="D267" s="54">
        <v>1</v>
      </c>
      <c r="E267" s="190">
        <f t="shared" si="65"/>
        <v>9</v>
      </c>
      <c r="F267" s="191">
        <f t="shared" si="66"/>
        <v>45904</v>
      </c>
      <c r="G267" s="192" t="str">
        <f t="shared" si="67"/>
        <v>Thu</v>
      </c>
      <c r="H267" s="193"/>
      <c r="I267" s="194"/>
      <c r="J267" s="214">
        <v>357210</v>
      </c>
      <c r="K267" s="215"/>
      <c r="L267" s="43">
        <f t="shared" si="68"/>
        <v>248321.04251467119</v>
      </c>
      <c r="M267" s="280">
        <f t="shared" si="62"/>
        <v>108888.95748532881</v>
      </c>
      <c r="N267" s="41">
        <f t="shared" si="8"/>
        <v>1.4385007262479397</v>
      </c>
      <c r="O267" s="56"/>
      <c r="P267" s="43">
        <f>IF(D267=0,0,SUM($L$264:L267))</f>
        <v>992821.98057975352</v>
      </c>
      <c r="Q267" s="43">
        <f>IF(D267=0,0,SUM($J$264:J267))</f>
        <v>1048440</v>
      </c>
      <c r="R267" s="282">
        <f t="shared" si="63"/>
        <v>55618.019420246477</v>
      </c>
      <c r="S267" s="198">
        <f t="shared" si="69"/>
        <v>1.0560201330230103</v>
      </c>
      <c r="T267" s="207"/>
      <c r="U267" s="43">
        <f>IF(D267=0,0,SUM($L$21:L267))</f>
        <v>46597017.78477557</v>
      </c>
      <c r="V267" s="43">
        <f>IF(D267=0,0,SUM($J$21:J267))</f>
        <v>48656508.041958049</v>
      </c>
      <c r="W267" s="284">
        <f t="shared" si="64"/>
        <v>2059490.2571824789</v>
      </c>
      <c r="X267" s="200">
        <f t="shared" si="70"/>
        <v>1.0441978983868656</v>
      </c>
      <c r="Y267" s="201">
        <f t="shared" si="74"/>
        <v>45904</v>
      </c>
      <c r="Z267" s="202">
        <f t="shared" si="74"/>
        <v>45904</v>
      </c>
      <c r="AA267" s="18"/>
      <c r="AB267" s="244"/>
      <c r="AC267" s="247"/>
      <c r="AD267" s="142"/>
      <c r="AE267" s="18"/>
      <c r="AF267" s="18"/>
      <c r="AG267" s="203"/>
      <c r="AH267" s="203"/>
      <c r="AI267" s="18"/>
      <c r="AJ267" s="18"/>
      <c r="AK267" s="18"/>
      <c r="AL267" s="18"/>
      <c r="AM267" s="18"/>
      <c r="AN267" s="18"/>
    </row>
    <row r="268" spans="1:40" ht="20">
      <c r="A268" s="18"/>
      <c r="B268" s="151"/>
      <c r="C268" s="55">
        <v>248</v>
      </c>
      <c r="D268" s="54">
        <v>1</v>
      </c>
      <c r="E268" s="190">
        <f t="shared" si="65"/>
        <v>9</v>
      </c>
      <c r="F268" s="191">
        <f t="shared" si="66"/>
        <v>45905</v>
      </c>
      <c r="G268" s="192" t="str">
        <f t="shared" si="67"/>
        <v>Fri</v>
      </c>
      <c r="H268" s="193"/>
      <c r="I268" s="194"/>
      <c r="J268" s="214">
        <v>330560</v>
      </c>
      <c r="K268" s="215"/>
      <c r="L268" s="43">
        <f t="shared" si="68"/>
        <v>368906.5559952138</v>
      </c>
      <c r="M268" s="280">
        <f t="shared" si="62"/>
        <v>-38346.555995213799</v>
      </c>
      <c r="N268" s="41">
        <f t="shared" si="8"/>
        <v>0.89605347107002531</v>
      </c>
      <c r="O268" s="56"/>
      <c r="P268" s="43">
        <f>IF(D268=0,0,SUM($L$264:L268))</f>
        <v>1361728.5365749672</v>
      </c>
      <c r="Q268" s="43">
        <f>IF(D268=0,0,SUM($J$264:J268))</f>
        <v>1379000</v>
      </c>
      <c r="R268" s="282">
        <f t="shared" si="63"/>
        <v>17271.463425032794</v>
      </c>
      <c r="S268" s="198">
        <f t="shared" si="69"/>
        <v>1.0126834849686517</v>
      </c>
      <c r="T268" s="207"/>
      <c r="U268" s="43">
        <f>IF(D268=0,0,SUM($L$21:L268))</f>
        <v>46965924.340770781</v>
      </c>
      <c r="V268" s="43">
        <f>IF(D268=0,0,SUM($J$21:J268))</f>
        <v>48987068.041958049</v>
      </c>
      <c r="W268" s="284">
        <f t="shared" si="64"/>
        <v>2021143.7011872679</v>
      </c>
      <c r="X268" s="200">
        <f t="shared" si="70"/>
        <v>1.0430342579126612</v>
      </c>
      <c r="Y268" s="201">
        <f t="shared" si="74"/>
        <v>45905</v>
      </c>
      <c r="Z268" s="202">
        <f t="shared" si="74"/>
        <v>45905</v>
      </c>
      <c r="AA268" s="18"/>
      <c r="AB268" s="244"/>
      <c r="AC268" s="247"/>
      <c r="AD268" s="142"/>
      <c r="AE268" s="18"/>
      <c r="AF268" s="18"/>
      <c r="AG268" s="203"/>
      <c r="AH268" s="203"/>
      <c r="AI268" s="18"/>
      <c r="AJ268" s="18"/>
      <c r="AK268" s="18"/>
      <c r="AL268" s="18"/>
      <c r="AM268" s="18"/>
      <c r="AN268" s="18"/>
    </row>
    <row r="269" spans="1:40" ht="20">
      <c r="A269" s="18"/>
      <c r="B269" s="151"/>
      <c r="C269" s="55">
        <v>249</v>
      </c>
      <c r="D269" s="54">
        <v>1</v>
      </c>
      <c r="E269" s="190">
        <f t="shared" si="65"/>
        <v>9</v>
      </c>
      <c r="F269" s="191">
        <f t="shared" si="66"/>
        <v>45906</v>
      </c>
      <c r="G269" s="192" t="str">
        <f t="shared" si="67"/>
        <v>Sat</v>
      </c>
      <c r="H269" s="193"/>
      <c r="I269" s="194"/>
      <c r="J269" s="214">
        <v>210456</v>
      </c>
      <c r="K269" s="215"/>
      <c r="L269" s="43">
        <f t="shared" si="68"/>
        <v>148760.97391454322</v>
      </c>
      <c r="M269" s="280">
        <f t="shared" si="62"/>
        <v>61695.026085456775</v>
      </c>
      <c r="N269" s="41">
        <f t="shared" si="8"/>
        <v>1.4147258818088804</v>
      </c>
      <c r="O269" s="56"/>
      <c r="P269" s="43">
        <f>IF(D269=0,0,SUM($L$264:L269))</f>
        <v>1510489.5104895104</v>
      </c>
      <c r="Q269" s="43">
        <f>IF(D269=0,0,SUM($J$264:J269))</f>
        <v>1589456</v>
      </c>
      <c r="R269" s="282">
        <f t="shared" si="63"/>
        <v>78966.489510489628</v>
      </c>
      <c r="S269" s="198">
        <f t="shared" si="69"/>
        <v>1.0522787407407408</v>
      </c>
      <c r="T269" s="207"/>
      <c r="U269" s="43">
        <f>IF(D269=0,0,SUM($L$21:L269))</f>
        <v>47114685.314685322</v>
      </c>
      <c r="V269" s="43">
        <f>IF(D269=0,0,SUM($J$21:J269))</f>
        <v>49197524.041958049</v>
      </c>
      <c r="W269" s="284">
        <f t="shared" si="64"/>
        <v>2082838.7272727266</v>
      </c>
      <c r="X269" s="200">
        <f t="shared" si="70"/>
        <v>1.0442078454596728</v>
      </c>
      <c r="Y269" s="201">
        <f t="shared" si="74"/>
        <v>45906</v>
      </c>
      <c r="Z269" s="202">
        <f t="shared" si="74"/>
        <v>45906</v>
      </c>
      <c r="AA269" s="18"/>
      <c r="AB269" s="244"/>
      <c r="AC269" s="247"/>
      <c r="AD269" s="142"/>
      <c r="AE269" s="18"/>
      <c r="AF269" s="18"/>
      <c r="AG269" s="203"/>
      <c r="AH269" s="203"/>
      <c r="AI269" s="18"/>
      <c r="AJ269" s="18"/>
      <c r="AK269" s="18"/>
      <c r="AL269" s="18"/>
      <c r="AM269" s="18"/>
      <c r="AN269" s="18"/>
    </row>
    <row r="270" spans="1:40" ht="20">
      <c r="A270" s="18"/>
      <c r="B270" s="151"/>
      <c r="C270" s="55">
        <v>250</v>
      </c>
      <c r="D270" s="54">
        <v>0</v>
      </c>
      <c r="E270" s="190">
        <f t="shared" si="65"/>
        <v>9</v>
      </c>
      <c r="F270" s="191">
        <f t="shared" si="66"/>
        <v>45907</v>
      </c>
      <c r="G270" s="192" t="str">
        <f t="shared" si="67"/>
        <v>Sun</v>
      </c>
      <c r="H270" s="193"/>
      <c r="I270" s="194"/>
      <c r="J270" s="214"/>
      <c r="K270" s="215"/>
      <c r="L270" s="43">
        <f t="shared" si="68"/>
        <v>0</v>
      </c>
      <c r="M270" s="280">
        <f t="shared" si="62"/>
        <v>0</v>
      </c>
      <c r="N270" s="41" t="str">
        <f t="shared" si="8"/>
        <v>¥0</v>
      </c>
      <c r="O270" s="44"/>
      <c r="P270" s="43">
        <f>IF(D270=0,0,SUM($L$264:L270))</f>
        <v>0</v>
      </c>
      <c r="Q270" s="43">
        <f>IF(D270=0,0,SUM($J$264:J270))</f>
        <v>0</v>
      </c>
      <c r="R270" s="282">
        <f t="shared" si="63"/>
        <v>0</v>
      </c>
      <c r="S270" s="198">
        <f t="shared" si="69"/>
        <v>0</v>
      </c>
      <c r="T270" s="212"/>
      <c r="U270" s="43">
        <f>IF(D270=0,0,SUM($L$21:L270))</f>
        <v>0</v>
      </c>
      <c r="V270" s="43">
        <f>IF(D270=0,0,SUM($J$21:J270))</f>
        <v>0</v>
      </c>
      <c r="W270" s="284">
        <f t="shared" si="64"/>
        <v>0</v>
      </c>
      <c r="X270" s="200">
        <f t="shared" si="70"/>
        <v>0</v>
      </c>
      <c r="Y270" s="201">
        <f t="shared" si="74"/>
        <v>45907</v>
      </c>
      <c r="Z270" s="202">
        <f t="shared" si="74"/>
        <v>45907</v>
      </c>
      <c r="AA270" s="18"/>
      <c r="AB270" s="244"/>
      <c r="AC270" s="247"/>
      <c r="AD270" s="142"/>
      <c r="AE270" s="18"/>
      <c r="AF270" s="18"/>
      <c r="AG270" s="203"/>
      <c r="AH270" s="203"/>
      <c r="AI270" s="18"/>
      <c r="AJ270" s="18"/>
      <c r="AK270" s="18"/>
      <c r="AL270" s="18"/>
      <c r="AM270" s="18"/>
      <c r="AN270" s="18"/>
    </row>
    <row r="271" spans="1:40" ht="20">
      <c r="A271" s="18"/>
      <c r="B271" s="151"/>
      <c r="C271" s="55">
        <v>251</v>
      </c>
      <c r="D271" s="54">
        <v>1</v>
      </c>
      <c r="E271" s="190">
        <f t="shared" si="65"/>
        <v>9</v>
      </c>
      <c r="F271" s="191">
        <f t="shared" si="66"/>
        <v>45908</v>
      </c>
      <c r="G271" s="192" t="str">
        <f t="shared" si="67"/>
        <v>Mon</v>
      </c>
      <c r="H271" s="193"/>
      <c r="I271" s="194"/>
      <c r="J271" s="214">
        <v>143200</v>
      </c>
      <c r="K271" s="215"/>
      <c r="L271" s="43">
        <f t="shared" si="68"/>
        <v>197544.23813353875</v>
      </c>
      <c r="M271" s="280">
        <f t="shared" si="62"/>
        <v>-54344.238133538747</v>
      </c>
      <c r="N271" s="41">
        <f t="shared" si="8"/>
        <v>0.72490092018374963</v>
      </c>
      <c r="O271" s="56"/>
      <c r="P271" s="43">
        <f>IF(D271=0,0,SUM($L$264:L271))</f>
        <v>1708033.7486230491</v>
      </c>
      <c r="Q271" s="43">
        <f>IF(D271=0,0,SUM($J$264:J271))</f>
        <v>1732656</v>
      </c>
      <c r="R271" s="282">
        <f t="shared" si="63"/>
        <v>24622.251376950881</v>
      </c>
      <c r="S271" s="198">
        <f t="shared" si="69"/>
        <v>1.0144155532036767</v>
      </c>
      <c r="T271" s="207"/>
      <c r="U271" s="43">
        <f>IF(D271=0,0,SUM($L$21:L271))</f>
        <v>47312229.552818865</v>
      </c>
      <c r="V271" s="43">
        <f>IF(D271=0,0,SUM($J$21:J271))</f>
        <v>49340724.041958049</v>
      </c>
      <c r="W271" s="284">
        <f t="shared" si="64"/>
        <v>2028494.4891391844</v>
      </c>
      <c r="X271" s="200">
        <f t="shared" si="70"/>
        <v>1.0428746332251071</v>
      </c>
      <c r="Y271" s="201">
        <f t="shared" si="74"/>
        <v>45908</v>
      </c>
      <c r="Z271" s="202">
        <f t="shared" si="74"/>
        <v>45908</v>
      </c>
      <c r="AA271" s="18"/>
      <c r="AB271" s="244"/>
      <c r="AC271" s="247"/>
      <c r="AD271" s="142"/>
      <c r="AE271" s="18"/>
      <c r="AF271" s="18"/>
      <c r="AG271" s="203"/>
      <c r="AH271" s="203"/>
      <c r="AI271" s="18"/>
      <c r="AJ271" s="18"/>
      <c r="AK271" s="18"/>
      <c r="AL271" s="18"/>
      <c r="AM271" s="18"/>
      <c r="AN271" s="18"/>
    </row>
    <row r="272" spans="1:40" ht="20">
      <c r="A272" s="18"/>
      <c r="B272" s="151"/>
      <c r="C272" s="55">
        <v>252</v>
      </c>
      <c r="D272" s="54">
        <v>1</v>
      </c>
      <c r="E272" s="190">
        <f t="shared" si="65"/>
        <v>9</v>
      </c>
      <c r="F272" s="191">
        <f t="shared" si="66"/>
        <v>45909</v>
      </c>
      <c r="G272" s="192" t="str">
        <f t="shared" si="67"/>
        <v>Tue</v>
      </c>
      <c r="H272" s="193"/>
      <c r="I272" s="194"/>
      <c r="J272" s="214">
        <v>239800</v>
      </c>
      <c r="K272" s="215"/>
      <c r="L272" s="43">
        <f t="shared" si="68"/>
        <v>326639.88500175095</v>
      </c>
      <c r="M272" s="280">
        <f t="shared" si="62"/>
        <v>-86839.885001750954</v>
      </c>
      <c r="N272" s="41">
        <f t="shared" si="8"/>
        <v>0.73414182104158698</v>
      </c>
      <c r="O272" s="56"/>
      <c r="P272" s="43">
        <f>IF(D272=0,0,SUM($L$264:L272))</f>
        <v>2034673.6336248</v>
      </c>
      <c r="Q272" s="43">
        <f>IF(D272=0,0,SUM($J$264:J272))</f>
        <v>1972456</v>
      </c>
      <c r="R272" s="282">
        <f t="shared" si="63"/>
        <v>-62217.633624800015</v>
      </c>
      <c r="S272" s="198">
        <f t="shared" si="69"/>
        <v>0.96942132015837923</v>
      </c>
      <c r="T272" s="207"/>
      <c r="U272" s="43">
        <f>IF(D272=0,0,SUM($L$21:L272))</f>
        <v>47638869.437820613</v>
      </c>
      <c r="V272" s="43">
        <f>IF(D272=0,0,SUM($J$21:J272))</f>
        <v>49580524.041958049</v>
      </c>
      <c r="W272" s="284">
        <f t="shared" si="64"/>
        <v>1941654.6041374356</v>
      </c>
      <c r="X272" s="200">
        <f t="shared" si="70"/>
        <v>1.0407577809265967</v>
      </c>
      <c r="Y272" s="201">
        <f t="shared" si="74"/>
        <v>45909</v>
      </c>
      <c r="Z272" s="202">
        <f t="shared" si="74"/>
        <v>45909</v>
      </c>
      <c r="AA272" s="18"/>
      <c r="AB272" s="244"/>
      <c r="AC272" s="247"/>
      <c r="AD272" s="142"/>
      <c r="AE272" s="18"/>
      <c r="AF272" s="18"/>
      <c r="AG272" s="203"/>
      <c r="AH272" s="203"/>
      <c r="AI272" s="18"/>
      <c r="AJ272" s="18"/>
      <c r="AK272" s="18"/>
      <c r="AL272" s="18"/>
      <c r="AM272" s="18"/>
      <c r="AN272" s="18"/>
    </row>
    <row r="273" spans="1:40" ht="20">
      <c r="A273" s="18"/>
      <c r="B273" s="151"/>
      <c r="C273" s="55">
        <v>253</v>
      </c>
      <c r="D273" s="54">
        <v>1</v>
      </c>
      <c r="E273" s="190">
        <f t="shared" si="65"/>
        <v>9</v>
      </c>
      <c r="F273" s="191">
        <f t="shared" si="66"/>
        <v>45910</v>
      </c>
      <c r="G273" s="192" t="str">
        <f t="shared" si="67"/>
        <v>Wed</v>
      </c>
      <c r="H273" s="193"/>
      <c r="I273" s="194"/>
      <c r="J273" s="214">
        <v>356900</v>
      </c>
      <c r="K273" s="215"/>
      <c r="L273" s="43">
        <f t="shared" si="68"/>
        <v>220316.81492979266</v>
      </c>
      <c r="M273" s="280">
        <f t="shared" si="62"/>
        <v>136583.18507020734</v>
      </c>
      <c r="N273" s="41">
        <f t="shared" si="8"/>
        <v>1.6199399038776576</v>
      </c>
      <c r="O273" s="56"/>
      <c r="P273" s="43">
        <f>IF(D273=0,0,SUM($L$264:L273))</f>
        <v>2254990.4485545927</v>
      </c>
      <c r="Q273" s="43">
        <f>IF(D273=0,0,SUM($J$264:J273))</f>
        <v>2329356</v>
      </c>
      <c r="R273" s="282">
        <f t="shared" si="63"/>
        <v>74365.551445407327</v>
      </c>
      <c r="S273" s="198">
        <f t="shared" si="69"/>
        <v>1.0329782112793755</v>
      </c>
      <c r="T273" s="207"/>
      <c r="U273" s="43">
        <f>IF(D273=0,0,SUM($L$21:L273))</f>
        <v>47859186.252750404</v>
      </c>
      <c r="V273" s="43">
        <f>IF(D273=0,0,SUM($J$21:J273))</f>
        <v>49937424.041958049</v>
      </c>
      <c r="W273" s="284">
        <f t="shared" si="64"/>
        <v>2078237.7892076448</v>
      </c>
      <c r="X273" s="200">
        <f t="shared" si="70"/>
        <v>1.0434240101415893</v>
      </c>
      <c r="Y273" s="201">
        <f t="shared" si="74"/>
        <v>45910</v>
      </c>
      <c r="Z273" s="202">
        <f t="shared" si="74"/>
        <v>45910</v>
      </c>
      <c r="AA273" s="18"/>
      <c r="AB273" s="244"/>
      <c r="AC273" s="247"/>
      <c r="AD273" s="142"/>
      <c r="AE273" s="18"/>
      <c r="AF273" s="18"/>
      <c r="AG273" s="203"/>
      <c r="AH273" s="203"/>
      <c r="AI273" s="18"/>
      <c r="AJ273" s="18"/>
      <c r="AK273" s="18"/>
      <c r="AL273" s="18"/>
      <c r="AM273" s="18"/>
      <c r="AN273" s="18"/>
    </row>
    <row r="274" spans="1:40" ht="20">
      <c r="A274" s="18"/>
      <c r="B274" s="151"/>
      <c r="C274" s="55">
        <v>254</v>
      </c>
      <c r="D274" s="54">
        <v>1</v>
      </c>
      <c r="E274" s="190">
        <f t="shared" si="65"/>
        <v>9</v>
      </c>
      <c r="F274" s="191">
        <f t="shared" si="66"/>
        <v>45911</v>
      </c>
      <c r="G274" s="192" t="str">
        <f t="shared" si="67"/>
        <v>Thu</v>
      </c>
      <c r="H274" s="193"/>
      <c r="I274" s="194"/>
      <c r="J274" s="214">
        <v>263000</v>
      </c>
      <c r="K274" s="215"/>
      <c r="L274" s="43">
        <f t="shared" si="68"/>
        <v>248321.04251467119</v>
      </c>
      <c r="M274" s="280">
        <f t="shared" si="62"/>
        <v>14678.957485328807</v>
      </c>
      <c r="N274" s="41">
        <f t="shared" si="8"/>
        <v>1.0591128215985222</v>
      </c>
      <c r="O274" s="56"/>
      <c r="P274" s="43">
        <f>IF(D274=0,0,SUM($L$264:L274))</f>
        <v>2503311.4910692638</v>
      </c>
      <c r="Q274" s="43">
        <f>IF(D274=0,0,SUM($J$264:J274))</f>
        <v>2592356</v>
      </c>
      <c r="R274" s="282">
        <f t="shared" si="63"/>
        <v>89044.508930736221</v>
      </c>
      <c r="S274" s="198">
        <f t="shared" si="69"/>
        <v>1.0355706867676711</v>
      </c>
      <c r="T274" s="207"/>
      <c r="U274" s="43">
        <f>IF(D274=0,0,SUM($L$21:L274))</f>
        <v>48107507.295265079</v>
      </c>
      <c r="V274" s="43">
        <f>IF(D274=0,0,SUM($J$21:J274))</f>
        <v>50200424.041958049</v>
      </c>
      <c r="W274" s="284">
        <f t="shared" si="64"/>
        <v>2092916.7466929704</v>
      </c>
      <c r="X274" s="200">
        <f t="shared" si="70"/>
        <v>1.0435049925544357</v>
      </c>
      <c r="Y274" s="201">
        <f t="shared" si="74"/>
        <v>45911</v>
      </c>
      <c r="Z274" s="202">
        <f t="shared" si="74"/>
        <v>45911</v>
      </c>
      <c r="AA274" s="18"/>
      <c r="AB274" s="244"/>
      <c r="AC274" s="247"/>
      <c r="AD274" s="142"/>
      <c r="AE274" s="18"/>
      <c r="AF274" s="18"/>
      <c r="AG274" s="203"/>
      <c r="AH274" s="203"/>
      <c r="AI274" s="18"/>
      <c r="AJ274" s="18"/>
      <c r="AK274" s="18"/>
      <c r="AL274" s="18"/>
      <c r="AM274" s="18"/>
      <c r="AN274" s="18"/>
    </row>
    <row r="275" spans="1:40" ht="20">
      <c r="A275" s="18"/>
      <c r="B275" s="151"/>
      <c r="C275" s="55">
        <v>255</v>
      </c>
      <c r="D275" s="54">
        <v>1</v>
      </c>
      <c r="E275" s="190">
        <f t="shared" si="65"/>
        <v>9</v>
      </c>
      <c r="F275" s="191">
        <f t="shared" si="66"/>
        <v>45912</v>
      </c>
      <c r="G275" s="192" t="str">
        <f t="shared" si="67"/>
        <v>Fri</v>
      </c>
      <c r="H275" s="193"/>
      <c r="I275" s="194"/>
      <c r="J275" s="214">
        <v>353200</v>
      </c>
      <c r="K275" s="215"/>
      <c r="L275" s="43">
        <f t="shared" si="68"/>
        <v>368906.5559952138</v>
      </c>
      <c r="M275" s="280">
        <f t="shared" si="62"/>
        <v>-15706.555995213799</v>
      </c>
      <c r="N275" s="41">
        <f t="shared" si="8"/>
        <v>0.95742402584079433</v>
      </c>
      <c r="O275" s="56"/>
      <c r="P275" s="43">
        <f>IF(D275=0,0,SUM($L$264:L275))</f>
        <v>2872218.0470644776</v>
      </c>
      <c r="Q275" s="43">
        <f>IF(D275=0,0,SUM($J$264:J275))</f>
        <v>2945556</v>
      </c>
      <c r="R275" s="282">
        <f t="shared" si="63"/>
        <v>73337.952935522422</v>
      </c>
      <c r="S275" s="198">
        <f t="shared" si="69"/>
        <v>1.0255335603821851</v>
      </c>
      <c r="T275" s="207"/>
      <c r="U275" s="43">
        <f>IF(D275=0,0,SUM($L$21:L275))</f>
        <v>48476413.85126029</v>
      </c>
      <c r="V275" s="43">
        <f>IF(D275=0,0,SUM($J$21:J275))</f>
        <v>50553624.041958049</v>
      </c>
      <c r="W275" s="284">
        <f t="shared" si="64"/>
        <v>2077210.1906977594</v>
      </c>
      <c r="X275" s="200">
        <f t="shared" si="70"/>
        <v>1.04284991453929</v>
      </c>
      <c r="Y275" s="201">
        <f t="shared" si="74"/>
        <v>45912</v>
      </c>
      <c r="Z275" s="202">
        <f t="shared" si="74"/>
        <v>45912</v>
      </c>
      <c r="AA275" s="18"/>
      <c r="AB275" s="244"/>
      <c r="AC275" s="247"/>
      <c r="AD275" s="142"/>
      <c r="AE275" s="18"/>
      <c r="AF275" s="18"/>
      <c r="AG275" s="203"/>
      <c r="AH275" s="203"/>
      <c r="AI275" s="18"/>
      <c r="AJ275" s="18"/>
      <c r="AK275" s="18"/>
      <c r="AL275" s="18"/>
      <c r="AM275" s="18"/>
      <c r="AN275" s="18"/>
    </row>
    <row r="276" spans="1:40" ht="20">
      <c r="A276" s="18"/>
      <c r="B276" s="151"/>
      <c r="C276" s="55">
        <v>256</v>
      </c>
      <c r="D276" s="54">
        <v>1</v>
      </c>
      <c r="E276" s="190">
        <f t="shared" si="65"/>
        <v>9</v>
      </c>
      <c r="F276" s="191">
        <f t="shared" si="66"/>
        <v>45913</v>
      </c>
      <c r="G276" s="192" t="str">
        <f t="shared" si="67"/>
        <v>Sat</v>
      </c>
      <c r="H276" s="193"/>
      <c r="I276" s="194"/>
      <c r="J276" s="214">
        <v>210980</v>
      </c>
      <c r="K276" s="215"/>
      <c r="L276" s="43">
        <f t="shared" si="68"/>
        <v>148760.97391454322</v>
      </c>
      <c r="M276" s="280">
        <f t="shared" si="62"/>
        <v>62219.026085456775</v>
      </c>
      <c r="N276" s="41">
        <f t="shared" ref="N276:N385" si="75">IFERROR(J276/L276,"¥0")</f>
        <v>1.4182483110200592</v>
      </c>
      <c r="O276" s="56"/>
      <c r="P276" s="43">
        <f>IF(D276=0,0,SUM($L$264:L276))</f>
        <v>3020979.0209790207</v>
      </c>
      <c r="Q276" s="43">
        <f>IF(D276=0,0,SUM($J$264:J276))</f>
        <v>3156536</v>
      </c>
      <c r="R276" s="282">
        <f t="shared" si="63"/>
        <v>135556.97902097926</v>
      </c>
      <c r="S276" s="198">
        <f t="shared" si="69"/>
        <v>1.0448718703703705</v>
      </c>
      <c r="T276" s="207"/>
      <c r="U276" s="43">
        <f>IF(D276=0,0,SUM($L$21:L276))</f>
        <v>48625174.825174831</v>
      </c>
      <c r="V276" s="43">
        <f>IF(D276=0,0,SUM($J$21:J276))</f>
        <v>50764604.041958049</v>
      </c>
      <c r="W276" s="284">
        <f t="shared" si="64"/>
        <v>2139429.2167832181</v>
      </c>
      <c r="X276" s="200">
        <f t="shared" si="70"/>
        <v>1.0439983861132685</v>
      </c>
      <c r="Y276" s="201">
        <f t="shared" si="74"/>
        <v>45913</v>
      </c>
      <c r="Z276" s="202">
        <f t="shared" si="74"/>
        <v>45913</v>
      </c>
      <c r="AA276" s="18"/>
      <c r="AB276" s="244"/>
      <c r="AC276" s="247"/>
      <c r="AD276" s="142"/>
      <c r="AE276" s="18"/>
      <c r="AF276" s="18"/>
      <c r="AG276" s="203"/>
      <c r="AH276" s="203"/>
      <c r="AI276" s="18"/>
      <c r="AJ276" s="18"/>
      <c r="AK276" s="18"/>
      <c r="AL276" s="18"/>
      <c r="AM276" s="18"/>
      <c r="AN276" s="18"/>
    </row>
    <row r="277" spans="1:40" ht="20">
      <c r="A277" s="18"/>
      <c r="B277" s="151"/>
      <c r="C277" s="55">
        <v>257</v>
      </c>
      <c r="D277" s="54">
        <v>0</v>
      </c>
      <c r="E277" s="190">
        <f t="shared" si="65"/>
        <v>9</v>
      </c>
      <c r="F277" s="191">
        <f t="shared" si="66"/>
        <v>45914</v>
      </c>
      <c r="G277" s="192" t="str">
        <f t="shared" si="67"/>
        <v>Sun</v>
      </c>
      <c r="H277" s="193"/>
      <c r="I277" s="194"/>
      <c r="J277" s="214"/>
      <c r="K277" s="215"/>
      <c r="L277" s="43">
        <f t="shared" si="68"/>
        <v>0</v>
      </c>
      <c r="M277" s="280">
        <f t="shared" ref="M277:M340" si="76">IF(D277=0,0,J277-L277)</f>
        <v>0</v>
      </c>
      <c r="N277" s="41" t="str">
        <f t="shared" si="75"/>
        <v>¥0</v>
      </c>
      <c r="O277" s="44"/>
      <c r="P277" s="43">
        <f>IF(D277=0,0,SUM($L$264:L277))</f>
        <v>0</v>
      </c>
      <c r="Q277" s="43">
        <f>IF(D277=0,0,SUM($J$264:J277))</f>
        <v>0</v>
      </c>
      <c r="R277" s="282">
        <f t="shared" ref="R277:R340" si="77">IF(D277=0,0,Q277-P277)</f>
        <v>0</v>
      </c>
      <c r="S277" s="198">
        <f t="shared" si="69"/>
        <v>0</v>
      </c>
      <c r="T277" s="212"/>
      <c r="U277" s="43">
        <f>IF(D277=0,0,SUM($L$21:L277))</f>
        <v>0</v>
      </c>
      <c r="V277" s="43">
        <f>IF(D277=0,0,SUM($J$21:J277))</f>
        <v>0</v>
      </c>
      <c r="W277" s="284">
        <f t="shared" ref="W277:W340" si="78">IF(D277=0,0,V277-U277)</f>
        <v>0</v>
      </c>
      <c r="X277" s="200">
        <f t="shared" si="70"/>
        <v>0</v>
      </c>
      <c r="Y277" s="201">
        <f t="shared" si="74"/>
        <v>45914</v>
      </c>
      <c r="Z277" s="202">
        <f t="shared" si="74"/>
        <v>45914</v>
      </c>
      <c r="AA277" s="18"/>
      <c r="AB277" s="244"/>
      <c r="AC277" s="247"/>
      <c r="AD277" s="142"/>
      <c r="AE277" s="18"/>
      <c r="AF277" s="18"/>
      <c r="AG277" s="203"/>
      <c r="AH277" s="203"/>
      <c r="AI277" s="18"/>
      <c r="AJ277" s="18"/>
      <c r="AK277" s="18"/>
      <c r="AL277" s="18"/>
      <c r="AM277" s="18"/>
      <c r="AN277" s="18"/>
    </row>
    <row r="278" spans="1:40" ht="20">
      <c r="A278" s="18"/>
      <c r="B278" s="151"/>
      <c r="C278" s="55">
        <v>258</v>
      </c>
      <c r="D278" s="54">
        <v>0</v>
      </c>
      <c r="E278" s="190">
        <f t="shared" ref="E278:E341" si="79">MONTH(Y278)</f>
        <v>9</v>
      </c>
      <c r="F278" s="191">
        <f t="shared" ref="F278:F341" si="80">F277+1</f>
        <v>45915</v>
      </c>
      <c r="G278" s="192" t="str">
        <f t="shared" ref="G278:G341" si="81">TEXT(Z278,"ddd")</f>
        <v>Mon</v>
      </c>
      <c r="H278" s="193" t="s">
        <v>178</v>
      </c>
      <c r="I278" s="194"/>
      <c r="J278" s="214"/>
      <c r="K278" s="215"/>
      <c r="L278" s="43">
        <f t="shared" ref="L278:L341" si="82">IF(D278=0,0,IFERROR(SUMIFS($AE$21:$AE$104,$AA$21:$AA$104,$E278,$AB$21:$AB$104,$G278),0))</f>
        <v>0</v>
      </c>
      <c r="M278" s="280">
        <f t="shared" si="76"/>
        <v>0</v>
      </c>
      <c r="N278" s="41" t="str">
        <f t="shared" si="75"/>
        <v>¥0</v>
      </c>
      <c r="O278" s="44"/>
      <c r="P278" s="43">
        <f>IF(D278=0,0,SUM($L$264:L278))</f>
        <v>0</v>
      </c>
      <c r="Q278" s="43">
        <f>IF(D278=0,0,SUM($J$264:J278))</f>
        <v>0</v>
      </c>
      <c r="R278" s="282">
        <f t="shared" si="77"/>
        <v>0</v>
      </c>
      <c r="S278" s="198">
        <f t="shared" ref="S278:S341" si="83">IF(D278=0,0,Q278/P278)</f>
        <v>0</v>
      </c>
      <c r="T278" s="212"/>
      <c r="U278" s="43">
        <f>IF(D278=0,0,SUM($L$21:L278))</f>
        <v>0</v>
      </c>
      <c r="V278" s="43">
        <f>IF(D278=0,0,SUM($J$21:J278))</f>
        <v>0</v>
      </c>
      <c r="W278" s="284">
        <f t="shared" si="78"/>
        <v>0</v>
      </c>
      <c r="X278" s="200">
        <f t="shared" ref="X278:X341" si="84">IF(D278=0,0,V278/U278)</f>
        <v>0</v>
      </c>
      <c r="Y278" s="201">
        <f t="shared" si="74"/>
        <v>45915</v>
      </c>
      <c r="Z278" s="202">
        <f t="shared" si="74"/>
        <v>45915</v>
      </c>
      <c r="AA278" s="18"/>
      <c r="AB278" s="244"/>
      <c r="AC278" s="247"/>
      <c r="AD278" s="142"/>
      <c r="AE278" s="18"/>
      <c r="AF278" s="18"/>
      <c r="AG278" s="203"/>
      <c r="AH278" s="203"/>
      <c r="AI278" s="18"/>
      <c r="AJ278" s="18"/>
      <c r="AK278" s="18"/>
      <c r="AL278" s="18"/>
      <c r="AM278" s="18"/>
      <c r="AN278" s="18"/>
    </row>
    <row r="279" spans="1:40" ht="20">
      <c r="A279" s="18"/>
      <c r="B279" s="151"/>
      <c r="C279" s="55">
        <v>259</v>
      </c>
      <c r="D279" s="54">
        <v>1</v>
      </c>
      <c r="E279" s="190">
        <f t="shared" si="79"/>
        <v>9</v>
      </c>
      <c r="F279" s="191">
        <f t="shared" si="80"/>
        <v>45916</v>
      </c>
      <c r="G279" s="192" t="str">
        <f t="shared" si="81"/>
        <v>Tue</v>
      </c>
      <c r="H279" s="193"/>
      <c r="I279" s="194"/>
      <c r="J279" s="214">
        <v>333450</v>
      </c>
      <c r="K279" s="215"/>
      <c r="L279" s="43">
        <f t="shared" si="82"/>
        <v>326639.88500175095</v>
      </c>
      <c r="M279" s="280">
        <f t="shared" si="76"/>
        <v>6810.114998249046</v>
      </c>
      <c r="N279" s="41">
        <f t="shared" si="75"/>
        <v>1.0208490001097463</v>
      </c>
      <c r="O279" s="56"/>
      <c r="P279" s="43">
        <f>IF(D279=0,0,SUM($L$264:L279))</f>
        <v>3347618.9059807719</v>
      </c>
      <c r="Q279" s="43">
        <f>IF(D279=0,0,SUM($J$264:J279))</f>
        <v>3489986</v>
      </c>
      <c r="R279" s="282">
        <f t="shared" si="77"/>
        <v>142367.09401922813</v>
      </c>
      <c r="S279" s="198">
        <f t="shared" si="83"/>
        <v>1.0425278677226009</v>
      </c>
      <c r="T279" s="207"/>
      <c r="U279" s="43">
        <f>IF(D279=0,0,SUM($L$21:L279))</f>
        <v>48951814.71017658</v>
      </c>
      <c r="V279" s="43">
        <f>IF(D279=0,0,SUM($J$21:J279))</f>
        <v>51098054.041958049</v>
      </c>
      <c r="W279" s="284">
        <f t="shared" si="78"/>
        <v>2146239.3317814693</v>
      </c>
      <c r="X279" s="200">
        <f t="shared" si="84"/>
        <v>1.0438439176256991</v>
      </c>
      <c r="Y279" s="201">
        <f t="shared" ref="Y279:Z294" si="85">Y278+1</f>
        <v>45916</v>
      </c>
      <c r="Z279" s="202">
        <f t="shared" si="85"/>
        <v>45916</v>
      </c>
      <c r="AA279" s="18"/>
      <c r="AB279" s="244"/>
      <c r="AC279" s="247"/>
      <c r="AD279" s="142"/>
      <c r="AE279" s="18"/>
      <c r="AF279" s="18"/>
      <c r="AG279" s="203"/>
      <c r="AH279" s="203"/>
      <c r="AI279" s="18"/>
      <c r="AJ279" s="18"/>
      <c r="AK279" s="18"/>
      <c r="AL279" s="18"/>
      <c r="AM279" s="18"/>
      <c r="AN279" s="18"/>
    </row>
    <row r="280" spans="1:40" ht="20">
      <c r="A280" s="18"/>
      <c r="B280" s="151"/>
      <c r="C280" s="55">
        <v>260</v>
      </c>
      <c r="D280" s="54">
        <v>1</v>
      </c>
      <c r="E280" s="190">
        <f t="shared" si="79"/>
        <v>9</v>
      </c>
      <c r="F280" s="191">
        <f t="shared" si="80"/>
        <v>45917</v>
      </c>
      <c r="G280" s="192" t="str">
        <f t="shared" si="81"/>
        <v>Wed</v>
      </c>
      <c r="H280" s="193"/>
      <c r="I280" s="194"/>
      <c r="J280" s="214">
        <v>210450</v>
      </c>
      <c r="K280" s="215"/>
      <c r="L280" s="43">
        <f t="shared" si="82"/>
        <v>220316.81492979266</v>
      </c>
      <c r="M280" s="280">
        <f t="shared" si="76"/>
        <v>-9866.8149297926575</v>
      </c>
      <c r="N280" s="41">
        <f t="shared" si="75"/>
        <v>0.95521533418619509</v>
      </c>
      <c r="O280" s="56"/>
      <c r="P280" s="43">
        <f>IF(D280=0,0,SUM($L$264:L280))</f>
        <v>3567935.7209105645</v>
      </c>
      <c r="Q280" s="43">
        <f>IF(D280=0,0,SUM($J$264:J280))</f>
        <v>3700436</v>
      </c>
      <c r="R280" s="282">
        <f t="shared" si="77"/>
        <v>132500.27908943547</v>
      </c>
      <c r="S280" s="198">
        <f t="shared" si="83"/>
        <v>1.037136397472884</v>
      </c>
      <c r="T280" s="207"/>
      <c r="U280" s="43">
        <f>IF(D280=0,0,SUM($L$21:L280))</f>
        <v>49172131.52510637</v>
      </c>
      <c r="V280" s="43">
        <f>IF(D280=0,0,SUM($J$21:J280))</f>
        <v>51308504.041958049</v>
      </c>
      <c r="W280" s="284">
        <f t="shared" si="78"/>
        <v>2136372.5168516785</v>
      </c>
      <c r="X280" s="200">
        <f t="shared" si="84"/>
        <v>1.0434468153116545</v>
      </c>
      <c r="Y280" s="201">
        <f t="shared" si="85"/>
        <v>45917</v>
      </c>
      <c r="Z280" s="202">
        <f t="shared" si="85"/>
        <v>45917</v>
      </c>
      <c r="AA280" s="18"/>
      <c r="AB280" s="244"/>
      <c r="AC280" s="247"/>
      <c r="AD280" s="142"/>
      <c r="AE280" s="18"/>
      <c r="AF280" s="18"/>
      <c r="AG280" s="203"/>
      <c r="AH280" s="203"/>
      <c r="AI280" s="18"/>
      <c r="AJ280" s="18"/>
      <c r="AK280" s="18"/>
      <c r="AL280" s="18"/>
      <c r="AM280" s="18"/>
      <c r="AN280" s="18"/>
    </row>
    <row r="281" spans="1:40" ht="20">
      <c r="A281" s="18"/>
      <c r="B281" s="151"/>
      <c r="C281" s="55">
        <v>261</v>
      </c>
      <c r="D281" s="54">
        <v>1</v>
      </c>
      <c r="E281" s="190">
        <f t="shared" si="79"/>
        <v>9</v>
      </c>
      <c r="F281" s="191">
        <f t="shared" si="80"/>
        <v>45918</v>
      </c>
      <c r="G281" s="192" t="str">
        <f t="shared" si="81"/>
        <v>Thu</v>
      </c>
      <c r="H281" s="193"/>
      <c r="I281" s="194"/>
      <c r="J281" s="214">
        <v>309890</v>
      </c>
      <c r="K281" s="215"/>
      <c r="L281" s="43">
        <f t="shared" si="82"/>
        <v>248321.04251467119</v>
      </c>
      <c r="M281" s="280">
        <f t="shared" si="76"/>
        <v>61568.957485328807</v>
      </c>
      <c r="N281" s="41">
        <f t="shared" si="75"/>
        <v>1.2479409592591866</v>
      </c>
      <c r="O281" s="56"/>
      <c r="P281" s="43">
        <f>IF(D281=0,0,SUM($L$264:L281))</f>
        <v>3816256.7634252356</v>
      </c>
      <c r="Q281" s="43">
        <f>IF(D281=0,0,SUM($J$264:J281))</f>
        <v>4010326</v>
      </c>
      <c r="R281" s="282">
        <f t="shared" si="77"/>
        <v>194069.23657476436</v>
      </c>
      <c r="S281" s="198">
        <f t="shared" si="83"/>
        <v>1.0508532964644077</v>
      </c>
      <c r="T281" s="207"/>
      <c r="U281" s="43">
        <f>IF(D281=0,0,SUM($L$21:L281))</f>
        <v>49420452.567621045</v>
      </c>
      <c r="V281" s="43">
        <f>IF(D281=0,0,SUM($J$21:J281))</f>
        <v>51618394.041958049</v>
      </c>
      <c r="W281" s="284">
        <f t="shared" si="78"/>
        <v>2197941.4743370041</v>
      </c>
      <c r="X281" s="200">
        <f t="shared" si="84"/>
        <v>1.0444743291520773</v>
      </c>
      <c r="Y281" s="201">
        <f t="shared" si="85"/>
        <v>45918</v>
      </c>
      <c r="Z281" s="202">
        <f t="shared" si="85"/>
        <v>45918</v>
      </c>
      <c r="AA281" s="18"/>
      <c r="AB281" s="244"/>
      <c r="AC281" s="247"/>
      <c r="AD281" s="142"/>
      <c r="AE281" s="18"/>
      <c r="AF281" s="18"/>
      <c r="AG281" s="203"/>
      <c r="AH281" s="203"/>
      <c r="AI281" s="18"/>
      <c r="AJ281" s="18"/>
      <c r="AK281" s="18"/>
      <c r="AL281" s="18"/>
      <c r="AM281" s="18"/>
      <c r="AN281" s="18"/>
    </row>
    <row r="282" spans="1:40" ht="20">
      <c r="A282" s="18"/>
      <c r="B282" s="151"/>
      <c r="C282" s="55">
        <v>262</v>
      </c>
      <c r="D282" s="54">
        <v>1</v>
      </c>
      <c r="E282" s="190">
        <f t="shared" si="79"/>
        <v>9</v>
      </c>
      <c r="F282" s="191">
        <f t="shared" si="80"/>
        <v>45919</v>
      </c>
      <c r="G282" s="192" t="str">
        <f t="shared" si="81"/>
        <v>Fri</v>
      </c>
      <c r="H282" s="193"/>
      <c r="I282" s="194"/>
      <c r="J282" s="214">
        <v>415690</v>
      </c>
      <c r="K282" s="215"/>
      <c r="L282" s="43">
        <f t="shared" si="82"/>
        <v>368906.5559952138</v>
      </c>
      <c r="M282" s="280">
        <f t="shared" si="76"/>
        <v>46783.444004786201</v>
      </c>
      <c r="N282" s="41">
        <f t="shared" si="75"/>
        <v>1.1268165155768963</v>
      </c>
      <c r="O282" s="56"/>
      <c r="P282" s="43">
        <f>IF(D282=0,0,SUM($L$264:L282))</f>
        <v>4185163.3194204494</v>
      </c>
      <c r="Q282" s="43">
        <f>IF(D282=0,0,SUM($J$264:J282))</f>
        <v>4426016</v>
      </c>
      <c r="R282" s="282">
        <f t="shared" si="77"/>
        <v>240852.68057955056</v>
      </c>
      <c r="S282" s="198">
        <f t="shared" si="83"/>
        <v>1.0575491712502401</v>
      </c>
      <c r="T282" s="207"/>
      <c r="U282" s="43">
        <f>IF(D282=0,0,SUM($L$21:L282))</f>
        <v>49789359.123616256</v>
      </c>
      <c r="V282" s="43">
        <f>IF(D282=0,0,SUM($J$21:J282))</f>
        <v>52034084.041958049</v>
      </c>
      <c r="W282" s="284">
        <f t="shared" si="78"/>
        <v>2244724.9183417931</v>
      </c>
      <c r="X282" s="200">
        <f t="shared" si="84"/>
        <v>1.0450844308473348</v>
      </c>
      <c r="Y282" s="201">
        <f t="shared" si="85"/>
        <v>45919</v>
      </c>
      <c r="Z282" s="202">
        <f t="shared" si="85"/>
        <v>45919</v>
      </c>
      <c r="AA282" s="18"/>
      <c r="AB282" s="244"/>
      <c r="AC282" s="247"/>
      <c r="AD282" s="142"/>
      <c r="AE282" s="18"/>
      <c r="AF282" s="18"/>
      <c r="AG282" s="203"/>
      <c r="AH282" s="203"/>
      <c r="AI282" s="18"/>
      <c r="AJ282" s="18"/>
      <c r="AK282" s="18"/>
      <c r="AL282" s="18"/>
      <c r="AM282" s="18"/>
      <c r="AN282" s="18"/>
    </row>
    <row r="283" spans="1:40" ht="20">
      <c r="A283" s="18"/>
      <c r="B283" s="151"/>
      <c r="C283" s="55">
        <v>263</v>
      </c>
      <c r="D283" s="54">
        <v>1</v>
      </c>
      <c r="E283" s="190">
        <f t="shared" si="79"/>
        <v>9</v>
      </c>
      <c r="F283" s="191">
        <f t="shared" si="80"/>
        <v>45920</v>
      </c>
      <c r="G283" s="192" t="str">
        <f t="shared" si="81"/>
        <v>Sat</v>
      </c>
      <c r="H283" s="193"/>
      <c r="I283" s="194"/>
      <c r="J283" s="214">
        <v>210910</v>
      </c>
      <c r="K283" s="215"/>
      <c r="L283" s="43">
        <f t="shared" si="82"/>
        <v>148760.97391454322</v>
      </c>
      <c r="M283" s="280">
        <f t="shared" si="76"/>
        <v>62149.026085456775</v>
      </c>
      <c r="N283" s="41">
        <f t="shared" si="75"/>
        <v>1.4177777574994819</v>
      </c>
      <c r="O283" s="56"/>
      <c r="P283" s="43">
        <f>IF(D283=0,0,SUM($L$264:L283))</f>
        <v>4333924.2933349926</v>
      </c>
      <c r="Q283" s="43">
        <f>IF(D283=0,0,SUM($J$264:J283))</f>
        <v>4636926</v>
      </c>
      <c r="R283" s="282">
        <f t="shared" si="77"/>
        <v>303001.7066650074</v>
      </c>
      <c r="S283" s="198">
        <f t="shared" si="83"/>
        <v>1.0699139362288779</v>
      </c>
      <c r="T283" s="207"/>
      <c r="U283" s="43">
        <f>IF(D283=0,0,SUM($L$21:L283))</f>
        <v>49938120.097530797</v>
      </c>
      <c r="V283" s="43">
        <f>IF(D283=0,0,SUM($J$21:J283))</f>
        <v>52244994.041958049</v>
      </c>
      <c r="W283" s="284">
        <f t="shared" si="78"/>
        <v>2306873.9444272518</v>
      </c>
      <c r="X283" s="200">
        <f t="shared" si="84"/>
        <v>1.0461946492964063</v>
      </c>
      <c r="Y283" s="201">
        <f t="shared" si="85"/>
        <v>45920</v>
      </c>
      <c r="Z283" s="202">
        <f t="shared" si="85"/>
        <v>45920</v>
      </c>
      <c r="AA283" s="18"/>
      <c r="AB283" s="244"/>
      <c r="AC283" s="247"/>
      <c r="AD283" s="142"/>
      <c r="AE283" s="18"/>
      <c r="AF283" s="18"/>
      <c r="AG283" s="203"/>
      <c r="AH283" s="203"/>
      <c r="AI283" s="18"/>
      <c r="AJ283" s="18"/>
      <c r="AK283" s="18"/>
      <c r="AL283" s="18"/>
      <c r="AM283" s="18"/>
      <c r="AN283" s="18"/>
    </row>
    <row r="284" spans="1:40" ht="20">
      <c r="A284" s="18"/>
      <c r="B284" s="151"/>
      <c r="C284" s="55">
        <v>264</v>
      </c>
      <c r="D284" s="54">
        <v>0</v>
      </c>
      <c r="E284" s="190">
        <f t="shared" si="79"/>
        <v>9</v>
      </c>
      <c r="F284" s="191">
        <f t="shared" si="80"/>
        <v>45921</v>
      </c>
      <c r="G284" s="192" t="str">
        <f t="shared" si="81"/>
        <v>Sun</v>
      </c>
      <c r="H284" s="193"/>
      <c r="I284" s="194"/>
      <c r="J284" s="214"/>
      <c r="K284" s="215"/>
      <c r="L284" s="43">
        <f t="shared" si="82"/>
        <v>0</v>
      </c>
      <c r="M284" s="280">
        <f t="shared" si="76"/>
        <v>0</v>
      </c>
      <c r="N284" s="41" t="str">
        <f t="shared" si="75"/>
        <v>¥0</v>
      </c>
      <c r="O284" s="44"/>
      <c r="P284" s="43">
        <f>IF(D284=0,0,SUM($L$264:L284))</f>
        <v>0</v>
      </c>
      <c r="Q284" s="43">
        <f>IF(D284=0,0,SUM($J$264:J284))</f>
        <v>0</v>
      </c>
      <c r="R284" s="282">
        <f t="shared" si="77"/>
        <v>0</v>
      </c>
      <c r="S284" s="198">
        <f t="shared" si="83"/>
        <v>0</v>
      </c>
      <c r="T284" s="212"/>
      <c r="U284" s="43">
        <f>IF(D284=0,0,SUM($L$21:L284))</f>
        <v>0</v>
      </c>
      <c r="V284" s="43">
        <f>IF(D284=0,0,SUM($J$21:J284))</f>
        <v>0</v>
      </c>
      <c r="W284" s="284">
        <f t="shared" si="78"/>
        <v>0</v>
      </c>
      <c r="X284" s="200">
        <f t="shared" si="84"/>
        <v>0</v>
      </c>
      <c r="Y284" s="201">
        <f t="shared" si="85"/>
        <v>45921</v>
      </c>
      <c r="Z284" s="202">
        <f t="shared" si="85"/>
        <v>45921</v>
      </c>
      <c r="AA284" s="18"/>
      <c r="AB284" s="244"/>
      <c r="AC284" s="247"/>
      <c r="AD284" s="142"/>
      <c r="AE284" s="18"/>
      <c r="AF284" s="18"/>
      <c r="AG284" s="203"/>
      <c r="AH284" s="203"/>
      <c r="AI284" s="18"/>
      <c r="AJ284" s="18"/>
      <c r="AK284" s="18"/>
      <c r="AL284" s="18"/>
      <c r="AM284" s="18"/>
      <c r="AN284" s="18"/>
    </row>
    <row r="285" spans="1:40" ht="20">
      <c r="A285" s="18"/>
      <c r="B285" s="151"/>
      <c r="C285" s="55">
        <v>265</v>
      </c>
      <c r="D285" s="54">
        <v>1</v>
      </c>
      <c r="E285" s="190">
        <f t="shared" si="79"/>
        <v>9</v>
      </c>
      <c r="F285" s="191">
        <f t="shared" si="80"/>
        <v>45922</v>
      </c>
      <c r="G285" s="192" t="str">
        <f t="shared" si="81"/>
        <v>Mon</v>
      </c>
      <c r="H285" s="193"/>
      <c r="I285" s="194"/>
      <c r="J285" s="214">
        <v>301300</v>
      </c>
      <c r="K285" s="215"/>
      <c r="L285" s="43">
        <f t="shared" si="82"/>
        <v>197544.23813353875</v>
      </c>
      <c r="M285" s="280">
        <f t="shared" si="76"/>
        <v>103755.76186646125</v>
      </c>
      <c r="N285" s="41">
        <f t="shared" si="75"/>
        <v>1.5252279835989089</v>
      </c>
      <c r="O285" s="56"/>
      <c r="P285" s="43">
        <f>IF(D285=0,0,SUM($L$264:L285))</f>
        <v>4531468.5314685311</v>
      </c>
      <c r="Q285" s="43">
        <f>IF(D285=0,0,SUM($J$264:J285))</f>
        <v>4938226</v>
      </c>
      <c r="R285" s="282">
        <f t="shared" si="77"/>
        <v>406757.46853146888</v>
      </c>
      <c r="S285" s="198">
        <f t="shared" si="83"/>
        <v>1.0897628364197531</v>
      </c>
      <c r="T285" s="207"/>
      <c r="U285" s="43">
        <f>IF(D285=0,0,SUM($L$21:L285))</f>
        <v>50135664.335664339</v>
      </c>
      <c r="V285" s="43">
        <f>IF(D285=0,0,SUM($J$21:J285))</f>
        <v>52546294.041958049</v>
      </c>
      <c r="W285" s="284">
        <f t="shared" si="78"/>
        <v>2410629.7062937096</v>
      </c>
      <c r="X285" s="200">
        <f t="shared" si="84"/>
        <v>1.04808213351187</v>
      </c>
      <c r="Y285" s="201">
        <f t="shared" si="85"/>
        <v>45922</v>
      </c>
      <c r="Z285" s="202">
        <f t="shared" si="85"/>
        <v>45922</v>
      </c>
      <c r="AA285" s="18"/>
      <c r="AB285" s="244"/>
      <c r="AC285" s="247"/>
      <c r="AD285" s="142"/>
      <c r="AE285" s="18"/>
      <c r="AF285" s="18"/>
      <c r="AG285" s="203"/>
      <c r="AH285" s="203"/>
      <c r="AI285" s="18"/>
      <c r="AJ285" s="18"/>
      <c r="AK285" s="18"/>
      <c r="AL285" s="18"/>
      <c r="AM285" s="18"/>
      <c r="AN285" s="18"/>
    </row>
    <row r="286" spans="1:40" ht="20">
      <c r="A286" s="18"/>
      <c r="B286" s="151"/>
      <c r="C286" s="55">
        <v>266</v>
      </c>
      <c r="D286" s="54">
        <v>0</v>
      </c>
      <c r="E286" s="190">
        <f t="shared" si="79"/>
        <v>9</v>
      </c>
      <c r="F286" s="191">
        <f t="shared" si="80"/>
        <v>45923</v>
      </c>
      <c r="G286" s="192" t="str">
        <f t="shared" si="81"/>
        <v>Tue</v>
      </c>
      <c r="H286" s="193" t="s">
        <v>179</v>
      </c>
      <c r="I286" s="194"/>
      <c r="J286" s="214"/>
      <c r="K286" s="215"/>
      <c r="L286" s="43">
        <f t="shared" si="82"/>
        <v>0</v>
      </c>
      <c r="M286" s="280">
        <f t="shared" si="76"/>
        <v>0</v>
      </c>
      <c r="N286" s="41" t="str">
        <f t="shared" si="75"/>
        <v>¥0</v>
      </c>
      <c r="O286" s="44"/>
      <c r="P286" s="43">
        <f>IF(D286=0,0,SUM($L$264:L286))</f>
        <v>0</v>
      </c>
      <c r="Q286" s="43">
        <f>IF(D286=0,0,SUM($J$264:J286))</f>
        <v>0</v>
      </c>
      <c r="R286" s="282">
        <f t="shared" si="77"/>
        <v>0</v>
      </c>
      <c r="S286" s="198">
        <f t="shared" si="83"/>
        <v>0</v>
      </c>
      <c r="T286" s="212"/>
      <c r="U286" s="43">
        <f>IF(D286=0,0,SUM($L$21:L286))</f>
        <v>0</v>
      </c>
      <c r="V286" s="43">
        <f>IF(D286=0,0,SUM($J$21:J286))</f>
        <v>0</v>
      </c>
      <c r="W286" s="284">
        <f t="shared" si="78"/>
        <v>0</v>
      </c>
      <c r="X286" s="200">
        <f t="shared" si="84"/>
        <v>0</v>
      </c>
      <c r="Y286" s="201">
        <f t="shared" si="85"/>
        <v>45923</v>
      </c>
      <c r="Z286" s="202">
        <f t="shared" si="85"/>
        <v>45923</v>
      </c>
      <c r="AA286" s="18"/>
      <c r="AB286" s="244"/>
      <c r="AC286" s="247"/>
      <c r="AD286" s="142"/>
      <c r="AE286" s="18"/>
      <c r="AF286" s="18"/>
      <c r="AG286" s="203"/>
      <c r="AH286" s="203"/>
      <c r="AI286" s="18"/>
      <c r="AJ286" s="18"/>
      <c r="AK286" s="18"/>
      <c r="AL286" s="18"/>
      <c r="AM286" s="18"/>
      <c r="AN286" s="18"/>
    </row>
    <row r="287" spans="1:40" ht="20">
      <c r="A287" s="18"/>
      <c r="B287" s="151"/>
      <c r="C287" s="55">
        <v>267</v>
      </c>
      <c r="D287" s="54">
        <v>1</v>
      </c>
      <c r="E287" s="190">
        <f t="shared" si="79"/>
        <v>9</v>
      </c>
      <c r="F287" s="191">
        <f t="shared" si="80"/>
        <v>45924</v>
      </c>
      <c r="G287" s="192" t="str">
        <f t="shared" si="81"/>
        <v>Wed</v>
      </c>
      <c r="H287" s="193"/>
      <c r="I287" s="194"/>
      <c r="J287" s="214">
        <v>168890</v>
      </c>
      <c r="K287" s="215"/>
      <c r="L287" s="43">
        <f t="shared" si="82"/>
        <v>220316.81492979266</v>
      </c>
      <c r="M287" s="280">
        <f t="shared" si="76"/>
        <v>-51426.814929792657</v>
      </c>
      <c r="N287" s="41">
        <f t="shared" si="75"/>
        <v>0.76657789399242815</v>
      </c>
      <c r="O287" s="56"/>
      <c r="P287" s="43">
        <f>IF(D287=0,0,SUM($L$264:L287))</f>
        <v>4751785.3463983238</v>
      </c>
      <c r="Q287" s="43">
        <f>IF(D287=0,0,SUM($J$264:J287))</f>
        <v>5107116</v>
      </c>
      <c r="R287" s="282">
        <f t="shared" si="77"/>
        <v>355330.65360167623</v>
      </c>
      <c r="S287" s="198">
        <f t="shared" si="83"/>
        <v>1.0747783470208736</v>
      </c>
      <c r="T287" s="207"/>
      <c r="U287" s="43">
        <f>IF(D287=0,0,SUM($L$21:L287))</f>
        <v>50355981.15059413</v>
      </c>
      <c r="V287" s="43">
        <f>IF(D287=0,0,SUM($J$21:J287))</f>
        <v>52715184.041958049</v>
      </c>
      <c r="W287" s="284">
        <f t="shared" si="78"/>
        <v>2359202.8913639188</v>
      </c>
      <c r="X287" s="200">
        <f t="shared" si="84"/>
        <v>1.0468504999298596</v>
      </c>
      <c r="Y287" s="201">
        <f t="shared" si="85"/>
        <v>45924</v>
      </c>
      <c r="Z287" s="202">
        <f t="shared" si="85"/>
        <v>45924</v>
      </c>
      <c r="AA287" s="18"/>
      <c r="AB287" s="244"/>
      <c r="AC287" s="247"/>
      <c r="AD287" s="142"/>
      <c r="AE287" s="18"/>
      <c r="AF287" s="18"/>
      <c r="AG287" s="203"/>
      <c r="AH287" s="203"/>
      <c r="AI287" s="18"/>
      <c r="AJ287" s="18"/>
      <c r="AK287" s="18"/>
      <c r="AL287" s="18"/>
      <c r="AM287" s="18"/>
      <c r="AN287" s="18"/>
    </row>
    <row r="288" spans="1:40" ht="20">
      <c r="A288" s="18"/>
      <c r="B288" s="151"/>
      <c r="C288" s="55">
        <v>268</v>
      </c>
      <c r="D288" s="54">
        <v>1</v>
      </c>
      <c r="E288" s="190">
        <f t="shared" si="79"/>
        <v>9</v>
      </c>
      <c r="F288" s="191">
        <f t="shared" si="80"/>
        <v>45925</v>
      </c>
      <c r="G288" s="192" t="str">
        <f t="shared" si="81"/>
        <v>Thu</v>
      </c>
      <c r="H288" s="193"/>
      <c r="I288" s="194"/>
      <c r="J288" s="214">
        <v>210450</v>
      </c>
      <c r="K288" s="215"/>
      <c r="L288" s="43">
        <f t="shared" si="82"/>
        <v>248321.04251467119</v>
      </c>
      <c r="M288" s="280">
        <f t="shared" si="76"/>
        <v>-37871.042514671193</v>
      </c>
      <c r="N288" s="41">
        <f t="shared" si="75"/>
        <v>0.84749160952627001</v>
      </c>
      <c r="O288" s="56"/>
      <c r="P288" s="43">
        <f>IF(D288=0,0,SUM($L$264:L288))</f>
        <v>5000106.3889129953</v>
      </c>
      <c r="Q288" s="43">
        <f>IF(D288=0,0,SUM($J$264:J288))</f>
        <v>5317566</v>
      </c>
      <c r="R288" s="282">
        <f t="shared" si="77"/>
        <v>317459.61108700465</v>
      </c>
      <c r="S288" s="198">
        <f t="shared" si="83"/>
        <v>1.0634905712788281</v>
      </c>
      <c r="T288" s="207"/>
      <c r="U288" s="43">
        <f>IF(D288=0,0,SUM($L$21:L288))</f>
        <v>50604302.193108805</v>
      </c>
      <c r="V288" s="43">
        <f>IF(D288=0,0,SUM($J$21:J288))</f>
        <v>52925634.041958049</v>
      </c>
      <c r="W288" s="284">
        <f t="shared" si="78"/>
        <v>2321331.8488492444</v>
      </c>
      <c r="X288" s="200">
        <f t="shared" si="84"/>
        <v>1.0458722232744346</v>
      </c>
      <c r="Y288" s="201">
        <f t="shared" si="85"/>
        <v>45925</v>
      </c>
      <c r="Z288" s="202">
        <f t="shared" si="85"/>
        <v>45925</v>
      </c>
      <c r="AA288" s="18"/>
      <c r="AB288" s="244"/>
      <c r="AC288" s="247"/>
      <c r="AD288" s="142"/>
      <c r="AE288" s="18"/>
      <c r="AF288" s="18"/>
      <c r="AG288" s="203"/>
      <c r="AH288" s="203"/>
      <c r="AI288" s="18"/>
      <c r="AJ288" s="18"/>
      <c r="AK288" s="18"/>
      <c r="AL288" s="18"/>
      <c r="AM288" s="18"/>
      <c r="AN288" s="18"/>
    </row>
    <row r="289" spans="1:40" ht="20">
      <c r="A289" s="18"/>
      <c r="B289" s="151"/>
      <c r="C289" s="55">
        <v>269</v>
      </c>
      <c r="D289" s="54">
        <v>1</v>
      </c>
      <c r="E289" s="190">
        <f t="shared" si="79"/>
        <v>9</v>
      </c>
      <c r="F289" s="191">
        <f t="shared" si="80"/>
        <v>45926</v>
      </c>
      <c r="G289" s="192" t="str">
        <f t="shared" si="81"/>
        <v>Fri</v>
      </c>
      <c r="H289" s="193"/>
      <c r="I289" s="194"/>
      <c r="J289" s="214">
        <v>333980</v>
      </c>
      <c r="K289" s="215"/>
      <c r="L289" s="43">
        <f t="shared" si="82"/>
        <v>368906.5559952138</v>
      </c>
      <c r="M289" s="280">
        <f t="shared" si="76"/>
        <v>-34926.555995213799</v>
      </c>
      <c r="N289" s="41">
        <f t="shared" si="75"/>
        <v>0.90532411141083935</v>
      </c>
      <c r="O289" s="56"/>
      <c r="P289" s="43">
        <f>IF(D289=0,0,SUM($L$264:L289))</f>
        <v>5369012.9449082091</v>
      </c>
      <c r="Q289" s="43">
        <f>IF(D289=0,0,SUM($J$264:J289))</f>
        <v>5651546</v>
      </c>
      <c r="R289" s="282">
        <f t="shared" si="77"/>
        <v>282533.05509179085</v>
      </c>
      <c r="S289" s="198">
        <f t="shared" si="83"/>
        <v>1.0526229044315745</v>
      </c>
      <c r="T289" s="207"/>
      <c r="U289" s="43">
        <f>IF(D289=0,0,SUM($L$21:L289))</f>
        <v>50973208.749104016</v>
      </c>
      <c r="V289" s="43">
        <f>IF(D289=0,0,SUM($J$21:J289))</f>
        <v>53259614.041958049</v>
      </c>
      <c r="W289" s="284">
        <f t="shared" si="78"/>
        <v>2286405.2928540334</v>
      </c>
      <c r="X289" s="200">
        <f t="shared" si="84"/>
        <v>1.0448550395190537</v>
      </c>
      <c r="Y289" s="201">
        <f t="shared" si="85"/>
        <v>45926</v>
      </c>
      <c r="Z289" s="202">
        <f t="shared" si="85"/>
        <v>45926</v>
      </c>
      <c r="AA289" s="18"/>
      <c r="AB289" s="244"/>
      <c r="AC289" s="247"/>
      <c r="AD289" s="142"/>
      <c r="AE289" s="18"/>
      <c r="AF289" s="18"/>
      <c r="AG289" s="203"/>
      <c r="AH289" s="203"/>
      <c r="AI289" s="18"/>
      <c r="AJ289" s="18"/>
      <c r="AK289" s="18"/>
      <c r="AL289" s="18"/>
      <c r="AM289" s="18"/>
      <c r="AN289" s="18"/>
    </row>
    <row r="290" spans="1:40" ht="20">
      <c r="A290" s="18"/>
      <c r="B290" s="151"/>
      <c r="C290" s="55">
        <v>270</v>
      </c>
      <c r="D290" s="54">
        <v>1</v>
      </c>
      <c r="E290" s="190">
        <f t="shared" si="79"/>
        <v>9</v>
      </c>
      <c r="F290" s="191">
        <f t="shared" si="80"/>
        <v>45927</v>
      </c>
      <c r="G290" s="192" t="str">
        <f t="shared" si="81"/>
        <v>Sat</v>
      </c>
      <c r="H290" s="193"/>
      <c r="I290" s="194"/>
      <c r="J290" s="214">
        <v>173450</v>
      </c>
      <c r="K290" s="215"/>
      <c r="L290" s="43">
        <f t="shared" si="82"/>
        <v>148760.97391454322</v>
      </c>
      <c r="M290" s="280">
        <f t="shared" si="76"/>
        <v>24689.026085456775</v>
      </c>
      <c r="N290" s="41">
        <f t="shared" si="75"/>
        <v>1.1659644020591016</v>
      </c>
      <c r="O290" s="56"/>
      <c r="P290" s="43">
        <f>IF(D290=0,0,SUM($L$264:L290))</f>
        <v>5517773.9188227523</v>
      </c>
      <c r="Q290" s="43">
        <f>IF(D290=0,0,SUM($J$264:J290))</f>
        <v>5824996</v>
      </c>
      <c r="R290" s="282">
        <f t="shared" si="77"/>
        <v>307222.08117724769</v>
      </c>
      <c r="S290" s="198">
        <f t="shared" si="83"/>
        <v>1.0556786279570503</v>
      </c>
      <c r="T290" s="207"/>
      <c r="U290" s="43">
        <f>IF(D290=0,0,SUM($L$21:L290))</f>
        <v>51121969.723018557</v>
      </c>
      <c r="V290" s="43">
        <f>IF(D290=0,0,SUM($J$21:J290))</f>
        <v>53433064.041958049</v>
      </c>
      <c r="W290" s="284">
        <f t="shared" si="78"/>
        <v>2311094.3189394921</v>
      </c>
      <c r="X290" s="200">
        <f t="shared" si="84"/>
        <v>1.0452074583874824</v>
      </c>
      <c r="Y290" s="201">
        <f t="shared" si="85"/>
        <v>45927</v>
      </c>
      <c r="Z290" s="202">
        <f t="shared" si="85"/>
        <v>45927</v>
      </c>
      <c r="AA290" s="18"/>
      <c r="AB290" s="244"/>
      <c r="AC290" s="247"/>
      <c r="AD290" s="142"/>
      <c r="AE290" s="18"/>
      <c r="AF290" s="18"/>
      <c r="AG290" s="203"/>
      <c r="AH290" s="203"/>
      <c r="AI290" s="18"/>
      <c r="AJ290" s="18"/>
      <c r="AK290" s="18"/>
      <c r="AL290" s="18"/>
      <c r="AM290" s="18"/>
      <c r="AN290" s="18"/>
    </row>
    <row r="291" spans="1:40" ht="20">
      <c r="A291" s="18"/>
      <c r="B291" s="151"/>
      <c r="C291" s="55">
        <v>271</v>
      </c>
      <c r="D291" s="54">
        <v>0</v>
      </c>
      <c r="E291" s="190">
        <f t="shared" si="79"/>
        <v>9</v>
      </c>
      <c r="F291" s="191">
        <f t="shared" si="80"/>
        <v>45928</v>
      </c>
      <c r="G291" s="192" t="str">
        <f t="shared" si="81"/>
        <v>Sun</v>
      </c>
      <c r="H291" s="193"/>
      <c r="I291" s="194"/>
      <c r="J291" s="214"/>
      <c r="K291" s="215"/>
      <c r="L291" s="43">
        <f t="shared" si="82"/>
        <v>0</v>
      </c>
      <c r="M291" s="280">
        <f t="shared" si="76"/>
        <v>0</v>
      </c>
      <c r="N291" s="41" t="str">
        <f t="shared" si="75"/>
        <v>¥0</v>
      </c>
      <c r="O291" s="44"/>
      <c r="P291" s="43">
        <f>IF(D291=0,0,SUM($L$264:L291))</f>
        <v>0</v>
      </c>
      <c r="Q291" s="43">
        <f>IF(D291=0,0,SUM($J$264:J291))</f>
        <v>0</v>
      </c>
      <c r="R291" s="282">
        <f t="shared" si="77"/>
        <v>0</v>
      </c>
      <c r="S291" s="198">
        <f t="shared" si="83"/>
        <v>0</v>
      </c>
      <c r="T291" s="212"/>
      <c r="U291" s="43">
        <f>IF(D291=0,0,SUM($L$21:L291))</f>
        <v>0</v>
      </c>
      <c r="V291" s="43">
        <f>IF(D291=0,0,SUM($J$21:J291))</f>
        <v>0</v>
      </c>
      <c r="W291" s="284">
        <f t="shared" si="78"/>
        <v>0</v>
      </c>
      <c r="X291" s="200">
        <f t="shared" si="84"/>
        <v>0</v>
      </c>
      <c r="Y291" s="201">
        <f t="shared" si="85"/>
        <v>45928</v>
      </c>
      <c r="Z291" s="202">
        <f t="shared" si="85"/>
        <v>45928</v>
      </c>
      <c r="AA291" s="18"/>
      <c r="AB291" s="244"/>
      <c r="AC291" s="247"/>
      <c r="AD291" s="142"/>
      <c r="AE291" s="18"/>
      <c r="AF291" s="18"/>
      <c r="AG291" s="203"/>
      <c r="AH291" s="203"/>
      <c r="AI291" s="18"/>
      <c r="AJ291" s="18"/>
      <c r="AK291" s="18"/>
      <c r="AL291" s="18"/>
      <c r="AM291" s="18"/>
      <c r="AN291" s="18"/>
    </row>
    <row r="292" spans="1:40" ht="20">
      <c r="A292" s="18"/>
      <c r="B292" s="151"/>
      <c r="C292" s="55">
        <v>272</v>
      </c>
      <c r="D292" s="54">
        <v>1</v>
      </c>
      <c r="E292" s="190">
        <f t="shared" si="79"/>
        <v>9</v>
      </c>
      <c r="F292" s="191">
        <f t="shared" si="80"/>
        <v>45929</v>
      </c>
      <c r="G292" s="192" t="str">
        <f t="shared" si="81"/>
        <v>Mon</v>
      </c>
      <c r="H292" s="193"/>
      <c r="I292" s="194"/>
      <c r="J292" s="214">
        <v>201090</v>
      </c>
      <c r="K292" s="215"/>
      <c r="L292" s="43">
        <f t="shared" si="82"/>
        <v>197544.23813353875</v>
      </c>
      <c r="M292" s="280">
        <f t="shared" si="76"/>
        <v>3545.7618664612528</v>
      </c>
      <c r="N292" s="41">
        <f t="shared" si="75"/>
        <v>1.0179492041881999</v>
      </c>
      <c r="O292" s="56"/>
      <c r="P292" s="43">
        <f>IF(D292=0,0,SUM($L$264:L292))</f>
        <v>5715318.1569562908</v>
      </c>
      <c r="Q292" s="43">
        <f>IF(D292=0,0,SUM($J$264:J292))</f>
        <v>6026086</v>
      </c>
      <c r="R292" s="282">
        <f t="shared" si="77"/>
        <v>310767.84304370917</v>
      </c>
      <c r="S292" s="198">
        <f t="shared" si="83"/>
        <v>1.054374548276978</v>
      </c>
      <c r="T292" s="207"/>
      <c r="U292" s="43">
        <f>IF(D292=0,0,SUM($L$21:L292))</f>
        <v>51319513.961152099</v>
      </c>
      <c r="V292" s="43">
        <f>IF(D292=0,0,SUM($J$21:J292))</f>
        <v>53634154.041958049</v>
      </c>
      <c r="W292" s="284">
        <f t="shared" si="78"/>
        <v>2314640.0808059499</v>
      </c>
      <c r="X292" s="200">
        <f t="shared" si="84"/>
        <v>1.0451025331720423</v>
      </c>
      <c r="Y292" s="201">
        <f t="shared" si="85"/>
        <v>45929</v>
      </c>
      <c r="Z292" s="202">
        <f t="shared" si="85"/>
        <v>45929</v>
      </c>
      <c r="AA292" s="18"/>
      <c r="AB292" s="244"/>
      <c r="AC292" s="247"/>
      <c r="AD292" s="142"/>
      <c r="AE292" s="18"/>
      <c r="AF292" s="18"/>
      <c r="AG292" s="203"/>
      <c r="AH292" s="203"/>
      <c r="AI292" s="18"/>
      <c r="AJ292" s="18"/>
      <c r="AK292" s="18"/>
      <c r="AL292" s="18"/>
      <c r="AM292" s="18"/>
      <c r="AN292" s="18"/>
    </row>
    <row r="293" spans="1:40" ht="21" thickBot="1">
      <c r="A293" s="18"/>
      <c r="B293" s="151"/>
      <c r="C293" s="39">
        <v>273</v>
      </c>
      <c r="D293" s="38">
        <v>1</v>
      </c>
      <c r="E293" s="217">
        <f t="shared" si="79"/>
        <v>9</v>
      </c>
      <c r="F293" s="236">
        <f t="shared" si="80"/>
        <v>45930</v>
      </c>
      <c r="G293" s="219" t="str">
        <f t="shared" si="81"/>
        <v>Tue</v>
      </c>
      <c r="H293" s="233"/>
      <c r="I293" s="221"/>
      <c r="J293" s="237">
        <v>200980</v>
      </c>
      <c r="K293" s="223"/>
      <c r="L293" s="43">
        <f t="shared" si="82"/>
        <v>326639.88500175095</v>
      </c>
      <c r="M293" s="281">
        <f t="shared" si="76"/>
        <v>-125659.88500175095</v>
      </c>
      <c r="N293" s="225">
        <f t="shared" si="75"/>
        <v>0.61529534275620579</v>
      </c>
      <c r="O293" s="226"/>
      <c r="P293" s="238">
        <f>IF(D293=0,0,SUM($L$264:L293))</f>
        <v>6041958.0419580415</v>
      </c>
      <c r="Q293" s="26">
        <f>IF(D293=0,0,SUM($J$264:J293))</f>
        <v>6227066</v>
      </c>
      <c r="R293" s="283">
        <f t="shared" si="77"/>
        <v>185107.95804195851</v>
      </c>
      <c r="S293" s="228">
        <f t="shared" si="83"/>
        <v>1.0306370810185186</v>
      </c>
      <c r="T293" s="229"/>
      <c r="U293" s="28">
        <f>IF(D293=0,0,SUM($L$21:L293))</f>
        <v>51646153.846153848</v>
      </c>
      <c r="V293" s="28">
        <f>IF(D293=0,0,SUM($J$21:J293))</f>
        <v>53835134.041958049</v>
      </c>
      <c r="W293" s="285">
        <f t="shared" si="78"/>
        <v>2188980.1958042011</v>
      </c>
      <c r="X293" s="230">
        <f t="shared" si="84"/>
        <v>1.0423841860968939</v>
      </c>
      <c r="Y293" s="201">
        <f t="shared" si="85"/>
        <v>45930</v>
      </c>
      <c r="Z293" s="202">
        <f t="shared" si="85"/>
        <v>45930</v>
      </c>
      <c r="AA293" s="18"/>
      <c r="AB293" s="244"/>
      <c r="AC293" s="247"/>
      <c r="AD293" s="142"/>
      <c r="AE293" s="18"/>
      <c r="AF293" s="18"/>
      <c r="AG293" s="203"/>
      <c r="AH293" s="203"/>
      <c r="AI293" s="18"/>
      <c r="AJ293" s="18"/>
      <c r="AK293" s="18"/>
      <c r="AL293" s="18"/>
      <c r="AM293" s="18"/>
      <c r="AN293" s="18"/>
    </row>
    <row r="294" spans="1:40" ht="21" thickTop="1">
      <c r="A294" s="18"/>
      <c r="B294" s="151"/>
      <c r="C294" s="55">
        <v>274</v>
      </c>
      <c r="D294" s="62">
        <v>1</v>
      </c>
      <c r="E294" s="190">
        <f t="shared" si="79"/>
        <v>10</v>
      </c>
      <c r="F294" s="191">
        <f t="shared" si="80"/>
        <v>45931</v>
      </c>
      <c r="G294" s="192" t="str">
        <f t="shared" si="81"/>
        <v>Wed</v>
      </c>
      <c r="H294" s="193"/>
      <c r="I294" s="194"/>
      <c r="J294" s="214">
        <v>298790</v>
      </c>
      <c r="K294" s="215"/>
      <c r="L294" s="43">
        <f t="shared" si="82"/>
        <v>276756.88908168982</v>
      </c>
      <c r="M294" s="282">
        <f t="shared" si="76"/>
        <v>22033.11091831018</v>
      </c>
      <c r="N294" s="60">
        <f t="shared" si="75"/>
        <v>1.079611788495739</v>
      </c>
      <c r="O294" s="56"/>
      <c r="P294" s="43">
        <f>IF(D294=0,0,$L$294)</f>
        <v>276756.88908168982</v>
      </c>
      <c r="Q294" s="43">
        <f>IF(D294=0,0,$J$294)</f>
        <v>298790</v>
      </c>
      <c r="R294" s="282">
        <f t="shared" si="77"/>
        <v>22033.11091831018</v>
      </c>
      <c r="S294" s="231">
        <f t="shared" si="83"/>
        <v>1.079611788495739</v>
      </c>
      <c r="T294" s="207"/>
      <c r="U294" s="43">
        <f>IF(D294=0,0,SUM($L$21:L294))</f>
        <v>51922910.735235535</v>
      </c>
      <c r="V294" s="43">
        <f>IF(D294=0,0,SUM($J$21:J294))</f>
        <v>54133924.041958049</v>
      </c>
      <c r="W294" s="284">
        <f t="shared" si="78"/>
        <v>2211013.3067225143</v>
      </c>
      <c r="X294" s="232">
        <f t="shared" si="84"/>
        <v>1.0425826147920882</v>
      </c>
      <c r="Y294" s="201">
        <f t="shared" si="85"/>
        <v>45931</v>
      </c>
      <c r="Z294" s="202">
        <f t="shared" si="85"/>
        <v>45931</v>
      </c>
      <c r="AA294" s="18"/>
      <c r="AB294" s="244"/>
      <c r="AC294" s="247"/>
      <c r="AD294" s="142"/>
      <c r="AE294" s="18"/>
      <c r="AF294" s="18"/>
      <c r="AG294" s="203"/>
      <c r="AH294" s="203"/>
      <c r="AI294" s="18"/>
      <c r="AJ294" s="18"/>
      <c r="AK294" s="18"/>
      <c r="AL294" s="18"/>
      <c r="AM294" s="18"/>
      <c r="AN294" s="18"/>
    </row>
    <row r="295" spans="1:40" ht="20">
      <c r="A295" s="18"/>
      <c r="B295" s="151"/>
      <c r="C295" s="55">
        <v>275</v>
      </c>
      <c r="D295" s="54">
        <v>1</v>
      </c>
      <c r="E295" s="190">
        <f t="shared" si="79"/>
        <v>10</v>
      </c>
      <c r="F295" s="191">
        <f t="shared" si="80"/>
        <v>45932</v>
      </c>
      <c r="G295" s="192" t="str">
        <f t="shared" si="81"/>
        <v>Thu</v>
      </c>
      <c r="H295" s="193"/>
      <c r="I295" s="194"/>
      <c r="J295" s="214">
        <v>275670</v>
      </c>
      <c r="K295" s="215"/>
      <c r="L295" s="43">
        <f t="shared" si="82"/>
        <v>322731.40456446103</v>
      </c>
      <c r="M295" s="280">
        <f t="shared" si="76"/>
        <v>-47061.404564461031</v>
      </c>
      <c r="N295" s="41">
        <f t="shared" si="75"/>
        <v>0.85417779646213143</v>
      </c>
      <c r="O295" s="56"/>
      <c r="P295" s="43">
        <f>IF(D295=0,0,SUM($L$294:L295))</f>
        <v>599488.29364615085</v>
      </c>
      <c r="Q295" s="43">
        <f>IF(D295=0,0,SUM($I$294:I295))</f>
        <v>0</v>
      </c>
      <c r="R295" s="282">
        <f t="shared" si="77"/>
        <v>-599488.29364615085</v>
      </c>
      <c r="S295" s="198">
        <f t="shared" si="83"/>
        <v>0</v>
      </c>
      <c r="T295" s="207"/>
      <c r="U295" s="43">
        <f>IF(D295=0,0,SUM($L$21:L295))</f>
        <v>52245642.139799997</v>
      </c>
      <c r="V295" s="43">
        <f>IF(D295=0,0,SUM($J$21:J295))</f>
        <v>54409594.041958049</v>
      </c>
      <c r="W295" s="284">
        <f t="shared" si="78"/>
        <v>2163951.9021580517</v>
      </c>
      <c r="X295" s="200">
        <f t="shared" si="84"/>
        <v>1.0414188019044288</v>
      </c>
      <c r="Y295" s="201">
        <f t="shared" ref="Y295:Z310" si="86">Y294+1</f>
        <v>45932</v>
      </c>
      <c r="Z295" s="202">
        <f t="shared" si="86"/>
        <v>45932</v>
      </c>
      <c r="AA295" s="18"/>
      <c r="AB295" s="244"/>
      <c r="AC295" s="247"/>
      <c r="AD295" s="142"/>
      <c r="AE295" s="18"/>
      <c r="AF295" s="18"/>
      <c r="AG295" s="203"/>
      <c r="AH295" s="203"/>
      <c r="AI295" s="18"/>
      <c r="AJ295" s="18"/>
      <c r="AK295" s="18"/>
      <c r="AL295" s="18"/>
      <c r="AM295" s="18"/>
      <c r="AN295" s="18"/>
    </row>
    <row r="296" spans="1:40" ht="20">
      <c r="A296" s="18"/>
      <c r="B296" s="151"/>
      <c r="C296" s="55">
        <v>276</v>
      </c>
      <c r="D296" s="54">
        <v>1</v>
      </c>
      <c r="E296" s="190">
        <f t="shared" si="79"/>
        <v>10</v>
      </c>
      <c r="F296" s="191">
        <f t="shared" si="80"/>
        <v>45933</v>
      </c>
      <c r="G296" s="192" t="str">
        <f t="shared" si="81"/>
        <v>Fri</v>
      </c>
      <c r="H296" s="193"/>
      <c r="I296" s="194"/>
      <c r="J296" s="214">
        <v>309890</v>
      </c>
      <c r="K296" s="215"/>
      <c r="L296" s="43">
        <f t="shared" si="82"/>
        <v>260168.01277285878</v>
      </c>
      <c r="M296" s="280">
        <f t="shared" si="76"/>
        <v>49721.987227141217</v>
      </c>
      <c r="N296" s="41">
        <f t="shared" si="75"/>
        <v>1.1911149133869554</v>
      </c>
      <c r="O296" s="56"/>
      <c r="P296" s="43">
        <f>IF(D296=0,0,SUM($L$294:L296))</f>
        <v>859656.30641900958</v>
      </c>
      <c r="Q296" s="43">
        <f>IF(D296=0,0,SUM($I$294:I296))</f>
        <v>0</v>
      </c>
      <c r="R296" s="282">
        <f t="shared" si="77"/>
        <v>-859656.30641900958</v>
      </c>
      <c r="S296" s="198">
        <f t="shared" si="83"/>
        <v>0</v>
      </c>
      <c r="T296" s="207"/>
      <c r="U296" s="43">
        <f>IF(D296=0,0,SUM($L$21:L296))</f>
        <v>52505810.152572855</v>
      </c>
      <c r="V296" s="43">
        <f>IF(D296=0,0,SUM($J$21:J296))</f>
        <v>54719484.041958049</v>
      </c>
      <c r="W296" s="284">
        <f t="shared" si="78"/>
        <v>2213673.8893851936</v>
      </c>
      <c r="X296" s="200">
        <f t="shared" si="84"/>
        <v>1.0421605510504959</v>
      </c>
      <c r="Y296" s="201">
        <f t="shared" si="86"/>
        <v>45933</v>
      </c>
      <c r="Z296" s="202">
        <f t="shared" si="86"/>
        <v>45933</v>
      </c>
      <c r="AA296" s="18"/>
      <c r="AB296" s="244"/>
      <c r="AC296" s="247"/>
      <c r="AD296" s="142"/>
      <c r="AE296" s="18"/>
      <c r="AF296" s="18"/>
      <c r="AG296" s="203"/>
      <c r="AH296" s="203"/>
      <c r="AI296" s="18"/>
      <c r="AJ296" s="18"/>
      <c r="AK296" s="18"/>
      <c r="AL296" s="18"/>
      <c r="AM296" s="18"/>
      <c r="AN296" s="18"/>
    </row>
    <row r="297" spans="1:40" ht="20">
      <c r="A297" s="18"/>
      <c r="B297" s="151"/>
      <c r="C297" s="55">
        <v>277</v>
      </c>
      <c r="D297" s="54">
        <v>1</v>
      </c>
      <c r="E297" s="190">
        <f t="shared" si="79"/>
        <v>10</v>
      </c>
      <c r="F297" s="191">
        <f t="shared" si="80"/>
        <v>45934</v>
      </c>
      <c r="G297" s="192" t="str">
        <f t="shared" si="81"/>
        <v>Sat</v>
      </c>
      <c r="H297" s="193"/>
      <c r="I297" s="194"/>
      <c r="J297" s="214">
        <v>201450</v>
      </c>
      <c r="K297" s="215"/>
      <c r="L297" s="43">
        <f t="shared" si="82"/>
        <v>176635.89252510565</v>
      </c>
      <c r="M297" s="280">
        <f t="shared" si="76"/>
        <v>24814.10747489435</v>
      </c>
      <c r="N297" s="41">
        <f t="shared" si="75"/>
        <v>1.140481683083564</v>
      </c>
      <c r="O297" s="56"/>
      <c r="P297" s="43">
        <f>IF(D297=0,0,SUM($L$294:L297))</f>
        <v>1036292.1989441152</v>
      </c>
      <c r="Q297" s="43">
        <f>IF(D297=0,0,SUM($I$294:I297))</f>
        <v>0</v>
      </c>
      <c r="R297" s="282">
        <f t="shared" si="77"/>
        <v>-1036292.1989441152</v>
      </c>
      <c r="S297" s="198">
        <f t="shared" si="83"/>
        <v>0</v>
      </c>
      <c r="T297" s="207"/>
      <c r="U297" s="43">
        <f>IF(D297=0,0,SUM($L$21:L297))</f>
        <v>52682446.045097962</v>
      </c>
      <c r="V297" s="43">
        <f>IF(D297=0,0,SUM($J$21:J297))</f>
        <v>54920934.041958049</v>
      </c>
      <c r="W297" s="284">
        <f t="shared" si="78"/>
        <v>2238487.9968600869</v>
      </c>
      <c r="X297" s="200">
        <f t="shared" si="84"/>
        <v>1.0424902062243631</v>
      </c>
      <c r="Y297" s="201">
        <f t="shared" si="86"/>
        <v>45934</v>
      </c>
      <c r="Z297" s="202">
        <f t="shared" si="86"/>
        <v>45934</v>
      </c>
      <c r="AA297" s="18"/>
      <c r="AB297" s="244"/>
      <c r="AC297" s="247"/>
      <c r="AD297" s="142"/>
      <c r="AE297" s="18"/>
      <c r="AF297" s="18"/>
      <c r="AG297" s="203"/>
      <c r="AH297" s="203"/>
      <c r="AI297" s="18"/>
      <c r="AJ297" s="18"/>
      <c r="AK297" s="18"/>
      <c r="AL297" s="18"/>
      <c r="AM297" s="18"/>
      <c r="AN297" s="18"/>
    </row>
    <row r="298" spans="1:40" ht="20">
      <c r="A298" s="18"/>
      <c r="B298" s="151"/>
      <c r="C298" s="55">
        <v>278</v>
      </c>
      <c r="D298" s="54">
        <v>0</v>
      </c>
      <c r="E298" s="190">
        <f t="shared" si="79"/>
        <v>10</v>
      </c>
      <c r="F298" s="191">
        <f t="shared" si="80"/>
        <v>45935</v>
      </c>
      <c r="G298" s="192" t="str">
        <f t="shared" si="81"/>
        <v>Sun</v>
      </c>
      <c r="H298" s="193"/>
      <c r="I298" s="194"/>
      <c r="J298" s="214"/>
      <c r="K298" s="215"/>
      <c r="L298" s="43">
        <f t="shared" si="82"/>
        <v>0</v>
      </c>
      <c r="M298" s="280">
        <f t="shared" si="76"/>
        <v>0</v>
      </c>
      <c r="N298" s="41" t="str">
        <f t="shared" si="75"/>
        <v>¥0</v>
      </c>
      <c r="O298" s="44"/>
      <c r="P298" s="43">
        <f>IF(D298=0,0,SUM($L$294:L298))</f>
        <v>0</v>
      </c>
      <c r="Q298" s="43">
        <f>IF(D298=0,0,SUM($I$294:I298))</f>
        <v>0</v>
      </c>
      <c r="R298" s="282">
        <f t="shared" si="77"/>
        <v>0</v>
      </c>
      <c r="S298" s="198">
        <f t="shared" si="83"/>
        <v>0</v>
      </c>
      <c r="T298" s="212"/>
      <c r="U298" s="43">
        <f>IF(D298=0,0,SUM($L$21:L298))</f>
        <v>0</v>
      </c>
      <c r="V298" s="43">
        <f>IF(D298=0,0,SUM($J$21:J298))</f>
        <v>0</v>
      </c>
      <c r="W298" s="284">
        <f t="shared" si="78"/>
        <v>0</v>
      </c>
      <c r="X298" s="200">
        <f t="shared" si="84"/>
        <v>0</v>
      </c>
      <c r="Y298" s="201">
        <f t="shared" si="86"/>
        <v>45935</v>
      </c>
      <c r="Z298" s="202">
        <f t="shared" si="86"/>
        <v>45935</v>
      </c>
      <c r="AA298" s="18"/>
      <c r="AB298" s="244"/>
      <c r="AC298" s="247"/>
      <c r="AD298" s="142"/>
      <c r="AE298" s="18"/>
      <c r="AF298" s="18"/>
      <c r="AG298" s="203"/>
      <c r="AH298" s="203"/>
      <c r="AI298" s="18"/>
      <c r="AJ298" s="18"/>
      <c r="AK298" s="18"/>
      <c r="AL298" s="18"/>
      <c r="AM298" s="18"/>
      <c r="AN298" s="18"/>
    </row>
    <row r="299" spans="1:40" ht="20">
      <c r="A299" s="18"/>
      <c r="B299" s="151"/>
      <c r="C299" s="55">
        <v>279</v>
      </c>
      <c r="D299" s="54">
        <v>1</v>
      </c>
      <c r="E299" s="190">
        <f t="shared" si="79"/>
        <v>10</v>
      </c>
      <c r="F299" s="191">
        <f t="shared" si="80"/>
        <v>45936</v>
      </c>
      <c r="G299" s="192" t="str">
        <f t="shared" si="81"/>
        <v>Mon</v>
      </c>
      <c r="H299" s="193"/>
      <c r="I299" s="194"/>
      <c r="J299" s="214">
        <v>334090</v>
      </c>
      <c r="K299" s="215"/>
      <c r="L299" s="43">
        <f t="shared" si="82"/>
        <v>304150.9990945959</v>
      </c>
      <c r="M299" s="280">
        <f t="shared" si="76"/>
        <v>29939.0009054041</v>
      </c>
      <c r="N299" s="41">
        <f t="shared" si="75"/>
        <v>1.0984346623700967</v>
      </c>
      <c r="O299" s="56"/>
      <c r="P299" s="43">
        <f>IF(D299=0,0,SUM($L$294:L299))</f>
        <v>1340443.1980387112</v>
      </c>
      <c r="Q299" s="43">
        <f>IF(D299=0,0,SUM($I$294:I299))</f>
        <v>0</v>
      </c>
      <c r="R299" s="282">
        <f t="shared" si="77"/>
        <v>-1340443.1980387112</v>
      </c>
      <c r="S299" s="198">
        <f t="shared" si="83"/>
        <v>0</v>
      </c>
      <c r="T299" s="207"/>
      <c r="U299" s="43">
        <f>IF(D299=0,0,SUM($L$21:L299))</f>
        <v>52986597.04419256</v>
      </c>
      <c r="V299" s="43">
        <f>IF(D299=0,0,SUM($J$21:J299))</f>
        <v>55255024.041958049</v>
      </c>
      <c r="W299" s="284">
        <f t="shared" si="78"/>
        <v>2268426.9977654889</v>
      </c>
      <c r="X299" s="200">
        <f t="shared" si="84"/>
        <v>1.04281133577749</v>
      </c>
      <c r="Y299" s="201">
        <f t="shared" si="86"/>
        <v>45936</v>
      </c>
      <c r="Z299" s="202">
        <f t="shared" si="86"/>
        <v>45936</v>
      </c>
      <c r="AA299" s="18"/>
      <c r="AB299" s="244"/>
      <c r="AC299" s="247"/>
      <c r="AD299" s="142"/>
      <c r="AE299" s="18"/>
      <c r="AF299" s="18"/>
      <c r="AG299" s="203"/>
      <c r="AH299" s="203"/>
      <c r="AI299" s="18"/>
      <c r="AJ299" s="18"/>
      <c r="AK299" s="18"/>
      <c r="AL299" s="18"/>
      <c r="AM299" s="18"/>
      <c r="AN299" s="18"/>
    </row>
    <row r="300" spans="1:40" ht="20">
      <c r="A300" s="18"/>
      <c r="B300" s="151"/>
      <c r="C300" s="55">
        <v>280</v>
      </c>
      <c r="D300" s="54">
        <v>1</v>
      </c>
      <c r="E300" s="190">
        <f t="shared" si="79"/>
        <v>10</v>
      </c>
      <c r="F300" s="191">
        <f t="shared" si="80"/>
        <v>45937</v>
      </c>
      <c r="G300" s="192" t="str">
        <f t="shared" si="81"/>
        <v>Tue</v>
      </c>
      <c r="H300" s="193"/>
      <c r="I300" s="194"/>
      <c r="J300" s="214">
        <v>410980</v>
      </c>
      <c r="K300" s="215"/>
      <c r="L300" s="43">
        <f t="shared" si="82"/>
        <v>320680.47513018566</v>
      </c>
      <c r="M300" s="280">
        <f t="shared" si="76"/>
        <v>90299.52486981434</v>
      </c>
      <c r="N300" s="41">
        <f t="shared" si="75"/>
        <v>1.2815872242709998</v>
      </c>
      <c r="O300" s="56"/>
      <c r="P300" s="43">
        <f>IF(D300=0,0,SUM($L$294:L300))</f>
        <v>1661123.6731688969</v>
      </c>
      <c r="Q300" s="43">
        <f>IF(D300=0,0,SUM($I$294:I300))</f>
        <v>0</v>
      </c>
      <c r="R300" s="282">
        <f t="shared" si="77"/>
        <v>-1661123.6731688969</v>
      </c>
      <c r="S300" s="198">
        <f t="shared" si="83"/>
        <v>0</v>
      </c>
      <c r="T300" s="207"/>
      <c r="U300" s="43">
        <f>IF(D300=0,0,SUM($L$21:L300))</f>
        <v>53307277.519322746</v>
      </c>
      <c r="V300" s="43">
        <f>IF(D300=0,0,SUM($J$21:J300))</f>
        <v>55666004.041958049</v>
      </c>
      <c r="W300" s="284">
        <f t="shared" si="78"/>
        <v>2358726.5226353034</v>
      </c>
      <c r="X300" s="200">
        <f t="shared" si="84"/>
        <v>1.0442477393781799</v>
      </c>
      <c r="Y300" s="201">
        <f t="shared" si="86"/>
        <v>45937</v>
      </c>
      <c r="Z300" s="202">
        <f t="shared" si="86"/>
        <v>45937</v>
      </c>
      <c r="AA300" s="18"/>
      <c r="AB300" s="244"/>
      <c r="AC300" s="247"/>
      <c r="AD300" s="142"/>
      <c r="AE300" s="18"/>
      <c r="AF300" s="18"/>
      <c r="AG300" s="203"/>
      <c r="AH300" s="203"/>
      <c r="AI300" s="18"/>
      <c r="AJ300" s="18"/>
      <c r="AK300" s="18"/>
      <c r="AL300" s="18"/>
      <c r="AM300" s="18"/>
      <c r="AN300" s="18"/>
    </row>
    <row r="301" spans="1:40" ht="20">
      <c r="A301" s="18"/>
      <c r="B301" s="151"/>
      <c r="C301" s="55">
        <v>281</v>
      </c>
      <c r="D301" s="54">
        <v>1</v>
      </c>
      <c r="E301" s="190">
        <f t="shared" si="79"/>
        <v>10</v>
      </c>
      <c r="F301" s="191">
        <f t="shared" si="80"/>
        <v>45938</v>
      </c>
      <c r="G301" s="192" t="str">
        <f t="shared" si="81"/>
        <v>Wed</v>
      </c>
      <c r="H301" s="193"/>
      <c r="I301" s="194"/>
      <c r="J301" s="214">
        <v>398790</v>
      </c>
      <c r="K301" s="215"/>
      <c r="L301" s="43">
        <f t="shared" si="82"/>
        <v>276756.88908168982</v>
      </c>
      <c r="M301" s="280">
        <f t="shared" si="76"/>
        <v>122033.11091831018</v>
      </c>
      <c r="N301" s="41">
        <f t="shared" si="75"/>
        <v>1.4409397407350171</v>
      </c>
      <c r="O301" s="56"/>
      <c r="P301" s="43">
        <f>IF(D301=0,0,SUM($L$294:L301))</f>
        <v>1937880.5622505867</v>
      </c>
      <c r="Q301" s="43">
        <f>IF(D301=0,0,SUM($I$294:I301))</f>
        <v>0</v>
      </c>
      <c r="R301" s="282">
        <f t="shared" si="77"/>
        <v>-1937880.5622505867</v>
      </c>
      <c r="S301" s="198">
        <f t="shared" si="83"/>
        <v>0</v>
      </c>
      <c r="T301" s="207"/>
      <c r="U301" s="43">
        <f>IF(D301=0,0,SUM($L$21:L301))</f>
        <v>53584034.408404432</v>
      </c>
      <c r="V301" s="43">
        <f>IF(D301=0,0,SUM($J$21:J301))</f>
        <v>56064794.041958049</v>
      </c>
      <c r="W301" s="284">
        <f t="shared" si="78"/>
        <v>2480759.6335536167</v>
      </c>
      <c r="X301" s="200">
        <f t="shared" si="84"/>
        <v>1.0462966191505081</v>
      </c>
      <c r="Y301" s="201">
        <f t="shared" si="86"/>
        <v>45938</v>
      </c>
      <c r="Z301" s="202">
        <f t="shared" si="86"/>
        <v>45938</v>
      </c>
      <c r="AA301" s="18"/>
      <c r="AB301" s="244"/>
      <c r="AC301" s="247"/>
      <c r="AD301" s="142"/>
      <c r="AE301" s="18"/>
      <c r="AF301" s="18"/>
      <c r="AG301" s="203"/>
      <c r="AH301" s="203"/>
      <c r="AI301" s="18"/>
      <c r="AJ301" s="18"/>
      <c r="AK301" s="18"/>
      <c r="AL301" s="18"/>
      <c r="AM301" s="18"/>
      <c r="AN301" s="18"/>
    </row>
    <row r="302" spans="1:40" ht="20">
      <c r="A302" s="18"/>
      <c r="B302" s="151"/>
      <c r="C302" s="55">
        <v>282</v>
      </c>
      <c r="D302" s="54">
        <v>1</v>
      </c>
      <c r="E302" s="190">
        <f t="shared" si="79"/>
        <v>10</v>
      </c>
      <c r="F302" s="191">
        <f t="shared" si="80"/>
        <v>45939</v>
      </c>
      <c r="G302" s="192" t="str">
        <f t="shared" si="81"/>
        <v>Thu</v>
      </c>
      <c r="H302" s="193"/>
      <c r="I302" s="194"/>
      <c r="J302" s="214">
        <v>313990</v>
      </c>
      <c r="K302" s="215"/>
      <c r="L302" s="43">
        <f t="shared" si="82"/>
        <v>322731.40456446103</v>
      </c>
      <c r="M302" s="280">
        <f t="shared" si="76"/>
        <v>-8741.4045644610305</v>
      </c>
      <c r="N302" s="41">
        <f t="shared" si="75"/>
        <v>0.97291430446238136</v>
      </c>
      <c r="O302" s="56"/>
      <c r="P302" s="43">
        <f>IF(D302=0,0,SUM($L$294:L302))</f>
        <v>2260611.9668150479</v>
      </c>
      <c r="Q302" s="43">
        <f>IF(D302=0,0,SUM($I$294:I302))</f>
        <v>0</v>
      </c>
      <c r="R302" s="282">
        <f t="shared" si="77"/>
        <v>-2260611.9668150479</v>
      </c>
      <c r="S302" s="198">
        <f t="shared" si="83"/>
        <v>0</v>
      </c>
      <c r="T302" s="207"/>
      <c r="U302" s="43">
        <f>IF(D302=0,0,SUM($L$21:L302))</f>
        <v>53906765.812968895</v>
      </c>
      <c r="V302" s="43">
        <f>IF(D302=0,0,SUM($J$21:J302))</f>
        <v>56378784.041958049</v>
      </c>
      <c r="W302" s="284">
        <f t="shared" si="78"/>
        <v>2472018.2289891541</v>
      </c>
      <c r="X302" s="200">
        <f t="shared" si="84"/>
        <v>1.0458572906704493</v>
      </c>
      <c r="Y302" s="201">
        <f t="shared" si="86"/>
        <v>45939</v>
      </c>
      <c r="Z302" s="202">
        <f t="shared" si="86"/>
        <v>45939</v>
      </c>
      <c r="AA302" s="18"/>
      <c r="AB302" s="244"/>
      <c r="AC302" s="247"/>
      <c r="AD302" s="142"/>
      <c r="AE302" s="18"/>
      <c r="AF302" s="18"/>
      <c r="AG302" s="203"/>
      <c r="AH302" s="203"/>
      <c r="AI302" s="18"/>
      <c r="AJ302" s="18"/>
      <c r="AK302" s="18"/>
      <c r="AL302" s="18"/>
      <c r="AM302" s="18"/>
      <c r="AN302" s="18"/>
    </row>
    <row r="303" spans="1:40" ht="20">
      <c r="A303" s="18"/>
      <c r="B303" s="151"/>
      <c r="C303" s="55">
        <v>283</v>
      </c>
      <c r="D303" s="54">
        <v>1</v>
      </c>
      <c r="E303" s="190">
        <f t="shared" si="79"/>
        <v>10</v>
      </c>
      <c r="F303" s="191">
        <f t="shared" si="80"/>
        <v>45940</v>
      </c>
      <c r="G303" s="192" t="str">
        <f t="shared" si="81"/>
        <v>Fri</v>
      </c>
      <c r="H303" s="193"/>
      <c r="I303" s="194"/>
      <c r="J303" s="214">
        <v>234560</v>
      </c>
      <c r="K303" s="215"/>
      <c r="L303" s="43">
        <f t="shared" si="82"/>
        <v>260168.01277285878</v>
      </c>
      <c r="M303" s="280">
        <f t="shared" si="76"/>
        <v>-25608.012772858783</v>
      </c>
      <c r="N303" s="41">
        <f t="shared" si="75"/>
        <v>0.90157124813335143</v>
      </c>
      <c r="O303" s="56"/>
      <c r="P303" s="43">
        <f>IF(D303=0,0,SUM($L$294:L303))</f>
        <v>2520779.9795879065</v>
      </c>
      <c r="Q303" s="43">
        <f>IF(D303=0,0,SUM($I$294:I303))</f>
        <v>0</v>
      </c>
      <c r="R303" s="282">
        <f t="shared" si="77"/>
        <v>-2520779.9795879065</v>
      </c>
      <c r="S303" s="198">
        <f t="shared" si="83"/>
        <v>0</v>
      </c>
      <c r="T303" s="207"/>
      <c r="U303" s="43">
        <f>IF(D303=0,0,SUM($L$21:L303))</f>
        <v>54166933.825741753</v>
      </c>
      <c r="V303" s="43">
        <f>IF(D303=0,0,SUM($J$21:J303))</f>
        <v>56613344.041958049</v>
      </c>
      <c r="W303" s="284">
        <f t="shared" si="78"/>
        <v>2446410.216216296</v>
      </c>
      <c r="X303" s="200">
        <f t="shared" si="84"/>
        <v>1.0451642735416138</v>
      </c>
      <c r="Y303" s="201">
        <f t="shared" si="86"/>
        <v>45940</v>
      </c>
      <c r="Z303" s="202">
        <f t="shared" si="86"/>
        <v>45940</v>
      </c>
      <c r="AA303" s="18"/>
      <c r="AB303" s="244"/>
      <c r="AC303" s="247"/>
      <c r="AD303" s="142"/>
      <c r="AE303" s="18"/>
      <c r="AF303" s="18"/>
      <c r="AG303" s="203"/>
      <c r="AH303" s="203"/>
      <c r="AI303" s="18"/>
      <c r="AJ303" s="18"/>
      <c r="AK303" s="18"/>
      <c r="AL303" s="18"/>
      <c r="AM303" s="18"/>
      <c r="AN303" s="18"/>
    </row>
    <row r="304" spans="1:40" ht="20">
      <c r="A304" s="18"/>
      <c r="B304" s="151"/>
      <c r="C304" s="55">
        <v>284</v>
      </c>
      <c r="D304" s="54">
        <v>1</v>
      </c>
      <c r="E304" s="190">
        <f t="shared" si="79"/>
        <v>10</v>
      </c>
      <c r="F304" s="191">
        <f t="shared" si="80"/>
        <v>45941</v>
      </c>
      <c r="G304" s="192" t="str">
        <f t="shared" si="81"/>
        <v>Sat</v>
      </c>
      <c r="H304" s="193"/>
      <c r="I304" s="194"/>
      <c r="J304" s="214">
        <v>120990</v>
      </c>
      <c r="K304" s="215"/>
      <c r="L304" s="43">
        <f t="shared" si="82"/>
        <v>176635.89252510565</v>
      </c>
      <c r="M304" s="280">
        <f t="shared" si="76"/>
        <v>-55645.89252510565</v>
      </c>
      <c r="N304" s="41">
        <f t="shared" si="75"/>
        <v>0.68496837347371753</v>
      </c>
      <c r="O304" s="56"/>
      <c r="P304" s="43">
        <f>IF(D304=0,0,SUM($L$294:L304))</f>
        <v>2697415.8721130122</v>
      </c>
      <c r="Q304" s="43">
        <f>IF(D304=0,0,SUM($I$294:I304))</f>
        <v>0</v>
      </c>
      <c r="R304" s="282">
        <f t="shared" si="77"/>
        <v>-2697415.8721130122</v>
      </c>
      <c r="S304" s="198">
        <f t="shared" si="83"/>
        <v>0</v>
      </c>
      <c r="T304" s="207"/>
      <c r="U304" s="43">
        <f>IF(D304=0,0,SUM($L$21:L304))</f>
        <v>54343569.71826686</v>
      </c>
      <c r="V304" s="43">
        <f>IF(D304=0,0,SUM($J$21:J304))</f>
        <v>56734334.041958049</v>
      </c>
      <c r="W304" s="284">
        <f t="shared" si="78"/>
        <v>2390764.3236911893</v>
      </c>
      <c r="X304" s="200">
        <f t="shared" si="84"/>
        <v>1.0439935090036525</v>
      </c>
      <c r="Y304" s="201">
        <f t="shared" si="86"/>
        <v>45941</v>
      </c>
      <c r="Z304" s="202">
        <f t="shared" si="86"/>
        <v>45941</v>
      </c>
      <c r="AA304" s="18"/>
      <c r="AB304" s="244"/>
      <c r="AC304" s="247"/>
      <c r="AD304" s="142"/>
      <c r="AE304" s="18"/>
      <c r="AF304" s="18"/>
      <c r="AG304" s="203"/>
      <c r="AH304" s="203"/>
      <c r="AI304" s="18"/>
      <c r="AJ304" s="18"/>
      <c r="AK304" s="18"/>
      <c r="AL304" s="18"/>
      <c r="AM304" s="18"/>
      <c r="AN304" s="18"/>
    </row>
    <row r="305" spans="1:40" ht="20">
      <c r="A305" s="18"/>
      <c r="B305" s="151"/>
      <c r="C305" s="55">
        <v>285</v>
      </c>
      <c r="D305" s="54">
        <v>0</v>
      </c>
      <c r="E305" s="190">
        <f t="shared" si="79"/>
        <v>10</v>
      </c>
      <c r="F305" s="191">
        <f t="shared" si="80"/>
        <v>45942</v>
      </c>
      <c r="G305" s="192" t="str">
        <f t="shared" si="81"/>
        <v>Sun</v>
      </c>
      <c r="H305" s="193"/>
      <c r="I305" s="194"/>
      <c r="J305" s="214"/>
      <c r="K305" s="215"/>
      <c r="L305" s="43">
        <f t="shared" si="82"/>
        <v>0</v>
      </c>
      <c r="M305" s="280">
        <f t="shared" si="76"/>
        <v>0</v>
      </c>
      <c r="N305" s="41" t="str">
        <f t="shared" si="75"/>
        <v>¥0</v>
      </c>
      <c r="O305" s="44"/>
      <c r="P305" s="43">
        <f>IF(D305=0,0,SUM($L$294:L305))</f>
        <v>0</v>
      </c>
      <c r="Q305" s="43">
        <f>IF(D305=0,0,SUM($I$294:I305))</f>
        <v>0</v>
      </c>
      <c r="R305" s="282">
        <f t="shared" si="77"/>
        <v>0</v>
      </c>
      <c r="S305" s="198">
        <f t="shared" si="83"/>
        <v>0</v>
      </c>
      <c r="T305" s="212"/>
      <c r="U305" s="43">
        <f>IF(D305=0,0,SUM($L$21:L305))</f>
        <v>0</v>
      </c>
      <c r="V305" s="43">
        <f>IF(D305=0,0,SUM($J$21:J305))</f>
        <v>0</v>
      </c>
      <c r="W305" s="284">
        <f t="shared" si="78"/>
        <v>0</v>
      </c>
      <c r="X305" s="200">
        <f t="shared" si="84"/>
        <v>0</v>
      </c>
      <c r="Y305" s="201">
        <f t="shared" si="86"/>
        <v>45942</v>
      </c>
      <c r="Z305" s="202">
        <f t="shared" si="86"/>
        <v>45942</v>
      </c>
      <c r="AA305" s="18"/>
      <c r="AB305" s="244"/>
      <c r="AC305" s="247"/>
      <c r="AD305" s="142"/>
      <c r="AE305" s="18"/>
      <c r="AF305" s="18"/>
      <c r="AG305" s="203"/>
      <c r="AH305" s="203"/>
      <c r="AI305" s="18"/>
      <c r="AJ305" s="18"/>
      <c r="AK305" s="18"/>
      <c r="AL305" s="18"/>
      <c r="AM305" s="18"/>
      <c r="AN305" s="18"/>
    </row>
    <row r="306" spans="1:40" ht="20">
      <c r="A306" s="18"/>
      <c r="B306" s="151"/>
      <c r="C306" s="55">
        <v>286</v>
      </c>
      <c r="D306" s="54">
        <v>0</v>
      </c>
      <c r="E306" s="190">
        <f t="shared" si="79"/>
        <v>10</v>
      </c>
      <c r="F306" s="191">
        <f t="shared" si="80"/>
        <v>45943</v>
      </c>
      <c r="G306" s="192" t="str">
        <f t="shared" si="81"/>
        <v>Mon</v>
      </c>
      <c r="H306" s="193" t="s">
        <v>180</v>
      </c>
      <c r="I306" s="194"/>
      <c r="J306" s="214"/>
      <c r="K306" s="215"/>
      <c r="L306" s="43">
        <f t="shared" si="82"/>
        <v>0</v>
      </c>
      <c r="M306" s="280">
        <f t="shared" si="76"/>
        <v>0</v>
      </c>
      <c r="N306" s="41" t="str">
        <f t="shared" si="75"/>
        <v>¥0</v>
      </c>
      <c r="O306" s="44"/>
      <c r="P306" s="43">
        <f>IF(D306=0,0,SUM($L$294:L306))</f>
        <v>0</v>
      </c>
      <c r="Q306" s="43">
        <f>IF(D306=0,0,SUM($I$294:I306))</f>
        <v>0</v>
      </c>
      <c r="R306" s="282">
        <f t="shared" si="77"/>
        <v>0</v>
      </c>
      <c r="S306" s="198">
        <f t="shared" si="83"/>
        <v>0</v>
      </c>
      <c r="T306" s="212"/>
      <c r="U306" s="43">
        <f>IF(D306=0,0,SUM($L$21:L306))</f>
        <v>0</v>
      </c>
      <c r="V306" s="43">
        <f>IF(D306=0,0,SUM($J$21:J306))</f>
        <v>0</v>
      </c>
      <c r="W306" s="284">
        <f t="shared" si="78"/>
        <v>0</v>
      </c>
      <c r="X306" s="200">
        <f t="shared" si="84"/>
        <v>0</v>
      </c>
      <c r="Y306" s="201">
        <f t="shared" si="86"/>
        <v>45943</v>
      </c>
      <c r="Z306" s="202">
        <f t="shared" si="86"/>
        <v>45943</v>
      </c>
      <c r="AA306" s="18"/>
      <c r="AB306" s="244"/>
      <c r="AC306" s="247"/>
      <c r="AD306" s="142"/>
      <c r="AE306" s="18"/>
      <c r="AF306" s="18"/>
      <c r="AG306" s="203"/>
      <c r="AH306" s="203"/>
      <c r="AI306" s="18"/>
      <c r="AJ306" s="18"/>
      <c r="AK306" s="18"/>
      <c r="AL306" s="18"/>
      <c r="AM306" s="18"/>
      <c r="AN306" s="18"/>
    </row>
    <row r="307" spans="1:40" ht="20">
      <c r="A307" s="18"/>
      <c r="B307" s="151"/>
      <c r="C307" s="55">
        <v>287</v>
      </c>
      <c r="D307" s="54">
        <v>1</v>
      </c>
      <c r="E307" s="190">
        <f t="shared" si="79"/>
        <v>10</v>
      </c>
      <c r="F307" s="191">
        <f t="shared" si="80"/>
        <v>45944</v>
      </c>
      <c r="G307" s="192" t="str">
        <f t="shared" si="81"/>
        <v>Tue</v>
      </c>
      <c r="H307" s="193"/>
      <c r="I307" s="194"/>
      <c r="J307" s="214">
        <v>333990</v>
      </c>
      <c r="K307" s="215"/>
      <c r="L307" s="43">
        <f t="shared" si="82"/>
        <v>320680.47513018566</v>
      </c>
      <c r="M307" s="280">
        <f t="shared" si="76"/>
        <v>13309.52486981434</v>
      </c>
      <c r="N307" s="41">
        <f t="shared" si="75"/>
        <v>1.0415040075776709</v>
      </c>
      <c r="O307" s="56"/>
      <c r="P307" s="43">
        <f>IF(D307=0,0,SUM($L$294:L307))</f>
        <v>3018096.3472431977</v>
      </c>
      <c r="Q307" s="43">
        <f>IF(D307=0,0,SUM($I$294:I307))</f>
        <v>0</v>
      </c>
      <c r="R307" s="282">
        <f t="shared" si="77"/>
        <v>-3018096.3472431977</v>
      </c>
      <c r="S307" s="198">
        <f t="shared" si="83"/>
        <v>0</v>
      </c>
      <c r="T307" s="207"/>
      <c r="U307" s="43">
        <f>IF(D307=0,0,SUM($L$21:L307))</f>
        <v>54664250.193397045</v>
      </c>
      <c r="V307" s="43">
        <f>IF(D307=0,0,SUM($J$21:J307))</f>
        <v>57068324.041958049</v>
      </c>
      <c r="W307" s="284">
        <f t="shared" si="78"/>
        <v>2404073.8485610038</v>
      </c>
      <c r="X307" s="200">
        <f t="shared" si="84"/>
        <v>1.0439789046782058</v>
      </c>
      <c r="Y307" s="201">
        <f t="shared" si="86"/>
        <v>45944</v>
      </c>
      <c r="Z307" s="202">
        <f t="shared" si="86"/>
        <v>45944</v>
      </c>
      <c r="AA307" s="18"/>
      <c r="AB307" s="244"/>
      <c r="AC307" s="247"/>
      <c r="AD307" s="142"/>
      <c r="AE307" s="18"/>
      <c r="AF307" s="18"/>
      <c r="AG307" s="203"/>
      <c r="AH307" s="203"/>
      <c r="AI307" s="18"/>
      <c r="AJ307" s="18"/>
      <c r="AK307" s="18"/>
      <c r="AL307" s="18"/>
      <c r="AM307" s="18"/>
      <c r="AN307" s="18"/>
    </row>
    <row r="308" spans="1:40" ht="20">
      <c r="A308" s="18"/>
      <c r="B308" s="151"/>
      <c r="C308" s="55">
        <v>288</v>
      </c>
      <c r="D308" s="54">
        <v>1</v>
      </c>
      <c r="E308" s="190">
        <f t="shared" si="79"/>
        <v>10</v>
      </c>
      <c r="F308" s="191">
        <f t="shared" si="80"/>
        <v>45945</v>
      </c>
      <c r="G308" s="192" t="str">
        <f t="shared" si="81"/>
        <v>Wed</v>
      </c>
      <c r="H308" s="193"/>
      <c r="I308" s="194"/>
      <c r="J308" s="214">
        <v>350090</v>
      </c>
      <c r="K308" s="215"/>
      <c r="L308" s="43">
        <f t="shared" si="82"/>
        <v>276756.88908168982</v>
      </c>
      <c r="M308" s="280">
        <f t="shared" si="76"/>
        <v>73333.11091831018</v>
      </c>
      <c r="N308" s="41">
        <f t="shared" si="75"/>
        <v>1.2649730279944886</v>
      </c>
      <c r="O308" s="56"/>
      <c r="P308" s="43">
        <f>IF(D308=0,0,SUM($L$294:L308))</f>
        <v>3294853.2363248877</v>
      </c>
      <c r="Q308" s="43">
        <f>IF(D308=0,0,SUM($I$294:I308))</f>
        <v>0</v>
      </c>
      <c r="R308" s="282">
        <f t="shared" si="77"/>
        <v>-3294853.2363248877</v>
      </c>
      <c r="S308" s="198">
        <f t="shared" si="83"/>
        <v>0</v>
      </c>
      <c r="T308" s="207"/>
      <c r="U308" s="43">
        <f>IF(D308=0,0,SUM($L$21:L308))</f>
        <v>54941007.082478732</v>
      </c>
      <c r="V308" s="43">
        <f>IF(D308=0,0,SUM($J$21:J308))</f>
        <v>57418414.041958049</v>
      </c>
      <c r="W308" s="284">
        <f t="shared" si="78"/>
        <v>2477406.9594793171</v>
      </c>
      <c r="X308" s="200">
        <f t="shared" si="84"/>
        <v>1.0450921286491923</v>
      </c>
      <c r="Y308" s="201">
        <f t="shared" si="86"/>
        <v>45945</v>
      </c>
      <c r="Z308" s="202">
        <f t="shared" si="86"/>
        <v>45945</v>
      </c>
      <c r="AA308" s="18"/>
      <c r="AB308" s="244"/>
      <c r="AC308" s="247"/>
      <c r="AD308" s="142"/>
      <c r="AE308" s="18"/>
      <c r="AF308" s="18"/>
      <c r="AG308" s="203"/>
      <c r="AH308" s="203"/>
      <c r="AI308" s="18"/>
      <c r="AJ308" s="18"/>
      <c r="AK308" s="18"/>
      <c r="AL308" s="18"/>
      <c r="AM308" s="18"/>
      <c r="AN308" s="18"/>
    </row>
    <row r="309" spans="1:40" ht="20">
      <c r="A309" s="18"/>
      <c r="B309" s="151"/>
      <c r="C309" s="55">
        <v>289</v>
      </c>
      <c r="D309" s="54">
        <v>1</v>
      </c>
      <c r="E309" s="190">
        <f t="shared" si="79"/>
        <v>10</v>
      </c>
      <c r="F309" s="191">
        <f t="shared" si="80"/>
        <v>45946</v>
      </c>
      <c r="G309" s="192" t="str">
        <f t="shared" si="81"/>
        <v>Thu</v>
      </c>
      <c r="H309" s="193"/>
      <c r="I309" s="194"/>
      <c r="J309" s="214">
        <v>409090</v>
      </c>
      <c r="K309" s="215"/>
      <c r="L309" s="43">
        <f t="shared" si="82"/>
        <v>322731.40456446103</v>
      </c>
      <c r="M309" s="280">
        <f t="shared" si="76"/>
        <v>86358.595435538969</v>
      </c>
      <c r="N309" s="41">
        <f t="shared" si="75"/>
        <v>1.2675865881477613</v>
      </c>
      <c r="O309" s="56"/>
      <c r="P309" s="43">
        <f>IF(D309=0,0,SUM($L$294:L309))</f>
        <v>3617584.6408893489</v>
      </c>
      <c r="Q309" s="43">
        <f>IF(D309=0,0,SUM($I$294:I309))</f>
        <v>0</v>
      </c>
      <c r="R309" s="282">
        <f t="shared" si="77"/>
        <v>-3617584.6408893489</v>
      </c>
      <c r="S309" s="198">
        <f t="shared" si="83"/>
        <v>0</v>
      </c>
      <c r="T309" s="207"/>
      <c r="U309" s="43">
        <f>IF(D309=0,0,SUM($L$21:L309))</f>
        <v>55263738.487043194</v>
      </c>
      <c r="V309" s="43">
        <f>IF(D309=0,0,SUM($J$21:J309))</f>
        <v>57827504.041958049</v>
      </c>
      <c r="W309" s="284">
        <f t="shared" si="78"/>
        <v>2563765.5549148545</v>
      </c>
      <c r="X309" s="200">
        <f t="shared" si="84"/>
        <v>1.0463914607499081</v>
      </c>
      <c r="Y309" s="201">
        <f t="shared" si="86"/>
        <v>45946</v>
      </c>
      <c r="Z309" s="202">
        <f t="shared" si="86"/>
        <v>45946</v>
      </c>
      <c r="AA309" s="18"/>
      <c r="AB309" s="244"/>
      <c r="AC309" s="247"/>
      <c r="AD309" s="142"/>
      <c r="AE309" s="18"/>
      <c r="AF309" s="18"/>
      <c r="AG309" s="203"/>
      <c r="AH309" s="203"/>
      <c r="AI309" s="18"/>
      <c r="AJ309" s="18"/>
      <c r="AK309" s="18"/>
      <c r="AL309" s="18"/>
      <c r="AM309" s="18"/>
      <c r="AN309" s="18"/>
    </row>
    <row r="310" spans="1:40" ht="20">
      <c r="A310" s="18"/>
      <c r="B310" s="151"/>
      <c r="C310" s="55">
        <v>290</v>
      </c>
      <c r="D310" s="54">
        <v>1</v>
      </c>
      <c r="E310" s="190">
        <f t="shared" si="79"/>
        <v>10</v>
      </c>
      <c r="F310" s="191">
        <f t="shared" si="80"/>
        <v>45947</v>
      </c>
      <c r="G310" s="192" t="str">
        <f t="shared" si="81"/>
        <v>Fri</v>
      </c>
      <c r="H310" s="193"/>
      <c r="I310" s="194"/>
      <c r="J310" s="214">
        <v>235050</v>
      </c>
      <c r="K310" s="215"/>
      <c r="L310" s="43">
        <f t="shared" si="82"/>
        <v>260168.01277285878</v>
      </c>
      <c r="M310" s="280">
        <f t="shared" si="76"/>
        <v>-25118.012772858783</v>
      </c>
      <c r="N310" s="41">
        <f t="shared" si="75"/>
        <v>0.90345464646036944</v>
      </c>
      <c r="O310" s="56"/>
      <c r="P310" s="43">
        <f>IF(D310=0,0,SUM($L$294:L310))</f>
        <v>3877752.6536622075</v>
      </c>
      <c r="Q310" s="43">
        <f>IF(D310=0,0,SUM($I$294:I310))</f>
        <v>0</v>
      </c>
      <c r="R310" s="282">
        <f t="shared" si="77"/>
        <v>-3877752.6536622075</v>
      </c>
      <c r="S310" s="198">
        <f t="shared" si="83"/>
        <v>0</v>
      </c>
      <c r="T310" s="207"/>
      <c r="U310" s="43">
        <f>IF(D310=0,0,SUM($L$21:L310))</f>
        <v>55523906.499816053</v>
      </c>
      <c r="V310" s="43">
        <f>IF(D310=0,0,SUM($J$21:J310))</f>
        <v>58062554.041958049</v>
      </c>
      <c r="W310" s="284">
        <f t="shared" si="78"/>
        <v>2538647.5421419963</v>
      </c>
      <c r="X310" s="200">
        <f t="shared" si="84"/>
        <v>1.0457217026354297</v>
      </c>
      <c r="Y310" s="201">
        <f t="shared" si="86"/>
        <v>45947</v>
      </c>
      <c r="Z310" s="202">
        <f t="shared" si="86"/>
        <v>45947</v>
      </c>
      <c r="AA310" s="18"/>
      <c r="AB310" s="244"/>
      <c r="AC310" s="247"/>
      <c r="AD310" s="142"/>
      <c r="AE310" s="18"/>
      <c r="AF310" s="18"/>
      <c r="AG310" s="203"/>
      <c r="AH310" s="203"/>
      <c r="AI310" s="18"/>
      <c r="AJ310" s="18"/>
      <c r="AK310" s="18"/>
      <c r="AL310" s="18"/>
      <c r="AM310" s="18"/>
      <c r="AN310" s="18"/>
    </row>
    <row r="311" spans="1:40" ht="20">
      <c r="A311" s="18"/>
      <c r="B311" s="151"/>
      <c r="C311" s="55">
        <v>291</v>
      </c>
      <c r="D311" s="54">
        <v>1</v>
      </c>
      <c r="E311" s="190">
        <f t="shared" si="79"/>
        <v>10</v>
      </c>
      <c r="F311" s="191">
        <f t="shared" si="80"/>
        <v>45948</v>
      </c>
      <c r="G311" s="192" t="str">
        <f t="shared" si="81"/>
        <v>Sat</v>
      </c>
      <c r="H311" s="193"/>
      <c r="I311" s="194"/>
      <c r="J311" s="214">
        <v>135080</v>
      </c>
      <c r="K311" s="215"/>
      <c r="L311" s="43">
        <f t="shared" si="82"/>
        <v>176635.89252510565</v>
      </c>
      <c r="M311" s="280">
        <f t="shared" si="76"/>
        <v>-41555.89252510565</v>
      </c>
      <c r="N311" s="41">
        <f t="shared" si="75"/>
        <v>0.76473698560897396</v>
      </c>
      <c r="O311" s="56"/>
      <c r="P311" s="43">
        <f>IF(D311=0,0,SUM($L$294:L311))</f>
        <v>4054388.5461873133</v>
      </c>
      <c r="Q311" s="43">
        <f>IF(D311=0,0,SUM($I$294:I311))</f>
        <v>0</v>
      </c>
      <c r="R311" s="282">
        <f t="shared" si="77"/>
        <v>-4054388.5461873133</v>
      </c>
      <c r="S311" s="198">
        <f t="shared" si="83"/>
        <v>0</v>
      </c>
      <c r="T311" s="207"/>
      <c r="U311" s="43">
        <f>IF(D311=0,0,SUM($L$21:L311))</f>
        <v>55700542.392341159</v>
      </c>
      <c r="V311" s="43">
        <f>IF(D311=0,0,SUM($J$21:J311))</f>
        <v>58197634.041958049</v>
      </c>
      <c r="W311" s="284">
        <f t="shared" si="78"/>
        <v>2497091.6496168897</v>
      </c>
      <c r="X311" s="200">
        <f t="shared" si="84"/>
        <v>1.0448306523126467</v>
      </c>
      <c r="Y311" s="201">
        <f t="shared" ref="Y311:Z326" si="87">Y310+1</f>
        <v>45948</v>
      </c>
      <c r="Z311" s="202">
        <f t="shared" si="87"/>
        <v>45948</v>
      </c>
      <c r="AA311" s="18"/>
      <c r="AB311" s="244"/>
      <c r="AC311" s="247"/>
      <c r="AD311" s="142"/>
      <c r="AE311" s="18"/>
      <c r="AF311" s="18"/>
      <c r="AG311" s="203"/>
      <c r="AH311" s="203"/>
      <c r="AI311" s="18"/>
      <c r="AJ311" s="18"/>
      <c r="AK311" s="18"/>
      <c r="AL311" s="18"/>
      <c r="AM311" s="18"/>
      <c r="AN311" s="18"/>
    </row>
    <row r="312" spans="1:40" ht="20">
      <c r="A312" s="18"/>
      <c r="B312" s="151"/>
      <c r="C312" s="55">
        <v>292</v>
      </c>
      <c r="D312" s="54">
        <v>0</v>
      </c>
      <c r="E312" s="190">
        <f t="shared" si="79"/>
        <v>10</v>
      </c>
      <c r="F312" s="191">
        <f t="shared" si="80"/>
        <v>45949</v>
      </c>
      <c r="G312" s="192" t="str">
        <f t="shared" si="81"/>
        <v>Sun</v>
      </c>
      <c r="H312" s="193"/>
      <c r="I312" s="194"/>
      <c r="J312" s="214"/>
      <c r="K312" s="215"/>
      <c r="L312" s="43">
        <f t="shared" si="82"/>
        <v>0</v>
      </c>
      <c r="M312" s="280">
        <f t="shared" si="76"/>
        <v>0</v>
      </c>
      <c r="N312" s="41" t="str">
        <f t="shared" si="75"/>
        <v>¥0</v>
      </c>
      <c r="O312" s="44"/>
      <c r="P312" s="43">
        <f>IF(D312=0,0,SUM($L$294:L312))</f>
        <v>0</v>
      </c>
      <c r="Q312" s="43">
        <f>IF(D312=0,0,SUM($I$294:I312))</f>
        <v>0</v>
      </c>
      <c r="R312" s="282">
        <f t="shared" si="77"/>
        <v>0</v>
      </c>
      <c r="S312" s="198">
        <f t="shared" si="83"/>
        <v>0</v>
      </c>
      <c r="T312" s="212"/>
      <c r="U312" s="43">
        <f>IF(D312=0,0,SUM($L$21:L312))</f>
        <v>0</v>
      </c>
      <c r="V312" s="43">
        <f>IF(D312=0,0,SUM($J$21:J312))</f>
        <v>0</v>
      </c>
      <c r="W312" s="284">
        <f t="shared" si="78"/>
        <v>0</v>
      </c>
      <c r="X312" s="200">
        <f t="shared" si="84"/>
        <v>0</v>
      </c>
      <c r="Y312" s="201">
        <f t="shared" si="87"/>
        <v>45949</v>
      </c>
      <c r="Z312" s="202">
        <f t="shared" si="87"/>
        <v>45949</v>
      </c>
      <c r="AA312" s="18"/>
      <c r="AB312" s="244"/>
      <c r="AC312" s="247"/>
      <c r="AD312" s="142"/>
      <c r="AE312" s="18"/>
      <c r="AF312" s="18"/>
      <c r="AG312" s="203"/>
      <c r="AH312" s="203"/>
      <c r="AI312" s="18"/>
      <c r="AJ312" s="18"/>
      <c r="AK312" s="18"/>
      <c r="AL312" s="18"/>
      <c r="AM312" s="18"/>
      <c r="AN312" s="18"/>
    </row>
    <row r="313" spans="1:40" ht="20">
      <c r="A313" s="18"/>
      <c r="B313" s="151"/>
      <c r="C313" s="55">
        <v>293</v>
      </c>
      <c r="D313" s="54">
        <v>1</v>
      </c>
      <c r="E313" s="190">
        <f t="shared" si="79"/>
        <v>10</v>
      </c>
      <c r="F313" s="191">
        <f t="shared" si="80"/>
        <v>45950</v>
      </c>
      <c r="G313" s="192" t="str">
        <f t="shared" si="81"/>
        <v>Mon</v>
      </c>
      <c r="H313" s="193"/>
      <c r="I313" s="194"/>
      <c r="J313" s="214">
        <v>298990</v>
      </c>
      <c r="K313" s="215"/>
      <c r="L313" s="43">
        <f t="shared" si="82"/>
        <v>304150.9990945959</v>
      </c>
      <c r="M313" s="280">
        <f t="shared" si="76"/>
        <v>-5160.9990945958998</v>
      </c>
      <c r="N313" s="41">
        <f t="shared" si="75"/>
        <v>0.98303145769713307</v>
      </c>
      <c r="O313" s="56"/>
      <c r="P313" s="43">
        <f>IF(D313=0,0,SUM($L$294:L313))</f>
        <v>4358539.5452819094</v>
      </c>
      <c r="Q313" s="43">
        <f>IF(D313=0,0,SUM($I$294:I313))</f>
        <v>0</v>
      </c>
      <c r="R313" s="282">
        <f t="shared" si="77"/>
        <v>-4358539.5452819094</v>
      </c>
      <c r="S313" s="198">
        <f t="shared" si="83"/>
        <v>0</v>
      </c>
      <c r="T313" s="207"/>
      <c r="U313" s="43">
        <f>IF(D313=0,0,SUM($L$21:L313))</f>
        <v>56004693.391435757</v>
      </c>
      <c r="V313" s="43">
        <f>IF(D313=0,0,SUM($J$21:J313))</f>
        <v>58496624.041958049</v>
      </c>
      <c r="W313" s="284">
        <f t="shared" si="78"/>
        <v>2491930.6505222917</v>
      </c>
      <c r="X313" s="200">
        <f t="shared" si="84"/>
        <v>1.0444950324628213</v>
      </c>
      <c r="Y313" s="201">
        <f t="shared" si="87"/>
        <v>45950</v>
      </c>
      <c r="Z313" s="202">
        <f t="shared" si="87"/>
        <v>45950</v>
      </c>
      <c r="AA313" s="18"/>
      <c r="AB313" s="244"/>
      <c r="AC313" s="247"/>
      <c r="AD313" s="142"/>
      <c r="AE313" s="18"/>
      <c r="AF313" s="18"/>
      <c r="AG313" s="203"/>
      <c r="AH313" s="203"/>
      <c r="AI313" s="18"/>
      <c r="AJ313" s="18"/>
      <c r="AK313" s="18"/>
      <c r="AL313" s="18"/>
      <c r="AM313" s="18"/>
      <c r="AN313" s="18"/>
    </row>
    <row r="314" spans="1:40" ht="20">
      <c r="A314" s="18"/>
      <c r="B314" s="151"/>
      <c r="C314" s="55">
        <v>294</v>
      </c>
      <c r="D314" s="54">
        <v>1</v>
      </c>
      <c r="E314" s="190">
        <f t="shared" si="79"/>
        <v>10</v>
      </c>
      <c r="F314" s="191">
        <f t="shared" si="80"/>
        <v>45951</v>
      </c>
      <c r="G314" s="192" t="str">
        <f t="shared" si="81"/>
        <v>Tue</v>
      </c>
      <c r="H314" s="193"/>
      <c r="I314" s="194"/>
      <c r="J314" s="214">
        <v>289780</v>
      </c>
      <c r="K314" s="215"/>
      <c r="L314" s="43">
        <f t="shared" si="82"/>
        <v>320680.47513018566</v>
      </c>
      <c r="M314" s="280">
        <f t="shared" si="76"/>
        <v>-30900.47513018566</v>
      </c>
      <c r="N314" s="41">
        <f t="shared" si="75"/>
        <v>0.90364092133254736</v>
      </c>
      <c r="O314" s="56"/>
      <c r="P314" s="43">
        <f>IF(D314=0,0,SUM($L$294:L314))</f>
        <v>4679220.0204120949</v>
      </c>
      <c r="Q314" s="43">
        <f>IF(D314=0,0,SUM($I$294:I314))</f>
        <v>0</v>
      </c>
      <c r="R314" s="282">
        <f t="shared" si="77"/>
        <v>-4679220.0204120949</v>
      </c>
      <c r="S314" s="198">
        <f t="shared" si="83"/>
        <v>0</v>
      </c>
      <c r="T314" s="207"/>
      <c r="U314" s="43">
        <f>IF(D314=0,0,SUM($L$21:L314))</f>
        <v>56325373.866565943</v>
      </c>
      <c r="V314" s="43">
        <f>IF(D314=0,0,SUM($J$21:J314))</f>
        <v>58786404.041958049</v>
      </c>
      <c r="W314" s="284">
        <f t="shared" si="78"/>
        <v>2461030.1753921062</v>
      </c>
      <c r="X314" s="200">
        <f t="shared" si="84"/>
        <v>1.0436930996893559</v>
      </c>
      <c r="Y314" s="201">
        <f t="shared" si="87"/>
        <v>45951</v>
      </c>
      <c r="Z314" s="202">
        <f t="shared" si="87"/>
        <v>45951</v>
      </c>
      <c r="AA314" s="18"/>
      <c r="AB314" s="244"/>
      <c r="AC314" s="247"/>
      <c r="AD314" s="142"/>
      <c r="AE314" s="18"/>
      <c r="AF314" s="18"/>
      <c r="AG314" s="203"/>
      <c r="AH314" s="203"/>
      <c r="AI314" s="18"/>
      <c r="AJ314" s="18"/>
      <c r="AK314" s="18"/>
      <c r="AL314" s="18"/>
      <c r="AM314" s="18"/>
      <c r="AN314" s="18"/>
    </row>
    <row r="315" spans="1:40" ht="20">
      <c r="A315" s="18"/>
      <c r="B315" s="151"/>
      <c r="C315" s="55">
        <v>295</v>
      </c>
      <c r="D315" s="54">
        <v>1</v>
      </c>
      <c r="E315" s="190">
        <f t="shared" si="79"/>
        <v>10</v>
      </c>
      <c r="F315" s="191">
        <f t="shared" si="80"/>
        <v>45952</v>
      </c>
      <c r="G315" s="192" t="str">
        <f t="shared" si="81"/>
        <v>Wed</v>
      </c>
      <c r="H315" s="193"/>
      <c r="I315" s="194"/>
      <c r="J315" s="214">
        <v>224500</v>
      </c>
      <c r="K315" s="215"/>
      <c r="L315" s="43">
        <f t="shared" si="82"/>
        <v>276756.88908168982</v>
      </c>
      <c r="M315" s="280">
        <f t="shared" si="76"/>
        <v>-52256.88908168982</v>
      </c>
      <c r="N315" s="41">
        <f t="shared" si="75"/>
        <v>0.81118125277717934</v>
      </c>
      <c r="O315" s="56"/>
      <c r="P315" s="43">
        <f>IF(D315=0,0,SUM($L$294:L315))</f>
        <v>4955976.9094937844</v>
      </c>
      <c r="Q315" s="43">
        <f>IF(D315=0,0,SUM($I$294:I315))</f>
        <v>0</v>
      </c>
      <c r="R315" s="282">
        <f t="shared" si="77"/>
        <v>-4955976.9094937844</v>
      </c>
      <c r="S315" s="198">
        <f t="shared" si="83"/>
        <v>0</v>
      </c>
      <c r="T315" s="207"/>
      <c r="U315" s="43">
        <f>IF(D315=0,0,SUM($L$21:L315))</f>
        <v>56602130.755647629</v>
      </c>
      <c r="V315" s="43">
        <f>IF(D315=0,0,SUM($J$21:J315))</f>
        <v>59010904.041958049</v>
      </c>
      <c r="W315" s="284">
        <f t="shared" si="78"/>
        <v>2408773.2863104194</v>
      </c>
      <c r="X315" s="200">
        <f t="shared" si="84"/>
        <v>1.042556229847762</v>
      </c>
      <c r="Y315" s="201">
        <f t="shared" si="87"/>
        <v>45952</v>
      </c>
      <c r="Z315" s="202">
        <f t="shared" si="87"/>
        <v>45952</v>
      </c>
      <c r="AA315" s="18"/>
      <c r="AB315" s="244"/>
      <c r="AC315" s="247"/>
      <c r="AD315" s="142"/>
      <c r="AE315" s="18"/>
      <c r="AF315" s="18"/>
      <c r="AG315" s="203"/>
      <c r="AH315" s="203"/>
      <c r="AI315" s="18"/>
      <c r="AJ315" s="18"/>
      <c r="AK315" s="18"/>
      <c r="AL315" s="18"/>
      <c r="AM315" s="18"/>
      <c r="AN315" s="18"/>
    </row>
    <row r="316" spans="1:40" ht="20">
      <c r="A316" s="18"/>
      <c r="B316" s="151"/>
      <c r="C316" s="55">
        <v>296</v>
      </c>
      <c r="D316" s="54">
        <v>1</v>
      </c>
      <c r="E316" s="190">
        <f t="shared" si="79"/>
        <v>10</v>
      </c>
      <c r="F316" s="191">
        <f t="shared" si="80"/>
        <v>45953</v>
      </c>
      <c r="G316" s="192" t="str">
        <f t="shared" si="81"/>
        <v>Thu</v>
      </c>
      <c r="H316" s="193"/>
      <c r="I316" s="194"/>
      <c r="J316" s="214">
        <v>289970</v>
      </c>
      <c r="K316" s="215"/>
      <c r="L316" s="43">
        <f t="shared" si="82"/>
        <v>322731.40456446103</v>
      </c>
      <c r="M316" s="280">
        <f t="shared" si="76"/>
        <v>-32761.404564461031</v>
      </c>
      <c r="N316" s="41">
        <f t="shared" si="75"/>
        <v>0.89848708833070068</v>
      </c>
      <c r="O316" s="56"/>
      <c r="P316" s="43">
        <f>IF(D316=0,0,SUM($L$294:L316))</f>
        <v>5278708.3140582452</v>
      </c>
      <c r="Q316" s="43">
        <f>IF(D316=0,0,SUM($I$294:I316))</f>
        <v>0</v>
      </c>
      <c r="R316" s="282">
        <f t="shared" si="77"/>
        <v>-5278708.3140582452</v>
      </c>
      <c r="S316" s="198">
        <f t="shared" si="83"/>
        <v>0</v>
      </c>
      <c r="T316" s="207"/>
      <c r="U316" s="43">
        <f>IF(D316=0,0,SUM($L$21:L316))</f>
        <v>56924862.160212092</v>
      </c>
      <c r="V316" s="43">
        <f>IF(D316=0,0,SUM($J$21:J316))</f>
        <v>59300874.041958049</v>
      </c>
      <c r="W316" s="284">
        <f t="shared" si="78"/>
        <v>2376011.8817459568</v>
      </c>
      <c r="X316" s="200">
        <f t="shared" si="84"/>
        <v>1.0417394402301545</v>
      </c>
      <c r="Y316" s="201">
        <f t="shared" si="87"/>
        <v>45953</v>
      </c>
      <c r="Z316" s="202">
        <f t="shared" si="87"/>
        <v>45953</v>
      </c>
      <c r="AA316" s="18"/>
      <c r="AB316" s="244"/>
      <c r="AC316" s="247"/>
      <c r="AD316" s="142"/>
      <c r="AE316" s="18"/>
      <c r="AF316" s="18"/>
      <c r="AG316" s="203"/>
      <c r="AH316" s="203"/>
      <c r="AI316" s="18"/>
      <c r="AJ316" s="18"/>
      <c r="AK316" s="18"/>
      <c r="AL316" s="18"/>
      <c r="AM316" s="18"/>
      <c r="AN316" s="18"/>
    </row>
    <row r="317" spans="1:40" ht="20">
      <c r="A317" s="18"/>
      <c r="B317" s="151"/>
      <c r="C317" s="55">
        <v>297</v>
      </c>
      <c r="D317" s="54">
        <v>1</v>
      </c>
      <c r="E317" s="190">
        <f t="shared" si="79"/>
        <v>10</v>
      </c>
      <c r="F317" s="191">
        <f t="shared" si="80"/>
        <v>45954</v>
      </c>
      <c r="G317" s="192" t="str">
        <f t="shared" si="81"/>
        <v>Fri</v>
      </c>
      <c r="H317" s="193"/>
      <c r="I317" s="194"/>
      <c r="J317" s="214">
        <v>418990</v>
      </c>
      <c r="K317" s="215"/>
      <c r="L317" s="43">
        <f t="shared" si="82"/>
        <v>260168.01277285878</v>
      </c>
      <c r="M317" s="280">
        <f t="shared" si="76"/>
        <v>158821.98722714122</v>
      </c>
      <c r="N317" s="41">
        <f t="shared" si="75"/>
        <v>1.610459316402596</v>
      </c>
      <c r="O317" s="56"/>
      <c r="P317" s="43">
        <f>IF(D317=0,0,SUM($L$294:L317))</f>
        <v>5538876.3268311042</v>
      </c>
      <c r="Q317" s="43">
        <f>IF(D317=0,0,SUM($I$294:I317))</f>
        <v>0</v>
      </c>
      <c r="R317" s="282">
        <f t="shared" si="77"/>
        <v>-5538876.3268311042</v>
      </c>
      <c r="S317" s="198">
        <f t="shared" si="83"/>
        <v>0</v>
      </c>
      <c r="T317" s="207"/>
      <c r="U317" s="43">
        <f>IF(D317=0,0,SUM($L$21:L317))</f>
        <v>57185030.17298495</v>
      </c>
      <c r="V317" s="43">
        <f>IF(D317=0,0,SUM($J$21:J317))</f>
        <v>59719864.041958049</v>
      </c>
      <c r="W317" s="284">
        <f t="shared" si="78"/>
        <v>2534833.8689730987</v>
      </c>
      <c r="X317" s="200">
        <f t="shared" si="84"/>
        <v>1.0443268782285366</v>
      </c>
      <c r="Y317" s="201">
        <f t="shared" si="87"/>
        <v>45954</v>
      </c>
      <c r="Z317" s="202">
        <f t="shared" si="87"/>
        <v>45954</v>
      </c>
      <c r="AA317" s="18"/>
      <c r="AB317" s="244"/>
      <c r="AC317" s="247"/>
      <c r="AD317" s="142"/>
      <c r="AE317" s="18"/>
      <c r="AF317" s="18"/>
      <c r="AG317" s="203"/>
      <c r="AH317" s="203"/>
      <c r="AI317" s="18"/>
      <c r="AJ317" s="18"/>
      <c r="AK317" s="18"/>
      <c r="AL317" s="18"/>
      <c r="AM317" s="18"/>
      <c r="AN317" s="18"/>
    </row>
    <row r="318" spans="1:40" ht="20">
      <c r="A318" s="18"/>
      <c r="B318" s="151"/>
      <c r="C318" s="55">
        <v>298</v>
      </c>
      <c r="D318" s="54">
        <v>1</v>
      </c>
      <c r="E318" s="190">
        <f t="shared" si="79"/>
        <v>10</v>
      </c>
      <c r="F318" s="191">
        <f t="shared" si="80"/>
        <v>45955</v>
      </c>
      <c r="G318" s="192" t="str">
        <f t="shared" si="81"/>
        <v>Sat</v>
      </c>
      <c r="H318" s="193"/>
      <c r="I318" s="194"/>
      <c r="J318" s="214">
        <v>210990</v>
      </c>
      <c r="K318" s="215"/>
      <c r="L318" s="43">
        <f t="shared" si="82"/>
        <v>176635.89252510565</v>
      </c>
      <c r="M318" s="280">
        <f t="shared" si="76"/>
        <v>34354.10747489435</v>
      </c>
      <c r="N318" s="41">
        <f t="shared" si="75"/>
        <v>1.1944910911581095</v>
      </c>
      <c r="O318" s="56"/>
      <c r="P318" s="43">
        <f>IF(D318=0,0,SUM($L$294:L318))</f>
        <v>5715512.21935621</v>
      </c>
      <c r="Q318" s="43">
        <f>IF(D318=0,0,SUM($I$294:I318))</f>
        <v>0</v>
      </c>
      <c r="R318" s="282">
        <f t="shared" si="77"/>
        <v>-5715512.21935621</v>
      </c>
      <c r="S318" s="198">
        <f t="shared" si="83"/>
        <v>0</v>
      </c>
      <c r="T318" s="207"/>
      <c r="U318" s="43">
        <f>IF(D318=0,0,SUM($L$21:L318))</f>
        <v>57361666.065510057</v>
      </c>
      <c r="V318" s="43">
        <f>IF(D318=0,0,SUM($J$21:J318))</f>
        <v>59930854.041958049</v>
      </c>
      <c r="W318" s="284">
        <f t="shared" si="78"/>
        <v>2569187.976447992</v>
      </c>
      <c r="X318" s="200">
        <f t="shared" si="84"/>
        <v>1.0447892844240934</v>
      </c>
      <c r="Y318" s="201">
        <f t="shared" si="87"/>
        <v>45955</v>
      </c>
      <c r="Z318" s="202">
        <f t="shared" si="87"/>
        <v>45955</v>
      </c>
      <c r="AA318" s="18"/>
      <c r="AB318" s="244"/>
      <c r="AC318" s="247"/>
      <c r="AD318" s="142"/>
      <c r="AE318" s="18"/>
      <c r="AF318" s="18"/>
      <c r="AG318" s="203"/>
      <c r="AH318" s="203"/>
      <c r="AI318" s="18"/>
      <c r="AJ318" s="18"/>
      <c r="AK318" s="18"/>
      <c r="AL318" s="18"/>
      <c r="AM318" s="18"/>
      <c r="AN318" s="18"/>
    </row>
    <row r="319" spans="1:40" ht="20">
      <c r="A319" s="18"/>
      <c r="B319" s="151"/>
      <c r="C319" s="55">
        <v>299</v>
      </c>
      <c r="D319" s="54">
        <v>0</v>
      </c>
      <c r="E319" s="190">
        <f t="shared" si="79"/>
        <v>10</v>
      </c>
      <c r="F319" s="191">
        <f t="shared" si="80"/>
        <v>45956</v>
      </c>
      <c r="G319" s="192" t="str">
        <f t="shared" si="81"/>
        <v>Sun</v>
      </c>
      <c r="H319" s="193"/>
      <c r="I319" s="194"/>
      <c r="J319" s="214"/>
      <c r="K319" s="215"/>
      <c r="L319" s="43">
        <f t="shared" si="82"/>
        <v>0</v>
      </c>
      <c r="M319" s="280">
        <f t="shared" si="76"/>
        <v>0</v>
      </c>
      <c r="N319" s="41" t="str">
        <f t="shared" si="75"/>
        <v>¥0</v>
      </c>
      <c r="O319" s="44"/>
      <c r="P319" s="43">
        <f>IF(D319=0,0,SUM($L$294:L319))</f>
        <v>0</v>
      </c>
      <c r="Q319" s="43">
        <f>IF(D319=0,0,SUM($I$294:I319))</f>
        <v>0</v>
      </c>
      <c r="R319" s="282">
        <f t="shared" si="77"/>
        <v>0</v>
      </c>
      <c r="S319" s="198">
        <f t="shared" si="83"/>
        <v>0</v>
      </c>
      <c r="T319" s="212"/>
      <c r="U319" s="43">
        <f>IF(D319=0,0,SUM($L$21:L319))</f>
        <v>0</v>
      </c>
      <c r="V319" s="43">
        <f>IF(D319=0,0,SUM($J$21:J319))</f>
        <v>0</v>
      </c>
      <c r="W319" s="284">
        <f t="shared" si="78"/>
        <v>0</v>
      </c>
      <c r="X319" s="200">
        <f t="shared" si="84"/>
        <v>0</v>
      </c>
      <c r="Y319" s="201">
        <f t="shared" si="87"/>
        <v>45956</v>
      </c>
      <c r="Z319" s="202">
        <f t="shared" si="87"/>
        <v>45956</v>
      </c>
      <c r="AA319" s="18"/>
      <c r="AB319" s="244"/>
      <c r="AC319" s="247"/>
      <c r="AD319" s="142"/>
      <c r="AE319" s="18"/>
      <c r="AF319" s="18"/>
      <c r="AG319" s="203"/>
      <c r="AH319" s="203"/>
      <c r="AI319" s="18"/>
      <c r="AJ319" s="18"/>
      <c r="AK319" s="18"/>
      <c r="AL319" s="18"/>
      <c r="AM319" s="18"/>
      <c r="AN319" s="18"/>
    </row>
    <row r="320" spans="1:40" ht="20">
      <c r="A320" s="18"/>
      <c r="B320" s="151"/>
      <c r="C320" s="55">
        <v>300</v>
      </c>
      <c r="D320" s="54">
        <v>1</v>
      </c>
      <c r="E320" s="190">
        <f t="shared" si="79"/>
        <v>10</v>
      </c>
      <c r="F320" s="191">
        <f t="shared" si="80"/>
        <v>45957</v>
      </c>
      <c r="G320" s="192" t="str">
        <f t="shared" si="81"/>
        <v>Mon</v>
      </c>
      <c r="H320" s="193"/>
      <c r="I320" s="194"/>
      <c r="J320" s="214">
        <v>358900</v>
      </c>
      <c r="K320" s="215"/>
      <c r="L320" s="43">
        <f t="shared" si="82"/>
        <v>304150.9990945959</v>
      </c>
      <c r="M320" s="280">
        <f t="shared" si="76"/>
        <v>54749.0009054041</v>
      </c>
      <c r="N320" s="41">
        <f t="shared" si="75"/>
        <v>1.1800059873825246</v>
      </c>
      <c r="O320" s="56"/>
      <c r="P320" s="43">
        <f>IF(D320=0,0,SUM($L$294:L320))</f>
        <v>6019663.2184508061</v>
      </c>
      <c r="Q320" s="43">
        <f>IF(D320=0,0,SUM($I$294:I320))</f>
        <v>0</v>
      </c>
      <c r="R320" s="282">
        <f t="shared" si="77"/>
        <v>-6019663.2184508061</v>
      </c>
      <c r="S320" s="198">
        <f t="shared" si="83"/>
        <v>0</v>
      </c>
      <c r="T320" s="207"/>
      <c r="U320" s="43">
        <f>IF(D320=0,0,SUM($L$21:L320))</f>
        <v>57665817.064604655</v>
      </c>
      <c r="V320" s="43">
        <f>IF(D320=0,0,SUM($J$21:J320))</f>
        <v>60289754.041958049</v>
      </c>
      <c r="W320" s="284">
        <f t="shared" si="78"/>
        <v>2623936.977353394</v>
      </c>
      <c r="X320" s="200">
        <f t="shared" si="84"/>
        <v>1.0455024676822617</v>
      </c>
      <c r="Y320" s="201">
        <f t="shared" si="87"/>
        <v>45957</v>
      </c>
      <c r="Z320" s="202">
        <f t="shared" si="87"/>
        <v>45957</v>
      </c>
      <c r="AA320" s="18"/>
      <c r="AB320" s="244"/>
      <c r="AC320" s="247"/>
      <c r="AD320" s="142"/>
      <c r="AE320" s="18"/>
      <c r="AF320" s="18"/>
      <c r="AG320" s="203"/>
      <c r="AH320" s="203"/>
      <c r="AI320" s="18"/>
      <c r="AJ320" s="18"/>
      <c r="AK320" s="18"/>
      <c r="AL320" s="18"/>
      <c r="AM320" s="18"/>
      <c r="AN320" s="18"/>
    </row>
    <row r="321" spans="1:40" ht="20">
      <c r="A321" s="18"/>
      <c r="B321" s="151"/>
      <c r="C321" s="55">
        <v>301</v>
      </c>
      <c r="D321" s="54">
        <v>1</v>
      </c>
      <c r="E321" s="190">
        <f t="shared" si="79"/>
        <v>10</v>
      </c>
      <c r="F321" s="191">
        <f t="shared" si="80"/>
        <v>45958</v>
      </c>
      <c r="G321" s="192" t="str">
        <f t="shared" si="81"/>
        <v>Tue</v>
      </c>
      <c r="H321" s="193"/>
      <c r="I321" s="194"/>
      <c r="J321" s="214">
        <v>289780</v>
      </c>
      <c r="K321" s="215"/>
      <c r="L321" s="43">
        <f t="shared" si="82"/>
        <v>320680.47513018566</v>
      </c>
      <c r="M321" s="280">
        <f t="shared" si="76"/>
        <v>-30900.47513018566</v>
      </c>
      <c r="N321" s="41">
        <f t="shared" si="75"/>
        <v>0.90364092133254736</v>
      </c>
      <c r="O321" s="56"/>
      <c r="P321" s="43">
        <f>IF(D321=0,0,SUM($L$294:L321))</f>
        <v>6340343.6935809916</v>
      </c>
      <c r="Q321" s="43">
        <f>IF(D321=0,0,SUM($I$294:I321))</f>
        <v>0</v>
      </c>
      <c r="R321" s="282">
        <f t="shared" si="77"/>
        <v>-6340343.6935809916</v>
      </c>
      <c r="S321" s="198">
        <f t="shared" si="83"/>
        <v>0</v>
      </c>
      <c r="T321" s="207"/>
      <c r="U321" s="43">
        <f>IF(D321=0,0,SUM($L$21:L321))</f>
        <v>57986497.53973484</v>
      </c>
      <c r="V321" s="43">
        <f>IF(D321=0,0,SUM($J$21:J321))</f>
        <v>60579534.041958049</v>
      </c>
      <c r="W321" s="284">
        <f t="shared" si="78"/>
        <v>2593036.5022232085</v>
      </c>
      <c r="X321" s="200">
        <f t="shared" si="84"/>
        <v>1.044717936282431</v>
      </c>
      <c r="Y321" s="201">
        <f t="shared" si="87"/>
        <v>45958</v>
      </c>
      <c r="Z321" s="202">
        <f t="shared" si="87"/>
        <v>45958</v>
      </c>
      <c r="AA321" s="18"/>
      <c r="AB321" s="244"/>
      <c r="AC321" s="247"/>
      <c r="AD321" s="142"/>
      <c r="AE321" s="18"/>
      <c r="AF321" s="18"/>
      <c r="AG321" s="203"/>
      <c r="AH321" s="203"/>
      <c r="AI321" s="18"/>
      <c r="AJ321" s="18"/>
      <c r="AK321" s="18"/>
      <c r="AL321" s="18"/>
      <c r="AM321" s="18"/>
      <c r="AN321" s="18"/>
    </row>
    <row r="322" spans="1:40" ht="20">
      <c r="A322" s="18"/>
      <c r="B322" s="151"/>
      <c r="C322" s="55">
        <v>302</v>
      </c>
      <c r="D322" s="54">
        <v>1</v>
      </c>
      <c r="E322" s="190">
        <f t="shared" si="79"/>
        <v>10</v>
      </c>
      <c r="F322" s="191">
        <f t="shared" si="80"/>
        <v>45959</v>
      </c>
      <c r="G322" s="192" t="str">
        <f t="shared" si="81"/>
        <v>Wed</v>
      </c>
      <c r="H322" s="193"/>
      <c r="I322" s="194"/>
      <c r="J322" s="214">
        <v>300900</v>
      </c>
      <c r="K322" s="215"/>
      <c r="L322" s="43">
        <f t="shared" si="82"/>
        <v>276756.88908168982</v>
      </c>
      <c r="M322" s="280">
        <f t="shared" si="76"/>
        <v>24143.11091831018</v>
      </c>
      <c r="N322" s="41">
        <f t="shared" si="75"/>
        <v>1.0872358082879878</v>
      </c>
      <c r="O322" s="56"/>
      <c r="P322" s="43">
        <f>IF(D322=0,0,SUM($L$294:L322))</f>
        <v>6617100.5826626811</v>
      </c>
      <c r="Q322" s="43">
        <f>IF(D322=0,0,SUM($I$294:I322))</f>
        <v>0</v>
      </c>
      <c r="R322" s="282">
        <f t="shared" si="77"/>
        <v>-6617100.5826626811</v>
      </c>
      <c r="S322" s="198">
        <f t="shared" si="83"/>
        <v>0</v>
      </c>
      <c r="T322" s="207"/>
      <c r="U322" s="43">
        <f>IF(D322=0,0,SUM($L$21:L322))</f>
        <v>58263254.428816527</v>
      </c>
      <c r="V322" s="43">
        <f>IF(D322=0,0,SUM($J$21:J322))</f>
        <v>60880434.041958049</v>
      </c>
      <c r="W322" s="284">
        <f t="shared" si="78"/>
        <v>2617179.6131415218</v>
      </c>
      <c r="X322" s="200">
        <f t="shared" si="84"/>
        <v>1.0449199008671766</v>
      </c>
      <c r="Y322" s="201">
        <f t="shared" si="87"/>
        <v>45959</v>
      </c>
      <c r="Z322" s="202">
        <f t="shared" si="87"/>
        <v>45959</v>
      </c>
      <c r="AA322" s="18"/>
      <c r="AB322" s="244"/>
      <c r="AC322" s="247"/>
      <c r="AD322" s="142"/>
      <c r="AE322" s="18"/>
      <c r="AF322" s="18"/>
      <c r="AG322" s="203"/>
      <c r="AH322" s="203"/>
      <c r="AI322" s="18"/>
      <c r="AJ322" s="18"/>
      <c r="AK322" s="18"/>
      <c r="AL322" s="18"/>
      <c r="AM322" s="18"/>
      <c r="AN322" s="18"/>
    </row>
    <row r="323" spans="1:40" ht="20">
      <c r="A323" s="18"/>
      <c r="B323" s="151"/>
      <c r="C323" s="55">
        <v>303</v>
      </c>
      <c r="D323" s="54">
        <v>1</v>
      </c>
      <c r="E323" s="190">
        <f t="shared" si="79"/>
        <v>10</v>
      </c>
      <c r="F323" s="191">
        <f t="shared" si="80"/>
        <v>45960</v>
      </c>
      <c r="G323" s="192" t="str">
        <f t="shared" si="81"/>
        <v>Thu</v>
      </c>
      <c r="H323" s="193"/>
      <c r="I323" s="194"/>
      <c r="J323" s="214">
        <v>319890</v>
      </c>
      <c r="K323" s="215"/>
      <c r="L323" s="43">
        <f t="shared" si="82"/>
        <v>322731.40456446103</v>
      </c>
      <c r="M323" s="280">
        <f t="shared" si="76"/>
        <v>-2841.4045644610305</v>
      </c>
      <c r="N323" s="41">
        <f t="shared" si="75"/>
        <v>0.99119576054801473</v>
      </c>
      <c r="O323" s="56"/>
      <c r="P323" s="43">
        <f>IF(D323=0,0,SUM($L$294:L323))</f>
        <v>6939831.9872271419</v>
      </c>
      <c r="Q323" s="43">
        <f>IF(D323=0,0,SUM($I$294:I323))</f>
        <v>0</v>
      </c>
      <c r="R323" s="282">
        <f t="shared" si="77"/>
        <v>-6939831.9872271419</v>
      </c>
      <c r="S323" s="198">
        <f t="shared" si="83"/>
        <v>0</v>
      </c>
      <c r="T323" s="207"/>
      <c r="U323" s="43">
        <f>IF(D323=0,0,SUM($L$21:L323))</f>
        <v>58585985.83338099</v>
      </c>
      <c r="V323" s="43">
        <f>IF(D323=0,0,SUM($J$21:J323))</f>
        <v>61200324.041958049</v>
      </c>
      <c r="W323" s="284">
        <f t="shared" si="78"/>
        <v>2614338.2085770592</v>
      </c>
      <c r="X323" s="200">
        <f t="shared" si="84"/>
        <v>1.0446239518101181</v>
      </c>
      <c r="Y323" s="201">
        <f t="shared" si="87"/>
        <v>45960</v>
      </c>
      <c r="Z323" s="202">
        <f t="shared" si="87"/>
        <v>45960</v>
      </c>
      <c r="AA323" s="18"/>
      <c r="AB323" s="244"/>
      <c r="AC323" s="247"/>
      <c r="AD323" s="142"/>
      <c r="AE323" s="18"/>
      <c r="AF323" s="18"/>
      <c r="AG323" s="203"/>
      <c r="AH323" s="203"/>
      <c r="AI323" s="18"/>
      <c r="AJ323" s="18"/>
      <c r="AK323" s="18"/>
      <c r="AL323" s="18"/>
      <c r="AM323" s="18"/>
      <c r="AN323" s="18"/>
    </row>
    <row r="324" spans="1:40" ht="21" thickBot="1">
      <c r="A324" s="18"/>
      <c r="B324" s="151"/>
      <c r="C324" s="39">
        <v>304</v>
      </c>
      <c r="D324" s="38">
        <v>1</v>
      </c>
      <c r="E324" s="217">
        <f t="shared" si="79"/>
        <v>10</v>
      </c>
      <c r="F324" s="236">
        <f t="shared" si="80"/>
        <v>45961</v>
      </c>
      <c r="G324" s="219" t="str">
        <f t="shared" si="81"/>
        <v>Fri</v>
      </c>
      <c r="H324" s="233"/>
      <c r="I324" s="221"/>
      <c r="J324" s="237">
        <v>438990</v>
      </c>
      <c r="K324" s="223"/>
      <c r="L324" s="43">
        <f t="shared" si="82"/>
        <v>260168.01277285878</v>
      </c>
      <c r="M324" s="281">
        <f t="shared" si="76"/>
        <v>178821.98722714122</v>
      </c>
      <c r="N324" s="225">
        <f t="shared" si="75"/>
        <v>1.6873327175053714</v>
      </c>
      <c r="O324" s="226"/>
      <c r="P324" s="227">
        <f>IF(D324=0,0,SUM($L$294:L324))</f>
        <v>7200000.0000000009</v>
      </c>
      <c r="Q324" s="26">
        <f>IF(D324=0,0,SUM($I$294:I324))</f>
        <v>0</v>
      </c>
      <c r="R324" s="283">
        <f t="shared" si="77"/>
        <v>-7200000.0000000009</v>
      </c>
      <c r="S324" s="228">
        <f t="shared" si="83"/>
        <v>0</v>
      </c>
      <c r="T324" s="229"/>
      <c r="U324" s="28">
        <f>IF(D324=0,0,SUM($L$21:L324))</f>
        <v>58846153.846153848</v>
      </c>
      <c r="V324" s="28">
        <f>IF(D324=0,0,SUM($J$21:J324))</f>
        <v>61639314.041958049</v>
      </c>
      <c r="W324" s="285">
        <f t="shared" si="78"/>
        <v>2793160.1958042011</v>
      </c>
      <c r="X324" s="230">
        <f t="shared" si="84"/>
        <v>1.0474654673796793</v>
      </c>
      <c r="Y324" s="201">
        <f t="shared" si="87"/>
        <v>45961</v>
      </c>
      <c r="Z324" s="202">
        <f t="shared" si="87"/>
        <v>45961</v>
      </c>
      <c r="AA324" s="18"/>
      <c r="AB324" s="244"/>
      <c r="AC324" s="247"/>
      <c r="AD324" s="142"/>
      <c r="AE324" s="18"/>
      <c r="AF324" s="18"/>
      <c r="AG324" s="203"/>
      <c r="AH324" s="203"/>
      <c r="AI324" s="18"/>
      <c r="AJ324" s="18"/>
      <c r="AK324" s="18"/>
      <c r="AL324" s="18"/>
      <c r="AM324" s="18"/>
      <c r="AN324" s="18"/>
    </row>
    <row r="325" spans="1:40" ht="21" thickTop="1">
      <c r="A325" s="18"/>
      <c r="B325" s="151"/>
      <c r="C325" s="55">
        <v>305</v>
      </c>
      <c r="D325" s="62">
        <v>1</v>
      </c>
      <c r="E325" s="190">
        <f t="shared" si="79"/>
        <v>11</v>
      </c>
      <c r="F325" s="191">
        <f t="shared" si="80"/>
        <v>45962</v>
      </c>
      <c r="G325" s="192" t="str">
        <f t="shared" si="81"/>
        <v>Sat</v>
      </c>
      <c r="H325" s="193"/>
      <c r="I325" s="194"/>
      <c r="J325" s="214">
        <v>210980</v>
      </c>
      <c r="K325" s="215"/>
      <c r="L325" s="43">
        <f t="shared" si="82"/>
        <v>184025.81994627352</v>
      </c>
      <c r="M325" s="282">
        <f t="shared" si="76"/>
        <v>26954.180053726479</v>
      </c>
      <c r="N325" s="60">
        <f t="shared" si="75"/>
        <v>1.146469555530826</v>
      </c>
      <c r="O325" s="56"/>
      <c r="P325" s="43">
        <f>IF(D325=0,0,$L$325)</f>
        <v>184025.81994627352</v>
      </c>
      <c r="Q325" s="43">
        <f>IF(D325=0,0,$J$325)</f>
        <v>210980</v>
      </c>
      <c r="R325" s="282">
        <f t="shared" si="77"/>
        <v>26954.180053726479</v>
      </c>
      <c r="S325" s="231">
        <f t="shared" si="83"/>
        <v>1.146469555530826</v>
      </c>
      <c r="T325" s="207"/>
      <c r="U325" s="43">
        <f>IF(D325=0,0,SUM($L$21:L325))</f>
        <v>59030179.666100122</v>
      </c>
      <c r="V325" s="43">
        <f>IF(D325=0,0,SUM($J$21:J325))</f>
        <v>61850294.041958049</v>
      </c>
      <c r="W325" s="284">
        <f t="shared" si="78"/>
        <v>2820114.3758579269</v>
      </c>
      <c r="X325" s="232">
        <f t="shared" si="84"/>
        <v>1.0477741113411767</v>
      </c>
      <c r="Y325" s="201">
        <f t="shared" si="87"/>
        <v>45962</v>
      </c>
      <c r="Z325" s="202">
        <f t="shared" si="87"/>
        <v>45962</v>
      </c>
      <c r="AA325" s="18"/>
      <c r="AB325" s="244"/>
      <c r="AC325" s="247"/>
      <c r="AD325" s="142"/>
      <c r="AE325" s="18"/>
      <c r="AF325" s="18"/>
      <c r="AG325" s="203"/>
      <c r="AH325" s="203"/>
      <c r="AI325" s="18"/>
      <c r="AJ325" s="18"/>
      <c r="AK325" s="18"/>
      <c r="AL325" s="18"/>
      <c r="AM325" s="18"/>
      <c r="AN325" s="18"/>
    </row>
    <row r="326" spans="1:40" ht="20">
      <c r="A326" s="18"/>
      <c r="B326" s="151"/>
      <c r="C326" s="55">
        <v>306</v>
      </c>
      <c r="D326" s="54">
        <v>0</v>
      </c>
      <c r="E326" s="190">
        <f t="shared" si="79"/>
        <v>11</v>
      </c>
      <c r="F326" s="191">
        <f t="shared" si="80"/>
        <v>45963</v>
      </c>
      <c r="G326" s="192" t="str">
        <f t="shared" si="81"/>
        <v>Sun</v>
      </c>
      <c r="H326" s="193"/>
      <c r="I326" s="194"/>
      <c r="J326" s="214"/>
      <c r="K326" s="215"/>
      <c r="L326" s="43">
        <f t="shared" si="82"/>
        <v>0</v>
      </c>
      <c r="M326" s="280">
        <f t="shared" si="76"/>
        <v>0</v>
      </c>
      <c r="N326" s="41" t="str">
        <f t="shared" si="75"/>
        <v>¥0</v>
      </c>
      <c r="O326" s="44"/>
      <c r="P326" s="43">
        <f>IF(D326=0,0,SUM($L$325:L326))</f>
        <v>0</v>
      </c>
      <c r="Q326" s="43">
        <f>IF(D326=0,0,SUM($I$325:I326))</f>
        <v>0</v>
      </c>
      <c r="R326" s="282">
        <f t="shared" si="77"/>
        <v>0</v>
      </c>
      <c r="S326" s="198">
        <f t="shared" si="83"/>
        <v>0</v>
      </c>
      <c r="T326" s="212"/>
      <c r="U326" s="43">
        <f>IF(D326=0,0,SUM($L$21:L326))</f>
        <v>0</v>
      </c>
      <c r="V326" s="43">
        <f>IF(D326=0,0,SUM($J$21:J326))</f>
        <v>0</v>
      </c>
      <c r="W326" s="284">
        <f t="shared" si="78"/>
        <v>0</v>
      </c>
      <c r="X326" s="200">
        <f t="shared" si="84"/>
        <v>0</v>
      </c>
      <c r="Y326" s="201">
        <f t="shared" si="87"/>
        <v>45963</v>
      </c>
      <c r="Z326" s="202">
        <f t="shared" si="87"/>
        <v>45963</v>
      </c>
      <c r="AA326" s="18"/>
      <c r="AB326" s="244"/>
      <c r="AC326" s="247"/>
      <c r="AD326" s="142"/>
      <c r="AE326" s="18"/>
      <c r="AF326" s="18"/>
      <c r="AG326" s="203"/>
      <c r="AH326" s="203"/>
      <c r="AI326" s="18"/>
      <c r="AJ326" s="18"/>
      <c r="AK326" s="18"/>
      <c r="AL326" s="18"/>
      <c r="AM326" s="18"/>
      <c r="AN326" s="18"/>
    </row>
    <row r="327" spans="1:40" ht="20">
      <c r="A327" s="18"/>
      <c r="B327" s="151"/>
      <c r="C327" s="55">
        <v>307</v>
      </c>
      <c r="D327" s="54">
        <v>0</v>
      </c>
      <c r="E327" s="190">
        <f t="shared" si="79"/>
        <v>11</v>
      </c>
      <c r="F327" s="191">
        <f t="shared" si="80"/>
        <v>45964</v>
      </c>
      <c r="G327" s="192" t="str">
        <f t="shared" si="81"/>
        <v>Mon</v>
      </c>
      <c r="H327" s="193" t="s">
        <v>181</v>
      </c>
      <c r="I327" s="194"/>
      <c r="J327" s="214"/>
      <c r="K327" s="215"/>
      <c r="L327" s="43">
        <f t="shared" si="82"/>
        <v>0</v>
      </c>
      <c r="M327" s="280">
        <f t="shared" si="76"/>
        <v>0</v>
      </c>
      <c r="N327" s="41" t="str">
        <f t="shared" si="75"/>
        <v>¥0</v>
      </c>
      <c r="O327" s="44"/>
      <c r="P327" s="43">
        <f>IF(D327=0,0,SUM($L$325:L327))</f>
        <v>0</v>
      </c>
      <c r="Q327" s="43">
        <f>IF(D327=0,0,SUM($I$325:I327))</f>
        <v>0</v>
      </c>
      <c r="R327" s="282">
        <f t="shared" si="77"/>
        <v>0</v>
      </c>
      <c r="S327" s="198">
        <f t="shared" si="83"/>
        <v>0</v>
      </c>
      <c r="T327" s="212"/>
      <c r="U327" s="43">
        <f>IF(D327=0,0,SUM($L$21:L327))</f>
        <v>0</v>
      </c>
      <c r="V327" s="43">
        <f>IF(D327=0,0,SUM($J$21:J327))</f>
        <v>0</v>
      </c>
      <c r="W327" s="284">
        <f t="shared" si="78"/>
        <v>0</v>
      </c>
      <c r="X327" s="200">
        <f t="shared" si="84"/>
        <v>0</v>
      </c>
      <c r="Y327" s="201">
        <f t="shared" ref="Y327:Z342" si="88">Y326+1</f>
        <v>45964</v>
      </c>
      <c r="Z327" s="202">
        <f t="shared" si="88"/>
        <v>45964</v>
      </c>
      <c r="AA327" s="18"/>
      <c r="AB327" s="244"/>
      <c r="AC327" s="247"/>
      <c r="AD327" s="142"/>
      <c r="AE327" s="18"/>
      <c r="AF327" s="18"/>
      <c r="AG327" s="203"/>
      <c r="AH327" s="203"/>
      <c r="AI327" s="18"/>
      <c r="AJ327" s="18"/>
      <c r="AK327" s="18"/>
      <c r="AL327" s="18"/>
      <c r="AM327" s="18"/>
      <c r="AN327" s="18"/>
    </row>
    <row r="328" spans="1:40" ht="20">
      <c r="A328" s="18"/>
      <c r="B328" s="151"/>
      <c r="C328" s="55">
        <v>308</v>
      </c>
      <c r="D328" s="54">
        <v>1</v>
      </c>
      <c r="E328" s="190">
        <f t="shared" si="79"/>
        <v>11</v>
      </c>
      <c r="F328" s="191">
        <f t="shared" si="80"/>
        <v>45965</v>
      </c>
      <c r="G328" s="192" t="str">
        <f t="shared" si="81"/>
        <v>Tue</v>
      </c>
      <c r="H328" s="193"/>
      <c r="I328" s="194"/>
      <c r="J328" s="214">
        <v>333450</v>
      </c>
      <c r="K328" s="215"/>
      <c r="L328" s="43">
        <f t="shared" si="82"/>
        <v>241304.76560243504</v>
      </c>
      <c r="M328" s="280">
        <f t="shared" si="76"/>
        <v>92145.234397564956</v>
      </c>
      <c r="N328" s="41">
        <f t="shared" si="75"/>
        <v>1.381862472411258</v>
      </c>
      <c r="O328" s="56"/>
      <c r="P328" s="43">
        <f>IF(D328=0,0,SUM($L$325:L328))</f>
        <v>425330.58554870856</v>
      </c>
      <c r="Q328" s="43">
        <f>IF(D328=0,0,SUM($I$325:I328))</f>
        <v>0</v>
      </c>
      <c r="R328" s="282">
        <f t="shared" si="77"/>
        <v>-425330.58554870856</v>
      </c>
      <c r="S328" s="198">
        <f t="shared" si="83"/>
        <v>0</v>
      </c>
      <c r="T328" s="207"/>
      <c r="U328" s="43">
        <f>IF(D328=0,0,SUM($L$21:L328))</f>
        <v>59271484.431702554</v>
      </c>
      <c r="V328" s="43">
        <f>IF(D328=0,0,SUM($J$21:J328))</f>
        <v>62183744.041958049</v>
      </c>
      <c r="W328" s="284">
        <f t="shared" si="78"/>
        <v>2912259.6102554947</v>
      </c>
      <c r="X328" s="200">
        <f t="shared" si="84"/>
        <v>1.049134244538978</v>
      </c>
      <c r="Y328" s="201">
        <f t="shared" si="88"/>
        <v>45965</v>
      </c>
      <c r="Z328" s="202">
        <f t="shared" si="88"/>
        <v>45965</v>
      </c>
      <c r="AA328" s="18"/>
      <c r="AB328" s="244"/>
      <c r="AC328" s="247"/>
      <c r="AD328" s="142"/>
      <c r="AE328" s="18"/>
      <c r="AF328" s="18"/>
      <c r="AG328" s="203"/>
      <c r="AH328" s="203"/>
      <c r="AI328" s="18"/>
      <c r="AJ328" s="18"/>
      <c r="AK328" s="18"/>
      <c r="AL328" s="18"/>
      <c r="AM328" s="18"/>
      <c r="AN328" s="18"/>
    </row>
    <row r="329" spans="1:40" ht="20">
      <c r="A329" s="18"/>
      <c r="B329" s="151"/>
      <c r="C329" s="55">
        <v>309</v>
      </c>
      <c r="D329" s="54">
        <v>1</v>
      </c>
      <c r="E329" s="190">
        <f t="shared" si="79"/>
        <v>11</v>
      </c>
      <c r="F329" s="191">
        <f t="shared" si="80"/>
        <v>45966</v>
      </c>
      <c r="G329" s="192" t="str">
        <f t="shared" si="81"/>
        <v>Wed</v>
      </c>
      <c r="H329" s="193"/>
      <c r="I329" s="194"/>
      <c r="J329" s="214">
        <v>299890</v>
      </c>
      <c r="K329" s="215"/>
      <c r="L329" s="43">
        <f t="shared" si="82"/>
        <v>278232.78853783675</v>
      </c>
      <c r="M329" s="280">
        <f t="shared" si="76"/>
        <v>21657.21146216325</v>
      </c>
      <c r="N329" s="41">
        <f t="shared" si="75"/>
        <v>1.0778384588530194</v>
      </c>
      <c r="O329" s="56"/>
      <c r="P329" s="43">
        <f>IF(D329=0,0,SUM($L$325:L329))</f>
        <v>703563.37408654531</v>
      </c>
      <c r="Q329" s="43">
        <f>IF(D329=0,0,SUM($I$325:I329))</f>
        <v>0</v>
      </c>
      <c r="R329" s="282">
        <f t="shared" si="77"/>
        <v>-703563.37408654531</v>
      </c>
      <c r="S329" s="198">
        <f t="shared" si="83"/>
        <v>0</v>
      </c>
      <c r="T329" s="207"/>
      <c r="U329" s="43">
        <f>IF(D329=0,0,SUM($L$21:L329))</f>
        <v>59549717.220240392</v>
      </c>
      <c r="V329" s="43">
        <f>IF(D329=0,0,SUM($J$21:J329))</f>
        <v>62483634.041958049</v>
      </c>
      <c r="W329" s="284">
        <f t="shared" si="78"/>
        <v>2933916.8217176571</v>
      </c>
      <c r="X329" s="200">
        <f t="shared" si="84"/>
        <v>1.0492683585862679</v>
      </c>
      <c r="Y329" s="201">
        <f t="shared" si="88"/>
        <v>45966</v>
      </c>
      <c r="Z329" s="202">
        <f t="shared" si="88"/>
        <v>45966</v>
      </c>
      <c r="AA329" s="18"/>
      <c r="AB329" s="244"/>
      <c r="AC329" s="247"/>
      <c r="AD329" s="142"/>
      <c r="AE329" s="18"/>
      <c r="AF329" s="18"/>
      <c r="AG329" s="203"/>
      <c r="AH329" s="203"/>
      <c r="AI329" s="18"/>
      <c r="AJ329" s="18"/>
      <c r="AK329" s="18"/>
      <c r="AL329" s="18"/>
      <c r="AM329" s="18"/>
      <c r="AN329" s="18"/>
    </row>
    <row r="330" spans="1:40" ht="20">
      <c r="A330" s="18"/>
      <c r="B330" s="151"/>
      <c r="C330" s="55">
        <v>310</v>
      </c>
      <c r="D330" s="54">
        <v>1</v>
      </c>
      <c r="E330" s="190">
        <f t="shared" si="79"/>
        <v>11</v>
      </c>
      <c r="F330" s="191">
        <f t="shared" si="80"/>
        <v>45967</v>
      </c>
      <c r="G330" s="192" t="str">
        <f t="shared" si="81"/>
        <v>Thu</v>
      </c>
      <c r="H330" s="193"/>
      <c r="I330" s="194"/>
      <c r="J330" s="214">
        <v>300990</v>
      </c>
      <c r="K330" s="215"/>
      <c r="L330" s="43">
        <f t="shared" si="82"/>
        <v>271042.57031549391</v>
      </c>
      <c r="M330" s="280">
        <f t="shared" si="76"/>
        <v>29947.429684506089</v>
      </c>
      <c r="N330" s="41">
        <f t="shared" si="75"/>
        <v>1.1104897642080624</v>
      </c>
      <c r="O330" s="56"/>
      <c r="P330" s="43">
        <f>IF(D330=0,0,SUM($L$325:L330))</f>
        <v>974605.94440203928</v>
      </c>
      <c r="Q330" s="43">
        <f>IF(D330=0,0,SUM($I$325:I330))</f>
        <v>0</v>
      </c>
      <c r="R330" s="282">
        <f t="shared" si="77"/>
        <v>-974605.94440203928</v>
      </c>
      <c r="S330" s="198">
        <f t="shared" si="83"/>
        <v>0</v>
      </c>
      <c r="T330" s="207"/>
      <c r="U330" s="43">
        <f>IF(D330=0,0,SUM($L$21:L330))</f>
        <v>59820759.790555887</v>
      </c>
      <c r="V330" s="43">
        <f>IF(D330=0,0,SUM($J$21:J330))</f>
        <v>62784624.041958049</v>
      </c>
      <c r="W330" s="284">
        <f t="shared" si="78"/>
        <v>2963864.251402162</v>
      </c>
      <c r="X330" s="200">
        <f t="shared" si="84"/>
        <v>1.0495457473589307</v>
      </c>
      <c r="Y330" s="201">
        <f t="shared" si="88"/>
        <v>45967</v>
      </c>
      <c r="Z330" s="202">
        <f t="shared" si="88"/>
        <v>45967</v>
      </c>
      <c r="AA330" s="18"/>
      <c r="AB330" s="244"/>
      <c r="AC330" s="247"/>
      <c r="AD330" s="142"/>
      <c r="AE330" s="18"/>
      <c r="AF330" s="18"/>
      <c r="AG330" s="203"/>
      <c r="AH330" s="203"/>
      <c r="AI330" s="18"/>
      <c r="AJ330" s="18"/>
      <c r="AK330" s="18"/>
      <c r="AL330" s="18"/>
      <c r="AM330" s="18"/>
      <c r="AN330" s="18"/>
    </row>
    <row r="331" spans="1:40" ht="20">
      <c r="A331" s="18"/>
      <c r="B331" s="151"/>
      <c r="C331" s="55">
        <v>311</v>
      </c>
      <c r="D331" s="54">
        <v>1</v>
      </c>
      <c r="E331" s="190">
        <f t="shared" si="79"/>
        <v>11</v>
      </c>
      <c r="F331" s="191">
        <f t="shared" si="80"/>
        <v>45968</v>
      </c>
      <c r="G331" s="192" t="str">
        <f t="shared" si="81"/>
        <v>Fri</v>
      </c>
      <c r="H331" s="193"/>
      <c r="I331" s="194"/>
      <c r="J331" s="214">
        <v>455090</v>
      </c>
      <c r="K331" s="215"/>
      <c r="L331" s="43">
        <f t="shared" si="82"/>
        <v>433895.80274849781</v>
      </c>
      <c r="M331" s="280">
        <f t="shared" si="76"/>
        <v>21194.197251502192</v>
      </c>
      <c r="N331" s="41">
        <f t="shared" si="75"/>
        <v>1.0488462831796213</v>
      </c>
      <c r="O331" s="56"/>
      <c r="P331" s="43">
        <f>IF(D331=0,0,SUM($L$325:L331))</f>
        <v>1408501.7471505371</v>
      </c>
      <c r="Q331" s="43">
        <f>IF(D331=0,0,SUM($I$325:I331))</f>
        <v>0</v>
      </c>
      <c r="R331" s="282">
        <f t="shared" si="77"/>
        <v>-1408501.7471505371</v>
      </c>
      <c r="S331" s="198">
        <f t="shared" si="83"/>
        <v>0</v>
      </c>
      <c r="T331" s="207"/>
      <c r="U331" s="43">
        <f>IF(D331=0,0,SUM($L$21:L331))</f>
        <v>60254655.593304388</v>
      </c>
      <c r="V331" s="43">
        <f>IF(D331=0,0,SUM($J$21:J331))</f>
        <v>63239714.041958049</v>
      </c>
      <c r="W331" s="284">
        <f t="shared" si="78"/>
        <v>2985058.4486536607</v>
      </c>
      <c r="X331" s="200">
        <f t="shared" si="84"/>
        <v>1.0495407104938355</v>
      </c>
      <c r="Y331" s="201">
        <f t="shared" si="88"/>
        <v>45968</v>
      </c>
      <c r="Z331" s="202">
        <f t="shared" si="88"/>
        <v>45968</v>
      </c>
      <c r="AA331" s="18"/>
      <c r="AB331" s="244"/>
      <c r="AC331" s="247"/>
      <c r="AD331" s="142"/>
      <c r="AE331" s="18"/>
      <c r="AF331" s="18"/>
      <c r="AG331" s="203"/>
      <c r="AH331" s="203"/>
      <c r="AI331" s="18"/>
      <c r="AJ331" s="18"/>
      <c r="AK331" s="18"/>
      <c r="AL331" s="18"/>
      <c r="AM331" s="18"/>
      <c r="AN331" s="18"/>
    </row>
    <row r="332" spans="1:40" ht="20">
      <c r="A332" s="18"/>
      <c r="B332" s="151"/>
      <c r="C332" s="55">
        <v>312</v>
      </c>
      <c r="D332" s="54">
        <v>1</v>
      </c>
      <c r="E332" s="190">
        <f t="shared" si="79"/>
        <v>11</v>
      </c>
      <c r="F332" s="191">
        <f t="shared" si="80"/>
        <v>45969</v>
      </c>
      <c r="G332" s="192" t="str">
        <f t="shared" si="81"/>
        <v>Sat</v>
      </c>
      <c r="H332" s="193"/>
      <c r="I332" s="194"/>
      <c r="J332" s="214">
        <v>213450</v>
      </c>
      <c r="K332" s="215"/>
      <c r="L332" s="43">
        <f t="shared" si="82"/>
        <v>184025.81994627352</v>
      </c>
      <c r="M332" s="280">
        <f t="shared" si="76"/>
        <v>29424.180053726479</v>
      </c>
      <c r="N332" s="41">
        <f t="shared" si="75"/>
        <v>1.1598915851173324</v>
      </c>
      <c r="O332" s="56"/>
      <c r="P332" s="43">
        <f>IF(D332=0,0,SUM($L$325:L332))</f>
        <v>1592527.5670968106</v>
      </c>
      <c r="Q332" s="43">
        <f>IF(D332=0,0,SUM($I$325:I332))</f>
        <v>0</v>
      </c>
      <c r="R332" s="282">
        <f t="shared" si="77"/>
        <v>-1592527.5670968106</v>
      </c>
      <c r="S332" s="198">
        <f t="shared" si="83"/>
        <v>0</v>
      </c>
      <c r="T332" s="207"/>
      <c r="U332" s="43">
        <f>IF(D332=0,0,SUM($L$21:L332))</f>
        <v>60438681.413250662</v>
      </c>
      <c r="V332" s="43">
        <f>IF(D332=0,0,SUM($J$21:J332))</f>
        <v>63453164.041958049</v>
      </c>
      <c r="W332" s="284">
        <f t="shared" si="78"/>
        <v>3014482.6287073866</v>
      </c>
      <c r="X332" s="200">
        <f t="shared" si="84"/>
        <v>1.0498767107127271</v>
      </c>
      <c r="Y332" s="201">
        <f t="shared" si="88"/>
        <v>45969</v>
      </c>
      <c r="Z332" s="202">
        <f t="shared" si="88"/>
        <v>45969</v>
      </c>
      <c r="AA332" s="18"/>
      <c r="AB332" s="244"/>
      <c r="AC332" s="247"/>
      <c r="AD332" s="142"/>
      <c r="AE332" s="18"/>
      <c r="AF332" s="18"/>
      <c r="AG332" s="203"/>
      <c r="AH332" s="203"/>
      <c r="AI332" s="18"/>
      <c r="AJ332" s="18"/>
      <c r="AK332" s="18"/>
      <c r="AL332" s="18"/>
      <c r="AM332" s="18"/>
      <c r="AN332" s="18"/>
    </row>
    <row r="333" spans="1:40" ht="20">
      <c r="A333" s="18"/>
      <c r="B333" s="151"/>
      <c r="C333" s="55">
        <v>313</v>
      </c>
      <c r="D333" s="54">
        <v>0</v>
      </c>
      <c r="E333" s="190">
        <f t="shared" si="79"/>
        <v>11</v>
      </c>
      <c r="F333" s="191">
        <f t="shared" si="80"/>
        <v>45970</v>
      </c>
      <c r="G333" s="192" t="str">
        <f t="shared" si="81"/>
        <v>Sun</v>
      </c>
      <c r="H333" s="193"/>
      <c r="I333" s="194"/>
      <c r="J333" s="214"/>
      <c r="K333" s="215"/>
      <c r="L333" s="43">
        <f t="shared" si="82"/>
        <v>0</v>
      </c>
      <c r="M333" s="280">
        <f t="shared" si="76"/>
        <v>0</v>
      </c>
      <c r="N333" s="41" t="str">
        <f t="shared" si="75"/>
        <v>¥0</v>
      </c>
      <c r="O333" s="44"/>
      <c r="P333" s="43">
        <f>IF(D333=0,0,SUM($L$325:L333))</f>
        <v>0</v>
      </c>
      <c r="Q333" s="43">
        <f>IF(D333=0,0,SUM($I$325:I333))</f>
        <v>0</v>
      </c>
      <c r="R333" s="282">
        <f t="shared" si="77"/>
        <v>0</v>
      </c>
      <c r="S333" s="198">
        <f t="shared" si="83"/>
        <v>0</v>
      </c>
      <c r="T333" s="212"/>
      <c r="U333" s="43">
        <f>IF(D333=0,0,SUM($L$21:L333))</f>
        <v>0</v>
      </c>
      <c r="V333" s="43">
        <f>IF(D333=0,0,SUM($J$21:J333))</f>
        <v>0</v>
      </c>
      <c r="W333" s="284">
        <f t="shared" si="78"/>
        <v>0</v>
      </c>
      <c r="X333" s="200">
        <f t="shared" si="84"/>
        <v>0</v>
      </c>
      <c r="Y333" s="201">
        <f t="shared" si="88"/>
        <v>45970</v>
      </c>
      <c r="Z333" s="202">
        <f t="shared" si="88"/>
        <v>45970</v>
      </c>
      <c r="AA333" s="18"/>
      <c r="AB333" s="244"/>
      <c r="AC333" s="247"/>
      <c r="AD333" s="142"/>
      <c r="AE333" s="18"/>
      <c r="AF333" s="18"/>
      <c r="AG333" s="203"/>
      <c r="AH333" s="203"/>
      <c r="AI333" s="18"/>
      <c r="AJ333" s="18"/>
      <c r="AK333" s="18"/>
      <c r="AL333" s="18"/>
      <c r="AM333" s="18"/>
      <c r="AN333" s="18"/>
    </row>
    <row r="334" spans="1:40" ht="20">
      <c r="A334" s="18"/>
      <c r="B334" s="151"/>
      <c r="C334" s="55">
        <v>314</v>
      </c>
      <c r="D334" s="54">
        <v>1</v>
      </c>
      <c r="E334" s="190">
        <f t="shared" si="79"/>
        <v>11</v>
      </c>
      <c r="F334" s="191">
        <f t="shared" si="80"/>
        <v>45971</v>
      </c>
      <c r="G334" s="192" t="str">
        <f t="shared" si="81"/>
        <v>Mon</v>
      </c>
      <c r="H334" s="193"/>
      <c r="I334" s="194"/>
      <c r="J334" s="214">
        <v>300900</v>
      </c>
      <c r="K334" s="215"/>
      <c r="L334" s="43">
        <f t="shared" si="82"/>
        <v>275598.98034117423</v>
      </c>
      <c r="M334" s="280">
        <f t="shared" si="76"/>
        <v>25301.019658825768</v>
      </c>
      <c r="N334" s="41">
        <f t="shared" si="75"/>
        <v>1.0918037491557651</v>
      </c>
      <c r="O334" s="56"/>
      <c r="P334" s="43">
        <f>IF(D334=0,0,SUM($L$325:L334))</f>
        <v>1868126.5474379847</v>
      </c>
      <c r="Q334" s="43">
        <f>IF(D334=0,0,SUM($I$325:I334))</f>
        <v>0</v>
      </c>
      <c r="R334" s="282">
        <f t="shared" si="77"/>
        <v>-1868126.5474379847</v>
      </c>
      <c r="S334" s="198">
        <f t="shared" si="83"/>
        <v>0</v>
      </c>
      <c r="T334" s="207"/>
      <c r="U334" s="43">
        <f>IF(D334=0,0,SUM($L$21:L334))</f>
        <v>60714280.393591836</v>
      </c>
      <c r="V334" s="43">
        <f>IF(D334=0,0,SUM($J$21:J334))</f>
        <v>63754064.041958049</v>
      </c>
      <c r="W334" s="284">
        <f t="shared" si="78"/>
        <v>3039783.6483662128</v>
      </c>
      <c r="X334" s="200">
        <f t="shared" si="84"/>
        <v>1.050067029184242</v>
      </c>
      <c r="Y334" s="201">
        <f t="shared" si="88"/>
        <v>45971</v>
      </c>
      <c r="Z334" s="202">
        <f t="shared" si="88"/>
        <v>45971</v>
      </c>
      <c r="AA334" s="18"/>
      <c r="AB334" s="244"/>
      <c r="AC334" s="247"/>
      <c r="AD334" s="142"/>
      <c r="AE334" s="18"/>
      <c r="AF334" s="18"/>
      <c r="AG334" s="203"/>
      <c r="AH334" s="203"/>
      <c r="AI334" s="18"/>
      <c r="AJ334" s="18"/>
      <c r="AK334" s="18"/>
      <c r="AL334" s="18"/>
      <c r="AM334" s="18"/>
      <c r="AN334" s="18"/>
    </row>
    <row r="335" spans="1:40" ht="20">
      <c r="A335" s="18"/>
      <c r="B335" s="151"/>
      <c r="C335" s="55">
        <v>315</v>
      </c>
      <c r="D335" s="54">
        <v>1</v>
      </c>
      <c r="E335" s="190">
        <f t="shared" si="79"/>
        <v>11</v>
      </c>
      <c r="F335" s="191">
        <f t="shared" si="80"/>
        <v>45972</v>
      </c>
      <c r="G335" s="192" t="str">
        <f t="shared" si="81"/>
        <v>Tue</v>
      </c>
      <c r="H335" s="193"/>
      <c r="I335" s="194"/>
      <c r="J335" s="214">
        <v>310980</v>
      </c>
      <c r="K335" s="215"/>
      <c r="L335" s="43">
        <f t="shared" si="82"/>
        <v>241304.76560243504</v>
      </c>
      <c r="M335" s="280">
        <f t="shared" si="76"/>
        <v>69675.234397564956</v>
      </c>
      <c r="N335" s="41">
        <f t="shared" si="75"/>
        <v>1.2887437147112102</v>
      </c>
      <c r="O335" s="56"/>
      <c r="P335" s="43">
        <f>IF(D335=0,0,SUM($L$325:L335))</f>
        <v>2109431.3130404199</v>
      </c>
      <c r="Q335" s="43">
        <f>IF(D335=0,0,SUM($I$325:I335))</f>
        <v>0</v>
      </c>
      <c r="R335" s="282">
        <f t="shared" si="77"/>
        <v>-2109431.3130404199</v>
      </c>
      <c r="S335" s="198">
        <f t="shared" si="83"/>
        <v>0</v>
      </c>
      <c r="T335" s="207"/>
      <c r="U335" s="43">
        <f>IF(D335=0,0,SUM($L$21:L335))</f>
        <v>60955585.159194268</v>
      </c>
      <c r="V335" s="43">
        <f>IF(D335=0,0,SUM($J$21:J335))</f>
        <v>64065044.041958049</v>
      </c>
      <c r="W335" s="284">
        <f t="shared" si="78"/>
        <v>3109458.8827637807</v>
      </c>
      <c r="X335" s="200">
        <f t="shared" si="84"/>
        <v>1.0510118781510009</v>
      </c>
      <c r="Y335" s="201">
        <f t="shared" si="88"/>
        <v>45972</v>
      </c>
      <c r="Z335" s="202">
        <f t="shared" si="88"/>
        <v>45972</v>
      </c>
      <c r="AA335" s="18"/>
      <c r="AB335" s="244"/>
      <c r="AC335" s="247"/>
      <c r="AD335" s="142"/>
      <c r="AE335" s="18"/>
      <c r="AF335" s="18"/>
      <c r="AG335" s="203"/>
      <c r="AH335" s="203"/>
      <c r="AI335" s="18"/>
      <c r="AJ335" s="18"/>
      <c r="AK335" s="18"/>
      <c r="AL335" s="18"/>
      <c r="AM335" s="18"/>
      <c r="AN335" s="18"/>
    </row>
    <row r="336" spans="1:40" ht="20">
      <c r="A336" s="18"/>
      <c r="B336" s="151"/>
      <c r="C336" s="55">
        <v>316</v>
      </c>
      <c r="D336" s="54">
        <v>1</v>
      </c>
      <c r="E336" s="190">
        <f t="shared" si="79"/>
        <v>11</v>
      </c>
      <c r="F336" s="191">
        <f t="shared" si="80"/>
        <v>45973</v>
      </c>
      <c r="G336" s="192" t="str">
        <f t="shared" si="81"/>
        <v>Wed</v>
      </c>
      <c r="H336" s="193"/>
      <c r="I336" s="194"/>
      <c r="J336" s="214">
        <v>210990</v>
      </c>
      <c r="K336" s="215"/>
      <c r="L336" s="43">
        <f t="shared" si="82"/>
        <v>278232.78853783675</v>
      </c>
      <c r="M336" s="280">
        <f t="shared" si="76"/>
        <v>-67242.78853783675</v>
      </c>
      <c r="N336" s="41">
        <f t="shared" si="75"/>
        <v>0.75832183945246112</v>
      </c>
      <c r="O336" s="56"/>
      <c r="P336" s="43">
        <f>IF(D336=0,0,SUM($L$325:L336))</f>
        <v>2387664.1015782566</v>
      </c>
      <c r="Q336" s="43">
        <f>IF(D336=0,0,SUM($I$325:I336))</f>
        <v>0</v>
      </c>
      <c r="R336" s="282">
        <f t="shared" si="77"/>
        <v>-2387664.1015782566</v>
      </c>
      <c r="S336" s="198">
        <f t="shared" si="83"/>
        <v>0</v>
      </c>
      <c r="T336" s="207"/>
      <c r="U336" s="43">
        <f>IF(D336=0,0,SUM($L$21:L336))</f>
        <v>61233817.947732106</v>
      </c>
      <c r="V336" s="43">
        <f>IF(D336=0,0,SUM($J$21:J336))</f>
        <v>64276034.041958049</v>
      </c>
      <c r="W336" s="284">
        <f t="shared" si="78"/>
        <v>3042216.0942259431</v>
      </c>
      <c r="X336" s="200">
        <f t="shared" si="84"/>
        <v>1.0496819600048901</v>
      </c>
      <c r="Y336" s="201">
        <f t="shared" si="88"/>
        <v>45973</v>
      </c>
      <c r="Z336" s="202">
        <f t="shared" si="88"/>
        <v>45973</v>
      </c>
      <c r="AA336" s="18"/>
      <c r="AB336" s="244"/>
      <c r="AC336" s="247"/>
      <c r="AD336" s="142"/>
      <c r="AE336" s="18"/>
      <c r="AF336" s="18"/>
      <c r="AG336" s="203"/>
      <c r="AH336" s="203"/>
      <c r="AI336" s="18"/>
      <c r="AJ336" s="18"/>
      <c r="AK336" s="18"/>
      <c r="AL336" s="18"/>
      <c r="AM336" s="18"/>
      <c r="AN336" s="18"/>
    </row>
    <row r="337" spans="1:40" ht="20">
      <c r="A337" s="18"/>
      <c r="B337" s="151"/>
      <c r="C337" s="55">
        <v>317</v>
      </c>
      <c r="D337" s="54">
        <v>1</v>
      </c>
      <c r="E337" s="190">
        <f t="shared" si="79"/>
        <v>11</v>
      </c>
      <c r="F337" s="191">
        <f t="shared" si="80"/>
        <v>45974</v>
      </c>
      <c r="G337" s="192" t="str">
        <f t="shared" si="81"/>
        <v>Thu</v>
      </c>
      <c r="H337" s="193"/>
      <c r="I337" s="194"/>
      <c r="J337" s="214">
        <v>257990</v>
      </c>
      <c r="K337" s="215"/>
      <c r="L337" s="43">
        <f t="shared" si="82"/>
        <v>271042.57031549391</v>
      </c>
      <c r="M337" s="280">
        <f t="shared" si="76"/>
        <v>-13052.570315493911</v>
      </c>
      <c r="N337" s="41">
        <f t="shared" si="75"/>
        <v>0.9518430986678561</v>
      </c>
      <c r="O337" s="56"/>
      <c r="P337" s="43">
        <f>IF(D337=0,0,SUM($L$325:L337))</f>
        <v>2658706.6718937503</v>
      </c>
      <c r="Q337" s="43">
        <f>IF(D337=0,0,SUM($I$325:I337))</f>
        <v>0</v>
      </c>
      <c r="R337" s="282">
        <f t="shared" si="77"/>
        <v>-2658706.6718937503</v>
      </c>
      <c r="S337" s="198">
        <f t="shared" si="83"/>
        <v>0</v>
      </c>
      <c r="T337" s="207"/>
      <c r="U337" s="43">
        <f>IF(D337=0,0,SUM($L$21:L337))</f>
        <v>61504860.518047601</v>
      </c>
      <c r="V337" s="43">
        <f>IF(D337=0,0,SUM($J$21:J337))</f>
        <v>64534024.041958049</v>
      </c>
      <c r="W337" s="284">
        <f t="shared" si="78"/>
        <v>3029163.523910448</v>
      </c>
      <c r="X337" s="200">
        <f t="shared" si="84"/>
        <v>1.049250799016471</v>
      </c>
      <c r="Y337" s="201">
        <f t="shared" si="88"/>
        <v>45974</v>
      </c>
      <c r="Z337" s="202">
        <f t="shared" si="88"/>
        <v>45974</v>
      </c>
      <c r="AA337" s="18"/>
      <c r="AB337" s="244"/>
      <c r="AC337" s="247"/>
      <c r="AD337" s="142"/>
      <c r="AE337" s="18"/>
      <c r="AF337" s="18"/>
      <c r="AG337" s="203"/>
      <c r="AH337" s="203"/>
      <c r="AI337" s="18"/>
      <c r="AJ337" s="18"/>
      <c r="AK337" s="18"/>
      <c r="AL337" s="18"/>
      <c r="AM337" s="18"/>
      <c r="AN337" s="18"/>
    </row>
    <row r="338" spans="1:40" ht="20">
      <c r="A338" s="18"/>
      <c r="B338" s="151"/>
      <c r="C338" s="55">
        <v>318</v>
      </c>
      <c r="D338" s="54">
        <v>1</v>
      </c>
      <c r="E338" s="190">
        <f t="shared" si="79"/>
        <v>11</v>
      </c>
      <c r="F338" s="191">
        <f t="shared" si="80"/>
        <v>45975</v>
      </c>
      <c r="G338" s="192" t="str">
        <f t="shared" si="81"/>
        <v>Fri</v>
      </c>
      <c r="H338" s="193"/>
      <c r="I338" s="194"/>
      <c r="J338" s="214">
        <v>441550</v>
      </c>
      <c r="K338" s="215"/>
      <c r="L338" s="43">
        <f t="shared" si="82"/>
        <v>433895.80274849781</v>
      </c>
      <c r="M338" s="280">
        <f t="shared" si="76"/>
        <v>7654.1972515021916</v>
      </c>
      <c r="N338" s="41">
        <f t="shared" si="75"/>
        <v>1.0176406344634286</v>
      </c>
      <c r="O338" s="56"/>
      <c r="P338" s="43">
        <f>IF(D338=0,0,SUM($L$325:L338))</f>
        <v>3092602.4746422479</v>
      </c>
      <c r="Q338" s="43">
        <f>IF(D338=0,0,SUM($I$325:I338))</f>
        <v>0</v>
      </c>
      <c r="R338" s="282">
        <f t="shared" si="77"/>
        <v>-3092602.4746422479</v>
      </c>
      <c r="S338" s="198">
        <f t="shared" si="83"/>
        <v>0</v>
      </c>
      <c r="T338" s="207"/>
      <c r="U338" s="43">
        <f>IF(D338=0,0,SUM($L$21:L338))</f>
        <v>61938756.320796102</v>
      </c>
      <c r="V338" s="43">
        <f>IF(D338=0,0,SUM($J$21:J338))</f>
        <v>64975574.041958049</v>
      </c>
      <c r="W338" s="284">
        <f t="shared" si="78"/>
        <v>3036817.7211619467</v>
      </c>
      <c r="X338" s="200">
        <f t="shared" si="84"/>
        <v>1.0490293622531508</v>
      </c>
      <c r="Y338" s="201">
        <f t="shared" si="88"/>
        <v>45975</v>
      </c>
      <c r="Z338" s="202">
        <f t="shared" si="88"/>
        <v>45975</v>
      </c>
      <c r="AA338" s="18"/>
      <c r="AB338" s="244"/>
      <c r="AC338" s="247"/>
      <c r="AD338" s="142"/>
      <c r="AE338" s="18"/>
      <c r="AF338" s="18"/>
      <c r="AG338" s="203"/>
      <c r="AH338" s="203"/>
      <c r="AI338" s="18"/>
      <c r="AJ338" s="18"/>
      <c r="AK338" s="18"/>
      <c r="AL338" s="18"/>
      <c r="AM338" s="18"/>
      <c r="AN338" s="18"/>
    </row>
    <row r="339" spans="1:40" ht="20">
      <c r="A339" s="18"/>
      <c r="B339" s="151"/>
      <c r="C339" s="55">
        <v>319</v>
      </c>
      <c r="D339" s="54">
        <v>1</v>
      </c>
      <c r="E339" s="190">
        <f t="shared" si="79"/>
        <v>11</v>
      </c>
      <c r="F339" s="191">
        <f t="shared" si="80"/>
        <v>45976</v>
      </c>
      <c r="G339" s="192" t="str">
        <f t="shared" si="81"/>
        <v>Sat</v>
      </c>
      <c r="H339" s="193"/>
      <c r="I339" s="194"/>
      <c r="J339" s="214">
        <v>130980</v>
      </c>
      <c r="K339" s="215"/>
      <c r="L339" s="43">
        <f t="shared" si="82"/>
        <v>184025.81994627352</v>
      </c>
      <c r="M339" s="280">
        <f t="shared" si="76"/>
        <v>-53045.819946273521</v>
      </c>
      <c r="N339" s="41">
        <f t="shared" si="75"/>
        <v>0.71174794949012976</v>
      </c>
      <c r="O339" s="56"/>
      <c r="P339" s="43">
        <f>IF(D339=0,0,SUM($L$325:L339))</f>
        <v>3276628.2945885216</v>
      </c>
      <c r="Q339" s="43">
        <f>IF(D339=0,0,SUM($I$325:I339))</f>
        <v>0</v>
      </c>
      <c r="R339" s="282">
        <f t="shared" si="77"/>
        <v>-3276628.2945885216</v>
      </c>
      <c r="S339" s="198">
        <f t="shared" si="83"/>
        <v>0</v>
      </c>
      <c r="T339" s="207"/>
      <c r="U339" s="43">
        <f>IF(D339=0,0,SUM($L$21:L339))</f>
        <v>62122782.140742376</v>
      </c>
      <c r="V339" s="43">
        <f>IF(D339=0,0,SUM($J$21:J339))</f>
        <v>65106554.041958049</v>
      </c>
      <c r="W339" s="284">
        <f t="shared" si="78"/>
        <v>2983771.9012156725</v>
      </c>
      <c r="X339" s="200">
        <f t="shared" si="84"/>
        <v>1.0480302362256697</v>
      </c>
      <c r="Y339" s="201">
        <f t="shared" si="88"/>
        <v>45976</v>
      </c>
      <c r="Z339" s="202">
        <f t="shared" si="88"/>
        <v>45976</v>
      </c>
      <c r="AA339" s="18"/>
      <c r="AB339" s="244"/>
      <c r="AC339" s="247"/>
      <c r="AD339" s="142"/>
      <c r="AE339" s="18"/>
      <c r="AF339" s="18"/>
      <c r="AG339" s="203"/>
      <c r="AH339" s="203"/>
      <c r="AI339" s="18"/>
      <c r="AJ339" s="18"/>
      <c r="AK339" s="18"/>
      <c r="AL339" s="18"/>
      <c r="AM339" s="18"/>
      <c r="AN339" s="18"/>
    </row>
    <row r="340" spans="1:40" ht="20">
      <c r="A340" s="18"/>
      <c r="B340" s="151"/>
      <c r="C340" s="55">
        <v>320</v>
      </c>
      <c r="D340" s="54">
        <v>0</v>
      </c>
      <c r="E340" s="190">
        <f t="shared" si="79"/>
        <v>11</v>
      </c>
      <c r="F340" s="191">
        <f t="shared" si="80"/>
        <v>45977</v>
      </c>
      <c r="G340" s="192" t="str">
        <f t="shared" si="81"/>
        <v>Sun</v>
      </c>
      <c r="H340" s="193"/>
      <c r="I340" s="194"/>
      <c r="J340" s="214"/>
      <c r="K340" s="215"/>
      <c r="L340" s="43">
        <f t="shared" si="82"/>
        <v>0</v>
      </c>
      <c r="M340" s="280">
        <f t="shared" si="76"/>
        <v>0</v>
      </c>
      <c r="N340" s="41" t="str">
        <f t="shared" si="75"/>
        <v>¥0</v>
      </c>
      <c r="O340" s="44"/>
      <c r="P340" s="43">
        <f>IF(D340=0,0,SUM($L$325:L340))</f>
        <v>0</v>
      </c>
      <c r="Q340" s="43">
        <f>IF(D340=0,0,SUM($I$325:I340))</f>
        <v>0</v>
      </c>
      <c r="R340" s="282">
        <f t="shared" si="77"/>
        <v>0</v>
      </c>
      <c r="S340" s="198">
        <f t="shared" si="83"/>
        <v>0</v>
      </c>
      <c r="T340" s="212"/>
      <c r="U340" s="43">
        <f>IF(D340=0,0,SUM($L$21:L340))</f>
        <v>0</v>
      </c>
      <c r="V340" s="43">
        <f>IF(D340=0,0,SUM($J$21:J340))</f>
        <v>0</v>
      </c>
      <c r="W340" s="284">
        <f t="shared" si="78"/>
        <v>0</v>
      </c>
      <c r="X340" s="200">
        <f t="shared" si="84"/>
        <v>0</v>
      </c>
      <c r="Y340" s="201">
        <f t="shared" si="88"/>
        <v>45977</v>
      </c>
      <c r="Z340" s="202">
        <f t="shared" si="88"/>
        <v>45977</v>
      </c>
      <c r="AA340" s="18"/>
      <c r="AB340" s="244"/>
      <c r="AC340" s="247"/>
      <c r="AD340" s="142"/>
      <c r="AE340" s="18"/>
      <c r="AF340" s="18"/>
      <c r="AG340" s="203"/>
      <c r="AH340" s="203"/>
      <c r="AI340" s="18"/>
      <c r="AJ340" s="18"/>
      <c r="AK340" s="18"/>
      <c r="AL340" s="18"/>
      <c r="AM340" s="18"/>
      <c r="AN340" s="18"/>
    </row>
    <row r="341" spans="1:40" ht="20">
      <c r="A341" s="18"/>
      <c r="B341" s="151"/>
      <c r="C341" s="55">
        <v>321</v>
      </c>
      <c r="D341" s="54">
        <v>1</v>
      </c>
      <c r="E341" s="190">
        <f t="shared" si="79"/>
        <v>11</v>
      </c>
      <c r="F341" s="191">
        <f t="shared" si="80"/>
        <v>45978</v>
      </c>
      <c r="G341" s="192" t="str">
        <f t="shared" si="81"/>
        <v>Mon</v>
      </c>
      <c r="H341" s="193"/>
      <c r="I341" s="194"/>
      <c r="J341" s="214">
        <v>300810</v>
      </c>
      <c r="K341" s="215"/>
      <c r="L341" s="43">
        <f t="shared" si="82"/>
        <v>275598.98034117423</v>
      </c>
      <c r="M341" s="280">
        <f t="shared" ref="M341:M385" si="89">IF(D341=0,0,J341-L341)</f>
        <v>25211.019658825768</v>
      </c>
      <c r="N341" s="41">
        <f t="shared" si="75"/>
        <v>1.0914771877153395</v>
      </c>
      <c r="O341" s="56"/>
      <c r="P341" s="43">
        <f>IF(D341=0,0,SUM($L$325:L341))</f>
        <v>3552227.2749296958</v>
      </c>
      <c r="Q341" s="43">
        <f>IF(D341=0,0,SUM($I$325:I341))</f>
        <v>0</v>
      </c>
      <c r="R341" s="282">
        <f t="shared" ref="R341:R385" si="90">IF(D341=0,0,Q341-P341)</f>
        <v>-3552227.2749296958</v>
      </c>
      <c r="S341" s="198">
        <f t="shared" si="83"/>
        <v>0</v>
      </c>
      <c r="T341" s="207"/>
      <c r="U341" s="43">
        <f>IF(D341=0,0,SUM($L$21:L341))</f>
        <v>62398381.12108355</v>
      </c>
      <c r="V341" s="43">
        <f>IF(D341=0,0,SUM($J$21:J341))</f>
        <v>65407364.041958049</v>
      </c>
      <c r="W341" s="284">
        <f t="shared" ref="W341:W385" si="91">IF(D341=0,0,V341-U341)</f>
        <v>3008982.9208744988</v>
      </c>
      <c r="X341" s="200">
        <f t="shared" si="84"/>
        <v>1.0482221311965705</v>
      </c>
      <c r="Y341" s="201">
        <f t="shared" si="88"/>
        <v>45978</v>
      </c>
      <c r="Z341" s="202">
        <f t="shared" si="88"/>
        <v>45978</v>
      </c>
      <c r="AA341" s="18"/>
      <c r="AB341" s="244"/>
      <c r="AC341" s="247"/>
      <c r="AD341" s="142"/>
      <c r="AE341" s="18"/>
      <c r="AF341" s="18"/>
      <c r="AG341" s="203"/>
      <c r="AH341" s="203"/>
      <c r="AI341" s="18"/>
      <c r="AJ341" s="18"/>
      <c r="AK341" s="18"/>
      <c r="AL341" s="18"/>
      <c r="AM341" s="18"/>
      <c r="AN341" s="18"/>
    </row>
    <row r="342" spans="1:40" ht="20">
      <c r="A342" s="18"/>
      <c r="B342" s="151"/>
      <c r="C342" s="55">
        <v>322</v>
      </c>
      <c r="D342" s="54">
        <v>1</v>
      </c>
      <c r="E342" s="190">
        <f t="shared" ref="E342:E385" si="92">MONTH(Y342)</f>
        <v>11</v>
      </c>
      <c r="F342" s="191">
        <f t="shared" ref="F342:F385" si="93">F341+1</f>
        <v>45979</v>
      </c>
      <c r="G342" s="192" t="str">
        <f t="shared" ref="G342:G385" si="94">TEXT(Z342,"ddd")</f>
        <v>Tue</v>
      </c>
      <c r="H342" s="193"/>
      <c r="I342" s="194"/>
      <c r="J342" s="214">
        <v>223990</v>
      </c>
      <c r="K342" s="215"/>
      <c r="L342" s="43">
        <f t="shared" ref="L342:L385" si="95">IF(D342=0,0,IFERROR(SUMIFS($AE$21:$AE$104,$AA$21:$AA$104,$E342,$AB$21:$AB$104,$G342),0))</f>
        <v>241304.76560243504</v>
      </c>
      <c r="M342" s="280">
        <f t="shared" si="89"/>
        <v>-17314.765602435044</v>
      </c>
      <c r="N342" s="41">
        <f t="shared" si="75"/>
        <v>0.92824523975227979</v>
      </c>
      <c r="O342" s="56"/>
      <c r="P342" s="43">
        <f>IF(D342=0,0,SUM($L$325:L342))</f>
        <v>3793532.0405321307</v>
      </c>
      <c r="Q342" s="43">
        <f>IF(D342=0,0,SUM($I$325:I342))</f>
        <v>0</v>
      </c>
      <c r="R342" s="282">
        <f t="shared" si="90"/>
        <v>-3793532.0405321307</v>
      </c>
      <c r="S342" s="198">
        <f t="shared" ref="S342:S385" si="96">IF(D342=0,0,Q342/P342)</f>
        <v>0</v>
      </c>
      <c r="T342" s="207"/>
      <c r="U342" s="43">
        <f>IF(D342=0,0,SUM($L$21:L342))</f>
        <v>62639685.886685982</v>
      </c>
      <c r="V342" s="43">
        <f>IF(D342=0,0,SUM($J$21:J342))</f>
        <v>65631354.041958049</v>
      </c>
      <c r="W342" s="284">
        <f t="shared" si="91"/>
        <v>2991668.1552720666</v>
      </c>
      <c r="X342" s="200">
        <f t="shared" ref="X342:X385" si="97">IF(D342=0,0,V342/U342)</f>
        <v>1.0477599482328812</v>
      </c>
      <c r="Y342" s="201">
        <f t="shared" si="88"/>
        <v>45979</v>
      </c>
      <c r="Z342" s="202">
        <f t="shared" si="88"/>
        <v>45979</v>
      </c>
      <c r="AA342" s="18"/>
      <c r="AB342" s="244"/>
      <c r="AC342" s="247"/>
      <c r="AD342" s="142"/>
      <c r="AE342" s="18"/>
      <c r="AF342" s="18"/>
      <c r="AG342" s="203"/>
      <c r="AH342" s="203"/>
      <c r="AI342" s="18"/>
      <c r="AJ342" s="18"/>
      <c r="AK342" s="18"/>
      <c r="AL342" s="18"/>
      <c r="AM342" s="18"/>
      <c r="AN342" s="18"/>
    </row>
    <row r="343" spans="1:40" ht="20">
      <c r="A343" s="18"/>
      <c r="B343" s="151"/>
      <c r="C343" s="55">
        <v>323</v>
      </c>
      <c r="D343" s="54">
        <v>1</v>
      </c>
      <c r="E343" s="190">
        <f t="shared" si="92"/>
        <v>11</v>
      </c>
      <c r="F343" s="191">
        <f t="shared" si="93"/>
        <v>45980</v>
      </c>
      <c r="G343" s="192" t="str">
        <f t="shared" si="94"/>
        <v>Wed</v>
      </c>
      <c r="H343" s="193"/>
      <c r="I343" s="194"/>
      <c r="J343" s="214">
        <v>217680</v>
      </c>
      <c r="K343" s="215"/>
      <c r="L343" s="43">
        <f t="shared" si="95"/>
        <v>278232.78853783675</v>
      </c>
      <c r="M343" s="280">
        <f t="shared" si="89"/>
        <v>-60552.78853783675</v>
      </c>
      <c r="N343" s="41">
        <f t="shared" si="75"/>
        <v>0.78236645344334677</v>
      </c>
      <c r="O343" s="56"/>
      <c r="P343" s="43">
        <f>IF(D343=0,0,SUM($L$325:L343))</f>
        <v>4071764.8290699674</v>
      </c>
      <c r="Q343" s="43">
        <f>IF(D343=0,0,SUM($I$325:I343))</f>
        <v>0</v>
      </c>
      <c r="R343" s="282">
        <f t="shared" si="90"/>
        <v>-4071764.8290699674</v>
      </c>
      <c r="S343" s="198">
        <f t="shared" si="96"/>
        <v>0</v>
      </c>
      <c r="T343" s="207"/>
      <c r="U343" s="43">
        <f>IF(D343=0,0,SUM($L$21:L343))</f>
        <v>62917918.67522382</v>
      </c>
      <c r="V343" s="43">
        <f>IF(D343=0,0,SUM($J$21:J343))</f>
        <v>65849034.041958049</v>
      </c>
      <c r="W343" s="284">
        <f t="shared" si="91"/>
        <v>2931115.366734229</v>
      </c>
      <c r="X343" s="200">
        <f t="shared" si="97"/>
        <v>1.0465863370634423</v>
      </c>
      <c r="Y343" s="201">
        <f t="shared" ref="Y343:Z358" si="98">Y342+1</f>
        <v>45980</v>
      </c>
      <c r="Z343" s="202">
        <f t="shared" si="98"/>
        <v>45980</v>
      </c>
      <c r="AA343" s="18"/>
      <c r="AB343" s="244"/>
      <c r="AC343" s="247"/>
      <c r="AD343" s="142"/>
      <c r="AE343" s="18"/>
      <c r="AF343" s="18"/>
      <c r="AG343" s="203"/>
      <c r="AH343" s="203"/>
      <c r="AI343" s="18"/>
      <c r="AJ343" s="18"/>
      <c r="AK343" s="18"/>
      <c r="AL343" s="18"/>
      <c r="AM343" s="18"/>
      <c r="AN343" s="18"/>
    </row>
    <row r="344" spans="1:40" ht="20">
      <c r="A344" s="18"/>
      <c r="B344" s="151"/>
      <c r="C344" s="55">
        <v>324</v>
      </c>
      <c r="D344" s="54">
        <v>1</v>
      </c>
      <c r="E344" s="190">
        <f t="shared" si="92"/>
        <v>11</v>
      </c>
      <c r="F344" s="191">
        <f t="shared" si="93"/>
        <v>45981</v>
      </c>
      <c r="G344" s="192" t="str">
        <f t="shared" si="94"/>
        <v>Thu</v>
      </c>
      <c r="H344" s="193"/>
      <c r="I344" s="194"/>
      <c r="J344" s="214">
        <v>333990</v>
      </c>
      <c r="K344" s="215"/>
      <c r="L344" s="43">
        <f t="shared" si="95"/>
        <v>271042.57031549391</v>
      </c>
      <c r="M344" s="280">
        <f t="shared" si="89"/>
        <v>62947.429684506089</v>
      </c>
      <c r="N344" s="41">
        <f t="shared" si="75"/>
        <v>1.2322418563668254</v>
      </c>
      <c r="O344" s="56"/>
      <c r="P344" s="43">
        <f>IF(D344=0,0,SUM($L$325:L344))</f>
        <v>4342807.3993854616</v>
      </c>
      <c r="Q344" s="43">
        <f>IF(D344=0,0,SUM($I$325:I344))</f>
        <v>0</v>
      </c>
      <c r="R344" s="282">
        <f t="shared" si="90"/>
        <v>-4342807.3993854616</v>
      </c>
      <c r="S344" s="198">
        <f t="shared" si="96"/>
        <v>0</v>
      </c>
      <c r="T344" s="207"/>
      <c r="U344" s="43">
        <f>IF(D344=0,0,SUM($L$21:L344))</f>
        <v>63188961.245539315</v>
      </c>
      <c r="V344" s="43">
        <f>IF(D344=0,0,SUM($J$21:J344))</f>
        <v>66183024.041958049</v>
      </c>
      <c r="W344" s="284">
        <f t="shared" si="91"/>
        <v>2994062.7964187339</v>
      </c>
      <c r="X344" s="200">
        <f t="shared" si="97"/>
        <v>1.0473826873776959</v>
      </c>
      <c r="Y344" s="201">
        <f t="shared" si="98"/>
        <v>45981</v>
      </c>
      <c r="Z344" s="202">
        <f t="shared" si="98"/>
        <v>45981</v>
      </c>
      <c r="AA344" s="18"/>
      <c r="AB344" s="244"/>
      <c r="AC344" s="247"/>
      <c r="AD344" s="142"/>
      <c r="AE344" s="18"/>
      <c r="AF344" s="18"/>
      <c r="AG344" s="203"/>
      <c r="AH344" s="203"/>
      <c r="AI344" s="18"/>
      <c r="AJ344" s="18"/>
      <c r="AK344" s="18"/>
      <c r="AL344" s="18"/>
      <c r="AM344" s="18"/>
      <c r="AN344" s="18"/>
    </row>
    <row r="345" spans="1:40" ht="20">
      <c r="A345" s="18"/>
      <c r="B345" s="151"/>
      <c r="C345" s="55">
        <v>325</v>
      </c>
      <c r="D345" s="54">
        <v>1</v>
      </c>
      <c r="E345" s="190">
        <f t="shared" si="92"/>
        <v>11</v>
      </c>
      <c r="F345" s="191">
        <f t="shared" si="93"/>
        <v>45982</v>
      </c>
      <c r="G345" s="192" t="str">
        <f t="shared" si="94"/>
        <v>Fri</v>
      </c>
      <c r="H345" s="193"/>
      <c r="I345" s="194"/>
      <c r="J345" s="214">
        <v>449890</v>
      </c>
      <c r="K345" s="215"/>
      <c r="L345" s="43">
        <f t="shared" si="95"/>
        <v>433895.80274849781</v>
      </c>
      <c r="M345" s="280">
        <f t="shared" si="89"/>
        <v>15994.197251502192</v>
      </c>
      <c r="N345" s="41">
        <f t="shared" si="75"/>
        <v>1.0368618390640967</v>
      </c>
      <c r="O345" s="56"/>
      <c r="P345" s="43">
        <f>IF(D345=0,0,SUM($L$325:L345))</f>
        <v>4776703.2021339592</v>
      </c>
      <c r="Q345" s="43">
        <f>IF(D345=0,0,SUM($I$325:I345))</f>
        <v>0</v>
      </c>
      <c r="R345" s="282">
        <f t="shared" si="90"/>
        <v>-4776703.2021339592</v>
      </c>
      <c r="S345" s="198">
        <f t="shared" si="96"/>
        <v>0</v>
      </c>
      <c r="T345" s="207"/>
      <c r="U345" s="43">
        <f>IF(D345=0,0,SUM($L$21:L345))</f>
        <v>63622857.048287816</v>
      </c>
      <c r="V345" s="43">
        <f>IF(D345=0,0,SUM($J$21:J345))</f>
        <v>66632914.041958049</v>
      </c>
      <c r="W345" s="284">
        <f t="shared" si="91"/>
        <v>3010056.9936702326</v>
      </c>
      <c r="X345" s="200">
        <f t="shared" si="97"/>
        <v>1.0473109371901625</v>
      </c>
      <c r="Y345" s="201">
        <f t="shared" si="98"/>
        <v>45982</v>
      </c>
      <c r="Z345" s="202">
        <f t="shared" si="98"/>
        <v>45982</v>
      </c>
      <c r="AA345" s="18"/>
      <c r="AB345" s="244"/>
      <c r="AC345" s="247"/>
      <c r="AD345" s="142"/>
      <c r="AE345" s="18"/>
      <c r="AF345" s="18"/>
      <c r="AG345" s="203"/>
      <c r="AH345" s="203"/>
      <c r="AI345" s="18"/>
      <c r="AJ345" s="18"/>
      <c r="AK345" s="18"/>
      <c r="AL345" s="18"/>
      <c r="AM345" s="18"/>
      <c r="AN345" s="18"/>
    </row>
    <row r="346" spans="1:40" ht="20">
      <c r="A346" s="18"/>
      <c r="B346" s="151"/>
      <c r="C346" s="55">
        <v>326</v>
      </c>
      <c r="D346" s="54">
        <v>1</v>
      </c>
      <c r="E346" s="190">
        <f t="shared" si="92"/>
        <v>11</v>
      </c>
      <c r="F346" s="191">
        <f t="shared" si="93"/>
        <v>45983</v>
      </c>
      <c r="G346" s="192" t="str">
        <f t="shared" si="94"/>
        <v>Sat</v>
      </c>
      <c r="H346" s="193"/>
      <c r="I346" s="194"/>
      <c r="J346" s="214">
        <v>244560</v>
      </c>
      <c r="K346" s="215"/>
      <c r="L346" s="43">
        <f t="shared" si="95"/>
        <v>184025.81994627352</v>
      </c>
      <c r="M346" s="280">
        <f t="shared" si="89"/>
        <v>60534.180053726479</v>
      </c>
      <c r="N346" s="41">
        <f t="shared" si="75"/>
        <v>1.3289439496664082</v>
      </c>
      <c r="O346" s="56"/>
      <c r="P346" s="43">
        <f>IF(D346=0,0,SUM($L$325:L346))</f>
        <v>4960729.0220802324</v>
      </c>
      <c r="Q346" s="43">
        <f>IF(D346=0,0,SUM($I$325:I346))</f>
        <v>0</v>
      </c>
      <c r="R346" s="282">
        <f t="shared" si="90"/>
        <v>-4960729.0220802324</v>
      </c>
      <c r="S346" s="198">
        <f t="shared" si="96"/>
        <v>0</v>
      </c>
      <c r="T346" s="207"/>
      <c r="U346" s="43">
        <f>IF(D346=0,0,SUM($L$21:L346))</f>
        <v>63806882.868234091</v>
      </c>
      <c r="V346" s="43">
        <f>IF(D346=0,0,SUM($J$21:J346))</f>
        <v>66877474.041958049</v>
      </c>
      <c r="W346" s="284">
        <f t="shared" si="91"/>
        <v>3070591.1737239584</v>
      </c>
      <c r="X346" s="200">
        <f t="shared" si="97"/>
        <v>1.0481231966787181</v>
      </c>
      <c r="Y346" s="201">
        <f t="shared" si="98"/>
        <v>45983</v>
      </c>
      <c r="Z346" s="202">
        <f t="shared" si="98"/>
        <v>45983</v>
      </c>
      <c r="AA346" s="18"/>
      <c r="AB346" s="244"/>
      <c r="AC346" s="247"/>
      <c r="AD346" s="142"/>
      <c r="AE346" s="18"/>
      <c r="AF346" s="18"/>
      <c r="AG346" s="203"/>
      <c r="AH346" s="203"/>
      <c r="AI346" s="18"/>
      <c r="AJ346" s="18"/>
      <c r="AK346" s="18"/>
      <c r="AL346" s="18"/>
      <c r="AM346" s="18"/>
      <c r="AN346" s="18"/>
    </row>
    <row r="347" spans="1:40" ht="20">
      <c r="A347" s="18"/>
      <c r="B347" s="151"/>
      <c r="C347" s="55">
        <v>327</v>
      </c>
      <c r="D347" s="54">
        <v>0</v>
      </c>
      <c r="E347" s="190">
        <f t="shared" si="92"/>
        <v>11</v>
      </c>
      <c r="F347" s="191">
        <f t="shared" si="93"/>
        <v>45984</v>
      </c>
      <c r="G347" s="192" t="str">
        <f t="shared" si="94"/>
        <v>Sun</v>
      </c>
      <c r="H347" s="193"/>
      <c r="I347" s="194"/>
      <c r="J347" s="214"/>
      <c r="K347" s="215"/>
      <c r="L347" s="43">
        <f t="shared" si="95"/>
        <v>0</v>
      </c>
      <c r="M347" s="280">
        <f t="shared" si="89"/>
        <v>0</v>
      </c>
      <c r="N347" s="41" t="str">
        <f t="shared" si="75"/>
        <v>¥0</v>
      </c>
      <c r="O347" s="44"/>
      <c r="P347" s="43">
        <f>IF(D347=0,0,SUM($L$325:L347))</f>
        <v>0</v>
      </c>
      <c r="Q347" s="43">
        <f>IF(D347=0,0,SUM($I$325:I347))</f>
        <v>0</v>
      </c>
      <c r="R347" s="282">
        <f t="shared" si="90"/>
        <v>0</v>
      </c>
      <c r="S347" s="198">
        <f t="shared" si="96"/>
        <v>0</v>
      </c>
      <c r="T347" s="212"/>
      <c r="U347" s="43">
        <f>IF(D347=0,0,SUM($L$21:L347))</f>
        <v>0</v>
      </c>
      <c r="V347" s="43">
        <f>IF(D347=0,0,SUM($J$21:J347))</f>
        <v>0</v>
      </c>
      <c r="W347" s="284">
        <f t="shared" si="91"/>
        <v>0</v>
      </c>
      <c r="X347" s="200">
        <f t="shared" si="97"/>
        <v>0</v>
      </c>
      <c r="Y347" s="201">
        <f t="shared" si="98"/>
        <v>45984</v>
      </c>
      <c r="Z347" s="202">
        <f t="shared" si="98"/>
        <v>45984</v>
      </c>
      <c r="AA347" s="18"/>
      <c r="AB347" s="244"/>
      <c r="AC347" s="247"/>
      <c r="AD347" s="142"/>
      <c r="AE347" s="18"/>
      <c r="AF347" s="18"/>
      <c r="AG347" s="203"/>
      <c r="AH347" s="203"/>
      <c r="AI347" s="18"/>
      <c r="AJ347" s="18"/>
      <c r="AK347" s="18"/>
      <c r="AL347" s="18"/>
      <c r="AM347" s="18"/>
      <c r="AN347" s="18"/>
    </row>
    <row r="348" spans="1:40" ht="20">
      <c r="A348" s="18"/>
      <c r="B348" s="151"/>
      <c r="C348" s="55">
        <v>328</v>
      </c>
      <c r="D348" s="54">
        <v>0</v>
      </c>
      <c r="E348" s="190">
        <f t="shared" si="92"/>
        <v>11</v>
      </c>
      <c r="F348" s="191">
        <f t="shared" si="93"/>
        <v>45985</v>
      </c>
      <c r="G348" s="192" t="str">
        <f t="shared" si="94"/>
        <v>Mon</v>
      </c>
      <c r="H348" s="193"/>
      <c r="I348" s="194"/>
      <c r="J348" s="214"/>
      <c r="K348" s="215"/>
      <c r="L348" s="43">
        <f t="shared" si="95"/>
        <v>0</v>
      </c>
      <c r="M348" s="280">
        <f t="shared" si="89"/>
        <v>0</v>
      </c>
      <c r="N348" s="41" t="str">
        <f t="shared" si="75"/>
        <v>¥0</v>
      </c>
      <c r="O348" s="44"/>
      <c r="P348" s="43">
        <f>IF(D348=0,0,SUM($L$325:L348))</f>
        <v>0</v>
      </c>
      <c r="Q348" s="43">
        <f>IF(D348=0,0,SUM($I$325:I348))</f>
        <v>0</v>
      </c>
      <c r="R348" s="282">
        <f t="shared" si="90"/>
        <v>0</v>
      </c>
      <c r="S348" s="198">
        <f t="shared" si="96"/>
        <v>0</v>
      </c>
      <c r="T348" s="212"/>
      <c r="U348" s="43">
        <f>IF(D348=0,0,SUM($L$21:L348))</f>
        <v>0</v>
      </c>
      <c r="V348" s="43">
        <f>IF(D348=0,0,SUM($J$21:J348))</f>
        <v>0</v>
      </c>
      <c r="W348" s="284">
        <f t="shared" si="91"/>
        <v>0</v>
      </c>
      <c r="X348" s="200">
        <f t="shared" si="97"/>
        <v>0</v>
      </c>
      <c r="Y348" s="201">
        <f t="shared" si="98"/>
        <v>45985</v>
      </c>
      <c r="Z348" s="202">
        <f t="shared" si="98"/>
        <v>45985</v>
      </c>
      <c r="AA348" s="18"/>
      <c r="AB348" s="244"/>
      <c r="AC348" s="247"/>
      <c r="AD348" s="142"/>
      <c r="AE348" s="18"/>
      <c r="AF348" s="18"/>
      <c r="AG348" s="203"/>
      <c r="AH348" s="203"/>
      <c r="AI348" s="18"/>
      <c r="AJ348" s="18"/>
      <c r="AK348" s="18"/>
      <c r="AL348" s="18"/>
      <c r="AM348" s="18"/>
      <c r="AN348" s="18"/>
    </row>
    <row r="349" spans="1:40" ht="20">
      <c r="A349" s="18"/>
      <c r="B349" s="151"/>
      <c r="C349" s="55">
        <v>329</v>
      </c>
      <c r="D349" s="54">
        <v>1</v>
      </c>
      <c r="E349" s="190">
        <f t="shared" si="92"/>
        <v>11</v>
      </c>
      <c r="F349" s="191">
        <f t="shared" si="93"/>
        <v>45986</v>
      </c>
      <c r="G349" s="192" t="str">
        <f t="shared" si="94"/>
        <v>Tue</v>
      </c>
      <c r="H349" s="193"/>
      <c r="I349" s="194"/>
      <c r="J349" s="214">
        <v>356890</v>
      </c>
      <c r="K349" s="215"/>
      <c r="L349" s="43">
        <f t="shared" si="95"/>
        <v>241304.76560243504</v>
      </c>
      <c r="M349" s="280">
        <f t="shared" si="89"/>
        <v>115585.23439756496</v>
      </c>
      <c r="N349" s="41">
        <f t="shared" si="75"/>
        <v>1.4790010429715217</v>
      </c>
      <c r="O349" s="56"/>
      <c r="P349" s="43">
        <f>IF(D349=0,0,SUM($L$325:L349))</f>
        <v>5202033.7876826674</v>
      </c>
      <c r="Q349" s="43">
        <f>IF(D349=0,0,SUM($I$325:I349))</f>
        <v>0</v>
      </c>
      <c r="R349" s="282">
        <f t="shared" si="90"/>
        <v>-5202033.7876826674</v>
      </c>
      <c r="S349" s="198">
        <f t="shared" si="96"/>
        <v>0</v>
      </c>
      <c r="T349" s="207"/>
      <c r="U349" s="43">
        <f>IF(D349=0,0,SUM($L$21:L349))</f>
        <v>64048187.633836523</v>
      </c>
      <c r="V349" s="43">
        <f>IF(D349=0,0,SUM($J$21:J349))</f>
        <v>67234364.041958049</v>
      </c>
      <c r="W349" s="284">
        <f t="shared" si="91"/>
        <v>3186176.4081215262</v>
      </c>
      <c r="X349" s="200">
        <f t="shared" si="97"/>
        <v>1.0497465506180581</v>
      </c>
      <c r="Y349" s="201">
        <f t="shared" si="98"/>
        <v>45986</v>
      </c>
      <c r="Z349" s="202">
        <f t="shared" si="98"/>
        <v>45986</v>
      </c>
      <c r="AA349" s="18"/>
      <c r="AB349" s="244"/>
      <c r="AC349" s="247"/>
      <c r="AD349" s="142"/>
      <c r="AE349" s="18"/>
      <c r="AF349" s="18"/>
      <c r="AG349" s="203"/>
      <c r="AH349" s="203"/>
      <c r="AI349" s="18"/>
      <c r="AJ349" s="18"/>
      <c r="AK349" s="18"/>
      <c r="AL349" s="18"/>
      <c r="AM349" s="18"/>
      <c r="AN349" s="18"/>
    </row>
    <row r="350" spans="1:40" ht="20">
      <c r="A350" s="18"/>
      <c r="B350" s="151"/>
      <c r="C350" s="55">
        <v>330</v>
      </c>
      <c r="D350" s="54">
        <v>1</v>
      </c>
      <c r="E350" s="190">
        <f t="shared" si="92"/>
        <v>11</v>
      </c>
      <c r="F350" s="191">
        <f t="shared" si="93"/>
        <v>45987</v>
      </c>
      <c r="G350" s="192" t="str">
        <f t="shared" si="94"/>
        <v>Wed</v>
      </c>
      <c r="H350" s="193"/>
      <c r="I350" s="194"/>
      <c r="J350" s="214">
        <v>330300</v>
      </c>
      <c r="K350" s="215"/>
      <c r="L350" s="43">
        <f t="shared" si="95"/>
        <v>278232.78853783675</v>
      </c>
      <c r="M350" s="280">
        <f t="shared" si="89"/>
        <v>52067.21146216325</v>
      </c>
      <c r="N350" s="41">
        <f t="shared" si="75"/>
        <v>1.1871354261867761</v>
      </c>
      <c r="O350" s="56"/>
      <c r="P350" s="43">
        <f>IF(D350=0,0,SUM($L$325:L350))</f>
        <v>5480266.576220504</v>
      </c>
      <c r="Q350" s="43">
        <f>IF(D350=0,0,SUM($I$325:I350))</f>
        <v>0</v>
      </c>
      <c r="R350" s="282">
        <f t="shared" si="90"/>
        <v>-5480266.576220504</v>
      </c>
      <c r="S350" s="198">
        <f t="shared" si="96"/>
        <v>0</v>
      </c>
      <c r="T350" s="207"/>
      <c r="U350" s="43">
        <f>IF(D350=0,0,SUM($L$21:L350))</f>
        <v>64326420.42237436</v>
      </c>
      <c r="V350" s="43">
        <f>IF(D350=0,0,SUM($J$21:J350))</f>
        <v>67564664.041958049</v>
      </c>
      <c r="W350" s="284">
        <f t="shared" si="91"/>
        <v>3238243.6195836887</v>
      </c>
      <c r="X350" s="200">
        <f t="shared" si="97"/>
        <v>1.0503408024000251</v>
      </c>
      <c r="Y350" s="201">
        <f t="shared" si="98"/>
        <v>45987</v>
      </c>
      <c r="Z350" s="202">
        <f t="shared" si="98"/>
        <v>45987</v>
      </c>
      <c r="AA350" s="18"/>
      <c r="AB350" s="244"/>
      <c r="AC350" s="247"/>
      <c r="AD350" s="142"/>
      <c r="AE350" s="18"/>
      <c r="AF350" s="18"/>
      <c r="AG350" s="203"/>
      <c r="AH350" s="203"/>
      <c r="AI350" s="18"/>
      <c r="AJ350" s="18"/>
      <c r="AK350" s="18"/>
      <c r="AL350" s="18"/>
      <c r="AM350" s="18"/>
      <c r="AN350" s="18"/>
    </row>
    <row r="351" spans="1:40" ht="20">
      <c r="A351" s="18"/>
      <c r="B351" s="151"/>
      <c r="C351" s="55">
        <v>331</v>
      </c>
      <c r="D351" s="54">
        <v>1</v>
      </c>
      <c r="E351" s="190">
        <f t="shared" si="92"/>
        <v>11</v>
      </c>
      <c r="F351" s="191">
        <f t="shared" si="93"/>
        <v>45988</v>
      </c>
      <c r="G351" s="192" t="str">
        <f t="shared" si="94"/>
        <v>Thu</v>
      </c>
      <c r="H351" s="193"/>
      <c r="I351" s="194"/>
      <c r="J351" s="214">
        <v>289000</v>
      </c>
      <c r="K351" s="215"/>
      <c r="L351" s="43">
        <f t="shared" si="95"/>
        <v>271042.57031549391</v>
      </c>
      <c r="M351" s="280">
        <f t="shared" si="89"/>
        <v>17957.429684506089</v>
      </c>
      <c r="N351" s="41">
        <f t="shared" si="75"/>
        <v>1.0662531707237117</v>
      </c>
      <c r="O351" s="56"/>
      <c r="P351" s="43">
        <f>IF(D351=0,0,SUM($L$325:L351))</f>
        <v>5751309.1465359982</v>
      </c>
      <c r="Q351" s="43">
        <f>IF(D351=0,0,SUM($I$325:I351))</f>
        <v>0</v>
      </c>
      <c r="R351" s="282">
        <f t="shared" si="90"/>
        <v>-5751309.1465359982</v>
      </c>
      <c r="S351" s="198">
        <f t="shared" si="96"/>
        <v>0</v>
      </c>
      <c r="T351" s="207"/>
      <c r="U351" s="43">
        <f>IF(D351=0,0,SUM($L$21:L351))</f>
        <v>64597462.992689855</v>
      </c>
      <c r="V351" s="43">
        <f>IF(D351=0,0,SUM($J$21:J351))</f>
        <v>67853664.041958049</v>
      </c>
      <c r="W351" s="284">
        <f t="shared" si="91"/>
        <v>3256201.0492681935</v>
      </c>
      <c r="X351" s="200">
        <f t="shared" si="97"/>
        <v>1.0504075686321719</v>
      </c>
      <c r="Y351" s="201">
        <f t="shared" si="98"/>
        <v>45988</v>
      </c>
      <c r="Z351" s="202">
        <f t="shared" si="98"/>
        <v>45988</v>
      </c>
      <c r="AA351" s="18"/>
      <c r="AB351" s="244"/>
      <c r="AC351" s="247"/>
      <c r="AD351" s="142"/>
      <c r="AE351" s="18"/>
      <c r="AF351" s="18"/>
      <c r="AG351" s="203"/>
      <c r="AH351" s="203"/>
      <c r="AI351" s="18"/>
      <c r="AJ351" s="18"/>
      <c r="AK351" s="18"/>
      <c r="AL351" s="18"/>
      <c r="AM351" s="18"/>
      <c r="AN351" s="18"/>
    </row>
    <row r="352" spans="1:40" ht="20">
      <c r="A352" s="18"/>
      <c r="B352" s="151"/>
      <c r="C352" s="55">
        <v>332</v>
      </c>
      <c r="D352" s="54">
        <v>1</v>
      </c>
      <c r="E352" s="190">
        <f t="shared" si="92"/>
        <v>11</v>
      </c>
      <c r="F352" s="191">
        <f t="shared" si="93"/>
        <v>45989</v>
      </c>
      <c r="G352" s="192" t="str">
        <f t="shared" si="94"/>
        <v>Fri</v>
      </c>
      <c r="H352" s="193"/>
      <c r="I352" s="194"/>
      <c r="J352" s="214">
        <v>455890</v>
      </c>
      <c r="K352" s="215"/>
      <c r="L352" s="43">
        <f t="shared" si="95"/>
        <v>433895.80274849781</v>
      </c>
      <c r="M352" s="280">
        <f t="shared" si="89"/>
        <v>21994.197251502192</v>
      </c>
      <c r="N352" s="41">
        <f t="shared" si="75"/>
        <v>1.0506900438127789</v>
      </c>
      <c r="O352" s="56"/>
      <c r="P352" s="43">
        <f>IF(D352=0,0,SUM($L$325:L352))</f>
        <v>6185204.9492844958</v>
      </c>
      <c r="Q352" s="43">
        <f>IF(D352=0,0,SUM($I$325:I352))</f>
        <v>0</v>
      </c>
      <c r="R352" s="282">
        <f t="shared" si="90"/>
        <v>-6185204.9492844958</v>
      </c>
      <c r="S352" s="198">
        <f t="shared" si="96"/>
        <v>0</v>
      </c>
      <c r="T352" s="207"/>
      <c r="U352" s="43">
        <f>IF(D352=0,0,SUM($L$21:L352))</f>
        <v>65031358.795438357</v>
      </c>
      <c r="V352" s="43">
        <f>IF(D352=0,0,SUM($J$21:J352))</f>
        <v>68309554.041958049</v>
      </c>
      <c r="W352" s="284">
        <f t="shared" si="91"/>
        <v>3278195.2465196922</v>
      </c>
      <c r="X352" s="200">
        <f t="shared" si="97"/>
        <v>1.0504094533351445</v>
      </c>
      <c r="Y352" s="201">
        <f t="shared" si="98"/>
        <v>45989</v>
      </c>
      <c r="Z352" s="202">
        <f t="shared" si="98"/>
        <v>45989</v>
      </c>
      <c r="AA352" s="18"/>
      <c r="AB352" s="244"/>
      <c r="AC352" s="247"/>
      <c r="AD352" s="142"/>
      <c r="AE352" s="18"/>
      <c r="AF352" s="18"/>
      <c r="AG352" s="203"/>
      <c r="AH352" s="203"/>
      <c r="AI352" s="18"/>
      <c r="AJ352" s="18"/>
      <c r="AK352" s="18"/>
      <c r="AL352" s="18"/>
      <c r="AM352" s="18"/>
      <c r="AN352" s="18"/>
    </row>
    <row r="353" spans="1:40" ht="20">
      <c r="A353" s="18"/>
      <c r="B353" s="151"/>
      <c r="C353" s="55">
        <v>333</v>
      </c>
      <c r="D353" s="54">
        <v>1</v>
      </c>
      <c r="E353" s="190">
        <f t="shared" si="92"/>
        <v>11</v>
      </c>
      <c r="F353" s="191">
        <f t="shared" si="93"/>
        <v>45990</v>
      </c>
      <c r="G353" s="192" t="str">
        <f t="shared" si="94"/>
        <v>Sat</v>
      </c>
      <c r="H353" s="193"/>
      <c r="I353" s="194"/>
      <c r="J353" s="214">
        <v>200890</v>
      </c>
      <c r="K353" s="215"/>
      <c r="L353" s="43">
        <f t="shared" si="95"/>
        <v>184025.81994627352</v>
      </c>
      <c r="M353" s="280">
        <f t="shared" si="89"/>
        <v>16864.180053726479</v>
      </c>
      <c r="N353" s="41">
        <f t="shared" si="75"/>
        <v>1.091640292968943</v>
      </c>
      <c r="O353" s="56"/>
      <c r="P353" s="43">
        <f>IF(D353=0,0,SUM($L$325:L353))</f>
        <v>6369230.769230769</v>
      </c>
      <c r="Q353" s="43">
        <f>IF(D353=0,0,SUM($I$325:I353))</f>
        <v>0</v>
      </c>
      <c r="R353" s="282">
        <f t="shared" si="90"/>
        <v>-6369230.769230769</v>
      </c>
      <c r="S353" s="198">
        <f t="shared" si="96"/>
        <v>0</v>
      </c>
      <c r="T353" s="207"/>
      <c r="U353" s="43">
        <f>IF(D353=0,0,SUM($L$21:L353))</f>
        <v>65215384.615384631</v>
      </c>
      <c r="V353" s="43">
        <f>IF(D353=0,0,SUM($J$21:J353))</f>
        <v>68510444.041958049</v>
      </c>
      <c r="W353" s="284">
        <f t="shared" si="91"/>
        <v>3295059.4265734181</v>
      </c>
      <c r="X353" s="200">
        <f t="shared" si="97"/>
        <v>1.0505257991807673</v>
      </c>
      <c r="Y353" s="201">
        <f t="shared" si="98"/>
        <v>45990</v>
      </c>
      <c r="Z353" s="202">
        <f t="shared" si="98"/>
        <v>45990</v>
      </c>
      <c r="AA353" s="18"/>
      <c r="AB353" s="244"/>
      <c r="AC353" s="247"/>
      <c r="AD353" s="142"/>
      <c r="AE353" s="18"/>
      <c r="AF353" s="18"/>
      <c r="AG353" s="203"/>
      <c r="AH353" s="203"/>
      <c r="AI353" s="18"/>
      <c r="AJ353" s="18"/>
      <c r="AK353" s="18"/>
      <c r="AL353" s="18"/>
      <c r="AM353" s="18"/>
      <c r="AN353" s="18"/>
    </row>
    <row r="354" spans="1:40" ht="21" thickBot="1">
      <c r="A354" s="18"/>
      <c r="B354" s="151"/>
      <c r="C354" s="39">
        <v>334</v>
      </c>
      <c r="D354" s="38">
        <v>0</v>
      </c>
      <c r="E354" s="217">
        <f t="shared" si="92"/>
        <v>11</v>
      </c>
      <c r="F354" s="236">
        <f t="shared" si="93"/>
        <v>45991</v>
      </c>
      <c r="G354" s="219" t="str">
        <f t="shared" si="94"/>
        <v>Sun</v>
      </c>
      <c r="H354" s="233"/>
      <c r="I354" s="221"/>
      <c r="J354" s="237"/>
      <c r="K354" s="223"/>
      <c r="L354" s="43">
        <f t="shared" si="95"/>
        <v>0</v>
      </c>
      <c r="M354" s="281">
        <f t="shared" si="89"/>
        <v>0</v>
      </c>
      <c r="N354" s="225" t="str">
        <f t="shared" si="75"/>
        <v>¥0</v>
      </c>
      <c r="O354" s="239"/>
      <c r="P354" s="227">
        <f>IF(D354=0,0,SUM($L$325:L354))</f>
        <v>0</v>
      </c>
      <c r="Q354" s="26">
        <f>IF(D354=0,0,SUM($I$325:I354))</f>
        <v>0</v>
      </c>
      <c r="R354" s="283">
        <f t="shared" si="90"/>
        <v>0</v>
      </c>
      <c r="S354" s="228">
        <f t="shared" si="96"/>
        <v>0</v>
      </c>
      <c r="T354" s="240"/>
      <c r="U354" s="28">
        <f>IF(D354=0,0,SUM($L$21:L354))</f>
        <v>0</v>
      </c>
      <c r="V354" s="28">
        <f>IF(D354=0,0,SUM($J$21:J354))</f>
        <v>0</v>
      </c>
      <c r="W354" s="285">
        <f t="shared" si="91"/>
        <v>0</v>
      </c>
      <c r="X354" s="230">
        <f t="shared" si="97"/>
        <v>0</v>
      </c>
      <c r="Y354" s="201">
        <f t="shared" si="98"/>
        <v>45991</v>
      </c>
      <c r="Z354" s="202">
        <f t="shared" si="98"/>
        <v>45991</v>
      </c>
      <c r="AA354" s="18"/>
      <c r="AB354" s="244"/>
      <c r="AC354" s="247"/>
      <c r="AD354" s="142"/>
      <c r="AE354" s="18"/>
      <c r="AF354" s="18"/>
      <c r="AG354" s="203"/>
      <c r="AH354" s="203"/>
      <c r="AI354" s="18"/>
      <c r="AJ354" s="18"/>
      <c r="AK354" s="18"/>
      <c r="AL354" s="18"/>
      <c r="AM354" s="18"/>
      <c r="AN354" s="18"/>
    </row>
    <row r="355" spans="1:40" ht="21" thickTop="1">
      <c r="A355" s="18"/>
      <c r="B355" s="151"/>
      <c r="C355" s="55">
        <v>335</v>
      </c>
      <c r="D355" s="62">
        <v>1</v>
      </c>
      <c r="E355" s="190">
        <f t="shared" si="92"/>
        <v>12</v>
      </c>
      <c r="F355" s="191">
        <f t="shared" si="93"/>
        <v>45992</v>
      </c>
      <c r="G355" s="192" t="str">
        <f t="shared" si="94"/>
        <v>Mon</v>
      </c>
      <c r="H355" s="193"/>
      <c r="I355" s="194"/>
      <c r="J355" s="214">
        <v>259890</v>
      </c>
      <c r="K355" s="215"/>
      <c r="L355" s="43">
        <f t="shared" si="95"/>
        <v>249657.51222743798</v>
      </c>
      <c r="M355" s="282">
        <f t="shared" si="89"/>
        <v>10232.487772562017</v>
      </c>
      <c r="N355" s="60">
        <f t="shared" si="75"/>
        <v>1.0409861000426865</v>
      </c>
      <c r="O355" s="56"/>
      <c r="P355" s="43">
        <f>IF(D355=0,0,$L$355)</f>
        <v>249657.51222743798</v>
      </c>
      <c r="Q355" s="43">
        <f>IF(D355=0,0,$J$355)</f>
        <v>259890</v>
      </c>
      <c r="R355" s="282">
        <f t="shared" si="90"/>
        <v>10232.487772562017</v>
      </c>
      <c r="S355" s="231">
        <f t="shared" si="96"/>
        <v>1.0409861000426865</v>
      </c>
      <c r="T355" s="207"/>
      <c r="U355" s="43">
        <f>IF(D355=0,0,SUM($L$21:L355))</f>
        <v>65465042.127612069</v>
      </c>
      <c r="V355" s="43">
        <f>IF(D355=0,0,SUM($J$21:J355))</f>
        <v>68770334.041958049</v>
      </c>
      <c r="W355" s="284">
        <f t="shared" si="91"/>
        <v>3305291.9143459797</v>
      </c>
      <c r="X355" s="232">
        <f t="shared" si="97"/>
        <v>1.0504894185801168</v>
      </c>
      <c r="Y355" s="201">
        <f t="shared" si="98"/>
        <v>45992</v>
      </c>
      <c r="Z355" s="202">
        <f t="shared" si="98"/>
        <v>45992</v>
      </c>
      <c r="AA355" s="18"/>
      <c r="AB355" s="244"/>
      <c r="AC355" s="247"/>
      <c r="AD355" s="142"/>
      <c r="AE355" s="18"/>
      <c r="AF355" s="18"/>
      <c r="AG355" s="203"/>
      <c r="AH355" s="203"/>
      <c r="AI355" s="18"/>
      <c r="AJ355" s="18"/>
      <c r="AK355" s="18"/>
      <c r="AL355" s="18"/>
      <c r="AM355" s="18"/>
      <c r="AN355" s="18"/>
    </row>
    <row r="356" spans="1:40" ht="20">
      <c r="A356" s="18"/>
      <c r="B356" s="151"/>
      <c r="C356" s="55">
        <v>336</v>
      </c>
      <c r="D356" s="54">
        <v>1</v>
      </c>
      <c r="E356" s="190">
        <f t="shared" si="92"/>
        <v>12</v>
      </c>
      <c r="F356" s="191">
        <f t="shared" si="93"/>
        <v>45993</v>
      </c>
      <c r="G356" s="192" t="str">
        <f t="shared" si="94"/>
        <v>Tue</v>
      </c>
      <c r="H356" s="193"/>
      <c r="I356" s="194"/>
      <c r="J356" s="214">
        <v>218789</v>
      </c>
      <c r="K356" s="215"/>
      <c r="L356" s="43">
        <f t="shared" si="95"/>
        <v>274756.52084656508</v>
      </c>
      <c r="M356" s="280">
        <f t="shared" si="89"/>
        <v>-55967.520846565079</v>
      </c>
      <c r="N356" s="41">
        <f t="shared" si="75"/>
        <v>0.79630139195924832</v>
      </c>
      <c r="O356" s="56"/>
      <c r="P356" s="45">
        <f>IF(D356=0,0,SUM($L$355:L356))</f>
        <v>524414.03307400306</v>
      </c>
      <c r="Q356" s="43">
        <f>IF(D356=0,0,SUM($I$355:I356))</f>
        <v>0</v>
      </c>
      <c r="R356" s="282">
        <f t="shared" si="90"/>
        <v>-524414.03307400306</v>
      </c>
      <c r="S356" s="198">
        <f t="shared" si="96"/>
        <v>0</v>
      </c>
      <c r="T356" s="207"/>
      <c r="U356" s="43">
        <f>IF(D356=0,0,SUM($L$21:L356))</f>
        <v>65739798.648458637</v>
      </c>
      <c r="V356" s="43">
        <f>IF(D356=0,0,SUM($J$21:J356))</f>
        <v>68989123.041958049</v>
      </c>
      <c r="W356" s="284">
        <f t="shared" si="91"/>
        <v>3249324.3934994116</v>
      </c>
      <c r="X356" s="200">
        <f t="shared" si="97"/>
        <v>1.0494270511973283</v>
      </c>
      <c r="Y356" s="201">
        <f t="shared" si="98"/>
        <v>45993</v>
      </c>
      <c r="Z356" s="202">
        <f t="shared" si="98"/>
        <v>45993</v>
      </c>
      <c r="AA356" s="18"/>
      <c r="AB356" s="244"/>
      <c r="AC356" s="247"/>
      <c r="AD356" s="142"/>
      <c r="AE356" s="18"/>
      <c r="AF356" s="18"/>
      <c r="AG356" s="203"/>
      <c r="AH356" s="203"/>
      <c r="AI356" s="18"/>
      <c r="AJ356" s="18"/>
      <c r="AK356" s="18"/>
      <c r="AL356" s="18"/>
      <c r="AM356" s="18"/>
      <c r="AN356" s="18"/>
    </row>
    <row r="357" spans="1:40" ht="20">
      <c r="A357" s="18"/>
      <c r="B357" s="151"/>
      <c r="C357" s="55">
        <v>337</v>
      </c>
      <c r="D357" s="54">
        <v>1</v>
      </c>
      <c r="E357" s="190">
        <f t="shared" si="92"/>
        <v>12</v>
      </c>
      <c r="F357" s="191">
        <f t="shared" si="93"/>
        <v>45994</v>
      </c>
      <c r="G357" s="192" t="str">
        <f t="shared" si="94"/>
        <v>Wed</v>
      </c>
      <c r="H357" s="193"/>
      <c r="I357" s="194"/>
      <c r="J357" s="214">
        <v>321456</v>
      </c>
      <c r="K357" s="215"/>
      <c r="L357" s="43">
        <f t="shared" si="95"/>
        <v>341550.14155849657</v>
      </c>
      <c r="M357" s="280">
        <f t="shared" si="89"/>
        <v>-20094.141558496573</v>
      </c>
      <c r="N357" s="41">
        <f t="shared" si="75"/>
        <v>0.94116781370135927</v>
      </c>
      <c r="O357" s="56"/>
      <c r="P357" s="61">
        <f>IF(D357=0,0,SUM($L$355:L357))</f>
        <v>865964.17463249969</v>
      </c>
      <c r="Q357" s="43">
        <f>IF(D357=0,0,SUM($I$355:I357))</f>
        <v>0</v>
      </c>
      <c r="R357" s="282">
        <f t="shared" si="90"/>
        <v>-865964.17463249969</v>
      </c>
      <c r="S357" s="198">
        <f t="shared" si="96"/>
        <v>0</v>
      </c>
      <c r="T357" s="207"/>
      <c r="U357" s="43">
        <f>IF(D357=0,0,SUM($L$21:L357))</f>
        <v>66081348.790017135</v>
      </c>
      <c r="V357" s="43">
        <f>IF(D357=0,0,SUM($J$21:J357))</f>
        <v>69310579.041958049</v>
      </c>
      <c r="W357" s="284">
        <f t="shared" si="91"/>
        <v>3229230.2519409135</v>
      </c>
      <c r="X357" s="200">
        <f t="shared" si="97"/>
        <v>1.0488674990911921</v>
      </c>
      <c r="Y357" s="201">
        <f t="shared" si="98"/>
        <v>45994</v>
      </c>
      <c r="Z357" s="202">
        <f t="shared" si="98"/>
        <v>45994</v>
      </c>
      <c r="AA357" s="18"/>
      <c r="AB357" s="244"/>
      <c r="AC357" s="247"/>
      <c r="AD357" s="142"/>
      <c r="AE357" s="18"/>
      <c r="AF357" s="18"/>
      <c r="AG357" s="203"/>
      <c r="AH357" s="203"/>
      <c r="AI357" s="18"/>
      <c r="AJ357" s="18"/>
      <c r="AK357" s="18"/>
      <c r="AL357" s="18"/>
      <c r="AM357" s="18"/>
      <c r="AN357" s="18"/>
    </row>
    <row r="358" spans="1:40" ht="20">
      <c r="A358" s="18"/>
      <c r="B358" s="151"/>
      <c r="C358" s="55">
        <v>338</v>
      </c>
      <c r="D358" s="54">
        <v>1</v>
      </c>
      <c r="E358" s="190">
        <f t="shared" si="92"/>
        <v>12</v>
      </c>
      <c r="F358" s="191">
        <f t="shared" si="93"/>
        <v>45995</v>
      </c>
      <c r="G358" s="192" t="str">
        <f t="shared" si="94"/>
        <v>Thu</v>
      </c>
      <c r="H358" s="193"/>
      <c r="I358" s="194"/>
      <c r="J358" s="214">
        <v>333090</v>
      </c>
      <c r="K358" s="215"/>
      <c r="L358" s="43">
        <f t="shared" si="95"/>
        <v>295679.6912522944</v>
      </c>
      <c r="M358" s="280">
        <f t="shared" si="89"/>
        <v>37410.308747705596</v>
      </c>
      <c r="N358" s="41">
        <f t="shared" si="75"/>
        <v>1.1265230918946831</v>
      </c>
      <c r="O358" s="56"/>
      <c r="P358" s="61">
        <f>IF(D358=0,0,SUM($L$355:L358))</f>
        <v>1161643.8658847942</v>
      </c>
      <c r="Q358" s="43">
        <f>IF(D358=0,0,SUM($I$355:I358))</f>
        <v>0</v>
      </c>
      <c r="R358" s="282">
        <f t="shared" si="90"/>
        <v>-1161643.8658847942</v>
      </c>
      <c r="S358" s="198">
        <f t="shared" si="96"/>
        <v>0</v>
      </c>
      <c r="T358" s="207"/>
      <c r="U358" s="43">
        <f>IF(D358=0,0,SUM($L$21:L358))</f>
        <v>66377028.481269427</v>
      </c>
      <c r="V358" s="43">
        <f>IF(D358=0,0,SUM($J$21:J358))</f>
        <v>69643669.041958049</v>
      </c>
      <c r="W358" s="284">
        <f t="shared" si="91"/>
        <v>3266640.5606886223</v>
      </c>
      <c r="X358" s="200">
        <f t="shared" si="97"/>
        <v>1.0492134196939897</v>
      </c>
      <c r="Y358" s="201">
        <f t="shared" si="98"/>
        <v>45995</v>
      </c>
      <c r="Z358" s="202">
        <f t="shared" si="98"/>
        <v>45995</v>
      </c>
      <c r="AA358" s="18"/>
      <c r="AB358" s="244"/>
      <c r="AC358" s="247"/>
      <c r="AD358" s="142"/>
      <c r="AE358" s="18"/>
      <c r="AF358" s="18"/>
      <c r="AG358" s="203"/>
      <c r="AH358" s="203"/>
      <c r="AI358" s="18"/>
      <c r="AJ358" s="18"/>
      <c r="AK358" s="18"/>
      <c r="AL358" s="18"/>
      <c r="AM358" s="18"/>
      <c r="AN358" s="18"/>
    </row>
    <row r="359" spans="1:40" ht="20">
      <c r="A359" s="18"/>
      <c r="B359" s="151"/>
      <c r="C359" s="55">
        <v>339</v>
      </c>
      <c r="D359" s="54">
        <v>1</v>
      </c>
      <c r="E359" s="190">
        <f t="shared" si="92"/>
        <v>12</v>
      </c>
      <c r="F359" s="191">
        <f t="shared" si="93"/>
        <v>45996</v>
      </c>
      <c r="G359" s="192" t="str">
        <f t="shared" si="94"/>
        <v>Fri</v>
      </c>
      <c r="H359" s="193"/>
      <c r="I359" s="194"/>
      <c r="J359" s="214">
        <v>356900</v>
      </c>
      <c r="K359" s="215"/>
      <c r="L359" s="43">
        <f t="shared" si="95"/>
        <v>368133.45286011102</v>
      </c>
      <c r="M359" s="280">
        <f t="shared" si="89"/>
        <v>-11233.452860111021</v>
      </c>
      <c r="N359" s="41">
        <f t="shared" si="75"/>
        <v>0.9694853788134824</v>
      </c>
      <c r="O359" s="56"/>
      <c r="P359" s="61">
        <f>IF(D359=0,0,SUM($L$355:L359))</f>
        <v>1529777.3187449053</v>
      </c>
      <c r="Q359" s="43">
        <f>IF(D359=0,0,SUM($I$355:I359))</f>
        <v>0</v>
      </c>
      <c r="R359" s="282">
        <f t="shared" si="90"/>
        <v>-1529777.3187449053</v>
      </c>
      <c r="S359" s="198">
        <f t="shared" si="96"/>
        <v>0</v>
      </c>
      <c r="T359" s="207"/>
      <c r="U359" s="43">
        <f>IF(D359=0,0,SUM($L$21:L359))</f>
        <v>66745161.934129536</v>
      </c>
      <c r="V359" s="43">
        <f>IF(D359=0,0,SUM($J$21:J359))</f>
        <v>70000569.041958049</v>
      </c>
      <c r="W359" s="284">
        <f t="shared" si="91"/>
        <v>3255407.1078285128</v>
      </c>
      <c r="X359" s="200">
        <f t="shared" si="97"/>
        <v>1.0487736790726683</v>
      </c>
      <c r="Y359" s="201">
        <f t="shared" ref="Y359:Z374" si="99">Y358+1</f>
        <v>45996</v>
      </c>
      <c r="Z359" s="202">
        <f t="shared" si="99"/>
        <v>45996</v>
      </c>
      <c r="AA359" s="18"/>
      <c r="AB359" s="244"/>
      <c r="AC359" s="247"/>
      <c r="AD359" s="142"/>
      <c r="AE359" s="18"/>
      <c r="AF359" s="18"/>
      <c r="AG359" s="203"/>
      <c r="AH359" s="203"/>
      <c r="AI359" s="18"/>
      <c r="AJ359" s="18"/>
      <c r="AK359" s="18"/>
      <c r="AL359" s="18"/>
      <c r="AM359" s="18"/>
      <c r="AN359" s="18"/>
    </row>
    <row r="360" spans="1:40" ht="20">
      <c r="A360" s="18"/>
      <c r="B360" s="151"/>
      <c r="C360" s="55">
        <v>340</v>
      </c>
      <c r="D360" s="54">
        <v>1</v>
      </c>
      <c r="E360" s="190">
        <f t="shared" si="92"/>
        <v>12</v>
      </c>
      <c r="F360" s="191">
        <f t="shared" si="93"/>
        <v>45997</v>
      </c>
      <c r="G360" s="192" t="str">
        <f t="shared" si="94"/>
        <v>Sat</v>
      </c>
      <c r="H360" s="193"/>
      <c r="I360" s="194"/>
      <c r="J360" s="214">
        <v>222990</v>
      </c>
      <c r="K360" s="215"/>
      <c r="L360" s="43">
        <f t="shared" si="95"/>
        <v>207285.61831803195</v>
      </c>
      <c r="M360" s="280">
        <f t="shared" si="89"/>
        <v>15704.381681968051</v>
      </c>
      <c r="N360" s="41">
        <f t="shared" si="75"/>
        <v>1.0757620418116673</v>
      </c>
      <c r="O360" s="56"/>
      <c r="P360" s="61">
        <f>IF(D360=0,0,SUM($L$355:L360))</f>
        <v>1737062.9370629373</v>
      </c>
      <c r="Q360" s="43">
        <f>IF(D360=0,0,SUM($I$355:I360))</f>
        <v>0</v>
      </c>
      <c r="R360" s="282">
        <f t="shared" si="90"/>
        <v>-1737062.9370629373</v>
      </c>
      <c r="S360" s="198">
        <f t="shared" si="96"/>
        <v>0</v>
      </c>
      <c r="T360" s="207"/>
      <c r="U360" s="43">
        <f>IF(D360=0,0,SUM($L$21:L360))</f>
        <v>66952447.552447565</v>
      </c>
      <c r="V360" s="43">
        <f>IF(D360=0,0,SUM($J$21:J360))</f>
        <v>70223559.041958049</v>
      </c>
      <c r="W360" s="284">
        <f t="shared" si="91"/>
        <v>3271111.489510484</v>
      </c>
      <c r="X360" s="200">
        <f t="shared" si="97"/>
        <v>1.0488572353825907</v>
      </c>
      <c r="Y360" s="201">
        <f t="shared" si="99"/>
        <v>45997</v>
      </c>
      <c r="Z360" s="202">
        <f t="shared" si="99"/>
        <v>45997</v>
      </c>
      <c r="AA360" s="18"/>
      <c r="AB360" s="244"/>
      <c r="AC360" s="247"/>
      <c r="AD360" s="142"/>
      <c r="AE360" s="18"/>
      <c r="AF360" s="18"/>
      <c r="AG360" s="203"/>
      <c r="AH360" s="203"/>
      <c r="AI360" s="18"/>
      <c r="AJ360" s="18"/>
      <c r="AK360" s="18"/>
      <c r="AL360" s="18"/>
      <c r="AM360" s="18"/>
      <c r="AN360" s="18"/>
    </row>
    <row r="361" spans="1:40" ht="20">
      <c r="A361" s="18"/>
      <c r="B361" s="151"/>
      <c r="C361" s="55">
        <v>341</v>
      </c>
      <c r="D361" s="54">
        <v>0</v>
      </c>
      <c r="E361" s="190">
        <f t="shared" si="92"/>
        <v>12</v>
      </c>
      <c r="F361" s="191">
        <f t="shared" si="93"/>
        <v>45998</v>
      </c>
      <c r="G361" s="192" t="str">
        <f t="shared" si="94"/>
        <v>Sun</v>
      </c>
      <c r="H361" s="193"/>
      <c r="I361" s="194"/>
      <c r="J361" s="214"/>
      <c r="K361" s="215"/>
      <c r="L361" s="43">
        <f t="shared" si="95"/>
        <v>0</v>
      </c>
      <c r="M361" s="280">
        <f t="shared" si="89"/>
        <v>0</v>
      </c>
      <c r="N361" s="41" t="str">
        <f t="shared" si="75"/>
        <v>¥0</v>
      </c>
      <c r="O361" s="44"/>
      <c r="P361" s="61">
        <f>IF(D361=0,0,SUM($L$355:L361))</f>
        <v>0</v>
      </c>
      <c r="Q361" s="43">
        <f>IF(D361=0,0,SUM($I$355:I361))</f>
        <v>0</v>
      </c>
      <c r="R361" s="282">
        <f t="shared" si="90"/>
        <v>0</v>
      </c>
      <c r="S361" s="198">
        <f t="shared" si="96"/>
        <v>0</v>
      </c>
      <c r="T361" s="212"/>
      <c r="U361" s="43">
        <f>IF(D361=0,0,SUM($L$21:L361))</f>
        <v>0</v>
      </c>
      <c r="V361" s="43">
        <f>IF(D361=0,0,SUM($J$21:J361))</f>
        <v>0</v>
      </c>
      <c r="W361" s="284">
        <f t="shared" si="91"/>
        <v>0</v>
      </c>
      <c r="X361" s="200">
        <f t="shared" si="97"/>
        <v>0</v>
      </c>
      <c r="Y361" s="201">
        <f t="shared" si="99"/>
        <v>45998</v>
      </c>
      <c r="Z361" s="202">
        <f t="shared" si="99"/>
        <v>45998</v>
      </c>
      <c r="AA361" s="18"/>
      <c r="AB361" s="244"/>
      <c r="AC361" s="247"/>
      <c r="AD361" s="142"/>
      <c r="AE361" s="18"/>
      <c r="AF361" s="18"/>
      <c r="AG361" s="203"/>
      <c r="AH361" s="203"/>
      <c r="AI361" s="18"/>
      <c r="AJ361" s="18"/>
      <c r="AK361" s="18"/>
      <c r="AL361" s="18"/>
      <c r="AM361" s="18"/>
      <c r="AN361" s="18"/>
    </row>
    <row r="362" spans="1:40" ht="20">
      <c r="A362" s="18"/>
      <c r="B362" s="151"/>
      <c r="C362" s="55">
        <v>342</v>
      </c>
      <c r="D362" s="54">
        <v>1</v>
      </c>
      <c r="E362" s="190">
        <f t="shared" si="92"/>
        <v>12</v>
      </c>
      <c r="F362" s="191">
        <f t="shared" si="93"/>
        <v>45999</v>
      </c>
      <c r="G362" s="192" t="str">
        <f t="shared" si="94"/>
        <v>Mon</v>
      </c>
      <c r="H362" s="193"/>
      <c r="I362" s="194"/>
      <c r="J362" s="214">
        <v>321980</v>
      </c>
      <c r="K362" s="215"/>
      <c r="L362" s="43">
        <f t="shared" si="95"/>
        <v>249657.51222743798</v>
      </c>
      <c r="M362" s="280">
        <f t="shared" si="89"/>
        <v>72322.487772562017</v>
      </c>
      <c r="N362" s="41">
        <f t="shared" si="75"/>
        <v>1.2896868078484907</v>
      </c>
      <c r="O362" s="56"/>
      <c r="P362" s="61">
        <f>IF(D362=0,0,SUM($L$355:L362))</f>
        <v>1986720.4492903752</v>
      </c>
      <c r="Q362" s="43">
        <f>IF(D362=0,0,SUM($I$355:I362))</f>
        <v>0</v>
      </c>
      <c r="R362" s="282">
        <f t="shared" si="90"/>
        <v>-1986720.4492903752</v>
      </c>
      <c r="S362" s="198">
        <f t="shared" si="96"/>
        <v>0</v>
      </c>
      <c r="T362" s="207"/>
      <c r="U362" s="43">
        <f>IF(D362=0,0,SUM($L$21:L362))</f>
        <v>67202105.064675003</v>
      </c>
      <c r="V362" s="43">
        <f>IF(D362=0,0,SUM($J$21:J362))</f>
        <v>70545539.041958049</v>
      </c>
      <c r="W362" s="284">
        <f t="shared" si="91"/>
        <v>3343433.9772830456</v>
      </c>
      <c r="X362" s="200">
        <f t="shared" si="97"/>
        <v>1.0497519233075414</v>
      </c>
      <c r="Y362" s="201">
        <f t="shared" si="99"/>
        <v>45999</v>
      </c>
      <c r="Z362" s="202">
        <f t="shared" si="99"/>
        <v>45999</v>
      </c>
      <c r="AA362" s="18"/>
      <c r="AB362" s="244"/>
      <c r="AC362" s="247"/>
      <c r="AD362" s="142"/>
      <c r="AE362" s="18"/>
      <c r="AF362" s="18"/>
      <c r="AG362" s="203"/>
      <c r="AH362" s="203"/>
      <c r="AI362" s="18"/>
      <c r="AJ362" s="18"/>
      <c r="AK362" s="18"/>
      <c r="AL362" s="18"/>
      <c r="AM362" s="18"/>
      <c r="AN362" s="18"/>
    </row>
    <row r="363" spans="1:40" ht="20">
      <c r="A363" s="18"/>
      <c r="B363" s="151"/>
      <c r="C363" s="55">
        <v>343</v>
      </c>
      <c r="D363" s="54">
        <v>1</v>
      </c>
      <c r="E363" s="190">
        <f t="shared" si="92"/>
        <v>12</v>
      </c>
      <c r="F363" s="191">
        <f t="shared" si="93"/>
        <v>46000</v>
      </c>
      <c r="G363" s="192" t="str">
        <f t="shared" si="94"/>
        <v>Tue</v>
      </c>
      <c r="H363" s="193"/>
      <c r="I363" s="194"/>
      <c r="J363" s="214">
        <v>298990</v>
      </c>
      <c r="K363" s="215"/>
      <c r="L363" s="43">
        <f t="shared" si="95"/>
        <v>274756.52084656508</v>
      </c>
      <c r="M363" s="280">
        <f t="shared" si="89"/>
        <v>24233.479153434921</v>
      </c>
      <c r="N363" s="41">
        <f t="shared" si="75"/>
        <v>1.0881998326327909</v>
      </c>
      <c r="O363" s="56"/>
      <c r="P363" s="61">
        <f>IF(D363=0,0,SUM($L$355:L363))</f>
        <v>2261476.9701369405</v>
      </c>
      <c r="Q363" s="43">
        <f>IF(D363=0,0,SUM($I$355:I363))</f>
        <v>0</v>
      </c>
      <c r="R363" s="282">
        <f t="shared" si="90"/>
        <v>-2261476.9701369405</v>
      </c>
      <c r="S363" s="198">
        <f t="shared" si="96"/>
        <v>0</v>
      </c>
      <c r="T363" s="207"/>
      <c r="U363" s="43">
        <f>IF(D363=0,0,SUM($L$21:L363))</f>
        <v>67476861.585521564</v>
      </c>
      <c r="V363" s="43">
        <f>IF(D363=0,0,SUM($J$21:J363))</f>
        <v>70844529.041958049</v>
      </c>
      <c r="W363" s="284">
        <f t="shared" si="91"/>
        <v>3367667.4564364851</v>
      </c>
      <c r="X363" s="200">
        <f t="shared" si="97"/>
        <v>1.0499084779182897</v>
      </c>
      <c r="Y363" s="201">
        <f t="shared" si="99"/>
        <v>46000</v>
      </c>
      <c r="Z363" s="202">
        <f t="shared" si="99"/>
        <v>46000</v>
      </c>
      <c r="AA363" s="18"/>
      <c r="AB363" s="244"/>
      <c r="AC363" s="247"/>
      <c r="AD363" s="142"/>
      <c r="AE363" s="18"/>
      <c r="AF363" s="18"/>
      <c r="AG363" s="203"/>
      <c r="AH363" s="203"/>
      <c r="AI363" s="18"/>
      <c r="AJ363" s="18"/>
      <c r="AK363" s="18"/>
      <c r="AL363" s="18"/>
      <c r="AM363" s="18"/>
      <c r="AN363" s="18"/>
    </row>
    <row r="364" spans="1:40" ht="20">
      <c r="A364" s="18"/>
      <c r="B364" s="151"/>
      <c r="C364" s="55">
        <v>344</v>
      </c>
      <c r="D364" s="54">
        <v>1</v>
      </c>
      <c r="E364" s="190">
        <f t="shared" si="92"/>
        <v>12</v>
      </c>
      <c r="F364" s="191">
        <f t="shared" si="93"/>
        <v>46001</v>
      </c>
      <c r="G364" s="192" t="str">
        <f t="shared" si="94"/>
        <v>Wed</v>
      </c>
      <c r="H364" s="193"/>
      <c r="I364" s="194"/>
      <c r="J364" s="214">
        <v>356890</v>
      </c>
      <c r="K364" s="215"/>
      <c r="L364" s="43">
        <f t="shared" si="95"/>
        <v>341550.14155849657</v>
      </c>
      <c r="M364" s="280">
        <f t="shared" si="89"/>
        <v>15339.858441503427</v>
      </c>
      <c r="N364" s="41">
        <f t="shared" si="75"/>
        <v>1.0449124640133582</v>
      </c>
      <c r="O364" s="56"/>
      <c r="P364" s="61">
        <f>IF(D364=0,0,SUM($L$355:L364))</f>
        <v>2603027.1116954372</v>
      </c>
      <c r="Q364" s="43">
        <f>IF(D364=0,0,SUM($I$355:I364))</f>
        <v>0</v>
      </c>
      <c r="R364" s="282">
        <f t="shared" si="90"/>
        <v>-2603027.1116954372</v>
      </c>
      <c r="S364" s="198">
        <f t="shared" si="96"/>
        <v>0</v>
      </c>
      <c r="T364" s="207"/>
      <c r="U364" s="43">
        <f>IF(D364=0,0,SUM($L$21:L364))</f>
        <v>67818411.727080062</v>
      </c>
      <c r="V364" s="43">
        <f>IF(D364=0,0,SUM($J$21:J364))</f>
        <v>71201419.041958049</v>
      </c>
      <c r="W364" s="284">
        <f t="shared" si="91"/>
        <v>3383007.3148779869</v>
      </c>
      <c r="X364" s="200">
        <f t="shared" si="97"/>
        <v>1.0498833167679027</v>
      </c>
      <c r="Y364" s="201">
        <f t="shared" si="99"/>
        <v>46001</v>
      </c>
      <c r="Z364" s="202">
        <f t="shared" si="99"/>
        <v>46001</v>
      </c>
      <c r="AA364" s="18"/>
      <c r="AB364" s="244"/>
      <c r="AC364" s="247"/>
      <c r="AD364" s="142"/>
      <c r="AE364" s="18"/>
      <c r="AF364" s="18"/>
      <c r="AG364" s="203"/>
      <c r="AH364" s="203"/>
      <c r="AI364" s="18"/>
      <c r="AJ364" s="18"/>
      <c r="AK364" s="18"/>
      <c r="AL364" s="18"/>
      <c r="AM364" s="18"/>
      <c r="AN364" s="18"/>
    </row>
    <row r="365" spans="1:40" ht="20">
      <c r="A365" s="18"/>
      <c r="B365" s="151"/>
      <c r="C365" s="55">
        <v>345</v>
      </c>
      <c r="D365" s="54">
        <v>1</v>
      </c>
      <c r="E365" s="190">
        <f t="shared" si="92"/>
        <v>12</v>
      </c>
      <c r="F365" s="191">
        <f t="shared" si="93"/>
        <v>46002</v>
      </c>
      <c r="G365" s="192" t="str">
        <f t="shared" si="94"/>
        <v>Thu</v>
      </c>
      <c r="H365" s="193"/>
      <c r="I365" s="194"/>
      <c r="J365" s="214">
        <v>294560</v>
      </c>
      <c r="K365" s="215"/>
      <c r="L365" s="43">
        <f t="shared" si="95"/>
        <v>295679.6912522944</v>
      </c>
      <c r="M365" s="280">
        <f t="shared" si="89"/>
        <v>-1119.691252294404</v>
      </c>
      <c r="N365" s="41">
        <f t="shared" si="75"/>
        <v>0.99621316145335459</v>
      </c>
      <c r="O365" s="56"/>
      <c r="P365" s="61">
        <f>IF(D365=0,0,SUM($L$355:L365))</f>
        <v>2898706.8029477317</v>
      </c>
      <c r="Q365" s="43">
        <f>IF(D365=0,0,SUM($I$355:I365))</f>
        <v>0</v>
      </c>
      <c r="R365" s="282">
        <f t="shared" si="90"/>
        <v>-2898706.8029477317</v>
      </c>
      <c r="S365" s="198">
        <f t="shared" si="96"/>
        <v>0</v>
      </c>
      <c r="T365" s="207"/>
      <c r="U365" s="43">
        <f>IF(D365=0,0,SUM($L$21:L365))</f>
        <v>68114091.418332353</v>
      </c>
      <c r="V365" s="43">
        <f>IF(D365=0,0,SUM($J$21:J365))</f>
        <v>71495979.041958049</v>
      </c>
      <c r="W365" s="284">
        <f t="shared" si="91"/>
        <v>3381887.6236256957</v>
      </c>
      <c r="X365" s="200">
        <f t="shared" si="97"/>
        <v>1.0496503374442059</v>
      </c>
      <c r="Y365" s="201">
        <f t="shared" si="99"/>
        <v>46002</v>
      </c>
      <c r="Z365" s="202">
        <f t="shared" si="99"/>
        <v>46002</v>
      </c>
      <c r="AA365" s="18"/>
      <c r="AB365" s="244"/>
      <c r="AC365" s="247"/>
      <c r="AD365" s="142"/>
      <c r="AE365" s="18"/>
      <c r="AF365" s="18"/>
      <c r="AG365" s="203"/>
      <c r="AH365" s="203"/>
      <c r="AI365" s="18"/>
      <c r="AJ365" s="18"/>
      <c r="AK365" s="18"/>
      <c r="AL365" s="18"/>
      <c r="AM365" s="18"/>
      <c r="AN365" s="18"/>
    </row>
    <row r="366" spans="1:40" ht="20">
      <c r="A366" s="18"/>
      <c r="B366" s="151"/>
      <c r="C366" s="55">
        <v>346</v>
      </c>
      <c r="D366" s="54">
        <v>1</v>
      </c>
      <c r="E366" s="190">
        <f t="shared" si="92"/>
        <v>12</v>
      </c>
      <c r="F366" s="191">
        <f t="shared" si="93"/>
        <v>46003</v>
      </c>
      <c r="G366" s="192" t="str">
        <f t="shared" si="94"/>
        <v>Fri</v>
      </c>
      <c r="H366" s="193"/>
      <c r="I366" s="194"/>
      <c r="J366" s="214">
        <v>401010</v>
      </c>
      <c r="K366" s="215"/>
      <c r="L366" s="43">
        <f t="shared" si="95"/>
        <v>368133.45286011102</v>
      </c>
      <c r="M366" s="280">
        <f t="shared" si="89"/>
        <v>32876.547139888979</v>
      </c>
      <c r="N366" s="41">
        <f t="shared" si="75"/>
        <v>1.0893060570411728</v>
      </c>
      <c r="O366" s="56"/>
      <c r="P366" s="61">
        <f>IF(D366=0,0,SUM($L$355:L366))</f>
        <v>3266840.2558078426</v>
      </c>
      <c r="Q366" s="43">
        <f>IF(D366=0,0,SUM($I$355:I366))</f>
        <v>0</v>
      </c>
      <c r="R366" s="282">
        <f t="shared" si="90"/>
        <v>-3266840.2558078426</v>
      </c>
      <c r="S366" s="198">
        <f t="shared" si="96"/>
        <v>0</v>
      </c>
      <c r="T366" s="207"/>
      <c r="U366" s="43">
        <f>IF(D366=0,0,SUM($L$21:L366))</f>
        <v>68482224.87119247</v>
      </c>
      <c r="V366" s="43">
        <f>IF(D366=0,0,SUM($J$21:J366))</f>
        <v>71896989.041958049</v>
      </c>
      <c r="W366" s="284">
        <f t="shared" si="91"/>
        <v>3414764.1707655787</v>
      </c>
      <c r="X366" s="200">
        <f t="shared" si="97"/>
        <v>1.0498635109649019</v>
      </c>
      <c r="Y366" s="201">
        <f t="shared" si="99"/>
        <v>46003</v>
      </c>
      <c r="Z366" s="202">
        <f t="shared" si="99"/>
        <v>46003</v>
      </c>
      <c r="AA366" s="18"/>
      <c r="AB366" s="244"/>
      <c r="AC366" s="247"/>
      <c r="AD366" s="142"/>
      <c r="AE366" s="18"/>
      <c r="AF366" s="18"/>
      <c r="AG366" s="203"/>
      <c r="AH366" s="203"/>
      <c r="AI366" s="18"/>
      <c r="AJ366" s="18"/>
      <c r="AK366" s="18"/>
      <c r="AL366" s="18"/>
      <c r="AM366" s="18"/>
      <c r="AN366" s="18"/>
    </row>
    <row r="367" spans="1:40" ht="20">
      <c r="A367" s="18"/>
      <c r="B367" s="151"/>
      <c r="C367" s="55">
        <v>347</v>
      </c>
      <c r="D367" s="54">
        <v>1</v>
      </c>
      <c r="E367" s="190">
        <f t="shared" si="92"/>
        <v>12</v>
      </c>
      <c r="F367" s="191">
        <f t="shared" si="93"/>
        <v>46004</v>
      </c>
      <c r="G367" s="192" t="str">
        <f t="shared" si="94"/>
        <v>Sat</v>
      </c>
      <c r="H367" s="193"/>
      <c r="I367" s="194"/>
      <c r="J367" s="214">
        <v>198990</v>
      </c>
      <c r="K367" s="215"/>
      <c r="L367" s="43">
        <f t="shared" si="95"/>
        <v>207285.61831803195</v>
      </c>
      <c r="M367" s="280">
        <f t="shared" si="89"/>
        <v>-8295.6183180319495</v>
      </c>
      <c r="N367" s="41">
        <f t="shared" si="75"/>
        <v>0.95997976904840432</v>
      </c>
      <c r="O367" s="56"/>
      <c r="P367" s="61">
        <f>IF(D367=0,0,SUM($L$355:L367))</f>
        <v>3474125.8741258746</v>
      </c>
      <c r="Q367" s="43">
        <f>IF(D367=0,0,SUM($I$355:I367))</f>
        <v>0</v>
      </c>
      <c r="R367" s="282">
        <f t="shared" si="90"/>
        <v>-3474125.8741258746</v>
      </c>
      <c r="S367" s="198">
        <f t="shared" si="96"/>
        <v>0</v>
      </c>
      <c r="T367" s="207"/>
      <c r="U367" s="43">
        <f>IF(D367=0,0,SUM($L$21:L367))</f>
        <v>68689510.489510506</v>
      </c>
      <c r="V367" s="43">
        <f>IF(D367=0,0,SUM($J$21:J367))</f>
        <v>72095979.041958049</v>
      </c>
      <c r="W367" s="284">
        <f t="shared" si="91"/>
        <v>3406468.5524475425</v>
      </c>
      <c r="X367" s="200">
        <f t="shared" si="97"/>
        <v>1.0495922671186853</v>
      </c>
      <c r="Y367" s="201">
        <f t="shared" si="99"/>
        <v>46004</v>
      </c>
      <c r="Z367" s="202">
        <f t="shared" si="99"/>
        <v>46004</v>
      </c>
      <c r="AA367" s="18"/>
      <c r="AB367" s="244"/>
      <c r="AC367" s="247"/>
      <c r="AD367" s="142"/>
      <c r="AE367" s="18"/>
      <c r="AF367" s="18"/>
      <c r="AG367" s="203"/>
      <c r="AH367" s="203"/>
      <c r="AI367" s="18"/>
      <c r="AJ367" s="18"/>
      <c r="AK367" s="18"/>
      <c r="AL367" s="18"/>
      <c r="AM367" s="18"/>
      <c r="AN367" s="18"/>
    </row>
    <row r="368" spans="1:40" ht="20">
      <c r="A368" s="18"/>
      <c r="B368" s="151"/>
      <c r="C368" s="55">
        <v>348</v>
      </c>
      <c r="D368" s="54">
        <v>0</v>
      </c>
      <c r="E368" s="190">
        <f t="shared" si="92"/>
        <v>12</v>
      </c>
      <c r="F368" s="191">
        <f t="shared" si="93"/>
        <v>46005</v>
      </c>
      <c r="G368" s="192" t="str">
        <f t="shared" si="94"/>
        <v>Sun</v>
      </c>
      <c r="H368" s="193"/>
      <c r="I368" s="194"/>
      <c r="J368" s="214"/>
      <c r="K368" s="215"/>
      <c r="L368" s="43">
        <f t="shared" si="95"/>
        <v>0</v>
      </c>
      <c r="M368" s="280">
        <f t="shared" si="89"/>
        <v>0</v>
      </c>
      <c r="N368" s="41" t="str">
        <f t="shared" si="75"/>
        <v>¥0</v>
      </c>
      <c r="O368" s="44"/>
      <c r="P368" s="61">
        <f>IF(D368=0,0,SUM($L$355:L368))</f>
        <v>0</v>
      </c>
      <c r="Q368" s="43">
        <f>IF(D368=0,0,SUM($I$355:I368))</f>
        <v>0</v>
      </c>
      <c r="R368" s="282">
        <f t="shared" si="90"/>
        <v>0</v>
      </c>
      <c r="S368" s="198">
        <f t="shared" si="96"/>
        <v>0</v>
      </c>
      <c r="T368" s="212"/>
      <c r="U368" s="43">
        <f>IF(D368=0,0,SUM($L$21:L368))</f>
        <v>0</v>
      </c>
      <c r="V368" s="43">
        <f>IF(D368=0,0,SUM($J$21:J368))</f>
        <v>0</v>
      </c>
      <c r="W368" s="284">
        <f t="shared" si="91"/>
        <v>0</v>
      </c>
      <c r="X368" s="200">
        <f t="shared" si="97"/>
        <v>0</v>
      </c>
      <c r="Y368" s="201">
        <f t="shared" si="99"/>
        <v>46005</v>
      </c>
      <c r="Z368" s="202">
        <f t="shared" si="99"/>
        <v>46005</v>
      </c>
      <c r="AA368" s="18"/>
      <c r="AB368" s="244"/>
      <c r="AC368" s="247"/>
      <c r="AD368" s="142"/>
      <c r="AE368" s="18"/>
      <c r="AF368" s="18"/>
      <c r="AG368" s="203"/>
      <c r="AH368" s="203"/>
      <c r="AI368" s="18"/>
      <c r="AJ368" s="18"/>
      <c r="AK368" s="18"/>
      <c r="AL368" s="18"/>
      <c r="AM368" s="18"/>
      <c r="AN368" s="18"/>
    </row>
    <row r="369" spans="1:40" ht="20">
      <c r="A369" s="18"/>
      <c r="B369" s="151"/>
      <c r="C369" s="55">
        <v>349</v>
      </c>
      <c r="D369" s="54">
        <v>1</v>
      </c>
      <c r="E369" s="190">
        <f t="shared" si="92"/>
        <v>12</v>
      </c>
      <c r="F369" s="191">
        <f t="shared" si="93"/>
        <v>46006</v>
      </c>
      <c r="G369" s="192" t="str">
        <f t="shared" si="94"/>
        <v>Mon</v>
      </c>
      <c r="H369" s="193"/>
      <c r="I369" s="194"/>
      <c r="J369" s="214">
        <v>309890</v>
      </c>
      <c r="K369" s="215"/>
      <c r="L369" s="43">
        <f t="shared" si="95"/>
        <v>249657.51222743798</v>
      </c>
      <c r="M369" s="280">
        <f t="shared" si="89"/>
        <v>60232.487772562017</v>
      </c>
      <c r="N369" s="41">
        <f t="shared" si="75"/>
        <v>1.2412604661288551</v>
      </c>
      <c r="O369" s="56"/>
      <c r="P369" s="61">
        <f>IF(D369=0,0,SUM($L$355:L369))</f>
        <v>3723783.3863533125</v>
      </c>
      <c r="Q369" s="43">
        <f>IF(D369=0,0,SUM($I$355:I369))</f>
        <v>0</v>
      </c>
      <c r="R369" s="282">
        <f t="shared" si="90"/>
        <v>-3723783.3863533125</v>
      </c>
      <c r="S369" s="198">
        <f t="shared" si="96"/>
        <v>0</v>
      </c>
      <c r="T369" s="207"/>
      <c r="U369" s="43">
        <f>IF(D369=0,0,SUM($L$21:L369))</f>
        <v>68939168.001737937</v>
      </c>
      <c r="V369" s="43">
        <f>IF(D369=0,0,SUM($J$21:J369))</f>
        <v>72405869.041958049</v>
      </c>
      <c r="W369" s="284">
        <f t="shared" si="91"/>
        <v>3466701.0402201116</v>
      </c>
      <c r="X369" s="200">
        <f t="shared" si="97"/>
        <v>1.0502863776965325</v>
      </c>
      <c r="Y369" s="201">
        <f t="shared" si="99"/>
        <v>46006</v>
      </c>
      <c r="Z369" s="202">
        <f t="shared" si="99"/>
        <v>46006</v>
      </c>
      <c r="AA369" s="18"/>
      <c r="AB369" s="244"/>
      <c r="AC369" s="247"/>
      <c r="AD369" s="142"/>
      <c r="AE369" s="18"/>
      <c r="AF369" s="18"/>
      <c r="AG369" s="203"/>
      <c r="AH369" s="203"/>
      <c r="AI369" s="18"/>
      <c r="AJ369" s="18"/>
      <c r="AK369" s="18"/>
      <c r="AL369" s="18"/>
      <c r="AM369" s="18"/>
      <c r="AN369" s="18"/>
    </row>
    <row r="370" spans="1:40" ht="20">
      <c r="A370" s="18"/>
      <c r="B370" s="151"/>
      <c r="C370" s="55">
        <v>350</v>
      </c>
      <c r="D370" s="54">
        <v>1</v>
      </c>
      <c r="E370" s="190">
        <f t="shared" si="92"/>
        <v>12</v>
      </c>
      <c r="F370" s="191">
        <f t="shared" si="93"/>
        <v>46007</v>
      </c>
      <c r="G370" s="192" t="str">
        <f t="shared" si="94"/>
        <v>Tue</v>
      </c>
      <c r="H370" s="193"/>
      <c r="I370" s="194"/>
      <c r="J370" s="214">
        <v>401330</v>
      </c>
      <c r="K370" s="215"/>
      <c r="L370" s="43">
        <f t="shared" si="95"/>
        <v>274756.52084656508</v>
      </c>
      <c r="M370" s="280">
        <f t="shared" si="89"/>
        <v>126573.47915343492</v>
      </c>
      <c r="N370" s="41">
        <f t="shared" si="75"/>
        <v>1.4606750688334658</v>
      </c>
      <c r="O370" s="56"/>
      <c r="P370" s="61">
        <f>IF(D370=0,0,SUM($L$355:L370))</f>
        <v>3998539.9071998778</v>
      </c>
      <c r="Q370" s="43">
        <f>IF(D370=0,0,SUM($I$355:I370))</f>
        <v>0</v>
      </c>
      <c r="R370" s="282">
        <f t="shared" si="90"/>
        <v>-3998539.9071998778</v>
      </c>
      <c r="S370" s="198">
        <f t="shared" si="96"/>
        <v>0</v>
      </c>
      <c r="T370" s="207"/>
      <c r="U370" s="43">
        <f>IF(D370=0,0,SUM($L$21:L370))</f>
        <v>69213924.522584498</v>
      </c>
      <c r="V370" s="43">
        <f>IF(D370=0,0,SUM($J$21:J370))</f>
        <v>72807199.041958049</v>
      </c>
      <c r="W370" s="284">
        <f t="shared" si="91"/>
        <v>3593274.519373551</v>
      </c>
      <c r="X370" s="200">
        <f t="shared" si="97"/>
        <v>1.0519154858528657</v>
      </c>
      <c r="Y370" s="201">
        <f t="shared" si="99"/>
        <v>46007</v>
      </c>
      <c r="Z370" s="202">
        <f t="shared" si="99"/>
        <v>46007</v>
      </c>
      <c r="AA370" s="18"/>
      <c r="AB370" s="244"/>
      <c r="AC370" s="247"/>
      <c r="AD370" s="142"/>
      <c r="AE370" s="18"/>
      <c r="AF370" s="18"/>
      <c r="AG370" s="203"/>
      <c r="AH370" s="203"/>
      <c r="AI370" s="18"/>
      <c r="AJ370" s="18"/>
      <c r="AK370" s="18"/>
      <c r="AL370" s="18"/>
      <c r="AM370" s="18"/>
      <c r="AN370" s="18"/>
    </row>
    <row r="371" spans="1:40" ht="20">
      <c r="A371" s="18"/>
      <c r="B371" s="151"/>
      <c r="C371" s="55">
        <v>351</v>
      </c>
      <c r="D371" s="54">
        <v>1</v>
      </c>
      <c r="E371" s="190">
        <f t="shared" si="92"/>
        <v>12</v>
      </c>
      <c r="F371" s="191">
        <f t="shared" si="93"/>
        <v>46008</v>
      </c>
      <c r="G371" s="192" t="str">
        <f t="shared" si="94"/>
        <v>Wed</v>
      </c>
      <c r="H371" s="193"/>
      <c r="I371" s="194"/>
      <c r="J371" s="214">
        <v>334580</v>
      </c>
      <c r="K371" s="215"/>
      <c r="L371" s="43">
        <f t="shared" si="95"/>
        <v>341550.14155849657</v>
      </c>
      <c r="M371" s="280">
        <f t="shared" si="89"/>
        <v>-6970.1415584965725</v>
      </c>
      <c r="N371" s="41">
        <f t="shared" si="75"/>
        <v>0.97959262576589268</v>
      </c>
      <c r="O371" s="56"/>
      <c r="P371" s="61">
        <f>IF(D371=0,0,SUM($L$355:L371))</f>
        <v>4340090.0487583745</v>
      </c>
      <c r="Q371" s="43">
        <f>IF(D371=0,0,SUM($I$355:I371))</f>
        <v>0</v>
      </c>
      <c r="R371" s="282">
        <f t="shared" si="90"/>
        <v>-4340090.0487583745</v>
      </c>
      <c r="S371" s="198">
        <f t="shared" si="96"/>
        <v>0</v>
      </c>
      <c r="T371" s="207"/>
      <c r="U371" s="43">
        <f>IF(D371=0,0,SUM($L$21:L371))</f>
        <v>69555474.664142996</v>
      </c>
      <c r="V371" s="43">
        <f>IF(D371=0,0,SUM($J$21:J371))</f>
        <v>73141779.041958049</v>
      </c>
      <c r="W371" s="284">
        <f t="shared" si="91"/>
        <v>3586304.3778150529</v>
      </c>
      <c r="X371" s="200">
        <f t="shared" si="97"/>
        <v>1.0515603465454295</v>
      </c>
      <c r="Y371" s="201">
        <f t="shared" si="99"/>
        <v>46008</v>
      </c>
      <c r="Z371" s="202">
        <f t="shared" si="99"/>
        <v>46008</v>
      </c>
      <c r="AA371" s="18"/>
      <c r="AB371" s="244"/>
      <c r="AC371" s="247"/>
      <c r="AD371" s="142"/>
      <c r="AE371" s="18"/>
      <c r="AF371" s="18"/>
      <c r="AG371" s="203"/>
      <c r="AH371" s="203"/>
      <c r="AI371" s="18"/>
      <c r="AJ371" s="18"/>
      <c r="AK371" s="18"/>
      <c r="AL371" s="18"/>
      <c r="AM371" s="18"/>
      <c r="AN371" s="18"/>
    </row>
    <row r="372" spans="1:40" ht="20">
      <c r="A372" s="18"/>
      <c r="B372" s="151"/>
      <c r="C372" s="55">
        <v>352</v>
      </c>
      <c r="D372" s="54">
        <v>1</v>
      </c>
      <c r="E372" s="190">
        <f t="shared" si="92"/>
        <v>12</v>
      </c>
      <c r="F372" s="191">
        <f t="shared" si="93"/>
        <v>46009</v>
      </c>
      <c r="G372" s="192" t="str">
        <f t="shared" si="94"/>
        <v>Thu</v>
      </c>
      <c r="H372" s="193"/>
      <c r="I372" s="194"/>
      <c r="J372" s="214">
        <v>356990</v>
      </c>
      <c r="K372" s="215"/>
      <c r="L372" s="43">
        <f t="shared" si="95"/>
        <v>295679.6912522944</v>
      </c>
      <c r="M372" s="280">
        <f t="shared" si="89"/>
        <v>61310.308747705596</v>
      </c>
      <c r="N372" s="41">
        <f t="shared" si="75"/>
        <v>1.2073538040033713</v>
      </c>
      <c r="O372" s="56"/>
      <c r="P372" s="61">
        <f>IF(D372=0,0,SUM($L$355:L372))</f>
        <v>4635769.7400106685</v>
      </c>
      <c r="Q372" s="43">
        <f>IF(D372=0,0,SUM($I$355:I372))</f>
        <v>0</v>
      </c>
      <c r="R372" s="282">
        <f t="shared" si="90"/>
        <v>-4635769.7400106685</v>
      </c>
      <c r="S372" s="198">
        <f t="shared" si="96"/>
        <v>0</v>
      </c>
      <c r="T372" s="207"/>
      <c r="U372" s="43">
        <f>IF(D372=0,0,SUM($L$21:L372))</f>
        <v>69851154.355395287</v>
      </c>
      <c r="V372" s="43">
        <f>IF(D372=0,0,SUM($J$21:J372))</f>
        <v>73498769.041958049</v>
      </c>
      <c r="W372" s="284">
        <f t="shared" si="91"/>
        <v>3647614.6865627617</v>
      </c>
      <c r="X372" s="200">
        <f t="shared" si="97"/>
        <v>1.0522198197041108</v>
      </c>
      <c r="Y372" s="201">
        <f t="shared" si="99"/>
        <v>46009</v>
      </c>
      <c r="Z372" s="202">
        <f t="shared" si="99"/>
        <v>46009</v>
      </c>
      <c r="AA372" s="18"/>
      <c r="AB372" s="244"/>
      <c r="AC372" s="247"/>
      <c r="AD372" s="142"/>
      <c r="AE372" s="18"/>
      <c r="AF372" s="18"/>
      <c r="AG372" s="203"/>
      <c r="AH372" s="203"/>
      <c r="AI372" s="18"/>
      <c r="AJ372" s="18"/>
      <c r="AK372" s="18"/>
      <c r="AL372" s="18"/>
      <c r="AM372" s="18"/>
      <c r="AN372" s="18"/>
    </row>
    <row r="373" spans="1:40" ht="20">
      <c r="A373" s="18"/>
      <c r="B373" s="151"/>
      <c r="C373" s="55">
        <v>353</v>
      </c>
      <c r="D373" s="54">
        <v>1</v>
      </c>
      <c r="E373" s="190">
        <f t="shared" si="92"/>
        <v>12</v>
      </c>
      <c r="F373" s="191">
        <f t="shared" si="93"/>
        <v>46010</v>
      </c>
      <c r="G373" s="192" t="str">
        <f t="shared" si="94"/>
        <v>Fri</v>
      </c>
      <c r="H373" s="193"/>
      <c r="I373" s="194"/>
      <c r="J373" s="214">
        <v>400350</v>
      </c>
      <c r="K373" s="215"/>
      <c r="L373" s="43">
        <f t="shared" si="95"/>
        <v>368133.45286011102</v>
      </c>
      <c r="M373" s="280">
        <f t="shared" si="89"/>
        <v>32216.547139888979</v>
      </c>
      <c r="N373" s="41">
        <f t="shared" si="75"/>
        <v>1.0875132289380154</v>
      </c>
      <c r="O373" s="56"/>
      <c r="P373" s="61">
        <f>IF(D373=0,0,SUM($L$355:L373))</f>
        <v>5003903.1928707799</v>
      </c>
      <c r="Q373" s="43">
        <f>IF(D373=0,0,SUM($I$355:I373))</f>
        <v>0</v>
      </c>
      <c r="R373" s="282">
        <f t="shared" si="90"/>
        <v>-5003903.1928707799</v>
      </c>
      <c r="S373" s="198">
        <f t="shared" si="96"/>
        <v>0</v>
      </c>
      <c r="T373" s="207"/>
      <c r="U373" s="43">
        <f>IF(D373=0,0,SUM($L$21:L373))</f>
        <v>70219287.808255404</v>
      </c>
      <c r="V373" s="43">
        <f>IF(D373=0,0,SUM($J$21:J373))</f>
        <v>73899119.041958049</v>
      </c>
      <c r="W373" s="284">
        <f t="shared" si="91"/>
        <v>3679831.2337026447</v>
      </c>
      <c r="X373" s="200">
        <f t="shared" si="97"/>
        <v>1.0524048498434075</v>
      </c>
      <c r="Y373" s="201">
        <f t="shared" si="99"/>
        <v>46010</v>
      </c>
      <c r="Z373" s="202">
        <f t="shared" si="99"/>
        <v>46010</v>
      </c>
      <c r="AA373" s="18"/>
      <c r="AB373" s="244"/>
      <c r="AC373" s="247"/>
      <c r="AD373" s="142"/>
      <c r="AE373" s="18"/>
      <c r="AF373" s="18"/>
      <c r="AG373" s="203"/>
      <c r="AH373" s="203"/>
      <c r="AI373" s="18"/>
      <c r="AJ373" s="18"/>
      <c r="AK373" s="18"/>
      <c r="AL373" s="18"/>
      <c r="AM373" s="18"/>
      <c r="AN373" s="18"/>
    </row>
    <row r="374" spans="1:40" ht="20">
      <c r="A374" s="18"/>
      <c r="B374" s="151"/>
      <c r="C374" s="55">
        <v>354</v>
      </c>
      <c r="D374" s="54">
        <v>1</v>
      </c>
      <c r="E374" s="190">
        <f t="shared" si="92"/>
        <v>12</v>
      </c>
      <c r="F374" s="191">
        <f t="shared" si="93"/>
        <v>46011</v>
      </c>
      <c r="G374" s="192" t="str">
        <f t="shared" si="94"/>
        <v>Sat</v>
      </c>
      <c r="H374" s="193"/>
      <c r="I374" s="194"/>
      <c r="J374" s="214">
        <v>211990</v>
      </c>
      <c r="K374" s="215"/>
      <c r="L374" s="43">
        <f t="shared" si="95"/>
        <v>207285.61831803195</v>
      </c>
      <c r="M374" s="280">
        <f t="shared" si="89"/>
        <v>4704.3816819680505</v>
      </c>
      <c r="N374" s="41">
        <f t="shared" si="75"/>
        <v>1.0226951667951718</v>
      </c>
      <c r="O374" s="56"/>
      <c r="P374" s="61">
        <f>IF(D374=0,0,SUM($L$355:L374))</f>
        <v>5211188.8111888114</v>
      </c>
      <c r="Q374" s="43">
        <f>IF(D374=0,0,SUM($I$355:I374))</f>
        <v>0</v>
      </c>
      <c r="R374" s="282">
        <f t="shared" si="90"/>
        <v>-5211188.8111888114</v>
      </c>
      <c r="S374" s="198">
        <f t="shared" si="96"/>
        <v>0</v>
      </c>
      <c r="T374" s="207"/>
      <c r="U374" s="43">
        <f>IF(D374=0,0,SUM($L$21:L374))</f>
        <v>70426573.42657344</v>
      </c>
      <c r="V374" s="43">
        <f>IF(D374=0,0,SUM($J$21:J374))</f>
        <v>74111109.041958049</v>
      </c>
      <c r="W374" s="284">
        <f t="shared" si="91"/>
        <v>3684535.6153846085</v>
      </c>
      <c r="X374" s="200">
        <f t="shared" si="97"/>
        <v>1.0523174057193923</v>
      </c>
      <c r="Y374" s="201">
        <f t="shared" si="99"/>
        <v>46011</v>
      </c>
      <c r="Z374" s="202">
        <f t="shared" si="99"/>
        <v>46011</v>
      </c>
      <c r="AA374" s="18"/>
      <c r="AB374" s="244"/>
      <c r="AC374" s="247"/>
      <c r="AD374" s="142"/>
      <c r="AE374" s="18"/>
      <c r="AF374" s="18"/>
      <c r="AG374" s="203"/>
      <c r="AH374" s="203"/>
      <c r="AI374" s="18"/>
      <c r="AJ374" s="18"/>
      <c r="AK374" s="18"/>
      <c r="AL374" s="18"/>
      <c r="AM374" s="18"/>
      <c r="AN374" s="18"/>
    </row>
    <row r="375" spans="1:40" ht="20">
      <c r="A375" s="18"/>
      <c r="B375" s="151"/>
      <c r="C375" s="55">
        <v>355</v>
      </c>
      <c r="D375" s="54">
        <v>0</v>
      </c>
      <c r="E375" s="190">
        <f t="shared" si="92"/>
        <v>12</v>
      </c>
      <c r="F375" s="191">
        <f t="shared" si="93"/>
        <v>46012</v>
      </c>
      <c r="G375" s="192" t="str">
        <f t="shared" si="94"/>
        <v>Sun</v>
      </c>
      <c r="H375" s="193"/>
      <c r="I375" s="194"/>
      <c r="J375" s="214"/>
      <c r="K375" s="215"/>
      <c r="L375" s="43">
        <f t="shared" si="95"/>
        <v>0</v>
      </c>
      <c r="M375" s="280">
        <f t="shared" si="89"/>
        <v>0</v>
      </c>
      <c r="N375" s="41" t="str">
        <f t="shared" si="75"/>
        <v>¥0</v>
      </c>
      <c r="O375" s="44"/>
      <c r="P375" s="61">
        <f>IF(D375=0,0,SUM($L$355:L375))</f>
        <v>0</v>
      </c>
      <c r="Q375" s="43">
        <f>IF(D375=0,0,SUM($I$355:I375))</f>
        <v>0</v>
      </c>
      <c r="R375" s="282">
        <f t="shared" si="90"/>
        <v>0</v>
      </c>
      <c r="S375" s="198">
        <f t="shared" si="96"/>
        <v>0</v>
      </c>
      <c r="T375" s="212"/>
      <c r="U375" s="43">
        <f>IF(D375=0,0,SUM($L$21:L375))</f>
        <v>0</v>
      </c>
      <c r="V375" s="43">
        <f>IF(D375=0,0,SUM($J$21:J375))</f>
        <v>0</v>
      </c>
      <c r="W375" s="284">
        <f t="shared" si="91"/>
        <v>0</v>
      </c>
      <c r="X375" s="200">
        <f t="shared" si="97"/>
        <v>0</v>
      </c>
      <c r="Y375" s="201">
        <f t="shared" ref="Y375:Z385" si="100">Y374+1</f>
        <v>46012</v>
      </c>
      <c r="Z375" s="202">
        <f t="shared" si="100"/>
        <v>46012</v>
      </c>
      <c r="AA375" s="18"/>
      <c r="AB375" s="244"/>
      <c r="AC375" s="247"/>
      <c r="AD375" s="142"/>
      <c r="AE375" s="18"/>
      <c r="AF375" s="18"/>
      <c r="AG375" s="203"/>
      <c r="AH375" s="203"/>
      <c r="AI375" s="18"/>
      <c r="AJ375" s="18"/>
      <c r="AK375" s="18"/>
      <c r="AL375" s="18"/>
      <c r="AM375" s="18"/>
      <c r="AN375" s="18"/>
    </row>
    <row r="376" spans="1:40" ht="20">
      <c r="A376" s="18"/>
      <c r="B376" s="151"/>
      <c r="C376" s="55">
        <v>356</v>
      </c>
      <c r="D376" s="54">
        <v>1</v>
      </c>
      <c r="E376" s="190">
        <f t="shared" si="92"/>
        <v>12</v>
      </c>
      <c r="F376" s="191">
        <f t="shared" si="93"/>
        <v>46013</v>
      </c>
      <c r="G376" s="192" t="str">
        <f t="shared" si="94"/>
        <v>Mon</v>
      </c>
      <c r="H376" s="193"/>
      <c r="I376" s="194"/>
      <c r="J376" s="214">
        <v>355990</v>
      </c>
      <c r="K376" s="215"/>
      <c r="L376" s="43">
        <f t="shared" si="95"/>
        <v>249657.51222743798</v>
      </c>
      <c r="M376" s="280">
        <f t="shared" si="89"/>
        <v>106332.48777256202</v>
      </c>
      <c r="N376" s="41">
        <f t="shared" si="75"/>
        <v>1.4259134316603024</v>
      </c>
      <c r="O376" s="56"/>
      <c r="P376" s="61">
        <f>IF(D376=0,0,SUM($L$355:L376))</f>
        <v>5460846.3234162498</v>
      </c>
      <c r="Q376" s="43">
        <f>IF(D376=0,0,SUM($I$355:I376))</f>
        <v>0</v>
      </c>
      <c r="R376" s="282">
        <f t="shared" si="90"/>
        <v>-5460846.3234162498</v>
      </c>
      <c r="S376" s="198">
        <f t="shared" si="96"/>
        <v>0</v>
      </c>
      <c r="T376" s="207"/>
      <c r="U376" s="43">
        <f>IF(D376=0,0,SUM($L$21:L376))</f>
        <v>70676230.938800871</v>
      </c>
      <c r="V376" s="43">
        <f>IF(D376=0,0,SUM($J$21:J376))</f>
        <v>74467099.041958049</v>
      </c>
      <c r="W376" s="284">
        <f t="shared" si="91"/>
        <v>3790868.1031571776</v>
      </c>
      <c r="X376" s="200">
        <f t="shared" si="97"/>
        <v>1.0536371005188394</v>
      </c>
      <c r="Y376" s="201">
        <f t="shared" si="100"/>
        <v>46013</v>
      </c>
      <c r="Z376" s="202">
        <f t="shared" si="100"/>
        <v>46013</v>
      </c>
      <c r="AA376" s="18"/>
      <c r="AB376" s="244"/>
      <c r="AC376" s="247"/>
      <c r="AD376" s="142"/>
      <c r="AE376" s="18"/>
      <c r="AF376" s="18"/>
      <c r="AG376" s="203"/>
      <c r="AH376" s="203"/>
      <c r="AI376" s="18"/>
      <c r="AJ376" s="18"/>
      <c r="AK376" s="18"/>
      <c r="AL376" s="18"/>
      <c r="AM376" s="18"/>
      <c r="AN376" s="18"/>
    </row>
    <row r="377" spans="1:40" ht="20">
      <c r="A377" s="18"/>
      <c r="B377" s="151"/>
      <c r="C377" s="55">
        <v>357</v>
      </c>
      <c r="D377" s="54">
        <v>1</v>
      </c>
      <c r="E377" s="190">
        <f t="shared" si="92"/>
        <v>12</v>
      </c>
      <c r="F377" s="191">
        <f t="shared" si="93"/>
        <v>46014</v>
      </c>
      <c r="G377" s="192" t="str">
        <f t="shared" si="94"/>
        <v>Tue</v>
      </c>
      <c r="H377" s="193"/>
      <c r="I377" s="194"/>
      <c r="J377" s="214">
        <v>345990</v>
      </c>
      <c r="K377" s="215"/>
      <c r="L377" s="43">
        <f t="shared" si="95"/>
        <v>274756.52084656508</v>
      </c>
      <c r="M377" s="280">
        <f t="shared" si="89"/>
        <v>71233.479153434921</v>
      </c>
      <c r="N377" s="41">
        <f t="shared" si="75"/>
        <v>1.259260376910998</v>
      </c>
      <c r="O377" s="56"/>
      <c r="P377" s="61">
        <f>IF(D377=0,0,SUM($L$355:L377))</f>
        <v>5735602.8442628151</v>
      </c>
      <c r="Q377" s="43">
        <f>IF(D377=0,0,SUM($I$355:I377))</f>
        <v>0</v>
      </c>
      <c r="R377" s="282">
        <f t="shared" si="90"/>
        <v>-5735602.8442628151</v>
      </c>
      <c r="S377" s="198">
        <f t="shared" si="96"/>
        <v>0</v>
      </c>
      <c r="T377" s="207"/>
      <c r="U377" s="43">
        <f>IF(D377=0,0,SUM($L$21:L377))</f>
        <v>70950987.459647432</v>
      </c>
      <c r="V377" s="43">
        <f>IF(D377=0,0,SUM($J$21:J377))</f>
        <v>74813089.041958049</v>
      </c>
      <c r="W377" s="284">
        <f t="shared" si="91"/>
        <v>3862101.582310617</v>
      </c>
      <c r="X377" s="200">
        <f t="shared" si="97"/>
        <v>1.0544333732424394</v>
      </c>
      <c r="Y377" s="201">
        <f t="shared" si="100"/>
        <v>46014</v>
      </c>
      <c r="Z377" s="202">
        <f t="shared" si="100"/>
        <v>46014</v>
      </c>
      <c r="AA377" s="18"/>
      <c r="AB377" s="244"/>
      <c r="AC377" s="247"/>
      <c r="AD377" s="142"/>
      <c r="AE377" s="18"/>
      <c r="AF377" s="18"/>
      <c r="AG377" s="203"/>
      <c r="AH377" s="203"/>
      <c r="AI377" s="18"/>
      <c r="AJ377" s="18"/>
      <c r="AK377" s="18"/>
      <c r="AL377" s="18"/>
      <c r="AM377" s="18"/>
      <c r="AN377" s="18"/>
    </row>
    <row r="378" spans="1:40" ht="20">
      <c r="A378" s="18"/>
      <c r="B378" s="151"/>
      <c r="C378" s="55">
        <v>358</v>
      </c>
      <c r="D378" s="54">
        <v>1</v>
      </c>
      <c r="E378" s="190">
        <f t="shared" si="92"/>
        <v>12</v>
      </c>
      <c r="F378" s="191">
        <f t="shared" si="93"/>
        <v>46015</v>
      </c>
      <c r="G378" s="192" t="str">
        <f t="shared" si="94"/>
        <v>Wed</v>
      </c>
      <c r="H378" s="193"/>
      <c r="I378" s="194"/>
      <c r="J378" s="214">
        <v>490890</v>
      </c>
      <c r="K378" s="215"/>
      <c r="L378" s="43">
        <f t="shared" si="95"/>
        <v>341550.14155849657</v>
      </c>
      <c r="M378" s="280">
        <f t="shared" si="89"/>
        <v>149339.85844150343</v>
      </c>
      <c r="N378" s="41">
        <f t="shared" si="75"/>
        <v>1.4372413893903373</v>
      </c>
      <c r="O378" s="56"/>
      <c r="P378" s="61">
        <f>IF(D378=0,0,SUM($L$355:L378))</f>
        <v>6077152.9858213114</v>
      </c>
      <c r="Q378" s="43">
        <f>IF(D378=0,0,SUM($I$355:I378))</f>
        <v>0</v>
      </c>
      <c r="R378" s="282">
        <f t="shared" si="90"/>
        <v>-6077152.9858213114</v>
      </c>
      <c r="S378" s="198">
        <f t="shared" si="96"/>
        <v>0</v>
      </c>
      <c r="T378" s="207"/>
      <c r="U378" s="43">
        <f>IF(D378=0,0,SUM($L$21:L378))</f>
        <v>71292537.60120593</v>
      </c>
      <c r="V378" s="43">
        <f>IF(D378=0,0,SUM($J$21:J378))</f>
        <v>75303979.041958049</v>
      </c>
      <c r="W378" s="284">
        <f t="shared" si="91"/>
        <v>4011441.4407521188</v>
      </c>
      <c r="X378" s="200">
        <f t="shared" si="97"/>
        <v>1.0562673398328335</v>
      </c>
      <c r="Y378" s="201">
        <f t="shared" si="100"/>
        <v>46015</v>
      </c>
      <c r="Z378" s="202">
        <f t="shared" si="100"/>
        <v>46015</v>
      </c>
      <c r="AA378" s="18"/>
      <c r="AB378" s="244"/>
      <c r="AC378" s="247"/>
      <c r="AD378" s="142"/>
      <c r="AE378" s="18"/>
      <c r="AF378" s="18"/>
      <c r="AG378" s="203"/>
      <c r="AH378" s="203"/>
      <c r="AI378" s="18"/>
      <c r="AJ378" s="18"/>
      <c r="AK378" s="18"/>
      <c r="AL378" s="18"/>
      <c r="AM378" s="18"/>
      <c r="AN378" s="18"/>
    </row>
    <row r="379" spans="1:40" ht="20">
      <c r="A379" s="18"/>
      <c r="B379" s="151"/>
      <c r="C379" s="55">
        <v>359</v>
      </c>
      <c r="D379" s="54">
        <v>1</v>
      </c>
      <c r="E379" s="190">
        <f t="shared" si="92"/>
        <v>12</v>
      </c>
      <c r="F379" s="191">
        <f t="shared" si="93"/>
        <v>46016</v>
      </c>
      <c r="G379" s="192" t="str">
        <f t="shared" si="94"/>
        <v>Thu</v>
      </c>
      <c r="H379" s="193"/>
      <c r="I379" s="194"/>
      <c r="J379" s="214">
        <v>435990</v>
      </c>
      <c r="K379" s="215"/>
      <c r="L379" s="43">
        <f t="shared" si="95"/>
        <v>295679.6912522944</v>
      </c>
      <c r="M379" s="280">
        <f t="shared" si="89"/>
        <v>140310.3087477056</v>
      </c>
      <c r="N379" s="41">
        <f t="shared" si="75"/>
        <v>1.4745348189233027</v>
      </c>
      <c r="O379" s="56"/>
      <c r="P379" s="61">
        <f>IF(D379=0,0,SUM($L$355:L379))</f>
        <v>6372832.6770736054</v>
      </c>
      <c r="Q379" s="43">
        <f>IF(D379=0,0,SUM($I$355:I379))</f>
        <v>0</v>
      </c>
      <c r="R379" s="282">
        <f t="shared" si="90"/>
        <v>-6372832.6770736054</v>
      </c>
      <c r="S379" s="198">
        <f t="shared" si="96"/>
        <v>0</v>
      </c>
      <c r="T379" s="207"/>
      <c r="U379" s="43">
        <f>IF(D379=0,0,SUM($L$21:L379))</f>
        <v>71588217.292458221</v>
      </c>
      <c r="V379" s="43">
        <f>IF(D379=0,0,SUM($J$21:J379))</f>
        <v>75739969.041958049</v>
      </c>
      <c r="W379" s="284">
        <f t="shared" si="91"/>
        <v>4151751.7494998276</v>
      </c>
      <c r="X379" s="200">
        <f t="shared" si="97"/>
        <v>1.057994903442542</v>
      </c>
      <c r="Y379" s="201">
        <f t="shared" si="100"/>
        <v>46016</v>
      </c>
      <c r="Z379" s="202">
        <f t="shared" si="100"/>
        <v>46016</v>
      </c>
      <c r="AA379" s="18"/>
      <c r="AB379" s="244"/>
      <c r="AC379" s="247"/>
      <c r="AD379" s="142"/>
      <c r="AE379" s="18"/>
      <c r="AF379" s="18"/>
      <c r="AG379" s="203"/>
      <c r="AH379" s="203"/>
      <c r="AI379" s="18"/>
      <c r="AJ379" s="18"/>
      <c r="AK379" s="18"/>
      <c r="AL379" s="18"/>
      <c r="AM379" s="18"/>
      <c r="AN379" s="18"/>
    </row>
    <row r="380" spans="1:40" ht="20">
      <c r="A380" s="18"/>
      <c r="B380" s="151"/>
      <c r="C380" s="55">
        <v>360</v>
      </c>
      <c r="D380" s="54">
        <v>1</v>
      </c>
      <c r="E380" s="190">
        <f t="shared" si="92"/>
        <v>12</v>
      </c>
      <c r="F380" s="191">
        <f t="shared" si="93"/>
        <v>46017</v>
      </c>
      <c r="G380" s="192" t="str">
        <f t="shared" si="94"/>
        <v>Fri</v>
      </c>
      <c r="H380" s="193"/>
      <c r="I380" s="194"/>
      <c r="J380" s="214">
        <v>335600</v>
      </c>
      <c r="K380" s="215"/>
      <c r="L380" s="43">
        <f t="shared" si="95"/>
        <v>368133.45286011102</v>
      </c>
      <c r="M380" s="280">
        <f t="shared" si="89"/>
        <v>-32533.452860111021</v>
      </c>
      <c r="N380" s="41">
        <f t="shared" si="75"/>
        <v>0.91162592639340068</v>
      </c>
      <c r="O380" s="56"/>
      <c r="P380" s="61">
        <f>IF(D380=0,0,SUM($L$355:L380))</f>
        <v>6740966.1299337167</v>
      </c>
      <c r="Q380" s="43">
        <f>IF(D380=0,0,SUM($I$355:I380))</f>
        <v>0</v>
      </c>
      <c r="R380" s="282">
        <f t="shared" si="90"/>
        <v>-6740966.1299337167</v>
      </c>
      <c r="S380" s="198">
        <f t="shared" si="96"/>
        <v>0</v>
      </c>
      <c r="T380" s="207"/>
      <c r="U380" s="43">
        <f>IF(D380=0,0,SUM($L$21:L380))</f>
        <v>71956350.745318338</v>
      </c>
      <c r="V380" s="43">
        <f>IF(D380=0,0,SUM($J$21:J380))</f>
        <v>76075569.041958049</v>
      </c>
      <c r="W380" s="284">
        <f t="shared" si="91"/>
        <v>4119218.2966397107</v>
      </c>
      <c r="X380" s="200">
        <f t="shared" si="97"/>
        <v>1.0572460700684951</v>
      </c>
      <c r="Y380" s="201">
        <f t="shared" si="100"/>
        <v>46017</v>
      </c>
      <c r="Z380" s="202">
        <f t="shared" si="100"/>
        <v>46017</v>
      </c>
      <c r="AA380" s="18"/>
      <c r="AB380" s="244"/>
      <c r="AC380" s="247"/>
      <c r="AD380" s="142"/>
      <c r="AE380" s="18"/>
      <c r="AF380" s="18"/>
      <c r="AG380" s="203"/>
      <c r="AH380" s="203"/>
      <c r="AI380" s="18"/>
      <c r="AJ380" s="18"/>
      <c r="AK380" s="18"/>
      <c r="AL380" s="18"/>
      <c r="AM380" s="18"/>
      <c r="AN380" s="18"/>
    </row>
    <row r="381" spans="1:40" ht="20">
      <c r="A381" s="18"/>
      <c r="B381" s="151"/>
      <c r="C381" s="55">
        <v>361</v>
      </c>
      <c r="D381" s="54">
        <v>1</v>
      </c>
      <c r="E381" s="190">
        <f t="shared" si="92"/>
        <v>12</v>
      </c>
      <c r="F381" s="191">
        <f t="shared" si="93"/>
        <v>46018</v>
      </c>
      <c r="G381" s="192" t="str">
        <f t="shared" si="94"/>
        <v>Sat</v>
      </c>
      <c r="H381" s="193"/>
      <c r="I381" s="194"/>
      <c r="J381" s="214">
        <v>190890</v>
      </c>
      <c r="K381" s="215"/>
      <c r="L381" s="43">
        <f t="shared" si="95"/>
        <v>207285.61831803195</v>
      </c>
      <c r="M381" s="280">
        <f t="shared" si="89"/>
        <v>-16395.618318031949</v>
      </c>
      <c r="N381" s="41">
        <f t="shared" si="75"/>
        <v>0.92090325199080303</v>
      </c>
      <c r="O381" s="56"/>
      <c r="P381" s="61">
        <f>IF(D381=0,0,SUM($L$355:L381))</f>
        <v>6948251.7482517483</v>
      </c>
      <c r="Q381" s="43">
        <f>IF(D381=0,0,SUM($I$355:I381))</f>
        <v>0</v>
      </c>
      <c r="R381" s="282">
        <f t="shared" si="90"/>
        <v>-6948251.7482517483</v>
      </c>
      <c r="S381" s="198">
        <f t="shared" si="96"/>
        <v>0</v>
      </c>
      <c r="T381" s="207"/>
      <c r="U381" s="43">
        <f>IF(D381=0,0,SUM($L$21:L381))</f>
        <v>72163636.363636374</v>
      </c>
      <c r="V381" s="43">
        <f>IF(D381=0,0,SUM($J$21:J381))</f>
        <v>76266459.041958049</v>
      </c>
      <c r="W381" s="284">
        <f t="shared" si="91"/>
        <v>4102822.6783216745</v>
      </c>
      <c r="X381" s="200">
        <f t="shared" si="97"/>
        <v>1.056854433688005</v>
      </c>
      <c r="Y381" s="201">
        <f t="shared" si="100"/>
        <v>46018</v>
      </c>
      <c r="Z381" s="202">
        <f t="shared" si="100"/>
        <v>46018</v>
      </c>
      <c r="AA381" s="18"/>
      <c r="AB381" s="244"/>
      <c r="AC381" s="247"/>
      <c r="AD381" s="142"/>
      <c r="AE381" s="18"/>
      <c r="AF381" s="18"/>
      <c r="AG381" s="203"/>
      <c r="AH381" s="203"/>
      <c r="AI381" s="18"/>
      <c r="AJ381" s="18"/>
      <c r="AK381" s="18"/>
      <c r="AL381" s="18"/>
      <c r="AM381" s="18"/>
      <c r="AN381" s="18"/>
    </row>
    <row r="382" spans="1:40" ht="20">
      <c r="A382" s="18"/>
      <c r="B382" s="151"/>
      <c r="C382" s="55">
        <v>362</v>
      </c>
      <c r="D382" s="54">
        <v>0</v>
      </c>
      <c r="E382" s="190">
        <f t="shared" si="92"/>
        <v>12</v>
      </c>
      <c r="F382" s="191">
        <f t="shared" si="93"/>
        <v>46019</v>
      </c>
      <c r="G382" s="192" t="str">
        <f t="shared" si="94"/>
        <v>Sun</v>
      </c>
      <c r="H382" s="193"/>
      <c r="I382" s="194"/>
      <c r="J382" s="214"/>
      <c r="K382" s="215"/>
      <c r="L382" s="43">
        <f t="shared" si="95"/>
        <v>0</v>
      </c>
      <c r="M382" s="280">
        <f t="shared" si="89"/>
        <v>0</v>
      </c>
      <c r="N382" s="41" t="str">
        <f t="shared" si="75"/>
        <v>¥0</v>
      </c>
      <c r="O382" s="44"/>
      <c r="P382" s="61">
        <f>IF(D382=0,0,SUM($L$355:L382))</f>
        <v>0</v>
      </c>
      <c r="Q382" s="43">
        <f>IF(D382=0,0,SUM($I$355:I382))</f>
        <v>0</v>
      </c>
      <c r="R382" s="282">
        <f t="shared" si="90"/>
        <v>0</v>
      </c>
      <c r="S382" s="198">
        <f t="shared" si="96"/>
        <v>0</v>
      </c>
      <c r="T382" s="212"/>
      <c r="U382" s="43">
        <f>IF(D382=0,0,SUM($L$21:L382))</f>
        <v>0</v>
      </c>
      <c r="V382" s="43">
        <f>IF(D382=0,0,SUM($J$21:J382))</f>
        <v>0</v>
      </c>
      <c r="W382" s="284">
        <f t="shared" si="91"/>
        <v>0</v>
      </c>
      <c r="X382" s="200">
        <f t="shared" si="97"/>
        <v>0</v>
      </c>
      <c r="Y382" s="201">
        <f t="shared" si="100"/>
        <v>46019</v>
      </c>
      <c r="Z382" s="202">
        <f t="shared" si="100"/>
        <v>46019</v>
      </c>
      <c r="AA382" s="18"/>
      <c r="AB382" s="244"/>
      <c r="AC382" s="247"/>
      <c r="AD382" s="142"/>
      <c r="AE382" s="18"/>
      <c r="AF382" s="18"/>
      <c r="AG382" s="203"/>
      <c r="AH382" s="203"/>
      <c r="AI382" s="18"/>
      <c r="AJ382" s="18"/>
      <c r="AK382" s="18"/>
      <c r="AL382" s="18"/>
      <c r="AM382" s="18"/>
      <c r="AN382" s="18"/>
    </row>
    <row r="383" spans="1:40" ht="20">
      <c r="A383" s="18"/>
      <c r="B383" s="151"/>
      <c r="C383" s="55">
        <v>363</v>
      </c>
      <c r="D383" s="54">
        <v>0</v>
      </c>
      <c r="E383" s="190">
        <f t="shared" si="92"/>
        <v>12</v>
      </c>
      <c r="F383" s="191">
        <f t="shared" si="93"/>
        <v>46020</v>
      </c>
      <c r="G383" s="192" t="str">
        <f t="shared" si="94"/>
        <v>Mon</v>
      </c>
      <c r="H383" s="193"/>
      <c r="I383" s="194"/>
      <c r="J383" s="214"/>
      <c r="K383" s="215"/>
      <c r="L383" s="43">
        <f t="shared" si="95"/>
        <v>0</v>
      </c>
      <c r="M383" s="280">
        <f t="shared" si="89"/>
        <v>0</v>
      </c>
      <c r="N383" s="41" t="str">
        <f t="shared" si="75"/>
        <v>¥0</v>
      </c>
      <c r="O383" s="56"/>
      <c r="P383" s="61">
        <f>IF(D383=0,0,SUM($L$355:L383))</f>
        <v>0</v>
      </c>
      <c r="Q383" s="43">
        <f>IF(D383=0,0,SUM($I$355:I383))</f>
        <v>0</v>
      </c>
      <c r="R383" s="282">
        <f t="shared" si="90"/>
        <v>0</v>
      </c>
      <c r="S383" s="198">
        <f t="shared" si="96"/>
        <v>0</v>
      </c>
      <c r="T383" s="207"/>
      <c r="U383" s="43">
        <f>IF(D383=0,0,SUM($L$21:L383))</f>
        <v>0</v>
      </c>
      <c r="V383" s="43">
        <f>IF(D383=0,0,SUM($J$21:J383))</f>
        <v>0</v>
      </c>
      <c r="W383" s="284">
        <f t="shared" si="91"/>
        <v>0</v>
      </c>
      <c r="X383" s="200">
        <f t="shared" si="97"/>
        <v>0</v>
      </c>
      <c r="Y383" s="201">
        <f t="shared" si="100"/>
        <v>46020</v>
      </c>
      <c r="Z383" s="202">
        <f t="shared" si="100"/>
        <v>46020</v>
      </c>
      <c r="AA383" s="18"/>
      <c r="AB383" s="244"/>
      <c r="AC383" s="247"/>
      <c r="AD383" s="142"/>
      <c r="AE383" s="18"/>
      <c r="AF383" s="18"/>
      <c r="AG383" s="203"/>
      <c r="AH383" s="203"/>
      <c r="AI383" s="18"/>
      <c r="AJ383" s="18"/>
      <c r="AK383" s="18"/>
      <c r="AL383" s="18"/>
      <c r="AM383" s="18"/>
      <c r="AN383" s="18"/>
    </row>
    <row r="384" spans="1:40" ht="20">
      <c r="A384" s="18"/>
      <c r="B384" s="151"/>
      <c r="C384" s="55">
        <v>364</v>
      </c>
      <c r="D384" s="54">
        <v>0</v>
      </c>
      <c r="E384" s="190">
        <f t="shared" si="92"/>
        <v>12</v>
      </c>
      <c r="F384" s="191">
        <f t="shared" si="93"/>
        <v>46021</v>
      </c>
      <c r="G384" s="192" t="str">
        <f t="shared" si="94"/>
        <v>Tue</v>
      </c>
      <c r="H384" s="193"/>
      <c r="I384" s="194"/>
      <c r="J384" s="214"/>
      <c r="K384" s="215"/>
      <c r="L384" s="43">
        <f t="shared" si="95"/>
        <v>0</v>
      </c>
      <c r="M384" s="280">
        <f t="shared" si="89"/>
        <v>0</v>
      </c>
      <c r="N384" s="41" t="str">
        <f t="shared" si="75"/>
        <v>¥0</v>
      </c>
      <c r="O384" s="44"/>
      <c r="P384" s="61">
        <f>IF(D384=0,0,SUM($L$355:L384))</f>
        <v>0</v>
      </c>
      <c r="Q384" s="43">
        <f>IF(D384=0,0,SUM($I$355:I384))</f>
        <v>0</v>
      </c>
      <c r="R384" s="282">
        <f t="shared" si="90"/>
        <v>0</v>
      </c>
      <c r="S384" s="198">
        <f t="shared" si="96"/>
        <v>0</v>
      </c>
      <c r="T384" s="212"/>
      <c r="U384" s="43">
        <f>IF(D384=0,0,SUM($L$21:L384))</f>
        <v>0</v>
      </c>
      <c r="V384" s="43">
        <f>IF(D384=0,0,SUM($J$21:J384))</f>
        <v>0</v>
      </c>
      <c r="W384" s="284">
        <f t="shared" si="91"/>
        <v>0</v>
      </c>
      <c r="X384" s="200">
        <f t="shared" si="97"/>
        <v>0</v>
      </c>
      <c r="Y384" s="201">
        <f t="shared" si="100"/>
        <v>46021</v>
      </c>
      <c r="Z384" s="202">
        <f t="shared" si="100"/>
        <v>46021</v>
      </c>
      <c r="AA384" s="18"/>
      <c r="AB384" s="244"/>
      <c r="AC384" s="247"/>
      <c r="AD384" s="142"/>
      <c r="AE384" s="18"/>
      <c r="AF384" s="18"/>
      <c r="AG384" s="203"/>
      <c r="AH384" s="203"/>
      <c r="AI384" s="18"/>
      <c r="AJ384" s="18"/>
      <c r="AK384" s="18"/>
      <c r="AL384" s="18"/>
      <c r="AM384" s="18"/>
      <c r="AN384" s="18"/>
    </row>
    <row r="385" spans="1:40" ht="21" thickBot="1">
      <c r="A385" s="18"/>
      <c r="B385" s="151"/>
      <c r="C385" s="216">
        <v>365</v>
      </c>
      <c r="D385" s="38">
        <v>0</v>
      </c>
      <c r="E385" s="217">
        <f t="shared" si="92"/>
        <v>12</v>
      </c>
      <c r="F385" s="218">
        <f t="shared" si="93"/>
        <v>46022</v>
      </c>
      <c r="G385" s="219" t="str">
        <f t="shared" si="94"/>
        <v>Wed</v>
      </c>
      <c r="H385" s="220" t="s">
        <v>44</v>
      </c>
      <c r="I385" s="221"/>
      <c r="J385" s="222"/>
      <c r="K385" s="223"/>
      <c r="L385" s="276">
        <f t="shared" si="95"/>
        <v>0</v>
      </c>
      <c r="M385" s="281">
        <f t="shared" si="89"/>
        <v>0</v>
      </c>
      <c r="N385" s="24" t="str">
        <f t="shared" si="75"/>
        <v>¥0</v>
      </c>
      <c r="O385" s="27"/>
      <c r="P385" s="241">
        <f>IF(D385=0,0,SUM($L$355:L385))</f>
        <v>0</v>
      </c>
      <c r="Q385" s="224">
        <f>IF(D385=0,0,SUM($I$355:I385))</f>
        <v>0</v>
      </c>
      <c r="R385" s="281">
        <f t="shared" si="90"/>
        <v>0</v>
      </c>
      <c r="S385" s="228">
        <f t="shared" si="96"/>
        <v>0</v>
      </c>
      <c r="T385" s="240"/>
      <c r="U385" s="28">
        <f>IF(D385=0,0,SUM($L$21:L385))</f>
        <v>0</v>
      </c>
      <c r="V385" s="28">
        <f>IF(D385=0,0,SUM($J$21:J385))</f>
        <v>0</v>
      </c>
      <c r="W385" s="285">
        <f t="shared" si="91"/>
        <v>0</v>
      </c>
      <c r="X385" s="230">
        <f t="shared" si="97"/>
        <v>0</v>
      </c>
      <c r="Y385" s="201">
        <f t="shared" si="100"/>
        <v>46022</v>
      </c>
      <c r="Z385" s="202">
        <f t="shared" si="100"/>
        <v>46022</v>
      </c>
      <c r="AA385" s="18"/>
      <c r="AB385" s="244"/>
      <c r="AC385" s="247"/>
      <c r="AD385" s="142"/>
      <c r="AE385" s="18"/>
      <c r="AF385" s="18"/>
      <c r="AG385" s="203"/>
      <c r="AH385" s="203"/>
      <c r="AI385" s="18"/>
      <c r="AJ385" s="18"/>
      <c r="AK385" s="18"/>
      <c r="AL385" s="18"/>
      <c r="AM385" s="18"/>
      <c r="AN385" s="18"/>
    </row>
    <row r="386" spans="1:40" ht="18" thickTop="1">
      <c r="A386" s="18"/>
      <c r="B386" s="18"/>
      <c r="C386" s="18"/>
      <c r="D386" s="142"/>
      <c r="E386" s="18"/>
      <c r="F386" s="18"/>
      <c r="G386" s="18"/>
      <c r="H386" s="18"/>
      <c r="I386" s="143"/>
      <c r="J386" s="18"/>
      <c r="K386" s="18"/>
      <c r="L386" s="18"/>
      <c r="M386" s="18"/>
      <c r="N386" s="18"/>
      <c r="O386" s="18"/>
      <c r="P386" s="18"/>
      <c r="Q386" s="18"/>
      <c r="R386" s="18"/>
      <c r="S386" s="18"/>
      <c r="T386" s="18"/>
      <c r="U386" s="18"/>
      <c r="V386" s="18"/>
      <c r="W386" s="18"/>
      <c r="X386" s="18"/>
      <c r="Y386" s="18"/>
      <c r="Z386" s="18"/>
      <c r="AA386" s="18"/>
      <c r="AB386" s="142"/>
      <c r="AC386" s="247"/>
      <c r="AD386" s="142"/>
      <c r="AE386" s="18"/>
      <c r="AF386" s="18"/>
      <c r="AG386" s="18"/>
      <c r="AH386" s="18"/>
      <c r="AI386" s="18"/>
      <c r="AJ386" s="18"/>
      <c r="AK386" s="18"/>
      <c r="AL386" s="18"/>
      <c r="AM386" s="18"/>
      <c r="AN386" s="18"/>
    </row>
  </sheetData>
  <sheetProtection selectLockedCells="1"/>
  <mergeCells count="48">
    <mergeCell ref="B2:D3"/>
    <mergeCell ref="E2:F2"/>
    <mergeCell ref="H2:J2"/>
    <mergeCell ref="K2:L2"/>
    <mergeCell ref="E3:F3"/>
    <mergeCell ref="I3:J3"/>
    <mergeCell ref="K3:L3"/>
    <mergeCell ref="B6:C6"/>
    <mergeCell ref="I6:J6"/>
    <mergeCell ref="K6:L6"/>
    <mergeCell ref="N6:O6"/>
    <mergeCell ref="B7:C7"/>
    <mergeCell ref="I7:J7"/>
    <mergeCell ref="K7:L7"/>
    <mergeCell ref="N7:O7"/>
    <mergeCell ref="B8:C8"/>
    <mergeCell ref="I8:J8"/>
    <mergeCell ref="K8:L8"/>
    <mergeCell ref="N8:O8"/>
    <mergeCell ref="I9:J9"/>
    <mergeCell ref="K9:L9"/>
    <mergeCell ref="N9:O9"/>
    <mergeCell ref="I10:J10"/>
    <mergeCell ref="K10:L10"/>
    <mergeCell ref="N10:O10"/>
    <mergeCell ref="I11:J11"/>
    <mergeCell ref="K11:L11"/>
    <mergeCell ref="N11:O11"/>
    <mergeCell ref="I12:J12"/>
    <mergeCell ref="K12:L12"/>
    <mergeCell ref="N12:O12"/>
    <mergeCell ref="I13:J13"/>
    <mergeCell ref="K13:L13"/>
    <mergeCell ref="N13:O13"/>
    <mergeCell ref="I14:J14"/>
    <mergeCell ref="K14:L14"/>
    <mergeCell ref="I15:J15"/>
    <mergeCell ref="K15:L15"/>
    <mergeCell ref="N15:O15"/>
    <mergeCell ref="I18:J18"/>
    <mergeCell ref="K18:L18"/>
    <mergeCell ref="N18:O18"/>
    <mergeCell ref="I16:J16"/>
    <mergeCell ref="K16:L16"/>
    <mergeCell ref="N16:O16"/>
    <mergeCell ref="I17:J17"/>
    <mergeCell ref="K17:L17"/>
    <mergeCell ref="N17:O17"/>
  </mergeCells>
  <phoneticPr fontId="2"/>
  <conditionalFormatting sqref="D21:X385">
    <cfRule type="expression" dxfId="17" priority="2">
      <formula>$D21=0</formula>
    </cfRule>
  </conditionalFormatting>
  <conditionalFormatting sqref="E21:X385">
    <cfRule type="expression" dxfId="16" priority="3">
      <formula>WEEKDAY($G21)=1</formula>
    </cfRule>
    <cfRule type="expression" dxfId="15" priority="4">
      <formula>WEEKDAY($G21)=7</formula>
    </cfRule>
  </conditionalFormatting>
  <conditionalFormatting sqref="F21:X385">
    <cfRule type="expression" dxfId="14" priority="1">
      <formula>$F21=TODAY()</formula>
    </cfRule>
  </conditionalFormatting>
  <conditionalFormatting sqref="N7:P18">
    <cfRule type="cellIs" dxfId="13" priority="81" operator="lessThan">
      <formula>0</formula>
    </cfRule>
    <cfRule type="cellIs" dxfId="12" priority="82" operator="greaterThan">
      <formula>"¥0"</formula>
    </cfRule>
  </conditionalFormatting>
  <dataValidations count="1">
    <dataValidation type="list" allowBlank="1" showErrorMessage="1" sqref="B2:D3" xr:uid="{00B7B962-71AC-F948-9749-106984706E89}">
      <formula1>"2025/1/1,2026/1/1,2027/1/1,2029/1/1,2030/1/1,2031/1/1,2033/1/1,2034/1/1,2035/1/1,2037/1/1,2038/1/1,2039/1/1,2041/1/1,2042/1/1,2043/1/1,2045/1/1"</formula1>
    </dataValidation>
  </dataValidations>
  <hyperlinks>
    <hyperlink ref="P2" location="目標_2025R7!E21" display="1月" xr:uid="{4C6EE6F0-35B0-C547-90EB-1563CCDAF757}"/>
    <hyperlink ref="Q2" location="目標_2025R7!E52" display="2月" xr:uid="{F47B397D-A2D9-6848-A2AE-5A327C42E553}"/>
    <hyperlink ref="R2" location="目標_2025R7!E80" display="3月" xr:uid="{09E66521-C050-8C4D-B35E-78AD01AD499C}"/>
    <hyperlink ref="S2" location="目標_2025R7!E111" display="4月" xr:uid="{036447C1-0520-2F44-9D66-9D5C81EB89B2}"/>
    <hyperlink ref="P3" location="目標_2025R7!E141" display="5月" xr:uid="{FD87C667-9346-134F-88FF-C4D96A5740F6}"/>
    <hyperlink ref="Q3" location="目標_2025R7!E172" display="6月" xr:uid="{96C1BA00-C861-774A-980F-1327EC5E68A0}"/>
    <hyperlink ref="R3" location="目標_2025R7!E202" display="7月" xr:uid="{E2AC9E4F-6902-1C45-ABEE-CC47A883622C}"/>
    <hyperlink ref="S3" location="目標_2025R7!E233" display="8月" xr:uid="{F2F76F79-C36A-0148-B02E-03F12C6A8A84}"/>
    <hyperlink ref="P4" location="目標_2025R7!E264" display="9月" xr:uid="{C1957D82-495F-B943-BACE-0C41BDFA5DBE}"/>
    <hyperlink ref="Q4" location="目標_2025R7!E294" display="10月" xr:uid="{D6151DE8-4ACB-B24C-B3F8-EC180B4ADB2E}"/>
    <hyperlink ref="R4" location="目標_2025R7!E325" display="11月" xr:uid="{CFB75088-C195-064C-A184-4640D73E3FDA}"/>
    <hyperlink ref="S4" location="目標_2025R7!E355" display="12月" xr:uid="{AA8B12E4-E522-064F-80C4-9D7D21B5D32D}"/>
  </hyperlinks>
  <pageMargins left="0.70866141732283472" right="0.70866141732283472" top="0.74803149606299213" bottom="0.74803149606299213" header="0.31496062992125984" footer="0.31496062992125984"/>
  <pageSetup paperSize="9" scale="59" orientation="landscape" copies="3" r:id="rId1"/>
  <rowBreaks count="1" manualBreakCount="1">
    <brk id="18" max="19" man="1"/>
  </rowBreaks>
  <colBreaks count="2" manualBreakCount="2">
    <brk id="19" max="385" man="1"/>
    <brk id="20" max="1048575"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BEC4-1201-1A47-BF2A-D98A189AE0FA}">
  <dimension ref="A1:AN386"/>
  <sheetViews>
    <sheetView zoomScale="85" zoomScaleNormal="60" workbookViewId="0">
      <pane xSplit="6" ySplit="20" topLeftCell="G24" activePane="bottomRight" state="frozen"/>
      <selection pane="topRight" activeCell="G1" sqref="G1"/>
      <selection pane="bottomLeft" activeCell="A20" sqref="A20"/>
      <selection pane="bottomRight" activeCell="L31" sqref="L31"/>
    </sheetView>
  </sheetViews>
  <sheetFormatPr baseColWidth="10" defaultColWidth="9.5703125" defaultRowHeight="17" outlineLevelRow="1" outlineLevelCol="3"/>
  <cols>
    <col min="1" max="1" width="2.28515625" style="14" customWidth="1"/>
    <col min="2" max="2" width="10" style="14" customWidth="1"/>
    <col min="3" max="3" width="4.28515625" style="14" customWidth="1"/>
    <col min="4" max="4" width="5.5703125" style="242" customWidth="1"/>
    <col min="5" max="5" width="6.28515625" style="14" customWidth="1"/>
    <col min="6" max="6" width="9.5703125" style="14"/>
    <col min="7" max="7" width="18" style="14" customWidth="1"/>
    <col min="8" max="8" width="13.28515625" style="14" customWidth="1"/>
    <col min="9" max="9" width="1.140625" style="154" customWidth="1"/>
    <col min="10" max="10" width="14.7109375" style="14" customWidth="1"/>
    <col min="11" max="11" width="1" style="14" customWidth="1"/>
    <col min="12" max="12" width="16.7109375" style="14" customWidth="1"/>
    <col min="13" max="13" width="15" style="14" customWidth="1"/>
    <col min="14" max="14" width="12" style="14" customWidth="1"/>
    <col min="15" max="15" width="1.28515625" style="14" customWidth="1"/>
    <col min="16" max="16" width="15" style="14" customWidth="1"/>
    <col min="17" max="18" width="13.28515625" style="14" customWidth="1"/>
    <col min="19" max="19" width="12.140625" style="14" customWidth="1"/>
    <col min="20" max="20" width="1.28515625" style="14" customWidth="1"/>
    <col min="21" max="21" width="13.7109375" style="14" customWidth="1"/>
    <col min="22" max="22" width="14.28515625" style="14" customWidth="1"/>
    <col min="23" max="23" width="14.140625" style="14" customWidth="1"/>
    <col min="24" max="24" width="10.140625" style="14" customWidth="1"/>
    <col min="25" max="25" width="3.28515625" style="14" customWidth="1" outlineLevel="1"/>
    <col min="26" max="26" width="4.85546875" style="14" customWidth="1" outlineLevel="1"/>
    <col min="27" max="27" width="9.7109375" style="14" customWidth="1" outlineLevel="1"/>
    <col min="28" max="28" width="9.7109375" style="242" customWidth="1" outlineLevel="1"/>
    <col min="29" max="29" width="13.140625" style="248" customWidth="1" outlineLevel="1"/>
    <col min="30" max="30" width="8.7109375" style="242" customWidth="1" outlineLevel="1"/>
    <col min="31" max="31" width="13.140625" style="14" customWidth="1" outlineLevel="1"/>
    <col min="32" max="32" width="13.140625" style="14" customWidth="1" outlineLevel="3"/>
    <col min="33" max="33" width="13.28515625" style="14" customWidth="1" outlineLevel="3"/>
    <col min="34" max="34" width="12" style="14" customWidth="1" outlineLevel="2"/>
    <col min="35" max="35" width="8.7109375" style="14" bestFit="1" customWidth="1"/>
    <col min="36" max="36" width="9.5703125" style="14" collapsed="1"/>
    <col min="37" max="38" width="9.5703125" style="14" hidden="1" customWidth="1" outlineLevel="1"/>
    <col min="39" max="39" width="9.5703125" style="14" collapsed="1"/>
    <col min="40" max="16384" width="9.5703125" style="14"/>
  </cols>
  <sheetData>
    <row r="1" spans="1:40" ht="10.5" customHeight="1">
      <c r="A1" s="18"/>
      <c r="B1" s="18"/>
      <c r="C1" s="18"/>
      <c r="D1" s="142"/>
      <c r="E1" s="18"/>
      <c r="F1" s="18"/>
      <c r="G1" s="18"/>
      <c r="H1" s="18"/>
      <c r="I1" s="143"/>
      <c r="J1" s="18"/>
      <c r="K1" s="18"/>
      <c r="L1" s="18"/>
      <c r="M1" s="18"/>
      <c r="N1" s="18"/>
      <c r="O1" s="18"/>
      <c r="P1" s="18"/>
      <c r="Q1" s="18"/>
      <c r="R1" s="18"/>
      <c r="S1" s="18"/>
      <c r="T1" s="18"/>
      <c r="U1" s="18"/>
      <c r="V1" s="18"/>
      <c r="W1" s="18"/>
      <c r="X1" s="18"/>
      <c r="Y1" s="18"/>
      <c r="Z1" s="18"/>
      <c r="AA1" s="18"/>
      <c r="AB1" s="142"/>
      <c r="AC1" s="247"/>
      <c r="AD1" s="142"/>
      <c r="AE1" s="18"/>
      <c r="AF1" s="18"/>
      <c r="AG1" s="18"/>
      <c r="AH1" s="18"/>
      <c r="AI1" s="18"/>
      <c r="AJ1" s="18"/>
      <c r="AK1" s="18"/>
      <c r="AL1" s="18"/>
      <c r="AM1" s="18"/>
      <c r="AN1" s="18"/>
    </row>
    <row r="2" spans="1:40" ht="22">
      <c r="A2" s="18"/>
      <c r="B2" s="373">
        <v>45658</v>
      </c>
      <c r="C2" s="374"/>
      <c r="D2" s="375"/>
      <c r="E2" s="376" t="s">
        <v>140</v>
      </c>
      <c r="F2" s="377"/>
      <c r="G2" s="144" t="s">
        <v>141</v>
      </c>
      <c r="H2" s="378" t="s">
        <v>142</v>
      </c>
      <c r="I2" s="378"/>
      <c r="J2" s="378"/>
      <c r="K2" s="379" t="s">
        <v>91</v>
      </c>
      <c r="L2" s="379"/>
      <c r="M2" s="145" t="s">
        <v>143</v>
      </c>
      <c r="P2" s="146" t="s">
        <v>144</v>
      </c>
      <c r="Q2" s="146" t="s">
        <v>145</v>
      </c>
      <c r="R2" s="146" t="s">
        <v>146</v>
      </c>
      <c r="S2" s="146" t="s">
        <v>147</v>
      </c>
      <c r="T2" s="14" t="s">
        <v>148</v>
      </c>
      <c r="AJ2" s="18"/>
      <c r="AK2" s="18"/>
      <c r="AL2" s="18"/>
      <c r="AM2" s="18"/>
      <c r="AN2" s="18"/>
    </row>
    <row r="3" spans="1:40" ht="23">
      <c r="A3" s="18"/>
      <c r="B3" s="374"/>
      <c r="C3" s="374"/>
      <c r="D3" s="375"/>
      <c r="E3" s="380">
        <f>SUM(F7:F18)</f>
        <v>286</v>
      </c>
      <c r="F3" s="370"/>
      <c r="G3" s="305">
        <f>72000000/B13</f>
        <v>652528.54812398041</v>
      </c>
      <c r="H3" s="148">
        <f>SUM(AK7:AK18)*100</f>
        <v>0.99999600000000022</v>
      </c>
      <c r="I3" s="381">
        <f>G3*H3</f>
        <v>652525.93800978805</v>
      </c>
      <c r="J3" s="381"/>
      <c r="K3" s="382">
        <f>SUM(J21:J385)</f>
        <v>701754.41363059659</v>
      </c>
      <c r="L3" s="382"/>
      <c r="M3" s="338">
        <f>K3-G3</f>
        <v>49225.865506616188</v>
      </c>
      <c r="N3" s="340">
        <f>K3/G3</f>
        <v>1.0754386388888892</v>
      </c>
      <c r="P3" s="146" t="s">
        <v>149</v>
      </c>
      <c r="Q3" s="146" t="s">
        <v>150</v>
      </c>
      <c r="R3" s="146" t="s">
        <v>151</v>
      </c>
      <c r="S3" s="146" t="s">
        <v>152</v>
      </c>
      <c r="AJ3" s="150"/>
      <c r="AK3" s="18"/>
      <c r="AL3" s="18"/>
      <c r="AM3" s="18"/>
      <c r="AN3" s="18"/>
    </row>
    <row r="4" spans="1:40" ht="21">
      <c r="A4" s="18"/>
      <c r="B4" s="151"/>
      <c r="C4" s="151"/>
      <c r="D4" s="152"/>
      <c r="E4" s="151"/>
      <c r="F4" s="151"/>
      <c r="G4" s="153"/>
      <c r="L4" s="151"/>
      <c r="N4" s="18"/>
      <c r="P4" s="155" t="s">
        <v>153</v>
      </c>
      <c r="Q4" s="146" t="s">
        <v>154</v>
      </c>
      <c r="R4" s="146" t="s">
        <v>155</v>
      </c>
      <c r="S4" s="146" t="s">
        <v>156</v>
      </c>
      <c r="AJ4" s="18"/>
      <c r="AK4" s="18"/>
      <c r="AL4" s="18"/>
      <c r="AM4" s="18"/>
    </row>
    <row r="5" spans="1:40" ht="8" customHeight="1">
      <c r="A5" s="18"/>
      <c r="B5" s="151"/>
      <c r="C5" s="151"/>
      <c r="D5" s="152"/>
      <c r="E5" s="151"/>
      <c r="F5" s="151"/>
      <c r="G5" s="153"/>
      <c r="L5" s="151"/>
      <c r="N5" s="18"/>
      <c r="P5" s="156"/>
      <c r="Q5" s="157"/>
      <c r="R5" s="157"/>
      <c r="S5" s="157"/>
      <c r="AJ5" s="18"/>
      <c r="AK5" s="18"/>
      <c r="AL5" s="18"/>
      <c r="AM5" s="18"/>
    </row>
    <row r="6" spans="1:40" ht="20" hidden="1" customHeight="1" outlineLevel="1">
      <c r="A6" s="18"/>
      <c r="B6" s="364" t="s">
        <v>87</v>
      </c>
      <c r="C6" s="365"/>
      <c r="D6" s="152"/>
      <c r="E6" s="158" t="s">
        <v>17</v>
      </c>
      <c r="F6" s="158" t="s">
        <v>86</v>
      </c>
      <c r="G6" s="159" t="s">
        <v>85</v>
      </c>
      <c r="H6" s="158" t="s">
        <v>84</v>
      </c>
      <c r="I6" s="366" t="s">
        <v>157</v>
      </c>
      <c r="J6" s="367"/>
      <c r="K6" s="368" t="s">
        <v>82</v>
      </c>
      <c r="L6" s="369"/>
      <c r="M6" s="160" t="s">
        <v>158</v>
      </c>
      <c r="N6" s="368" t="s">
        <v>159</v>
      </c>
      <c r="O6" s="370"/>
      <c r="P6" s="161" t="s">
        <v>160</v>
      </c>
      <c r="Q6" s="162" t="s">
        <v>52</v>
      </c>
      <c r="AJ6" s="18"/>
      <c r="AK6" s="18"/>
      <c r="AL6" s="18"/>
      <c r="AM6" s="18"/>
    </row>
    <row r="7" spans="1:40" ht="22" hidden="1" outlineLevel="1">
      <c r="A7" s="18"/>
      <c r="B7" s="371" t="s">
        <v>78</v>
      </c>
      <c r="C7" s="372"/>
      <c r="D7" s="152"/>
      <c r="E7" s="95" t="s">
        <v>223</v>
      </c>
      <c r="F7" s="94">
        <f>COUNTIF(D21:D51,1)</f>
        <v>22</v>
      </c>
      <c r="G7" s="339">
        <f>$B$8*F7</f>
        <v>50194.503701844646</v>
      </c>
      <c r="H7" s="163">
        <v>0.85</v>
      </c>
      <c r="I7" s="356">
        <f>G7*H7</f>
        <v>42665.328146567947</v>
      </c>
      <c r="J7" s="357"/>
      <c r="K7" s="358">
        <f>I7/F7</f>
        <v>1939.3330975712704</v>
      </c>
      <c r="L7" s="359"/>
      <c r="M7" s="306">
        <f>SUM(J21:J51)</f>
        <v>50872.303788290737</v>
      </c>
      <c r="N7" s="360">
        <f>M7-I7</f>
        <v>8206.9756417227909</v>
      </c>
      <c r="O7" s="361"/>
      <c r="P7" s="165">
        <f>M7/G7</f>
        <v>1.0135034722222223</v>
      </c>
      <c r="Q7" s="166">
        <f>M7/I7</f>
        <v>1.192357026143791</v>
      </c>
      <c r="R7" s="286">
        <v>1</v>
      </c>
      <c r="AG7" s="167"/>
      <c r="AH7" s="167"/>
      <c r="AK7" s="168">
        <f t="shared" ref="AK7:AK18" si="0">(H7/100)*AL7</f>
        <v>7.0833050000000013E-4</v>
      </c>
      <c r="AL7" s="169">
        <v>8.3333000000000004E-2</v>
      </c>
      <c r="AM7" s="170"/>
    </row>
    <row r="8" spans="1:40" ht="23" hidden="1" outlineLevel="1">
      <c r="A8" s="18"/>
      <c r="B8" s="363">
        <f>G3/E3</f>
        <v>2281.5683500838477</v>
      </c>
      <c r="C8" s="361"/>
      <c r="D8" s="152"/>
      <c r="E8" s="95" t="s">
        <v>224</v>
      </c>
      <c r="F8" s="94">
        <f>COUNTIF(D52:D79,1)</f>
        <v>22</v>
      </c>
      <c r="G8" s="339">
        <f t="shared" ref="G8:G18" si="1">$B$8*F8</f>
        <v>50194.503701844646</v>
      </c>
      <c r="H8" s="163">
        <v>0.85</v>
      </c>
      <c r="I8" s="356">
        <f t="shared" ref="I8:I18" si="2">G8*H8</f>
        <v>42665.328146567947</v>
      </c>
      <c r="J8" s="357"/>
      <c r="K8" s="358">
        <f t="shared" ref="K8:K18" si="3">I8/F8</f>
        <v>1939.3330975712704</v>
      </c>
      <c r="L8" s="359"/>
      <c r="M8" s="306">
        <f>SUM(J52:J79)</f>
        <v>49880.73228203733</v>
      </c>
      <c r="N8" s="360">
        <f t="shared" ref="N8:N18" si="4">M8-I8</f>
        <v>7215.4041354693836</v>
      </c>
      <c r="O8" s="361"/>
      <c r="P8" s="165">
        <f>M8/G8</f>
        <v>0.99374888888888879</v>
      </c>
      <c r="Q8" s="166">
        <f t="shared" ref="Q8:Q18" si="5">M8/I8</f>
        <v>1.169116339869281</v>
      </c>
      <c r="R8" s="286">
        <v>2</v>
      </c>
      <c r="AG8" s="167"/>
      <c r="AH8" s="167"/>
      <c r="AJ8" s="18"/>
      <c r="AK8" s="168">
        <f t="shared" si="0"/>
        <v>7.0833050000000013E-4</v>
      </c>
      <c r="AL8" s="169">
        <v>8.3333000000000004E-2</v>
      </c>
    </row>
    <row r="9" spans="1:40" ht="22" hidden="1" outlineLevel="1">
      <c r="A9" s="18"/>
      <c r="D9" s="152"/>
      <c r="E9" s="95" t="s">
        <v>225</v>
      </c>
      <c r="F9" s="94">
        <f>COUNTIF(D80:D110,1)</f>
        <v>25</v>
      </c>
      <c r="G9" s="339">
        <f t="shared" si="1"/>
        <v>57039.208752096194</v>
      </c>
      <c r="H9" s="163">
        <v>1</v>
      </c>
      <c r="I9" s="356">
        <f t="shared" si="2"/>
        <v>57039.208752096194</v>
      </c>
      <c r="J9" s="357"/>
      <c r="K9" s="358">
        <f t="shared" si="3"/>
        <v>2281.5683500838477</v>
      </c>
      <c r="L9" s="359"/>
      <c r="M9" s="306">
        <f>SUM(J80:J110)</f>
        <v>55683.251767264817</v>
      </c>
      <c r="N9" s="360">
        <f t="shared" si="4"/>
        <v>-1355.9569848313768</v>
      </c>
      <c r="O9" s="361"/>
      <c r="P9" s="165">
        <f>M9/G9</f>
        <v>0.97622763333333329</v>
      </c>
      <c r="Q9" s="166">
        <f t="shared" si="5"/>
        <v>0.97622763333333329</v>
      </c>
      <c r="R9" s="286">
        <v>3</v>
      </c>
      <c r="AG9" s="167"/>
      <c r="AH9" s="167"/>
      <c r="AJ9" s="18"/>
      <c r="AK9" s="168">
        <f t="shared" si="0"/>
        <v>8.3333000000000007E-4</v>
      </c>
      <c r="AL9" s="169">
        <v>8.3333000000000004E-2</v>
      </c>
      <c r="AM9" s="88"/>
    </row>
    <row r="10" spans="1:40" ht="22" hidden="1" outlineLevel="1">
      <c r="A10" s="18"/>
      <c r="B10" s="172"/>
      <c r="C10" s="151"/>
      <c r="D10" s="152"/>
      <c r="E10" s="95" t="s">
        <v>226</v>
      </c>
      <c r="F10" s="94">
        <f>COUNTIF(D111:D140,1)</f>
        <v>25</v>
      </c>
      <c r="G10" s="339">
        <f t="shared" si="1"/>
        <v>57039.208752096194</v>
      </c>
      <c r="H10" s="163">
        <v>1.1000000000000001</v>
      </c>
      <c r="I10" s="356">
        <f t="shared" si="2"/>
        <v>62743.129627305818</v>
      </c>
      <c r="J10" s="357"/>
      <c r="K10" s="358">
        <f t="shared" si="3"/>
        <v>2509.7251850922326</v>
      </c>
      <c r="L10" s="359"/>
      <c r="M10" s="306">
        <f>SUM(J111:J140)</f>
        <v>61294.906652166028</v>
      </c>
      <c r="N10" s="360">
        <f t="shared" si="4"/>
        <v>-1448.2229751397899</v>
      </c>
      <c r="O10" s="361"/>
      <c r="P10" s="165">
        <f t="shared" ref="P10:P18" si="6">M10/G10</f>
        <v>1.0746100444444444</v>
      </c>
      <c r="Q10" s="166">
        <f t="shared" si="5"/>
        <v>0.97691822222222202</v>
      </c>
      <c r="R10" s="286">
        <v>4</v>
      </c>
      <c r="AG10" s="167"/>
      <c r="AH10" s="167"/>
      <c r="AJ10" s="18"/>
      <c r="AK10" s="168">
        <f t="shared" si="0"/>
        <v>9.1666300000000018E-4</v>
      </c>
      <c r="AL10" s="169">
        <v>8.3333000000000004E-2</v>
      </c>
      <c r="AM10" s="88"/>
    </row>
    <row r="11" spans="1:40" ht="22" hidden="1" outlineLevel="1">
      <c r="A11" s="18"/>
      <c r="B11" s="172"/>
      <c r="C11" s="151"/>
      <c r="D11" s="152"/>
      <c r="E11" s="95" t="s">
        <v>227</v>
      </c>
      <c r="F11" s="94">
        <f>COUNTIF(D141:D171,1)</f>
        <v>24</v>
      </c>
      <c r="G11" s="339">
        <f t="shared" si="1"/>
        <v>54757.640402012345</v>
      </c>
      <c r="H11" s="163">
        <v>1</v>
      </c>
      <c r="I11" s="356">
        <f t="shared" si="2"/>
        <v>54757.640402012345</v>
      </c>
      <c r="J11" s="357"/>
      <c r="K11" s="358">
        <f t="shared" si="3"/>
        <v>2281.5683500838477</v>
      </c>
      <c r="L11" s="359"/>
      <c r="M11" s="306">
        <f>SUM(J141:J171)</f>
        <v>65317.029182526734</v>
      </c>
      <c r="N11" s="360">
        <f>M11-I11</f>
        <v>10559.38878051439</v>
      </c>
      <c r="O11" s="361"/>
      <c r="P11" s="165">
        <f t="shared" si="6"/>
        <v>1.1928386377314815</v>
      </c>
      <c r="Q11" s="166">
        <f t="shared" si="5"/>
        <v>1.1928386377314815</v>
      </c>
      <c r="R11" s="286">
        <v>5</v>
      </c>
      <c r="AG11" s="167"/>
      <c r="AH11" s="167"/>
      <c r="AJ11" s="18"/>
      <c r="AK11" s="168">
        <f t="shared" si="0"/>
        <v>8.3333000000000007E-4</v>
      </c>
      <c r="AL11" s="169">
        <v>8.3333000000000004E-2</v>
      </c>
    </row>
    <row r="12" spans="1:40" ht="22" hidden="1" outlineLevel="1">
      <c r="A12" s="18"/>
      <c r="B12" s="172"/>
      <c r="C12" s="151"/>
      <c r="D12" s="152"/>
      <c r="E12" s="95" t="s">
        <v>228</v>
      </c>
      <c r="F12" s="94">
        <f>COUNTIF(D172:D201,1)</f>
        <v>25</v>
      </c>
      <c r="G12" s="339">
        <f t="shared" si="1"/>
        <v>57039.208752096194</v>
      </c>
      <c r="H12" s="163">
        <v>0.85</v>
      </c>
      <c r="I12" s="356">
        <f t="shared" si="2"/>
        <v>48483.327439281762</v>
      </c>
      <c r="J12" s="357"/>
      <c r="K12" s="358">
        <f t="shared" si="3"/>
        <v>1939.3330975712704</v>
      </c>
      <c r="L12" s="359"/>
      <c r="M12" s="306">
        <f>SUM(J172:J201)</f>
        <v>55311.582381729211</v>
      </c>
      <c r="N12" s="360">
        <f t="shared" si="4"/>
        <v>6828.2549424474491</v>
      </c>
      <c r="O12" s="361"/>
      <c r="P12" s="165">
        <f t="shared" si="6"/>
        <v>0.96971160000000012</v>
      </c>
      <c r="Q12" s="166">
        <f>M12/I12</f>
        <v>1.1408371764705885</v>
      </c>
      <c r="R12" s="287">
        <v>6</v>
      </c>
      <c r="AG12" s="167"/>
      <c r="AH12" s="167"/>
      <c r="AJ12" s="18"/>
      <c r="AK12" s="168">
        <f t="shared" si="0"/>
        <v>7.0833050000000013E-4</v>
      </c>
      <c r="AL12" s="169">
        <v>8.3333000000000004E-2</v>
      </c>
    </row>
    <row r="13" spans="1:40" ht="22" hidden="1" outlineLevel="1">
      <c r="A13" s="18"/>
      <c r="B13" s="151">
        <v>110.34</v>
      </c>
      <c r="C13" s="151"/>
      <c r="D13" s="152"/>
      <c r="E13" s="95" t="s">
        <v>229</v>
      </c>
      <c r="F13" s="94">
        <f>COUNTIF(D202:D232,1)</f>
        <v>26</v>
      </c>
      <c r="G13" s="339">
        <f t="shared" si="1"/>
        <v>59320.777102180044</v>
      </c>
      <c r="H13" s="163">
        <v>1</v>
      </c>
      <c r="I13" s="356">
        <f t="shared" si="2"/>
        <v>59320.777102180044</v>
      </c>
      <c r="J13" s="357"/>
      <c r="K13" s="358">
        <f t="shared" si="3"/>
        <v>2281.5683500838477</v>
      </c>
      <c r="L13" s="359"/>
      <c r="M13" s="306">
        <f>SUM(J202:J232)</f>
        <v>59645.822004712703</v>
      </c>
      <c r="N13" s="360">
        <f t="shared" si="4"/>
        <v>325.04490253265976</v>
      </c>
      <c r="O13" s="361"/>
      <c r="P13" s="165">
        <f t="shared" si="6"/>
        <v>1.0054794444444444</v>
      </c>
      <c r="Q13" s="166">
        <f t="shared" si="5"/>
        <v>1.0054794444444444</v>
      </c>
      <c r="R13" s="286">
        <v>7</v>
      </c>
      <c r="AG13" s="167"/>
      <c r="AH13" s="167"/>
      <c r="AJ13" s="18"/>
      <c r="AK13" s="168">
        <f t="shared" si="0"/>
        <v>8.3333000000000007E-4</v>
      </c>
      <c r="AL13" s="169">
        <v>8.3333000000000004E-2</v>
      </c>
      <c r="AM13" s="18"/>
    </row>
    <row r="14" spans="1:40" ht="22" hidden="1" outlineLevel="1">
      <c r="A14" s="18"/>
      <c r="B14" s="362"/>
      <c r="C14" s="362"/>
      <c r="D14" s="152"/>
      <c r="E14" s="95" t="s">
        <v>230</v>
      </c>
      <c r="F14" s="94">
        <f>COUNTIF(D233:D263,1)</f>
        <v>20</v>
      </c>
      <c r="G14" s="339">
        <f t="shared" si="1"/>
        <v>45631.367001676954</v>
      </c>
      <c r="H14" s="163">
        <v>1</v>
      </c>
      <c r="I14" s="356">
        <f t="shared" si="2"/>
        <v>45631.367001676954</v>
      </c>
      <c r="J14" s="357"/>
      <c r="K14" s="358">
        <f t="shared" si="3"/>
        <v>2281.5683500838477</v>
      </c>
      <c r="L14" s="359"/>
      <c r="M14" s="306">
        <f>SUM(J233:J263)</f>
        <v>44020.754032988938</v>
      </c>
      <c r="N14" s="360">
        <f t="shared" si="4"/>
        <v>-1610.6129686880158</v>
      </c>
      <c r="O14" s="361"/>
      <c r="P14" s="165">
        <f t="shared" si="6"/>
        <v>0.96470381944444428</v>
      </c>
      <c r="Q14" s="166">
        <f t="shared" si="5"/>
        <v>0.96470381944444428</v>
      </c>
      <c r="R14" s="286">
        <v>8</v>
      </c>
      <c r="Y14" s="18"/>
      <c r="Z14" s="18"/>
      <c r="AA14" s="18"/>
      <c r="AB14" s="142"/>
      <c r="AC14" s="247"/>
      <c r="AD14" s="142"/>
      <c r="AE14" s="18"/>
      <c r="AF14" s="18"/>
      <c r="AG14" s="167"/>
      <c r="AH14" s="167"/>
      <c r="AI14" s="18"/>
      <c r="AJ14" s="18"/>
      <c r="AK14" s="168">
        <f t="shared" si="0"/>
        <v>8.3333000000000007E-4</v>
      </c>
      <c r="AL14" s="169">
        <v>8.3333000000000004E-2</v>
      </c>
      <c r="AM14" s="18"/>
    </row>
    <row r="15" spans="1:40" ht="22" hidden="1" outlineLevel="1">
      <c r="A15" s="18"/>
      <c r="B15" s="151"/>
      <c r="C15" s="151"/>
      <c r="D15" s="152"/>
      <c r="E15" s="95" t="s">
        <v>231</v>
      </c>
      <c r="F15" s="94">
        <f>COUNTIF(D264:D293,1)</f>
        <v>24</v>
      </c>
      <c r="G15" s="339">
        <f t="shared" si="1"/>
        <v>54757.640402012345</v>
      </c>
      <c r="H15" s="163">
        <v>1</v>
      </c>
      <c r="I15" s="356">
        <f t="shared" si="2"/>
        <v>54757.640402012345</v>
      </c>
      <c r="J15" s="357"/>
      <c r="K15" s="358">
        <f t="shared" si="3"/>
        <v>2281.5683500838477</v>
      </c>
      <c r="L15" s="359"/>
      <c r="M15" s="306">
        <f>SUM(J264:J293)</f>
        <v>56435.254667391695</v>
      </c>
      <c r="N15" s="360">
        <f t="shared" si="4"/>
        <v>1677.6142653793504</v>
      </c>
      <c r="O15" s="361"/>
      <c r="P15" s="165">
        <f t="shared" si="6"/>
        <v>1.0306370810185184</v>
      </c>
      <c r="Q15" s="166">
        <f t="shared" si="5"/>
        <v>1.0306370810185184</v>
      </c>
      <c r="R15" s="286">
        <v>9</v>
      </c>
      <c r="Y15" s="18"/>
      <c r="Z15" s="18"/>
      <c r="AA15" s="18"/>
      <c r="AB15" s="142"/>
      <c r="AC15" s="247"/>
      <c r="AD15" s="142"/>
      <c r="AE15" s="18"/>
      <c r="AF15" s="18"/>
      <c r="AG15" s="167"/>
      <c r="AH15" s="167"/>
      <c r="AI15" s="18"/>
      <c r="AJ15" s="18"/>
      <c r="AK15" s="168">
        <f t="shared" si="0"/>
        <v>8.3333000000000007E-4</v>
      </c>
      <c r="AL15" s="169">
        <v>8.3333000000000004E-2</v>
      </c>
      <c r="AM15" s="18"/>
    </row>
    <row r="16" spans="1:40" ht="22" hidden="1" outlineLevel="1">
      <c r="A16" s="18"/>
      <c r="B16" s="151"/>
      <c r="C16" s="151"/>
      <c r="D16" s="152"/>
      <c r="E16" s="95" t="s">
        <v>232</v>
      </c>
      <c r="F16" s="94">
        <f>COUNTIF(D294:D324,1)</f>
        <v>26</v>
      </c>
      <c r="G16" s="339">
        <f t="shared" si="1"/>
        <v>59320.777102180044</v>
      </c>
      <c r="H16" s="163">
        <v>1.1000000000000001</v>
      </c>
      <c r="I16" s="356">
        <f t="shared" si="2"/>
        <v>65252.854812398051</v>
      </c>
      <c r="J16" s="357"/>
      <c r="K16" s="358">
        <f t="shared" si="3"/>
        <v>2509.7251850922326</v>
      </c>
      <c r="L16" s="359"/>
      <c r="M16" s="306">
        <f>SUM(J294:J324)</f>
        <v>70728.4756208084</v>
      </c>
      <c r="N16" s="360">
        <f t="shared" si="4"/>
        <v>5475.6208084103491</v>
      </c>
      <c r="O16" s="361"/>
      <c r="P16" s="165">
        <f t="shared" si="6"/>
        <v>1.1923052777777774</v>
      </c>
      <c r="Q16" s="166">
        <f t="shared" si="5"/>
        <v>1.0839138888888886</v>
      </c>
      <c r="R16" s="286">
        <v>10</v>
      </c>
      <c r="Y16" s="18"/>
      <c r="Z16" s="18"/>
      <c r="AA16" s="18"/>
      <c r="AB16" s="142"/>
      <c r="AC16" s="247"/>
      <c r="AD16" s="142"/>
      <c r="AE16" s="18"/>
      <c r="AF16" s="18"/>
      <c r="AG16" s="167"/>
      <c r="AH16" s="167"/>
      <c r="AI16" s="18"/>
      <c r="AJ16" s="18"/>
      <c r="AK16" s="168">
        <f t="shared" si="0"/>
        <v>9.1666300000000018E-4</v>
      </c>
      <c r="AL16" s="169">
        <v>8.3333000000000004E-2</v>
      </c>
      <c r="AM16" s="18"/>
      <c r="AN16" s="88"/>
    </row>
    <row r="17" spans="1:40" ht="22" hidden="1" outlineLevel="1">
      <c r="A17" s="18"/>
      <c r="B17" s="151"/>
      <c r="C17" s="151"/>
      <c r="D17" s="152"/>
      <c r="E17" s="95" t="s">
        <v>233</v>
      </c>
      <c r="F17" s="94">
        <f>COUNTIF(D325:D354,1)</f>
        <v>23</v>
      </c>
      <c r="G17" s="339">
        <f t="shared" si="1"/>
        <v>52476.072051928495</v>
      </c>
      <c r="H17" s="163">
        <v>1.1000000000000001</v>
      </c>
      <c r="I17" s="356">
        <f t="shared" si="2"/>
        <v>57723.679257121352</v>
      </c>
      <c r="J17" s="357"/>
      <c r="K17" s="358">
        <f t="shared" si="3"/>
        <v>2509.7251850922326</v>
      </c>
      <c r="L17" s="359"/>
      <c r="M17" s="306">
        <f>SUM(J325:J354)</f>
        <v>62272.340039876755</v>
      </c>
      <c r="N17" s="360">
        <f t="shared" si="4"/>
        <v>4548.6607827554035</v>
      </c>
      <c r="O17" s="361"/>
      <c r="P17" s="165">
        <f t="shared" si="6"/>
        <v>1.186680664251208</v>
      </c>
      <c r="Q17" s="166">
        <f t="shared" si="5"/>
        <v>1.0788006038647344</v>
      </c>
      <c r="R17" s="286">
        <v>11</v>
      </c>
      <c r="X17" s="18"/>
      <c r="Y17" s="18"/>
      <c r="Z17" s="18"/>
      <c r="AA17" s="18"/>
      <c r="AB17" s="142"/>
      <c r="AC17" s="247"/>
      <c r="AD17" s="142"/>
      <c r="AE17" s="18"/>
      <c r="AF17" s="18"/>
      <c r="AG17" s="167"/>
      <c r="AH17" s="167"/>
      <c r="AI17" s="18"/>
      <c r="AJ17" s="18"/>
      <c r="AK17" s="168">
        <f t="shared" si="0"/>
        <v>9.1666300000000018E-4</v>
      </c>
      <c r="AL17" s="169">
        <v>8.3333000000000004E-2</v>
      </c>
      <c r="AM17" s="18"/>
      <c r="AN17" s="88"/>
    </row>
    <row r="18" spans="1:40" ht="22" hidden="1" outlineLevel="1">
      <c r="A18" s="18"/>
      <c r="B18" s="151"/>
      <c r="C18" s="151"/>
      <c r="D18" s="152"/>
      <c r="E18" s="95" t="s">
        <v>234</v>
      </c>
      <c r="F18" s="94">
        <f>COUNTIF(D355:D385,1)</f>
        <v>24</v>
      </c>
      <c r="G18" s="339">
        <f t="shared" si="1"/>
        <v>54757.640402012345</v>
      </c>
      <c r="H18" s="163">
        <v>1.1499999999999999</v>
      </c>
      <c r="I18" s="356">
        <f t="shared" si="2"/>
        <v>62971.286462314194</v>
      </c>
      <c r="J18" s="357"/>
      <c r="K18" s="358">
        <f t="shared" si="3"/>
        <v>2623.8036025964248</v>
      </c>
      <c r="L18" s="359"/>
      <c r="M18" s="306">
        <f>SUM(J355:J385)</f>
        <v>70291.961210802969</v>
      </c>
      <c r="N18" s="360">
        <f t="shared" si="4"/>
        <v>7320.6747484887746</v>
      </c>
      <c r="O18" s="361"/>
      <c r="P18" s="165">
        <f t="shared" si="6"/>
        <v>1.2836922974537035</v>
      </c>
      <c r="Q18" s="166">
        <f t="shared" si="5"/>
        <v>1.1162541716988728</v>
      </c>
      <c r="R18" s="286">
        <v>12</v>
      </c>
      <c r="T18" s="18"/>
      <c r="V18" s="151"/>
      <c r="W18" s="151"/>
      <c r="X18" s="18"/>
      <c r="Y18" s="18"/>
      <c r="Z18" s="18"/>
      <c r="AA18" s="18"/>
      <c r="AB18" s="142"/>
      <c r="AC18" s="247"/>
      <c r="AD18" s="142"/>
      <c r="AE18" s="18"/>
      <c r="AF18" s="18"/>
      <c r="AG18" s="167"/>
      <c r="AH18" s="167"/>
      <c r="AI18" s="18"/>
      <c r="AJ18" s="18"/>
      <c r="AK18" s="168">
        <f t="shared" si="0"/>
        <v>9.5832950000000001E-4</v>
      </c>
      <c r="AL18" s="169">
        <v>8.3333000000000004E-2</v>
      </c>
      <c r="AM18" s="18"/>
      <c r="AN18" s="88"/>
    </row>
    <row r="19" spans="1:40" ht="10.25" customHeight="1" collapsed="1">
      <c r="A19" s="18"/>
      <c r="B19" s="151"/>
      <c r="C19" s="151"/>
      <c r="D19" s="152"/>
      <c r="E19" s="151"/>
      <c r="F19" s="173"/>
      <c r="G19" s="151"/>
      <c r="H19" s="151"/>
      <c r="I19" s="174"/>
      <c r="J19" s="151"/>
      <c r="K19" s="151"/>
      <c r="L19" s="151"/>
      <c r="M19" s="151"/>
      <c r="N19" s="151"/>
      <c r="O19" s="151"/>
      <c r="P19" s="151"/>
      <c r="Q19" s="151"/>
      <c r="R19" s="151"/>
      <c r="S19" s="151"/>
      <c r="T19" s="151"/>
      <c r="U19" s="151"/>
      <c r="V19" s="151"/>
      <c r="W19" s="151"/>
      <c r="X19" s="18"/>
      <c r="Y19" s="18"/>
      <c r="Z19" s="18"/>
      <c r="AA19" s="18"/>
      <c r="AB19" s="142"/>
      <c r="AC19" s="247"/>
      <c r="AD19" s="142"/>
      <c r="AE19" s="18"/>
      <c r="AF19" s="18"/>
      <c r="AI19" s="18"/>
      <c r="AJ19" s="18"/>
      <c r="AK19" s="18"/>
      <c r="AL19" s="18"/>
      <c r="AM19" s="18"/>
      <c r="AN19" s="18"/>
    </row>
    <row r="20" spans="1:40" ht="20">
      <c r="A20" s="18"/>
      <c r="B20" s="151"/>
      <c r="C20" s="175"/>
      <c r="D20" s="176"/>
      <c r="E20" s="177" t="s">
        <v>17</v>
      </c>
      <c r="F20" s="177" t="s">
        <v>60</v>
      </c>
      <c r="G20" s="178" t="s">
        <v>36</v>
      </c>
      <c r="H20" s="179" t="s">
        <v>162</v>
      </c>
      <c r="I20" s="180"/>
      <c r="J20" s="181" t="s">
        <v>58</v>
      </c>
      <c r="K20" s="180"/>
      <c r="L20" s="182" t="s">
        <v>2</v>
      </c>
      <c r="M20" s="183" t="s">
        <v>143</v>
      </c>
      <c r="N20" s="175" t="s">
        <v>55</v>
      </c>
      <c r="O20" s="184"/>
      <c r="P20" s="185" t="s">
        <v>11</v>
      </c>
      <c r="Q20" s="177" t="s">
        <v>54</v>
      </c>
      <c r="R20" s="179" t="s">
        <v>163</v>
      </c>
      <c r="S20" s="186" t="s">
        <v>164</v>
      </c>
      <c r="T20" s="187"/>
      <c r="U20" s="185" t="s">
        <v>12</v>
      </c>
      <c r="V20" s="177" t="s">
        <v>51</v>
      </c>
      <c r="W20" s="188" t="s">
        <v>165</v>
      </c>
      <c r="X20" s="189" t="s">
        <v>166</v>
      </c>
      <c r="Y20" s="18"/>
      <c r="Z20" s="18"/>
      <c r="AA20" s="266" t="s">
        <v>188</v>
      </c>
      <c r="AB20" s="266" t="s">
        <v>96</v>
      </c>
      <c r="AC20" s="266" t="s">
        <v>202</v>
      </c>
      <c r="AD20" s="267" t="s">
        <v>186</v>
      </c>
      <c r="AE20" s="268" t="s">
        <v>189</v>
      </c>
      <c r="AF20" s="268" t="s">
        <v>203</v>
      </c>
      <c r="AG20" s="18"/>
      <c r="AH20" s="18"/>
      <c r="AI20" s="18"/>
      <c r="AJ20" s="18"/>
      <c r="AK20" s="18"/>
      <c r="AL20" s="18"/>
      <c r="AM20" s="18"/>
      <c r="AN20" s="18"/>
    </row>
    <row r="21" spans="1:40" ht="20">
      <c r="A21" s="18"/>
      <c r="B21" s="152"/>
      <c r="C21" s="55">
        <v>1</v>
      </c>
      <c r="D21" s="54">
        <v>0</v>
      </c>
      <c r="E21" s="190">
        <f>MONTH(Y21)</f>
        <v>1</v>
      </c>
      <c r="F21" s="191">
        <f>B2</f>
        <v>45658</v>
      </c>
      <c r="G21" s="192" t="str">
        <f>TEXT(Z21,"ddd")</f>
        <v>Wed</v>
      </c>
      <c r="H21" s="193" t="s">
        <v>48</v>
      </c>
      <c r="I21" s="194"/>
      <c r="J21" s="307"/>
      <c r="K21" s="196"/>
      <c r="L21" s="317">
        <f>IF(D21=0,0,IFERROR(SUMIFS($AE$21:$AE$104,$AA$21:$AA$104,$E21,$AB$21:$AB$104,$G21),0))</f>
        <v>0</v>
      </c>
      <c r="M21" s="318">
        <f t="shared" ref="M21:M84" si="7">IF(D21=0,0,J21-L21)</f>
        <v>0</v>
      </c>
      <c r="N21" s="41" t="str">
        <f t="shared" ref="N21:N275" si="8">IFERROR(J21/L21,"¥0")</f>
        <v>¥0</v>
      </c>
      <c r="O21" s="197"/>
      <c r="P21" s="317">
        <f>IF(D21=0,0,$K$7)</f>
        <v>0</v>
      </c>
      <c r="Q21" s="317">
        <f>IF(D21=0,0,$J$21)</f>
        <v>0</v>
      </c>
      <c r="R21" s="321">
        <f t="shared" ref="R21:R84" si="9">IF(D21=0,0,Q21-P21)</f>
        <v>0</v>
      </c>
      <c r="S21" s="198">
        <f>IF(D21=0,0,Q21/P21)</f>
        <v>0</v>
      </c>
      <c r="T21" s="199"/>
      <c r="U21" s="317">
        <f>IF(D21=0,0,$L$21)</f>
        <v>0</v>
      </c>
      <c r="V21" s="317">
        <f>IF(D21=0,0,$J$21)</f>
        <v>0</v>
      </c>
      <c r="W21" s="331">
        <f t="shared" ref="W21:W84" si="10">IF(D21=0,0,V21-U21)</f>
        <v>0</v>
      </c>
      <c r="X21" s="200">
        <f>IF(D21=0,0,V21/U21)</f>
        <v>0</v>
      </c>
      <c r="Y21" s="201">
        <f>B2</f>
        <v>45658</v>
      </c>
      <c r="Z21" s="202">
        <f>B2</f>
        <v>45658</v>
      </c>
      <c r="AA21" s="245">
        <v>1</v>
      </c>
      <c r="AB21" s="136" t="s">
        <v>209</v>
      </c>
      <c r="AC21" s="334">
        <f>IFERROR(AVERAGEIFS(J21:J51,D21:D51,1,G21:G51,"mon"),0)</f>
        <v>2188.5686665458279</v>
      </c>
      <c r="AD21" s="274">
        <f>COUNTIFS(D21:D51,1,G21:G51,"Mon")</f>
        <v>3</v>
      </c>
      <c r="AE21" s="334">
        <f>($I$7*'2024(¥)'!AI20)/AD21</f>
        <v>2888.9560556969705</v>
      </c>
      <c r="AF21" s="334">
        <f t="shared" ref="AF21:AF26" si="11">AD21*AE21</f>
        <v>8666.8681670909118</v>
      </c>
      <c r="AG21" s="203" t="s">
        <v>182</v>
      </c>
      <c r="AH21" s="203"/>
      <c r="AI21" s="18"/>
      <c r="AJ21" s="18"/>
      <c r="AK21" s="18"/>
      <c r="AL21" s="18"/>
      <c r="AM21" s="18"/>
      <c r="AN21" s="18"/>
    </row>
    <row r="22" spans="1:40" ht="20">
      <c r="A22" s="18"/>
      <c r="B22" s="152"/>
      <c r="C22" s="55">
        <v>2</v>
      </c>
      <c r="D22" s="54">
        <v>0</v>
      </c>
      <c r="E22" s="190">
        <f t="shared" ref="E22:E85" si="12">MONTH(Y22)</f>
        <v>1</v>
      </c>
      <c r="F22" s="191">
        <f t="shared" ref="F22:F85" si="13">F21+1</f>
        <v>45659</v>
      </c>
      <c r="G22" s="192" t="str">
        <f t="shared" ref="G22:G85" si="14">TEXT(Z22,"ddd")</f>
        <v>Thu</v>
      </c>
      <c r="H22" s="193" t="s">
        <v>45</v>
      </c>
      <c r="I22" s="194"/>
      <c r="J22" s="307"/>
      <c r="K22" s="196"/>
      <c r="L22" s="317">
        <f t="shared" ref="L22:L85" si="15">IF(D22=0,0,IFERROR(SUMIFS($AE$21:$AE$104,$AA$21:$AA$104,$E22,$AB$21:$AB$104,$G22),0))</f>
        <v>0</v>
      </c>
      <c r="M22" s="318">
        <f t="shared" si="7"/>
        <v>0</v>
      </c>
      <c r="N22" s="41" t="str">
        <f t="shared" si="8"/>
        <v>¥0</v>
      </c>
      <c r="O22" s="197"/>
      <c r="P22" s="317">
        <f>IF(D22=0,0,SUM($L$21:L22))</f>
        <v>0</v>
      </c>
      <c r="Q22" s="317">
        <f>IF(D22=0,0,SUM($J$21:J22))</f>
        <v>0</v>
      </c>
      <c r="R22" s="321">
        <f t="shared" si="9"/>
        <v>0</v>
      </c>
      <c r="S22" s="198">
        <f t="shared" ref="S22:S85" si="16">IF(D22=0,0,Q22/P22)</f>
        <v>0</v>
      </c>
      <c r="T22" s="199"/>
      <c r="U22" s="317">
        <f>IF(D22=0,0,SUM($L$21:L22))</f>
        <v>0</v>
      </c>
      <c r="V22" s="317">
        <f>IF(D22=0,0,SUM($J$21:J22))</f>
        <v>0</v>
      </c>
      <c r="W22" s="331">
        <f t="shared" si="10"/>
        <v>0</v>
      </c>
      <c r="X22" s="200">
        <f t="shared" ref="X22:X85" si="17">IF(D22=0,0,V22/U22)</f>
        <v>0</v>
      </c>
      <c r="Y22" s="201">
        <f>Y21+1</f>
        <v>45659</v>
      </c>
      <c r="Z22" s="202">
        <f>Z21+1</f>
        <v>45659</v>
      </c>
      <c r="AA22" s="245">
        <v>1</v>
      </c>
      <c r="AB22" s="243" t="s">
        <v>210</v>
      </c>
      <c r="AC22" s="335">
        <f>IFERROR(AVERAGEIFS(J21:J51,D21:D51,1,G21:G51,"tue"),0)</f>
        <v>2390.1350371578756</v>
      </c>
      <c r="AD22" s="275">
        <f>COUNTIFS(D21:D51,1,G21:G51,"tue")</f>
        <v>4</v>
      </c>
      <c r="AE22" s="334">
        <f>($I$7*'2024(¥)'!AI21)/AD22</f>
        <v>1836.0555978402626</v>
      </c>
      <c r="AF22" s="334">
        <f t="shared" si="11"/>
        <v>7344.2223913610505</v>
      </c>
      <c r="AG22" s="270"/>
      <c r="AH22" s="270"/>
      <c r="AI22" s="18"/>
      <c r="AJ22" s="18"/>
      <c r="AK22" s="18"/>
      <c r="AL22" s="18"/>
      <c r="AM22" s="18"/>
      <c r="AN22" s="18"/>
    </row>
    <row r="23" spans="1:40" ht="20">
      <c r="A23" s="18"/>
      <c r="B23" s="152"/>
      <c r="C23" s="55">
        <v>3</v>
      </c>
      <c r="D23" s="54">
        <v>0</v>
      </c>
      <c r="E23" s="190">
        <f t="shared" si="12"/>
        <v>1</v>
      </c>
      <c r="F23" s="191">
        <f t="shared" si="13"/>
        <v>45660</v>
      </c>
      <c r="G23" s="192" t="str">
        <f t="shared" si="14"/>
        <v>Fri</v>
      </c>
      <c r="H23" s="193" t="s">
        <v>45</v>
      </c>
      <c r="I23" s="194"/>
      <c r="J23" s="307"/>
      <c r="K23" s="196"/>
      <c r="L23" s="317">
        <f t="shared" si="15"/>
        <v>0</v>
      </c>
      <c r="M23" s="318">
        <f t="shared" si="7"/>
        <v>0</v>
      </c>
      <c r="N23" s="41" t="str">
        <f t="shared" si="8"/>
        <v>¥0</v>
      </c>
      <c r="O23" s="197"/>
      <c r="P23" s="317">
        <f>IF(D23=0,0,SUM($L$21:L23))</f>
        <v>0</v>
      </c>
      <c r="Q23" s="317">
        <f>IF(D23=0,0,SUM($J$21:J23))</f>
        <v>0</v>
      </c>
      <c r="R23" s="321">
        <f t="shared" si="9"/>
        <v>0</v>
      </c>
      <c r="S23" s="198">
        <f t="shared" si="16"/>
        <v>0</v>
      </c>
      <c r="T23" s="199"/>
      <c r="U23" s="317">
        <f>IF(D23=0,0,SUM($L$21:L23))</f>
        <v>0</v>
      </c>
      <c r="V23" s="317">
        <f>IF(D23=0,0,SUM($J$21:J23))</f>
        <v>0</v>
      </c>
      <c r="W23" s="331">
        <f t="shared" si="10"/>
        <v>0</v>
      </c>
      <c r="X23" s="200">
        <f t="shared" si="17"/>
        <v>0</v>
      </c>
      <c r="Y23" s="201">
        <f t="shared" ref="Y23:Z38" si="18">Y22+1</f>
        <v>45660</v>
      </c>
      <c r="Z23" s="202">
        <f t="shared" si="18"/>
        <v>45660</v>
      </c>
      <c r="AA23" s="245">
        <v>1</v>
      </c>
      <c r="AB23" s="243" t="s">
        <v>211</v>
      </c>
      <c r="AC23" s="336">
        <f>IFERROR(AVERAGEIFS(J21:J51,D21:D51,1,G21:G51,"wed"),0)</f>
        <v>2090.1531629508791</v>
      </c>
      <c r="AD23" s="275">
        <f>COUNTIFS(D21:D51,1,G21:G51,"wed")</f>
        <v>4</v>
      </c>
      <c r="AE23" s="334">
        <f>IFERROR(($I$7*'2024(¥)'!AI22)/AD23,0)</f>
        <v>2068.0255531592288</v>
      </c>
      <c r="AF23" s="334">
        <f t="shared" si="11"/>
        <v>8272.1022126369153</v>
      </c>
      <c r="AG23" s="203"/>
      <c r="AH23" s="203"/>
      <c r="AI23" s="18"/>
      <c r="AJ23" s="18"/>
      <c r="AK23" s="18"/>
      <c r="AL23" s="18"/>
      <c r="AM23" s="18"/>
      <c r="AN23" s="18"/>
    </row>
    <row r="24" spans="1:40" ht="20">
      <c r="A24" s="18"/>
      <c r="B24" s="152"/>
      <c r="C24" s="55">
        <v>4</v>
      </c>
      <c r="D24" s="54">
        <v>0</v>
      </c>
      <c r="E24" s="190">
        <f t="shared" si="12"/>
        <v>1</v>
      </c>
      <c r="F24" s="191">
        <f t="shared" si="13"/>
        <v>45661</v>
      </c>
      <c r="G24" s="192" t="str">
        <f t="shared" si="14"/>
        <v>Sat</v>
      </c>
      <c r="H24" s="193"/>
      <c r="I24" s="194"/>
      <c r="J24" s="307"/>
      <c r="K24" s="196"/>
      <c r="L24" s="317">
        <f t="shared" si="15"/>
        <v>0</v>
      </c>
      <c r="M24" s="318">
        <f t="shared" si="7"/>
        <v>0</v>
      </c>
      <c r="N24" s="41" t="str">
        <f t="shared" si="8"/>
        <v>¥0</v>
      </c>
      <c r="O24" s="197"/>
      <c r="P24" s="317">
        <f>IF(D24=0,0,SUM($L$21:L24))</f>
        <v>0</v>
      </c>
      <c r="Q24" s="317">
        <f>IF(D24=0,0,SUM($J$21:J24))</f>
        <v>0</v>
      </c>
      <c r="R24" s="321">
        <f t="shared" si="9"/>
        <v>0</v>
      </c>
      <c r="S24" s="198">
        <f t="shared" si="16"/>
        <v>0</v>
      </c>
      <c r="T24" s="204"/>
      <c r="U24" s="317">
        <f>IF(D24=0,0,SUM($L$21:L24))</f>
        <v>0</v>
      </c>
      <c r="V24" s="317">
        <f>IF(D24=0,0,SUM($J$21:J24))</f>
        <v>0</v>
      </c>
      <c r="W24" s="331">
        <f t="shared" si="10"/>
        <v>0</v>
      </c>
      <c r="X24" s="200">
        <f t="shared" si="17"/>
        <v>0</v>
      </c>
      <c r="Y24" s="201">
        <f t="shared" si="18"/>
        <v>45661</v>
      </c>
      <c r="Z24" s="202">
        <f t="shared" si="18"/>
        <v>45661</v>
      </c>
      <c r="AA24" s="245">
        <v>1</v>
      </c>
      <c r="AB24" s="243" t="s">
        <v>212</v>
      </c>
      <c r="AC24" s="336">
        <f>IFERROR(AVERAGEIFS(J21:J51,D21:D51,1,G21:G51,"thu"),0)</f>
        <v>2746.2162407105307</v>
      </c>
      <c r="AD24" s="275">
        <f>COUNTIFS(D21:D51,1,G21:G51,"thu")</f>
        <v>4</v>
      </c>
      <c r="AE24" s="334">
        <f>($I$7*'2024(¥)'!AI23)/AD24</f>
        <v>1436.7425561451571</v>
      </c>
      <c r="AF24" s="334">
        <f t="shared" si="11"/>
        <v>5746.9702245806284</v>
      </c>
      <c r="AG24" s="203"/>
      <c r="AH24" s="203"/>
      <c r="AI24" s="18"/>
      <c r="AJ24" s="18"/>
      <c r="AK24" s="18"/>
      <c r="AL24" s="18"/>
      <c r="AM24" s="18"/>
      <c r="AN24" s="18"/>
    </row>
    <row r="25" spans="1:40" ht="20">
      <c r="A25" s="18"/>
      <c r="B25" s="152"/>
      <c r="C25" s="55">
        <v>5</v>
      </c>
      <c r="D25" s="54">
        <v>0</v>
      </c>
      <c r="E25" s="190">
        <f t="shared" si="12"/>
        <v>1</v>
      </c>
      <c r="F25" s="191">
        <f t="shared" si="13"/>
        <v>45662</v>
      </c>
      <c r="G25" s="192" t="str">
        <f t="shared" si="14"/>
        <v>Sun</v>
      </c>
      <c r="H25" s="193"/>
      <c r="I25" s="194"/>
      <c r="J25" s="307"/>
      <c r="K25" s="196"/>
      <c r="L25" s="317">
        <f t="shared" si="15"/>
        <v>0</v>
      </c>
      <c r="M25" s="318">
        <f t="shared" si="7"/>
        <v>0</v>
      </c>
      <c r="N25" s="41" t="str">
        <f t="shared" si="8"/>
        <v>¥0</v>
      </c>
      <c r="O25" s="197"/>
      <c r="P25" s="317">
        <f>IF(D25=0,0,SUM($L$21:L25))</f>
        <v>0</v>
      </c>
      <c r="Q25" s="317">
        <f>IF(D25=0,0,SUM($J$21:J25))</f>
        <v>0</v>
      </c>
      <c r="R25" s="321">
        <f t="shared" si="9"/>
        <v>0</v>
      </c>
      <c r="S25" s="198">
        <f t="shared" si="16"/>
        <v>0</v>
      </c>
      <c r="T25" s="199"/>
      <c r="U25" s="317">
        <f>IF(D25=0,0,SUM($L$21:L25))</f>
        <v>0</v>
      </c>
      <c r="V25" s="317">
        <f>IF(D25=0,0,SUM($J$21:J25))</f>
        <v>0</v>
      </c>
      <c r="W25" s="331">
        <f t="shared" si="10"/>
        <v>0</v>
      </c>
      <c r="X25" s="200">
        <f t="shared" si="17"/>
        <v>0</v>
      </c>
      <c r="Y25" s="201">
        <f t="shared" si="18"/>
        <v>45662</v>
      </c>
      <c r="Z25" s="202">
        <f t="shared" si="18"/>
        <v>45662</v>
      </c>
      <c r="AA25" s="245">
        <v>1</v>
      </c>
      <c r="AB25" s="243" t="s">
        <v>213</v>
      </c>
      <c r="AC25" s="336">
        <f>IFERROR(AVERAGEIFS(J21:J51,D21:D51,1,G21:G51,"fri"),0)</f>
        <v>3193.6514410005434</v>
      </c>
      <c r="AD25" s="275">
        <f>COUNTIFS(D21:D51,1,G21:G51,"fri")</f>
        <v>4</v>
      </c>
      <c r="AE25" s="334">
        <f>($I$7*'2024(¥)'!AI24)/AD25</f>
        <v>2508.4122369484471</v>
      </c>
      <c r="AF25" s="334">
        <f t="shared" si="11"/>
        <v>10033.648947793788</v>
      </c>
      <c r="AG25" s="203"/>
      <c r="AH25" s="203"/>
      <c r="AI25" s="18"/>
      <c r="AJ25" s="18"/>
      <c r="AK25" s="18"/>
      <c r="AL25" s="18"/>
      <c r="AM25" s="18"/>
      <c r="AN25" s="18"/>
    </row>
    <row r="26" spans="1:40" ht="20">
      <c r="A26" s="18"/>
      <c r="B26" s="152"/>
      <c r="C26" s="55">
        <v>6</v>
      </c>
      <c r="D26" s="54">
        <v>1</v>
      </c>
      <c r="E26" s="190">
        <f t="shared" si="12"/>
        <v>1</v>
      </c>
      <c r="F26" s="191">
        <f t="shared" si="13"/>
        <v>45663</v>
      </c>
      <c r="G26" s="192" t="str">
        <f t="shared" si="14"/>
        <v>Mon</v>
      </c>
      <c r="H26" s="193"/>
      <c r="I26" s="194"/>
      <c r="J26" s="308">
        <f>215720/B13</f>
        <v>1955.048033351459</v>
      </c>
      <c r="K26" s="206"/>
      <c r="L26" s="317">
        <f t="shared" si="15"/>
        <v>2888.9560556969705</v>
      </c>
      <c r="M26" s="318">
        <f t="shared" si="7"/>
        <v>-933.90802234551143</v>
      </c>
      <c r="N26" s="41">
        <f>IFERROR(J26/L26,"¥0")</f>
        <v>0.67673166211584934</v>
      </c>
      <c r="O26" s="197"/>
      <c r="P26" s="317">
        <f>IF(D26=0,0,SUM($L$21:L26))</f>
        <v>2888.9560556969705</v>
      </c>
      <c r="Q26" s="317">
        <f>IF(D26=0,0,SUM($J$21:J26))</f>
        <v>1955.048033351459</v>
      </c>
      <c r="R26" s="321">
        <f t="shared" si="9"/>
        <v>-933.90802234551143</v>
      </c>
      <c r="S26" s="198">
        <f t="shared" si="16"/>
        <v>0.67673166211584934</v>
      </c>
      <c r="T26" s="207"/>
      <c r="U26" s="317">
        <f>IF(D26=0,0,SUM($L$21:L26))</f>
        <v>2888.9560556969705</v>
      </c>
      <c r="V26" s="317">
        <f>IF(D26=0,0,SUM($J$21:J26))</f>
        <v>1955.048033351459</v>
      </c>
      <c r="W26" s="331">
        <f t="shared" si="10"/>
        <v>-933.90802234551143</v>
      </c>
      <c r="X26" s="200">
        <f t="shared" si="17"/>
        <v>0.67673166211584934</v>
      </c>
      <c r="Y26" s="201">
        <f t="shared" si="18"/>
        <v>45663</v>
      </c>
      <c r="Z26" s="202">
        <f t="shared" si="18"/>
        <v>45663</v>
      </c>
      <c r="AA26" s="245">
        <v>1</v>
      </c>
      <c r="AB26" s="243" t="s">
        <v>214</v>
      </c>
      <c r="AC26" s="336">
        <f>IFERROR(AVERAGEIFS(J21:J51,D21:D51,1,G21:G51,"sat"),0)</f>
        <v>875.32475379131176</v>
      </c>
      <c r="AD26" s="275">
        <f>COUNTIFS(D21:D51,1,G21:G51,"sat")</f>
        <v>3</v>
      </c>
      <c r="AE26" s="334">
        <f>($I$7*'2024(¥)'!AI25)/AD26</f>
        <v>867.17206770155099</v>
      </c>
      <c r="AF26" s="334">
        <f t="shared" si="11"/>
        <v>2601.516203104653</v>
      </c>
      <c r="AG26" s="273" t="s">
        <v>190</v>
      </c>
      <c r="AH26" s="203"/>
      <c r="AI26" s="18"/>
      <c r="AJ26" s="18"/>
      <c r="AK26" s="18"/>
      <c r="AL26" s="18"/>
      <c r="AM26" s="18"/>
      <c r="AN26" s="18"/>
    </row>
    <row r="27" spans="1:40" ht="20">
      <c r="A27" s="18"/>
      <c r="B27" s="152"/>
      <c r="C27" s="55">
        <v>7</v>
      </c>
      <c r="D27" s="54">
        <v>1</v>
      </c>
      <c r="E27" s="190">
        <f t="shared" si="12"/>
        <v>1</v>
      </c>
      <c r="F27" s="191">
        <f t="shared" si="13"/>
        <v>45664</v>
      </c>
      <c r="G27" s="192" t="str">
        <f t="shared" si="14"/>
        <v>Tue</v>
      </c>
      <c r="H27" s="193"/>
      <c r="I27" s="194"/>
      <c r="J27" s="308">
        <f>224970/B13</f>
        <v>2038.8798259923872</v>
      </c>
      <c r="K27" s="206"/>
      <c r="L27" s="317">
        <f t="shared" si="15"/>
        <v>1836.0555978402626</v>
      </c>
      <c r="M27" s="318">
        <f t="shared" si="7"/>
        <v>202.82422815212453</v>
      </c>
      <c r="N27" s="41">
        <f t="shared" si="8"/>
        <v>1.1104673673230294</v>
      </c>
      <c r="O27" s="197"/>
      <c r="P27" s="317">
        <f>IF(D27=0,0,SUM($L$21:L27))</f>
        <v>4725.0116535372326</v>
      </c>
      <c r="Q27" s="317">
        <f>IF(D27=0,0,SUM($J$21:J27))</f>
        <v>3993.9278593438462</v>
      </c>
      <c r="R27" s="321">
        <f t="shared" si="9"/>
        <v>-731.08379419338644</v>
      </c>
      <c r="S27" s="198">
        <f t="shared" si="16"/>
        <v>0.84527365268060595</v>
      </c>
      <c r="T27" s="207"/>
      <c r="U27" s="317">
        <f>IF(D27=0,0,SUM($L$21:L27))</f>
        <v>4725.0116535372326</v>
      </c>
      <c r="V27" s="317">
        <f>IF(D27=0,0,SUM($J$21:J27))</f>
        <v>3993.9278593438462</v>
      </c>
      <c r="W27" s="331">
        <f t="shared" si="10"/>
        <v>-731.08379419338644</v>
      </c>
      <c r="X27" s="200">
        <f t="shared" si="17"/>
        <v>0.84527365268060595</v>
      </c>
      <c r="Y27" s="201">
        <f t="shared" si="18"/>
        <v>45664</v>
      </c>
      <c r="Z27" s="202">
        <f t="shared" si="18"/>
        <v>45664</v>
      </c>
      <c r="AA27" s="245">
        <v>1</v>
      </c>
      <c r="AB27" s="243" t="s">
        <v>215</v>
      </c>
      <c r="AC27" s="336">
        <f>IFERROR(AVERAGEIFS(J21:J51,D21:D51,1,G21:G51,"sun"),0)</f>
        <v>0</v>
      </c>
      <c r="AD27" s="275">
        <f>IFERROR(COUNTIFS(D21:D51,1,G21:G51,"sun"),0)</f>
        <v>0</v>
      </c>
      <c r="AE27" s="334">
        <f>IFERROR(($I$7*'2024(¥)'!AI26)/AD27,0)</f>
        <v>0</v>
      </c>
      <c r="AF27" s="337">
        <f>SUM(AF21:AF26)</f>
        <v>42665.328146567947</v>
      </c>
      <c r="AG27" s="272">
        <f>I7</f>
        <v>42665.328146567947</v>
      </c>
      <c r="AH27" s="270"/>
      <c r="AI27" s="18"/>
      <c r="AJ27" s="18"/>
      <c r="AK27" s="18"/>
      <c r="AL27" s="18"/>
      <c r="AM27" s="18"/>
      <c r="AN27" s="18"/>
    </row>
    <row r="28" spans="1:40" ht="20">
      <c r="A28" s="18"/>
      <c r="B28" s="152"/>
      <c r="C28" s="55">
        <v>8</v>
      </c>
      <c r="D28" s="54">
        <v>1</v>
      </c>
      <c r="E28" s="190">
        <f t="shared" si="12"/>
        <v>1</v>
      </c>
      <c r="F28" s="191">
        <f t="shared" si="13"/>
        <v>45665</v>
      </c>
      <c r="G28" s="192" t="str">
        <f t="shared" si="14"/>
        <v>Wed</v>
      </c>
      <c r="H28" s="193"/>
      <c r="I28" s="194"/>
      <c r="J28" s="308">
        <f>194050/B13</f>
        <v>1758.6550661591443</v>
      </c>
      <c r="K28" s="206"/>
      <c r="L28" s="317">
        <f t="shared" si="15"/>
        <v>2068.0255531592288</v>
      </c>
      <c r="M28" s="318">
        <f t="shared" si="7"/>
        <v>-309.37048700008449</v>
      </c>
      <c r="N28" s="41">
        <f t="shared" si="8"/>
        <v>0.85040296696166384</v>
      </c>
      <c r="O28" s="197"/>
      <c r="P28" s="317">
        <f>IF(D28=0,0,SUM($L$21:L28))</f>
        <v>6793.037206696461</v>
      </c>
      <c r="Q28" s="317">
        <f>IF(D28=0,0,SUM($J$21:J28))</f>
        <v>5752.5829255029903</v>
      </c>
      <c r="R28" s="321">
        <f t="shared" si="9"/>
        <v>-1040.4542811934707</v>
      </c>
      <c r="S28" s="198">
        <f t="shared" si="16"/>
        <v>0.84683518586239914</v>
      </c>
      <c r="T28" s="207"/>
      <c r="U28" s="317">
        <f>IF(D28=0,0,SUM($L$21:L28))</f>
        <v>6793.037206696461</v>
      </c>
      <c r="V28" s="317">
        <f>IF(D28=0,0,SUM($J$21:J28))</f>
        <v>5752.5829255029903</v>
      </c>
      <c r="W28" s="331">
        <f t="shared" si="10"/>
        <v>-1040.4542811934707</v>
      </c>
      <c r="X28" s="200">
        <f t="shared" si="17"/>
        <v>0.84683518586239914</v>
      </c>
      <c r="Y28" s="201">
        <f t="shared" si="18"/>
        <v>45665</v>
      </c>
      <c r="Z28" s="202">
        <f t="shared" si="18"/>
        <v>45665</v>
      </c>
      <c r="AA28" s="246">
        <v>2</v>
      </c>
      <c r="AB28" s="136" t="s">
        <v>216</v>
      </c>
      <c r="AC28" s="336">
        <f>IFERROR(AVERAGEIFS(J52:J79,D52:D79,1,G52:G79,"mon"),0)</f>
        <v>1979.125128391034</v>
      </c>
      <c r="AD28" s="275">
        <f>COUNTIFS(D52:D79,1,G52:G79,"Mon")</f>
        <v>3</v>
      </c>
      <c r="AE28" s="335">
        <f>($I$8*'2024(¥)'!AI27)/AD28</f>
        <v>1972.5494736714036</v>
      </c>
      <c r="AF28" s="334">
        <f t="shared" ref="AF28:AF33" si="19">AD28*AE28</f>
        <v>5917.6484210142107</v>
      </c>
      <c r="AG28" s="203" t="s">
        <v>183</v>
      </c>
      <c r="AH28" s="203"/>
      <c r="AI28" s="18"/>
      <c r="AJ28" s="18"/>
      <c r="AK28" s="18"/>
      <c r="AL28" s="18"/>
      <c r="AM28" s="18"/>
      <c r="AN28" s="18"/>
    </row>
    <row r="29" spans="1:40" ht="20">
      <c r="A29" s="18"/>
      <c r="B29" s="152"/>
      <c r="C29" s="55">
        <v>9</v>
      </c>
      <c r="D29" s="54">
        <v>1</v>
      </c>
      <c r="E29" s="190">
        <f t="shared" si="12"/>
        <v>1</v>
      </c>
      <c r="F29" s="191">
        <f t="shared" si="13"/>
        <v>45666</v>
      </c>
      <c r="G29" s="192" t="str">
        <f t="shared" si="14"/>
        <v>Thu</v>
      </c>
      <c r="H29" s="193"/>
      <c r="I29" s="194"/>
      <c r="J29" s="308">
        <f>259520/B13</f>
        <v>2352.0029001268804</v>
      </c>
      <c r="K29" s="206"/>
      <c r="L29" s="317">
        <f t="shared" si="15"/>
        <v>1436.7425561451571</v>
      </c>
      <c r="M29" s="318">
        <f t="shared" si="7"/>
        <v>915.26034398172328</v>
      </c>
      <c r="N29" s="41">
        <f t="shared" si="8"/>
        <v>1.6370385147060769</v>
      </c>
      <c r="O29" s="197"/>
      <c r="P29" s="317">
        <f>IF(D29=0,0,SUM($L$21:L29))</f>
        <v>8229.7797628416174</v>
      </c>
      <c r="Q29" s="317">
        <f>IF(D29=0,0,SUM($J$21:J29))</f>
        <v>8104.5858256298707</v>
      </c>
      <c r="R29" s="321">
        <f t="shared" si="9"/>
        <v>-125.19393721174674</v>
      </c>
      <c r="S29" s="198">
        <f t="shared" si="16"/>
        <v>0.98478769288857382</v>
      </c>
      <c r="T29" s="207"/>
      <c r="U29" s="317">
        <f>IF(D29=0,0,SUM($L$21:L29))</f>
        <v>8229.7797628416174</v>
      </c>
      <c r="V29" s="317">
        <f>IF(D29=0,0,SUM($J$21:J29))</f>
        <v>8104.5858256298707</v>
      </c>
      <c r="W29" s="331">
        <f t="shared" si="10"/>
        <v>-125.19393721174674</v>
      </c>
      <c r="X29" s="200">
        <f t="shared" si="17"/>
        <v>0.98478769288857382</v>
      </c>
      <c r="Y29" s="201">
        <f t="shared" si="18"/>
        <v>45666</v>
      </c>
      <c r="Z29" s="202">
        <f t="shared" si="18"/>
        <v>45666</v>
      </c>
      <c r="AA29" s="246">
        <v>2</v>
      </c>
      <c r="AB29" s="243" t="s">
        <v>217</v>
      </c>
      <c r="AC29" s="336">
        <f>IFERROR(AVERAGEIFS(J53:J80,D53:D80,1,G53:G80,"tue"),0)</f>
        <v>2356.353090447707</v>
      </c>
      <c r="AD29" s="275">
        <f>COUNTIFS(D52:D79,1,G52:G79,"tue")</f>
        <v>3</v>
      </c>
      <c r="AE29" s="335">
        <f>($I$8*'2024(¥)'!AI28)/AD29</f>
        <v>2436.6637087523163</v>
      </c>
      <c r="AF29" s="334">
        <f t="shared" si="19"/>
        <v>7309.9911262569494</v>
      </c>
      <c r="AG29" s="203"/>
      <c r="AH29" s="203"/>
      <c r="AI29" s="18"/>
      <c r="AJ29" s="18"/>
      <c r="AK29" s="18"/>
      <c r="AL29" s="18"/>
      <c r="AM29" s="18"/>
      <c r="AN29" s="18"/>
    </row>
    <row r="30" spans="1:40" ht="20">
      <c r="A30" s="18"/>
      <c r="B30" s="152"/>
      <c r="C30" s="55">
        <v>10</v>
      </c>
      <c r="D30" s="54">
        <v>1</v>
      </c>
      <c r="E30" s="190">
        <f t="shared" si="12"/>
        <v>1</v>
      </c>
      <c r="F30" s="191">
        <f t="shared" si="13"/>
        <v>45667</v>
      </c>
      <c r="G30" s="192" t="str">
        <f t="shared" si="14"/>
        <v>Fri</v>
      </c>
      <c r="H30" s="193"/>
      <c r="I30" s="194"/>
      <c r="J30" s="308">
        <f>364100/B13</f>
        <v>3299.800616276962</v>
      </c>
      <c r="K30" s="206"/>
      <c r="L30" s="317">
        <f t="shared" si="15"/>
        <v>2508.4122369484471</v>
      </c>
      <c r="M30" s="318">
        <f t="shared" si="7"/>
        <v>791.38837932851493</v>
      </c>
      <c r="N30" s="41">
        <f t="shared" si="8"/>
        <v>1.3154937484642719</v>
      </c>
      <c r="O30" s="197"/>
      <c r="P30" s="317">
        <f>IF(D30=0,0,SUM($L$21:L30))</f>
        <v>10738.191999790064</v>
      </c>
      <c r="Q30" s="317">
        <f>IF(D30=0,0,SUM($J$21:J30))</f>
        <v>11404.386441906832</v>
      </c>
      <c r="R30" s="321">
        <f t="shared" si="9"/>
        <v>666.19444211676819</v>
      </c>
      <c r="S30" s="198">
        <f t="shared" si="16"/>
        <v>1.0620397215965027</v>
      </c>
      <c r="T30" s="207"/>
      <c r="U30" s="317">
        <f>IF(D30=0,0,SUM($L$21:L30))</f>
        <v>10738.191999790064</v>
      </c>
      <c r="V30" s="317">
        <f>IF(D30=0,0,SUM($J$21:J30))</f>
        <v>11404.386441906832</v>
      </c>
      <c r="W30" s="331">
        <f t="shared" si="10"/>
        <v>666.19444211676819</v>
      </c>
      <c r="X30" s="200">
        <f t="shared" si="17"/>
        <v>1.0620397215965027</v>
      </c>
      <c r="Y30" s="201">
        <f t="shared" si="18"/>
        <v>45667</v>
      </c>
      <c r="Z30" s="202">
        <f t="shared" si="18"/>
        <v>45667</v>
      </c>
      <c r="AA30" s="246">
        <v>2</v>
      </c>
      <c r="AB30" s="243" t="s">
        <v>218</v>
      </c>
      <c r="AC30" s="336">
        <f>IFERROR(AVERAGEIFS(J52:J79,D52:D79,1,G52:G79,"wed"),0)</f>
        <v>2417.0744970092442</v>
      </c>
      <c r="AD30" s="275">
        <f>COUNTIFS(D52:D79,1,G52:G79,"wed")</f>
        <v>4</v>
      </c>
      <c r="AE30" s="335">
        <f>($I$8*'2024(¥)'!AI29)/AD30</f>
        <v>1891.2377856377923</v>
      </c>
      <c r="AF30" s="334">
        <f t="shared" si="19"/>
        <v>7564.9511425511691</v>
      </c>
      <c r="AG30" s="203"/>
      <c r="AH30" s="203"/>
      <c r="AI30" s="18"/>
      <c r="AJ30" s="18"/>
      <c r="AK30" s="18"/>
      <c r="AL30" s="18"/>
      <c r="AM30" s="18"/>
      <c r="AN30" s="18"/>
    </row>
    <row r="31" spans="1:40" ht="20">
      <c r="A31" s="18"/>
      <c r="B31" s="152"/>
      <c r="C31" s="55">
        <v>11</v>
      </c>
      <c r="D31" s="54">
        <v>1</v>
      </c>
      <c r="E31" s="190">
        <f t="shared" si="12"/>
        <v>1</v>
      </c>
      <c r="F31" s="191">
        <f t="shared" si="13"/>
        <v>45668</v>
      </c>
      <c r="G31" s="192" t="str">
        <f t="shared" si="14"/>
        <v>Sat</v>
      </c>
      <c r="H31" s="193"/>
      <c r="I31" s="194"/>
      <c r="J31" s="309">
        <f>113500/B13</f>
        <v>1028.6387529454414</v>
      </c>
      <c r="K31" s="209"/>
      <c r="L31" s="317">
        <f t="shared" si="15"/>
        <v>867.17206770155099</v>
      </c>
      <c r="M31" s="318">
        <f t="shared" si="7"/>
        <v>161.46668524389042</v>
      </c>
      <c r="N31" s="41">
        <f t="shared" si="8"/>
        <v>1.1861991307813449</v>
      </c>
      <c r="O31" s="197"/>
      <c r="P31" s="317">
        <f>IF(D31=0,0,SUM($L$21:L31))</f>
        <v>11605.364067491615</v>
      </c>
      <c r="Q31" s="317">
        <f>IF(D31=0,0,SUM($J$21:J31))</f>
        <v>12433.025194852275</v>
      </c>
      <c r="R31" s="321">
        <f t="shared" si="9"/>
        <v>827.66112736065952</v>
      </c>
      <c r="S31" s="198">
        <f t="shared" si="16"/>
        <v>1.0713171187519281</v>
      </c>
      <c r="T31" s="207"/>
      <c r="U31" s="317">
        <f>IF(D31=0,0,SUM($L$21:L31))</f>
        <v>11605.364067491615</v>
      </c>
      <c r="V31" s="317">
        <f>IF(D31=0,0,SUM($J$21:J31))</f>
        <v>12433.025194852275</v>
      </c>
      <c r="W31" s="331">
        <f t="shared" si="10"/>
        <v>827.66112736065952</v>
      </c>
      <c r="X31" s="200">
        <f t="shared" si="17"/>
        <v>1.0713171187519281</v>
      </c>
      <c r="Y31" s="201">
        <f t="shared" si="18"/>
        <v>45668</v>
      </c>
      <c r="Z31" s="202">
        <f t="shared" si="18"/>
        <v>45668</v>
      </c>
      <c r="AA31" s="246">
        <v>2</v>
      </c>
      <c r="AB31" s="243" t="s">
        <v>219</v>
      </c>
      <c r="AC31" s="336">
        <f>IFERROR(AVERAGEIFS(J52:J79,D52:D79,1,G52:G79,"thu"),0)</f>
        <v>2933.9541417437013</v>
      </c>
      <c r="AD31" s="275">
        <f>COUNTIFS(D52:D79,1,G52:G79,"thu")</f>
        <v>4</v>
      </c>
      <c r="AE31" s="335">
        <f>($I$8*'2024(¥)'!AI30)/AD31</f>
        <v>2488.5684159838429</v>
      </c>
      <c r="AF31" s="334">
        <f t="shared" si="19"/>
        <v>9954.2736639353716</v>
      </c>
      <c r="AG31" s="203"/>
      <c r="AH31" s="203"/>
      <c r="AI31" s="18"/>
      <c r="AJ31" s="18"/>
      <c r="AK31" s="18"/>
      <c r="AL31" s="18"/>
      <c r="AM31" s="18"/>
      <c r="AN31" s="18"/>
    </row>
    <row r="32" spans="1:40" ht="20">
      <c r="A32" s="18"/>
      <c r="B32" s="152"/>
      <c r="C32" s="55">
        <v>12</v>
      </c>
      <c r="D32" s="54">
        <v>0</v>
      </c>
      <c r="E32" s="190">
        <f t="shared" si="12"/>
        <v>1</v>
      </c>
      <c r="F32" s="191">
        <f t="shared" si="13"/>
        <v>45669</v>
      </c>
      <c r="G32" s="192" t="str">
        <f t="shared" si="14"/>
        <v>Sun</v>
      </c>
      <c r="H32" s="193"/>
      <c r="I32" s="194"/>
      <c r="J32" s="310"/>
      <c r="K32" s="211"/>
      <c r="L32" s="317">
        <f t="shared" si="15"/>
        <v>0</v>
      </c>
      <c r="M32" s="318">
        <f t="shared" si="7"/>
        <v>0</v>
      </c>
      <c r="N32" s="41" t="str">
        <f t="shared" si="8"/>
        <v>¥0</v>
      </c>
      <c r="O32" s="197"/>
      <c r="P32" s="317">
        <f>IF(D32=0,0,SUM($L$21:L32))</f>
        <v>0</v>
      </c>
      <c r="Q32" s="317">
        <f>IF(D32=0,0,SUM($J$21:J32))</f>
        <v>0</v>
      </c>
      <c r="R32" s="321">
        <f t="shared" si="9"/>
        <v>0</v>
      </c>
      <c r="S32" s="198">
        <f t="shared" si="16"/>
        <v>0</v>
      </c>
      <c r="T32" s="212"/>
      <c r="U32" s="317">
        <f>IF(D32=0,0,SUM($L$21:L32))</f>
        <v>0</v>
      </c>
      <c r="V32" s="317">
        <f>IF(D32=0,0,SUM($J$21:J32))</f>
        <v>0</v>
      </c>
      <c r="W32" s="331">
        <f t="shared" si="10"/>
        <v>0</v>
      </c>
      <c r="X32" s="200">
        <f t="shared" si="17"/>
        <v>0</v>
      </c>
      <c r="Y32" s="201">
        <f t="shared" si="18"/>
        <v>45669</v>
      </c>
      <c r="Z32" s="202">
        <f t="shared" si="18"/>
        <v>45669</v>
      </c>
      <c r="AA32" s="246">
        <v>2</v>
      </c>
      <c r="AB32" s="243" t="s">
        <v>220</v>
      </c>
      <c r="AC32" s="336">
        <f>IFERROR(AVERAGEIFS(J52:J79,D52:D79,1,G52:G79,"fri"),0)</f>
        <v>3099.782490483959</v>
      </c>
      <c r="AD32" s="275">
        <f>COUNTIFS(D52:D79,1,G52:G79,"fri")</f>
        <v>4</v>
      </c>
      <c r="AE32" s="335">
        <f>($I$8*'2024(¥)'!AI31)/AD32</f>
        <v>1816.1956062015797</v>
      </c>
      <c r="AF32" s="334">
        <f t="shared" si="19"/>
        <v>7264.7824248063189</v>
      </c>
      <c r="AG32" s="203"/>
      <c r="AH32" s="203"/>
      <c r="AI32" s="18"/>
      <c r="AJ32" s="18"/>
      <c r="AK32" s="18"/>
      <c r="AL32" s="18"/>
      <c r="AM32" s="18"/>
      <c r="AN32" s="18"/>
    </row>
    <row r="33" spans="1:40" ht="20">
      <c r="A33" s="18"/>
      <c r="B33" s="151"/>
      <c r="C33" s="55">
        <v>13</v>
      </c>
      <c r="D33" s="54">
        <v>0</v>
      </c>
      <c r="E33" s="190">
        <f t="shared" si="12"/>
        <v>1</v>
      </c>
      <c r="F33" s="191">
        <f t="shared" si="13"/>
        <v>45670</v>
      </c>
      <c r="G33" s="192" t="str">
        <f t="shared" si="14"/>
        <v>Mon</v>
      </c>
      <c r="H33" s="193" t="s">
        <v>167</v>
      </c>
      <c r="I33" s="194"/>
      <c r="J33" s="310"/>
      <c r="K33" s="211"/>
      <c r="L33" s="317">
        <f t="shared" si="15"/>
        <v>0</v>
      </c>
      <c r="M33" s="318">
        <f t="shared" si="7"/>
        <v>0</v>
      </c>
      <c r="N33" s="41" t="str">
        <f t="shared" si="8"/>
        <v>¥0</v>
      </c>
      <c r="O33" s="197"/>
      <c r="P33" s="317">
        <f>IF(D33=0,0,SUM($L$21:L33))</f>
        <v>0</v>
      </c>
      <c r="Q33" s="317">
        <f>IF(D33=0,0,SUM($J$21:J33))</f>
        <v>0</v>
      </c>
      <c r="R33" s="321">
        <f t="shared" si="9"/>
        <v>0</v>
      </c>
      <c r="S33" s="198">
        <f t="shared" si="16"/>
        <v>0</v>
      </c>
      <c r="T33" s="212"/>
      <c r="U33" s="317">
        <f>IF(D33=0,0,SUM($L$21:L33))</f>
        <v>0</v>
      </c>
      <c r="V33" s="317">
        <f>IF(D33=0,0,SUM($J$21:J33))</f>
        <v>0</v>
      </c>
      <c r="W33" s="331">
        <f t="shared" si="10"/>
        <v>0</v>
      </c>
      <c r="X33" s="200">
        <f t="shared" si="17"/>
        <v>0</v>
      </c>
      <c r="Y33" s="201">
        <f t="shared" si="18"/>
        <v>45670</v>
      </c>
      <c r="Z33" s="202">
        <f t="shared" si="18"/>
        <v>45670</v>
      </c>
      <c r="AA33" s="246">
        <v>2</v>
      </c>
      <c r="AB33" s="243" t="s">
        <v>221</v>
      </c>
      <c r="AC33" s="336">
        <f>IFERROR(AVERAGEIFS(J52:J79,D52:D79,1,G52:G79,"sat"),0)</f>
        <v>767.76327714337503</v>
      </c>
      <c r="AD33" s="275">
        <f>COUNTIFS(D52:D79,1,G52:G79,"sat")</f>
        <v>4</v>
      </c>
      <c r="AE33" s="335">
        <f>($I$8*'2024(¥)'!AI32)/AD33</f>
        <v>1163.4203420009812</v>
      </c>
      <c r="AF33" s="334">
        <f t="shared" si="19"/>
        <v>4653.6813680039249</v>
      </c>
      <c r="AG33" s="273" t="s">
        <v>191</v>
      </c>
      <c r="AH33" s="203"/>
      <c r="AI33" s="18"/>
      <c r="AJ33" s="18"/>
      <c r="AK33" s="18"/>
      <c r="AL33" s="18"/>
      <c r="AM33" s="18"/>
      <c r="AN33" s="18"/>
    </row>
    <row r="34" spans="1:40" ht="20">
      <c r="A34" s="18"/>
      <c r="B34" s="151"/>
      <c r="C34" s="55">
        <v>14</v>
      </c>
      <c r="D34" s="54">
        <v>1</v>
      </c>
      <c r="E34" s="190">
        <f t="shared" si="12"/>
        <v>1</v>
      </c>
      <c r="F34" s="191">
        <f t="shared" si="13"/>
        <v>45671</v>
      </c>
      <c r="G34" s="192" t="str">
        <f t="shared" si="14"/>
        <v>Tue</v>
      </c>
      <c r="H34" s="193"/>
      <c r="I34" s="194"/>
      <c r="J34" s="308">
        <f>312590/B13</f>
        <v>2832.9708174732646</v>
      </c>
      <c r="K34" s="206"/>
      <c r="L34" s="317">
        <f t="shared" si="15"/>
        <v>1836.0555978402626</v>
      </c>
      <c r="M34" s="318">
        <f t="shared" si="7"/>
        <v>996.91521963300193</v>
      </c>
      <c r="N34" s="41">
        <f t="shared" si="8"/>
        <v>1.5429657036560687</v>
      </c>
      <c r="O34" s="197"/>
      <c r="P34" s="317">
        <f>IF(D34=0,0,SUM($L$21:L34))</f>
        <v>13441.419665331878</v>
      </c>
      <c r="Q34" s="317">
        <f>IF(D34=0,0,SUM($J$21:J34))</f>
        <v>15265.996012325539</v>
      </c>
      <c r="R34" s="321">
        <f t="shared" si="9"/>
        <v>1824.576346993661</v>
      </c>
      <c r="S34" s="198">
        <f t="shared" si="16"/>
        <v>1.1357428301788397</v>
      </c>
      <c r="T34" s="207"/>
      <c r="U34" s="317">
        <f>IF(D34=0,0,SUM($L$21:L34))</f>
        <v>13441.419665331878</v>
      </c>
      <c r="V34" s="317">
        <f>IF(D34=0,0,SUM($J$21:J34))</f>
        <v>15265.996012325539</v>
      </c>
      <c r="W34" s="331">
        <f t="shared" si="10"/>
        <v>1824.576346993661</v>
      </c>
      <c r="X34" s="200">
        <f t="shared" si="17"/>
        <v>1.1357428301788397</v>
      </c>
      <c r="Y34" s="201">
        <f t="shared" si="18"/>
        <v>45671</v>
      </c>
      <c r="Z34" s="202">
        <f t="shared" si="18"/>
        <v>45671</v>
      </c>
      <c r="AA34" s="246">
        <v>2</v>
      </c>
      <c r="AB34" s="243" t="s">
        <v>222</v>
      </c>
      <c r="AC34" s="336">
        <f>IFERROR(AVERAGEIFS(J52:J79,D52:D79,1,G52:G79,"sun"),0)</f>
        <v>0</v>
      </c>
      <c r="AD34" s="275">
        <f>IFERROR(COUNTIFS(D52:D79,1,G52:G79,"sun"),0)</f>
        <v>0</v>
      </c>
      <c r="AE34" s="335">
        <f>IFERROR(($I$8*'2024(¥)'!AI33)/AD34,0)</f>
        <v>0</v>
      </c>
      <c r="AF34" s="337">
        <f>SUM(AF28:AF33)</f>
        <v>42665.328146567947</v>
      </c>
      <c r="AG34" s="272">
        <f>I8</f>
        <v>42665.328146567947</v>
      </c>
      <c r="AH34" s="270"/>
      <c r="AI34" s="18"/>
      <c r="AJ34" s="18"/>
      <c r="AK34" s="18"/>
      <c r="AL34" s="18"/>
      <c r="AM34" s="18"/>
      <c r="AN34" s="18"/>
    </row>
    <row r="35" spans="1:40" ht="20">
      <c r="A35" s="18"/>
      <c r="B35" s="151"/>
      <c r="C35" s="55">
        <v>15</v>
      </c>
      <c r="D35" s="54">
        <v>1</v>
      </c>
      <c r="E35" s="190">
        <f t="shared" si="12"/>
        <v>1</v>
      </c>
      <c r="F35" s="191">
        <f t="shared" si="13"/>
        <v>45672</v>
      </c>
      <c r="G35" s="192" t="str">
        <f t="shared" si="14"/>
        <v>Wed</v>
      </c>
      <c r="H35" s="193"/>
      <c r="I35" s="194"/>
      <c r="J35" s="308">
        <f>242580/B13</f>
        <v>2198.4774333877108</v>
      </c>
      <c r="K35" s="206"/>
      <c r="L35" s="317">
        <f t="shared" si="15"/>
        <v>2068.0255531592288</v>
      </c>
      <c r="M35" s="318">
        <f t="shared" si="7"/>
        <v>130.45188022848197</v>
      </c>
      <c r="N35" s="41">
        <f t="shared" si="8"/>
        <v>1.0630804005439858</v>
      </c>
      <c r="O35" s="197"/>
      <c r="P35" s="317">
        <f>IF(D35=0,0,SUM($L$21:L35))</f>
        <v>15509.445218491106</v>
      </c>
      <c r="Q35" s="317">
        <f>IF(D35=0,0,SUM($J$21:J35))</f>
        <v>17464.473445713251</v>
      </c>
      <c r="R35" s="321">
        <f t="shared" si="9"/>
        <v>1955.0282272221448</v>
      </c>
      <c r="S35" s="198">
        <f t="shared" si="16"/>
        <v>1.1260540399531034</v>
      </c>
      <c r="T35" s="207"/>
      <c r="U35" s="317">
        <f>IF(D35=0,0,SUM($L$21:L35))</f>
        <v>15509.445218491106</v>
      </c>
      <c r="V35" s="317">
        <f>IF(D35=0,0,SUM($J$21:J35))</f>
        <v>17464.473445713251</v>
      </c>
      <c r="W35" s="331">
        <f t="shared" si="10"/>
        <v>1955.0282272221448</v>
      </c>
      <c r="X35" s="200">
        <f t="shared" si="17"/>
        <v>1.1260540399531034</v>
      </c>
      <c r="Y35" s="201">
        <f t="shared" si="18"/>
        <v>45672</v>
      </c>
      <c r="Z35" s="202">
        <f t="shared" si="18"/>
        <v>45672</v>
      </c>
      <c r="AA35" s="246">
        <v>3</v>
      </c>
      <c r="AB35" s="136" t="s">
        <v>216</v>
      </c>
      <c r="AC35" s="336">
        <f>IFERROR(AVERAGEIFS(J80:J110,D80:D110,1,G80:G110,"mon"),0)</f>
        <v>2457.0781221678453</v>
      </c>
      <c r="AD35" s="275">
        <f>COUNTIFS(D80:D110,1,G80:G110,"Mon")</f>
        <v>5</v>
      </c>
      <c r="AE35" s="335">
        <f>($I$9*'2024(¥)'!AI34)/AD35</f>
        <v>1617.1654226849021</v>
      </c>
      <c r="AF35" s="334">
        <f t="shared" ref="AF35:AF40" si="20">AD35*AE35</f>
        <v>8085.8271134245106</v>
      </c>
      <c r="AG35" s="203" t="s">
        <v>130</v>
      </c>
      <c r="AH35" s="203"/>
      <c r="AI35" s="18"/>
      <c r="AJ35" s="18"/>
      <c r="AK35" s="18"/>
      <c r="AL35" s="18"/>
      <c r="AM35" s="18"/>
      <c r="AN35" s="18"/>
    </row>
    <row r="36" spans="1:40" ht="20">
      <c r="A36" s="18"/>
      <c r="B36" s="151"/>
      <c r="C36" s="55">
        <v>16</v>
      </c>
      <c r="D36" s="54">
        <v>1</v>
      </c>
      <c r="E36" s="190">
        <f t="shared" si="12"/>
        <v>1</v>
      </c>
      <c r="F36" s="191">
        <f t="shared" si="13"/>
        <v>45673</v>
      </c>
      <c r="G36" s="192" t="str">
        <f t="shared" si="14"/>
        <v>Thu</v>
      </c>
      <c r="H36" s="193"/>
      <c r="I36" s="194"/>
      <c r="J36" s="308">
        <f>332580/B13</f>
        <v>3014.1381185426862</v>
      </c>
      <c r="K36" s="206"/>
      <c r="L36" s="317">
        <f t="shared" si="15"/>
        <v>1436.7425561451571</v>
      </c>
      <c r="M36" s="318">
        <f t="shared" si="7"/>
        <v>1577.3955623975291</v>
      </c>
      <c r="N36" s="41">
        <f t="shared" si="8"/>
        <v>2.0978971532866333</v>
      </c>
      <c r="O36" s="197"/>
      <c r="P36" s="317">
        <f>IF(D36=0,0,SUM($L$21:L36))</f>
        <v>16946.187774636262</v>
      </c>
      <c r="Q36" s="317">
        <f>IF(D36=0,0,SUM($J$21:J36))</f>
        <v>20478.611564255938</v>
      </c>
      <c r="R36" s="321">
        <f t="shared" si="9"/>
        <v>3532.4237896196755</v>
      </c>
      <c r="S36" s="198">
        <f t="shared" si="16"/>
        <v>1.2084494658383718</v>
      </c>
      <c r="T36" s="207"/>
      <c r="U36" s="317">
        <f>IF(D36=0,0,SUM($L$21:L36))</f>
        <v>16946.187774636262</v>
      </c>
      <c r="V36" s="317">
        <f>IF(D36=0,0,SUM($J$21:J36))</f>
        <v>20478.611564255938</v>
      </c>
      <c r="W36" s="331">
        <f t="shared" si="10"/>
        <v>3532.4237896196755</v>
      </c>
      <c r="X36" s="200">
        <f t="shared" si="17"/>
        <v>1.2084494658383718</v>
      </c>
      <c r="Y36" s="201">
        <f t="shared" si="18"/>
        <v>45673</v>
      </c>
      <c r="Z36" s="202">
        <f t="shared" si="18"/>
        <v>45673</v>
      </c>
      <c r="AA36" s="246">
        <v>3</v>
      </c>
      <c r="AB36" s="243" t="s">
        <v>217</v>
      </c>
      <c r="AC36" s="336">
        <f>IFERROR(AVERAGEIFS(J80:J110,D80:D110,1,G80:G110,"tue"),0)</f>
        <v>2179.0828348740256</v>
      </c>
      <c r="AD36" s="275">
        <f>COUNTIFS(D80:D110,1,G80:G110,"tue")</f>
        <v>4</v>
      </c>
      <c r="AE36" s="335">
        <f>($I$9*'2024(¥)'!AI35)/AD36</f>
        <v>2330.5077999267178</v>
      </c>
      <c r="AF36" s="334">
        <f t="shared" si="20"/>
        <v>9322.0311997068711</v>
      </c>
      <c r="AG36" s="203"/>
      <c r="AH36" s="203"/>
      <c r="AI36" s="18"/>
      <c r="AJ36" s="18"/>
      <c r="AK36" s="18"/>
      <c r="AL36" s="18"/>
      <c r="AM36" s="18"/>
      <c r="AN36" s="18"/>
    </row>
    <row r="37" spans="1:40" ht="20">
      <c r="A37" s="18"/>
      <c r="B37" s="151"/>
      <c r="C37" s="55">
        <v>17</v>
      </c>
      <c r="D37" s="54">
        <v>1</v>
      </c>
      <c r="E37" s="190">
        <f t="shared" si="12"/>
        <v>1</v>
      </c>
      <c r="F37" s="191">
        <f t="shared" si="13"/>
        <v>45674</v>
      </c>
      <c r="G37" s="192" t="str">
        <f t="shared" si="14"/>
        <v>Fri</v>
      </c>
      <c r="H37" s="193"/>
      <c r="I37" s="194"/>
      <c r="J37" s="308">
        <f>312220/B13</f>
        <v>2829.6175457676272</v>
      </c>
      <c r="K37" s="206"/>
      <c r="L37" s="317">
        <f t="shared" si="15"/>
        <v>2508.4122369484471</v>
      </c>
      <c r="M37" s="318">
        <f t="shared" si="7"/>
        <v>321.20530881918012</v>
      </c>
      <c r="N37" s="41">
        <f t="shared" si="8"/>
        <v>1.1280512445633479</v>
      </c>
      <c r="O37" s="197"/>
      <c r="P37" s="317">
        <f>IF(D37=0,0,SUM($L$21:L37))</f>
        <v>19454.600011584709</v>
      </c>
      <c r="Q37" s="317">
        <f>IF(D37=0,0,SUM($J$21:J37))</f>
        <v>23308.229110023567</v>
      </c>
      <c r="R37" s="321">
        <f t="shared" si="9"/>
        <v>3853.6290984388579</v>
      </c>
      <c r="S37" s="198">
        <f t="shared" si="16"/>
        <v>1.1980831832134364</v>
      </c>
      <c r="T37" s="207"/>
      <c r="U37" s="317">
        <f>IF(D37=0,0,SUM($L$21:L37))</f>
        <v>19454.600011584709</v>
      </c>
      <c r="V37" s="317">
        <f>IF(D37=0,0,SUM($J$21:J37))</f>
        <v>23308.229110023567</v>
      </c>
      <c r="W37" s="331">
        <f t="shared" si="10"/>
        <v>3853.6290984388579</v>
      </c>
      <c r="X37" s="200">
        <f t="shared" si="17"/>
        <v>1.1980831832134364</v>
      </c>
      <c r="Y37" s="201">
        <f t="shared" si="18"/>
        <v>45674</v>
      </c>
      <c r="Z37" s="202">
        <f t="shared" si="18"/>
        <v>45674</v>
      </c>
      <c r="AA37" s="246">
        <v>3</v>
      </c>
      <c r="AB37" s="243" t="s">
        <v>218</v>
      </c>
      <c r="AC37" s="336">
        <f>IFERROR(AVERAGEIFS(J80:J110,D80:D110,1,G80:G110,"wed"),0)</f>
        <v>2594.3900670654339</v>
      </c>
      <c r="AD37" s="275">
        <f>COUNTIFS(D80:D110,1,G80:G110,"wed")</f>
        <v>4</v>
      </c>
      <c r="AE37" s="335">
        <f>($I$9*'2024(¥)'!AI36)/AD37</f>
        <v>1946.4122509071913</v>
      </c>
      <c r="AF37" s="334">
        <f t="shared" si="20"/>
        <v>7785.6490036287651</v>
      </c>
      <c r="AG37" s="203"/>
      <c r="AH37" s="203"/>
      <c r="AI37" s="18"/>
      <c r="AJ37" s="18"/>
      <c r="AK37" s="18"/>
      <c r="AL37" s="18"/>
      <c r="AM37" s="18"/>
      <c r="AN37" s="18"/>
    </row>
    <row r="38" spans="1:40" ht="20">
      <c r="A38" s="18"/>
      <c r="B38" s="151"/>
      <c r="C38" s="55">
        <v>18</v>
      </c>
      <c r="D38" s="54">
        <v>1</v>
      </c>
      <c r="E38" s="190">
        <f t="shared" si="12"/>
        <v>1</v>
      </c>
      <c r="F38" s="191">
        <f t="shared" si="13"/>
        <v>45675</v>
      </c>
      <c r="G38" s="192" t="str">
        <f t="shared" si="14"/>
        <v>Sat</v>
      </c>
      <c r="H38" s="193"/>
      <c r="I38" s="194"/>
      <c r="J38" s="309">
        <f>76270/B13</f>
        <v>691.22711618633309</v>
      </c>
      <c r="K38" s="209"/>
      <c r="L38" s="317">
        <f t="shared" si="15"/>
        <v>867.17206770155099</v>
      </c>
      <c r="M38" s="318">
        <f t="shared" si="7"/>
        <v>-175.94495151521789</v>
      </c>
      <c r="N38" s="41">
        <f t="shared" si="8"/>
        <v>0.79710491369773717</v>
      </c>
      <c r="O38" s="197"/>
      <c r="P38" s="317">
        <f>IF(D38=0,0,SUM($L$21:L38))</f>
        <v>20321.77207928626</v>
      </c>
      <c r="Q38" s="317">
        <f>IF(D38=0,0,SUM($J$21:J38))</f>
        <v>23999.456226209899</v>
      </c>
      <c r="R38" s="321">
        <f t="shared" si="9"/>
        <v>3677.6841469236388</v>
      </c>
      <c r="S38" s="198">
        <f t="shared" si="16"/>
        <v>1.1809726106844913</v>
      </c>
      <c r="T38" s="207"/>
      <c r="U38" s="317">
        <f>IF(D38=0,0,SUM($L$21:L38))</f>
        <v>20321.77207928626</v>
      </c>
      <c r="V38" s="317">
        <f>IF(D38=0,0,SUM($J$21:J38))</f>
        <v>23999.456226209899</v>
      </c>
      <c r="W38" s="331">
        <f t="shared" si="10"/>
        <v>3677.6841469236388</v>
      </c>
      <c r="X38" s="200">
        <f t="shared" si="17"/>
        <v>1.1809726106844913</v>
      </c>
      <c r="Y38" s="201">
        <f t="shared" si="18"/>
        <v>45675</v>
      </c>
      <c r="Z38" s="202">
        <f t="shared" si="18"/>
        <v>45675</v>
      </c>
      <c r="AA38" s="246">
        <v>3</v>
      </c>
      <c r="AB38" s="243" t="s">
        <v>219</v>
      </c>
      <c r="AC38" s="336">
        <f>IFERROR(AVERAGEIFS(J80:J110,D80:D110,1,G80:G110,"thu"),0)</f>
        <v>2976.1645822004716</v>
      </c>
      <c r="AD38" s="275">
        <f>COUNTIFS(D80:D110,1,G80:G110,"thu")</f>
        <v>3</v>
      </c>
      <c r="AE38" s="335">
        <f>($I$9*'2024(¥)'!AI37)/AD38</f>
        <v>3632.8320007368807</v>
      </c>
      <c r="AF38" s="334">
        <f t="shared" si="20"/>
        <v>10898.496002210642</v>
      </c>
      <c r="AG38" s="203"/>
      <c r="AH38" s="203"/>
      <c r="AI38" s="18"/>
      <c r="AJ38" s="18"/>
      <c r="AK38" s="18"/>
      <c r="AL38" s="18"/>
      <c r="AM38" s="18"/>
      <c r="AN38" s="18"/>
    </row>
    <row r="39" spans="1:40" ht="20">
      <c r="A39" s="18"/>
      <c r="B39" s="151"/>
      <c r="C39" s="55">
        <v>19</v>
      </c>
      <c r="D39" s="54">
        <v>0</v>
      </c>
      <c r="E39" s="190">
        <f t="shared" si="12"/>
        <v>1</v>
      </c>
      <c r="F39" s="191">
        <f t="shared" si="13"/>
        <v>45676</v>
      </c>
      <c r="G39" s="192" t="str">
        <f t="shared" si="14"/>
        <v>Sun</v>
      </c>
      <c r="H39" s="193"/>
      <c r="I39" s="194"/>
      <c r="J39" s="311"/>
      <c r="K39" s="211"/>
      <c r="L39" s="317">
        <f t="shared" si="15"/>
        <v>0</v>
      </c>
      <c r="M39" s="318">
        <f t="shared" si="7"/>
        <v>0</v>
      </c>
      <c r="N39" s="41" t="str">
        <f t="shared" si="8"/>
        <v>¥0</v>
      </c>
      <c r="O39" s="197"/>
      <c r="P39" s="317">
        <f>IF(D39=0,0,SUM($L$21:L39))</f>
        <v>0</v>
      </c>
      <c r="Q39" s="317">
        <f>IF(D39=0,0,SUM($J$21:J39))</f>
        <v>0</v>
      </c>
      <c r="R39" s="321">
        <f t="shared" si="9"/>
        <v>0</v>
      </c>
      <c r="S39" s="198">
        <f t="shared" si="16"/>
        <v>0</v>
      </c>
      <c r="T39" s="212"/>
      <c r="U39" s="317">
        <f>IF(D39=0,0,SUM($L$21:L39))</f>
        <v>0</v>
      </c>
      <c r="V39" s="317">
        <f>IF(D39=0,0,SUM($J$21:J39))</f>
        <v>0</v>
      </c>
      <c r="W39" s="331">
        <f t="shared" si="10"/>
        <v>0</v>
      </c>
      <c r="X39" s="200">
        <f t="shared" si="17"/>
        <v>0</v>
      </c>
      <c r="Y39" s="201">
        <f t="shared" ref="Y39:Z54" si="21">Y38+1</f>
        <v>45676</v>
      </c>
      <c r="Z39" s="202">
        <f t="shared" si="21"/>
        <v>45676</v>
      </c>
      <c r="AA39" s="246">
        <v>3</v>
      </c>
      <c r="AB39" s="243" t="s">
        <v>220</v>
      </c>
      <c r="AC39" s="336">
        <f>IFERROR(AVERAGEIFS(J80:J110,D80:D110,1,G80:G110,"fri"),0)</f>
        <v>3020.6634040239255</v>
      </c>
      <c r="AD39" s="275">
        <f>COUNTIFS(D80:D110,1,G80:G110,"fri")</f>
        <v>4</v>
      </c>
      <c r="AE39" s="335">
        <f>($I$9*'2024(¥)'!AI38)/AD39</f>
        <v>3560.4876048147844</v>
      </c>
      <c r="AF39" s="334">
        <f t="shared" si="20"/>
        <v>14241.950419259138</v>
      </c>
      <c r="AG39" s="203"/>
      <c r="AH39" s="203"/>
      <c r="AI39" s="18"/>
      <c r="AJ39" s="18"/>
      <c r="AK39" s="18"/>
      <c r="AL39" s="18"/>
      <c r="AM39" s="18"/>
      <c r="AN39" s="18"/>
    </row>
    <row r="40" spans="1:40" ht="20">
      <c r="A40" s="18"/>
      <c r="B40" s="151"/>
      <c r="C40" s="55">
        <v>20</v>
      </c>
      <c r="D40" s="54">
        <v>1</v>
      </c>
      <c r="E40" s="190">
        <f t="shared" si="12"/>
        <v>1</v>
      </c>
      <c r="F40" s="191">
        <f t="shared" si="13"/>
        <v>45677</v>
      </c>
      <c r="G40" s="192" t="str">
        <f t="shared" si="14"/>
        <v>Mon</v>
      </c>
      <c r="H40" s="193"/>
      <c r="I40" s="194"/>
      <c r="J40" s="308">
        <f>238030/B13</f>
        <v>2157.2412543048758</v>
      </c>
      <c r="K40" s="206"/>
      <c r="L40" s="317">
        <f t="shared" si="15"/>
        <v>2888.9560556969705</v>
      </c>
      <c r="M40" s="318">
        <f t="shared" si="7"/>
        <v>-731.71480139209461</v>
      </c>
      <c r="N40" s="41">
        <f t="shared" si="8"/>
        <v>0.7467199959829206</v>
      </c>
      <c r="O40" s="197"/>
      <c r="P40" s="317">
        <f>IF(D40=0,0,SUM($L$21:L40))</f>
        <v>23210.72813498323</v>
      </c>
      <c r="Q40" s="317">
        <f>IF(D40=0,0,SUM($J$21:J40))</f>
        <v>26156.697480514777</v>
      </c>
      <c r="R40" s="321">
        <f t="shared" si="9"/>
        <v>2945.9693455315464</v>
      </c>
      <c r="S40" s="198">
        <f t="shared" si="16"/>
        <v>1.1269227457406379</v>
      </c>
      <c r="T40" s="207"/>
      <c r="U40" s="317">
        <f>IF(D40=0,0,SUM($L$21:L40))</f>
        <v>23210.72813498323</v>
      </c>
      <c r="V40" s="317">
        <f>IF(D40=0,0,SUM($J$21:J40))</f>
        <v>26156.697480514777</v>
      </c>
      <c r="W40" s="331">
        <f t="shared" si="10"/>
        <v>2945.9693455315464</v>
      </c>
      <c r="X40" s="200">
        <f t="shared" si="17"/>
        <v>1.1269227457406379</v>
      </c>
      <c r="Y40" s="201">
        <f t="shared" si="21"/>
        <v>45677</v>
      </c>
      <c r="Z40" s="202">
        <f t="shared" si="21"/>
        <v>45677</v>
      </c>
      <c r="AA40" s="246">
        <v>3</v>
      </c>
      <c r="AB40" s="243" t="s">
        <v>221</v>
      </c>
      <c r="AC40" s="336">
        <f>IFERROR(AVERAGEIFS(J80:J110,D80:D110,1,G80:G110,"sat"),0)</f>
        <v>658.56443719412721</v>
      </c>
      <c r="AD40" s="275">
        <f>COUNTIFS(D80:D110,1,G80:G110,"sat")</f>
        <v>5</v>
      </c>
      <c r="AE40" s="335">
        <f>($I$9*'2024(¥)'!AI39)/AD40</f>
        <v>1341.0510027732532</v>
      </c>
      <c r="AF40" s="334">
        <f t="shared" si="20"/>
        <v>6705.2550138662664</v>
      </c>
      <c r="AG40" s="273" t="s">
        <v>192</v>
      </c>
      <c r="AH40" s="203"/>
      <c r="AI40" s="18"/>
      <c r="AJ40" s="18"/>
      <c r="AK40" s="18"/>
      <c r="AL40" s="18"/>
      <c r="AM40" s="18"/>
      <c r="AN40" s="18"/>
    </row>
    <row r="41" spans="1:40" ht="20">
      <c r="A41" s="18"/>
      <c r="B41" s="151"/>
      <c r="C41" s="55">
        <v>21</v>
      </c>
      <c r="D41" s="54">
        <v>1</v>
      </c>
      <c r="E41" s="190">
        <f t="shared" si="12"/>
        <v>1</v>
      </c>
      <c r="F41" s="191">
        <f t="shared" si="13"/>
        <v>45678</v>
      </c>
      <c r="G41" s="192" t="str">
        <f t="shared" si="14"/>
        <v>Tue</v>
      </c>
      <c r="H41" s="193"/>
      <c r="I41" s="194"/>
      <c r="J41" s="308">
        <f>246550/B13</f>
        <v>2234.4571324995468</v>
      </c>
      <c r="K41" s="206"/>
      <c r="L41" s="317">
        <f t="shared" si="15"/>
        <v>1836.0555978402626</v>
      </c>
      <c r="M41" s="318">
        <f t="shared" si="7"/>
        <v>398.40153465928415</v>
      </c>
      <c r="N41" s="41">
        <f t="shared" si="8"/>
        <v>1.2169877290905138</v>
      </c>
      <c r="O41" s="197"/>
      <c r="P41" s="317">
        <f>IF(D41=0,0,SUM($L$21:L41))</f>
        <v>25046.783732823493</v>
      </c>
      <c r="Q41" s="317">
        <f>IF(D41=0,0,SUM($J$21:J41))</f>
        <v>28391.154613014325</v>
      </c>
      <c r="R41" s="321">
        <f t="shared" si="9"/>
        <v>3344.3708801908324</v>
      </c>
      <c r="S41" s="198">
        <f t="shared" si="16"/>
        <v>1.1335249633591908</v>
      </c>
      <c r="T41" s="207"/>
      <c r="U41" s="317">
        <f>IF(D41=0,0,SUM($L$21:L41))</f>
        <v>25046.783732823493</v>
      </c>
      <c r="V41" s="317">
        <f>IF(D41=0,0,SUM($J$21:J41))</f>
        <v>28391.154613014325</v>
      </c>
      <c r="W41" s="331">
        <f t="shared" si="10"/>
        <v>3344.3708801908324</v>
      </c>
      <c r="X41" s="200">
        <f t="shared" si="17"/>
        <v>1.1335249633591908</v>
      </c>
      <c r="Y41" s="201">
        <f t="shared" si="21"/>
        <v>45678</v>
      </c>
      <c r="Z41" s="202">
        <f t="shared" si="21"/>
        <v>45678</v>
      </c>
      <c r="AA41" s="246">
        <v>3</v>
      </c>
      <c r="AB41" s="243" t="s">
        <v>222</v>
      </c>
      <c r="AC41" s="336">
        <f>IFERROR(AVERAGEIFS(J80:J110,D80:D110,1,G80:G110,"sun"),0)</f>
        <v>0</v>
      </c>
      <c r="AD41" s="275">
        <f>IFERROR(COUNTIFS(D80:D110,1,G80:G110,"sun"),0)</f>
        <v>0</v>
      </c>
      <c r="AE41" s="335">
        <f>IFERROR(($I$9*'2024(¥)'!AI40)/AD41,0)</f>
        <v>0</v>
      </c>
      <c r="AF41" s="337">
        <f>SUM(AF35:AF40)</f>
        <v>57039.208752096194</v>
      </c>
      <c r="AG41" s="272">
        <f>I9</f>
        <v>57039.208752096194</v>
      </c>
      <c r="AH41" s="270"/>
      <c r="AI41" s="18"/>
      <c r="AJ41" s="18"/>
      <c r="AK41" s="18"/>
      <c r="AL41" s="18"/>
      <c r="AM41" s="18"/>
      <c r="AN41" s="18"/>
    </row>
    <row r="42" spans="1:40" ht="20">
      <c r="A42" s="18"/>
      <c r="B42" s="151"/>
      <c r="C42" s="55">
        <v>22</v>
      </c>
      <c r="D42" s="54">
        <v>1</v>
      </c>
      <c r="E42" s="190">
        <f t="shared" si="12"/>
        <v>1</v>
      </c>
      <c r="F42" s="191">
        <f t="shared" si="13"/>
        <v>45679</v>
      </c>
      <c r="G42" s="192" t="str">
        <f t="shared" si="14"/>
        <v>Wed</v>
      </c>
      <c r="H42" s="193"/>
      <c r="I42" s="194"/>
      <c r="J42" s="308">
        <f>207530/B13</f>
        <v>1880.8229110023562</v>
      </c>
      <c r="K42" s="206"/>
      <c r="L42" s="317">
        <f t="shared" si="15"/>
        <v>2068.0255531592288</v>
      </c>
      <c r="M42" s="318">
        <f t="shared" si="7"/>
        <v>-187.20264215687257</v>
      </c>
      <c r="N42" s="41">
        <f t="shared" si="8"/>
        <v>0.90947759718399435</v>
      </c>
      <c r="O42" s="56"/>
      <c r="P42" s="317">
        <f>IF(D42=0,0,SUM($L$21:L42))</f>
        <v>27114.809285982723</v>
      </c>
      <c r="Q42" s="317">
        <f>IF(D42=0,0,SUM($J$21:J42))</f>
        <v>30271.977524016682</v>
      </c>
      <c r="R42" s="321">
        <f t="shared" si="9"/>
        <v>3157.1682380339589</v>
      </c>
      <c r="S42" s="198">
        <f t="shared" si="16"/>
        <v>1.1164370438580251</v>
      </c>
      <c r="T42" s="207"/>
      <c r="U42" s="317">
        <f>IF(D42=0,0,SUM($L$21:L42))</f>
        <v>27114.809285982723</v>
      </c>
      <c r="V42" s="317">
        <f>IF(D42=0,0,SUM($J$21:J42))</f>
        <v>30271.977524016682</v>
      </c>
      <c r="W42" s="331">
        <f t="shared" si="10"/>
        <v>3157.1682380339589</v>
      </c>
      <c r="X42" s="200">
        <f t="shared" si="17"/>
        <v>1.1164370438580251</v>
      </c>
      <c r="Y42" s="201">
        <f t="shared" si="21"/>
        <v>45679</v>
      </c>
      <c r="Z42" s="202">
        <f t="shared" si="21"/>
        <v>45679</v>
      </c>
      <c r="AA42" s="246">
        <v>4</v>
      </c>
      <c r="AB42" s="136" t="s">
        <v>216</v>
      </c>
      <c r="AC42" s="336">
        <f>IFERROR(AVERAGEIFS(J111:J140,D111:D140,1,G111:G140,"mon"),0)</f>
        <v>2356.3077759651983</v>
      </c>
      <c r="AD42" s="275">
        <f>COUNTIFS(D111:D140,1,G111:G140,"Mon")</f>
        <v>4</v>
      </c>
      <c r="AE42" s="335">
        <f>($I$10*'2024(¥)'!AI41)/AD42</f>
        <v>2146.0342799307637</v>
      </c>
      <c r="AF42" s="334">
        <f t="shared" ref="AF42:AF47" si="22">AD42*AE42</f>
        <v>8584.1371197230546</v>
      </c>
      <c r="AG42" s="203" t="s">
        <v>131</v>
      </c>
      <c r="AH42" s="203"/>
      <c r="AI42" s="18"/>
      <c r="AJ42" s="18"/>
      <c r="AK42" s="18"/>
      <c r="AL42" s="18"/>
      <c r="AM42" s="18"/>
      <c r="AN42" s="18"/>
    </row>
    <row r="43" spans="1:40" ht="20">
      <c r="A43" s="18"/>
      <c r="B43" s="151"/>
      <c r="C43" s="55">
        <v>23</v>
      </c>
      <c r="D43" s="54">
        <v>1</v>
      </c>
      <c r="E43" s="190">
        <f t="shared" si="12"/>
        <v>1</v>
      </c>
      <c r="F43" s="191">
        <f t="shared" si="13"/>
        <v>45680</v>
      </c>
      <c r="G43" s="192" t="str">
        <f t="shared" si="14"/>
        <v>Thu</v>
      </c>
      <c r="H43" s="193"/>
      <c r="I43" s="194"/>
      <c r="J43" s="308">
        <f>302150/B13</f>
        <v>2738.354177995287</v>
      </c>
      <c r="K43" s="206"/>
      <c r="L43" s="317">
        <f t="shared" si="15"/>
        <v>1436.7425561451571</v>
      </c>
      <c r="M43" s="318">
        <f t="shared" si="7"/>
        <v>1301.6116218501299</v>
      </c>
      <c r="N43" s="41">
        <f t="shared" si="8"/>
        <v>1.9059463132646468</v>
      </c>
      <c r="O43" s="56"/>
      <c r="P43" s="317">
        <f>IF(D43=0,0,SUM($L$21:L43))</f>
        <v>28551.551842127879</v>
      </c>
      <c r="Q43" s="317">
        <f>IF(D43=0,0,SUM($J$21:J43))</f>
        <v>33010.331702011972</v>
      </c>
      <c r="R43" s="321">
        <f t="shared" si="9"/>
        <v>4458.7798598840927</v>
      </c>
      <c r="S43" s="198">
        <f t="shared" si="16"/>
        <v>1.1561659374782267</v>
      </c>
      <c r="T43" s="207"/>
      <c r="U43" s="317">
        <f>IF(D43=0,0,SUM($L$21:L43))</f>
        <v>28551.551842127879</v>
      </c>
      <c r="V43" s="317">
        <f>IF(D43=0,0,SUM($J$21:J43))</f>
        <v>33010.331702011972</v>
      </c>
      <c r="W43" s="331">
        <f t="shared" si="10"/>
        <v>4458.7798598840927</v>
      </c>
      <c r="X43" s="200">
        <f t="shared" si="17"/>
        <v>1.1561659374782267</v>
      </c>
      <c r="Y43" s="201">
        <f t="shared" si="21"/>
        <v>45680</v>
      </c>
      <c r="Z43" s="202">
        <f t="shared" si="21"/>
        <v>45680</v>
      </c>
      <c r="AA43" s="246">
        <v>4</v>
      </c>
      <c r="AB43" s="243" t="s">
        <v>217</v>
      </c>
      <c r="AC43" s="336">
        <f>IFERROR(AVERAGEIFS(J111:J140,D111:D140,1,G111:G140,"tue"),0)</f>
        <v>2710.4404567699835</v>
      </c>
      <c r="AD43" s="275">
        <f>COUNTIFS(D111:D140,1,G111:G140,"tue")</f>
        <v>4</v>
      </c>
      <c r="AE43" s="335">
        <f>($I$10*'2024(¥)'!AI42)/AD43</f>
        <v>3169.3556881472177</v>
      </c>
      <c r="AF43" s="334">
        <f t="shared" si="22"/>
        <v>12677.422752588871</v>
      </c>
      <c r="AG43" s="203"/>
      <c r="AH43" s="203"/>
      <c r="AI43" s="18"/>
      <c r="AJ43" s="18"/>
      <c r="AK43" s="18"/>
      <c r="AL43" s="18"/>
      <c r="AM43" s="18"/>
      <c r="AN43" s="18"/>
    </row>
    <row r="44" spans="1:40" ht="20">
      <c r="A44" s="18"/>
      <c r="B44" s="151"/>
      <c r="C44" s="55">
        <v>24</v>
      </c>
      <c r="D44" s="54">
        <v>1</v>
      </c>
      <c r="E44" s="190">
        <f t="shared" si="12"/>
        <v>1</v>
      </c>
      <c r="F44" s="191">
        <f t="shared" si="13"/>
        <v>45681</v>
      </c>
      <c r="G44" s="192" t="str">
        <f t="shared" si="14"/>
        <v>Fri</v>
      </c>
      <c r="H44" s="193"/>
      <c r="I44" s="194"/>
      <c r="J44" s="308">
        <f>398010/B13</f>
        <v>3607.1234366503531</v>
      </c>
      <c r="K44" s="206"/>
      <c r="L44" s="317">
        <f t="shared" si="15"/>
        <v>2508.4122369484471</v>
      </c>
      <c r="M44" s="318">
        <f t="shared" si="7"/>
        <v>1098.711199701906</v>
      </c>
      <c r="N44" s="41">
        <f t="shared" si="8"/>
        <v>1.4380106202314331</v>
      </c>
      <c r="O44" s="56"/>
      <c r="P44" s="317">
        <f>IF(D44=0,0,SUM($L$21:L44))</f>
        <v>31059.964079076326</v>
      </c>
      <c r="Q44" s="317">
        <f>IF(D44=0,0,SUM($J$21:J44))</f>
        <v>36617.455138662328</v>
      </c>
      <c r="R44" s="321">
        <f t="shared" si="9"/>
        <v>5557.4910595860019</v>
      </c>
      <c r="S44" s="198">
        <f t="shared" si="16"/>
        <v>1.1789278006064994</v>
      </c>
      <c r="T44" s="207"/>
      <c r="U44" s="317">
        <f>IF(D44=0,0,SUM($L$21:L44))</f>
        <v>31059.964079076326</v>
      </c>
      <c r="V44" s="317">
        <f>IF(D44=0,0,SUM($J$21:J44))</f>
        <v>36617.455138662328</v>
      </c>
      <c r="W44" s="331">
        <f t="shared" si="10"/>
        <v>5557.4910595860019</v>
      </c>
      <c r="X44" s="200">
        <f t="shared" si="17"/>
        <v>1.1789278006064994</v>
      </c>
      <c r="Y44" s="201">
        <f t="shared" si="21"/>
        <v>45681</v>
      </c>
      <c r="Z44" s="202">
        <f t="shared" si="21"/>
        <v>45681</v>
      </c>
      <c r="AA44" s="246">
        <v>4</v>
      </c>
      <c r="AB44" s="243" t="s">
        <v>218</v>
      </c>
      <c r="AC44" s="336">
        <f>IFERROR(AVERAGEIFS(J111:J140,D111:D140,1,G111:G140,"wed"),0)</f>
        <v>2496.2479608482872</v>
      </c>
      <c r="AD44" s="275">
        <f>COUNTIFS(D111:D140,1,G111:G140,"wed")</f>
        <v>5</v>
      </c>
      <c r="AE44" s="335">
        <f>($I$10*'2024(¥)'!AI43)/AD44</f>
        <v>2200.5673166327024</v>
      </c>
      <c r="AF44" s="334">
        <f t="shared" si="22"/>
        <v>11002.836583163513</v>
      </c>
      <c r="AG44" s="203"/>
      <c r="AH44" s="203"/>
      <c r="AI44" s="18"/>
      <c r="AJ44" s="18"/>
      <c r="AK44" s="18"/>
      <c r="AL44" s="18"/>
      <c r="AM44" s="18"/>
      <c r="AN44" s="18"/>
    </row>
    <row r="45" spans="1:40" ht="20">
      <c r="A45" s="18"/>
      <c r="B45" s="151"/>
      <c r="C45" s="55">
        <v>25</v>
      </c>
      <c r="D45" s="54">
        <v>1</v>
      </c>
      <c r="E45" s="190">
        <f t="shared" si="12"/>
        <v>1</v>
      </c>
      <c r="F45" s="191">
        <f t="shared" si="13"/>
        <v>45682</v>
      </c>
      <c r="G45" s="192" t="str">
        <f t="shared" si="14"/>
        <v>Sat</v>
      </c>
      <c r="H45" s="193"/>
      <c r="I45" s="194"/>
      <c r="J45" s="309">
        <f>99980/B13</f>
        <v>906.10839224216056</v>
      </c>
      <c r="K45" s="209"/>
      <c r="L45" s="317">
        <f t="shared" si="15"/>
        <v>867.17206770155099</v>
      </c>
      <c r="M45" s="318">
        <f t="shared" si="7"/>
        <v>38.936324540609576</v>
      </c>
      <c r="N45" s="41">
        <f t="shared" si="8"/>
        <v>1.0449003444539107</v>
      </c>
      <c r="O45" s="56"/>
      <c r="P45" s="317">
        <f>IF(D45=0,0,SUM($L$21:L45))</f>
        <v>31927.136146777877</v>
      </c>
      <c r="Q45" s="317">
        <f>IF(D45=0,0,SUM($J$21:J45))</f>
        <v>37523.563530904488</v>
      </c>
      <c r="R45" s="321">
        <f t="shared" si="9"/>
        <v>5596.4273841266113</v>
      </c>
      <c r="S45" s="198">
        <f t="shared" si="16"/>
        <v>1.1752874845522721</v>
      </c>
      <c r="T45" s="207"/>
      <c r="U45" s="317">
        <f>IF(D45=0,0,SUM($L$21:L45))</f>
        <v>31927.136146777877</v>
      </c>
      <c r="V45" s="317">
        <f>IF(D45=0,0,SUM($J$21:J45))</f>
        <v>37523.563530904488</v>
      </c>
      <c r="W45" s="331">
        <f t="shared" si="10"/>
        <v>5596.4273841266113</v>
      </c>
      <c r="X45" s="200">
        <f t="shared" si="17"/>
        <v>1.1752874845522721</v>
      </c>
      <c r="Y45" s="201">
        <f t="shared" si="21"/>
        <v>45682</v>
      </c>
      <c r="Z45" s="202">
        <f t="shared" si="21"/>
        <v>45682</v>
      </c>
      <c r="AA45" s="246">
        <v>4</v>
      </c>
      <c r="AB45" s="243" t="s">
        <v>219</v>
      </c>
      <c r="AC45" s="336">
        <f>IFERROR(AVERAGEIFS(J111:J140,D111:D140,1,G111:G140,"thu"),0)</f>
        <v>3146.6376653978614</v>
      </c>
      <c r="AD45" s="275">
        <f>COUNTIFS(D111:D140,1,G111:G140,"thu")</f>
        <v>4</v>
      </c>
      <c r="AE45" s="335">
        <f>($I$10*'2024(¥)'!AI44)/AD45</f>
        <v>2612.8729721176601</v>
      </c>
      <c r="AF45" s="334">
        <f t="shared" si="22"/>
        <v>10451.49188847064</v>
      </c>
      <c r="AG45" s="203"/>
      <c r="AH45" s="203"/>
      <c r="AI45" s="18"/>
      <c r="AJ45" s="18"/>
      <c r="AK45" s="18"/>
      <c r="AL45" s="18"/>
      <c r="AM45" s="18"/>
      <c r="AN45" s="18"/>
    </row>
    <row r="46" spans="1:40" ht="20">
      <c r="A46" s="18"/>
      <c r="B46" s="151"/>
      <c r="C46" s="55">
        <v>26</v>
      </c>
      <c r="D46" s="54">
        <v>0</v>
      </c>
      <c r="E46" s="190">
        <f t="shared" si="12"/>
        <v>1</v>
      </c>
      <c r="F46" s="191">
        <f t="shared" si="13"/>
        <v>45683</v>
      </c>
      <c r="G46" s="192" t="str">
        <f t="shared" si="14"/>
        <v>Sun</v>
      </c>
      <c r="H46" s="193"/>
      <c r="I46" s="194"/>
      <c r="J46" s="311"/>
      <c r="K46" s="211"/>
      <c r="L46" s="317">
        <f t="shared" si="15"/>
        <v>0</v>
      </c>
      <c r="M46" s="318">
        <f t="shared" si="7"/>
        <v>0</v>
      </c>
      <c r="N46" s="41" t="str">
        <f t="shared" si="8"/>
        <v>¥0</v>
      </c>
      <c r="O46" s="44"/>
      <c r="P46" s="317">
        <f>IF(D46=0,0,SUM($L$21:L46))</f>
        <v>0</v>
      </c>
      <c r="Q46" s="317">
        <f>IF(D46=0,0,SUM($J$21:J46))</f>
        <v>0</v>
      </c>
      <c r="R46" s="321">
        <f t="shared" si="9"/>
        <v>0</v>
      </c>
      <c r="S46" s="198">
        <f t="shared" si="16"/>
        <v>0</v>
      </c>
      <c r="T46" s="212"/>
      <c r="U46" s="317">
        <f>IF(D46=0,0,SUM($L$21:L46))</f>
        <v>0</v>
      </c>
      <c r="V46" s="317">
        <f>IF(D46=0,0,SUM($J$21:J46))</f>
        <v>0</v>
      </c>
      <c r="W46" s="331">
        <f t="shared" si="10"/>
        <v>0</v>
      </c>
      <c r="X46" s="200">
        <f t="shared" si="17"/>
        <v>0</v>
      </c>
      <c r="Y46" s="201">
        <f t="shared" si="21"/>
        <v>45683</v>
      </c>
      <c r="Z46" s="202">
        <f t="shared" si="21"/>
        <v>45683</v>
      </c>
      <c r="AA46" s="246">
        <v>4</v>
      </c>
      <c r="AB46" s="243" t="s">
        <v>220</v>
      </c>
      <c r="AC46" s="336">
        <f>IFERROR(AVERAGEIFS(J111:J140,D111:D140,1,G111:G140,"fri"),0)</f>
        <v>3147.2720681529818</v>
      </c>
      <c r="AD46" s="275">
        <f>COUNTIFS(D111:D140,1,G111:G140,"fri")</f>
        <v>4</v>
      </c>
      <c r="AE46" s="335">
        <f>($I$10*'2024(¥)'!AI45)/AD46</f>
        <v>3111.7567539398497</v>
      </c>
      <c r="AF46" s="334">
        <f t="shared" si="22"/>
        <v>12447.027015759399</v>
      </c>
      <c r="AG46" s="203"/>
      <c r="AH46" s="203"/>
      <c r="AI46" s="18"/>
      <c r="AJ46" s="18"/>
      <c r="AK46" s="18"/>
      <c r="AL46" s="18"/>
      <c r="AM46" s="18"/>
      <c r="AN46" s="18"/>
    </row>
    <row r="47" spans="1:40" ht="20">
      <c r="A47" s="18"/>
      <c r="B47" s="151"/>
      <c r="C47" s="55">
        <v>27</v>
      </c>
      <c r="D47" s="54">
        <v>1</v>
      </c>
      <c r="E47" s="190">
        <f t="shared" si="12"/>
        <v>1</v>
      </c>
      <c r="F47" s="191">
        <f t="shared" si="13"/>
        <v>45684</v>
      </c>
      <c r="G47" s="192" t="str">
        <f t="shared" si="14"/>
        <v>Mon</v>
      </c>
      <c r="H47" s="193"/>
      <c r="I47" s="194"/>
      <c r="J47" s="308">
        <f>270710/B13</f>
        <v>2453.4167119811491</v>
      </c>
      <c r="K47" s="206"/>
      <c r="L47" s="317">
        <f t="shared" si="15"/>
        <v>2888.9560556969705</v>
      </c>
      <c r="M47" s="318">
        <f t="shared" si="7"/>
        <v>-435.53934371582136</v>
      </c>
      <c r="N47" s="41">
        <f t="shared" si="8"/>
        <v>0.84923988620147217</v>
      </c>
      <c r="O47" s="56"/>
      <c r="P47" s="317">
        <f>IF(D47=0,0,SUM($L$21:L47))</f>
        <v>34816.092202474851</v>
      </c>
      <c r="Q47" s="317">
        <f>IF(D47=0,0,SUM($J$21:J47))</f>
        <v>39976.980242885635</v>
      </c>
      <c r="R47" s="321">
        <f t="shared" si="9"/>
        <v>5160.888040410784</v>
      </c>
      <c r="S47" s="198">
        <f t="shared" si="16"/>
        <v>1.1482328347017627</v>
      </c>
      <c r="T47" s="207"/>
      <c r="U47" s="317">
        <f>IF(D47=0,0,SUM($L$21:L47))</f>
        <v>34816.092202474851</v>
      </c>
      <c r="V47" s="317">
        <f>IF(D47=0,0,SUM($J$21:J47))</f>
        <v>39976.980242885635</v>
      </c>
      <c r="W47" s="331">
        <f t="shared" si="10"/>
        <v>5160.888040410784</v>
      </c>
      <c r="X47" s="200">
        <f t="shared" si="17"/>
        <v>1.1482328347017627</v>
      </c>
      <c r="Y47" s="201">
        <f t="shared" si="21"/>
        <v>45684</v>
      </c>
      <c r="Z47" s="202">
        <f t="shared" si="21"/>
        <v>45684</v>
      </c>
      <c r="AA47" s="246">
        <v>4</v>
      </c>
      <c r="AB47" s="243" t="s">
        <v>221</v>
      </c>
      <c r="AC47" s="336">
        <f>IFERROR(AVERAGEIFS(J111:J140,D111:D140,1,G111:G140,"sat"),0)</f>
        <v>842.75874569512416</v>
      </c>
      <c r="AD47" s="275">
        <f>COUNTIFS(D111:D140,1,G111:G140,"sat")</f>
        <v>4</v>
      </c>
      <c r="AE47" s="335">
        <f>($I$10*'2024(¥)'!AI46)/AD47</f>
        <v>1895.0535669000853</v>
      </c>
      <c r="AF47" s="334">
        <f t="shared" si="22"/>
        <v>7580.2142676003414</v>
      </c>
      <c r="AG47" s="273" t="s">
        <v>193</v>
      </c>
      <c r="AH47" s="203"/>
      <c r="AI47" s="18"/>
      <c r="AJ47" s="18"/>
      <c r="AK47" s="18"/>
      <c r="AL47" s="18"/>
      <c r="AM47" s="18"/>
      <c r="AN47" s="18"/>
    </row>
    <row r="48" spans="1:40" ht="20">
      <c r="A48" s="18"/>
      <c r="B48" s="151"/>
      <c r="C48" s="55">
        <v>28</v>
      </c>
      <c r="D48" s="54">
        <v>1</v>
      </c>
      <c r="E48" s="190">
        <f t="shared" si="12"/>
        <v>1</v>
      </c>
      <c r="F48" s="191">
        <f t="shared" si="13"/>
        <v>45685</v>
      </c>
      <c r="G48" s="192" t="str">
        <f t="shared" si="14"/>
        <v>Tue</v>
      </c>
      <c r="H48" s="193"/>
      <c r="I48" s="194"/>
      <c r="J48" s="308">
        <f>270800/B13</f>
        <v>2454.2323726663039</v>
      </c>
      <c r="K48" s="206"/>
      <c r="L48" s="317">
        <f t="shared" si="15"/>
        <v>1836.0555978402626</v>
      </c>
      <c r="M48" s="318">
        <f t="shared" si="7"/>
        <v>618.17677482604131</v>
      </c>
      <c r="N48" s="41">
        <f t="shared" si="8"/>
        <v>1.3366873941906758</v>
      </c>
      <c r="O48" s="56"/>
      <c r="P48" s="317">
        <f>IF(D48=0,0,SUM($L$21:L48))</f>
        <v>36652.147800315113</v>
      </c>
      <c r="Q48" s="317">
        <f>IF(D48=0,0,SUM($J$21:J48))</f>
        <v>42431.212615551936</v>
      </c>
      <c r="R48" s="321">
        <f t="shared" si="9"/>
        <v>5779.0648152368231</v>
      </c>
      <c r="S48" s="198">
        <f t="shared" si="16"/>
        <v>1.1576732923462438</v>
      </c>
      <c r="T48" s="207"/>
      <c r="U48" s="317">
        <f>IF(D48=0,0,SUM($L$21:L48))</f>
        <v>36652.147800315113</v>
      </c>
      <c r="V48" s="317">
        <f>IF(D48=0,0,SUM($J$21:J48))</f>
        <v>42431.212615551936</v>
      </c>
      <c r="W48" s="331">
        <f t="shared" si="10"/>
        <v>5779.0648152368231</v>
      </c>
      <c r="X48" s="200">
        <f t="shared" si="17"/>
        <v>1.1576732923462438</v>
      </c>
      <c r="Y48" s="201">
        <f t="shared" si="21"/>
        <v>45685</v>
      </c>
      <c r="Z48" s="202">
        <f t="shared" si="21"/>
        <v>45685</v>
      </c>
      <c r="AA48" s="246">
        <v>4</v>
      </c>
      <c r="AB48" s="243" t="s">
        <v>222</v>
      </c>
      <c r="AC48" s="336">
        <f>IFERROR(AVERAGEIFS(J111:J140,D111:D140,1,G111:G140,"sun"),0)</f>
        <v>0</v>
      </c>
      <c r="AD48" s="275">
        <f>IFERROR(COUNTIFS(D111:D140,1,G111:G140,"sun"),0)</f>
        <v>0</v>
      </c>
      <c r="AE48" s="335">
        <f>IFERROR(($I$10*'2024(¥)'!AI47)/AD48,0)</f>
        <v>0</v>
      </c>
      <c r="AF48" s="337">
        <f>SUM(AF42:AF47)</f>
        <v>62743.129627305818</v>
      </c>
      <c r="AG48" s="272">
        <f>I10</f>
        <v>62743.129627305818</v>
      </c>
      <c r="AH48" s="270"/>
      <c r="AI48" s="18"/>
      <c r="AJ48" s="18"/>
      <c r="AK48" s="18"/>
      <c r="AL48" s="18"/>
      <c r="AM48" s="18"/>
      <c r="AN48" s="18"/>
    </row>
    <row r="49" spans="1:40" ht="20">
      <c r="A49" s="18"/>
      <c r="B49" s="151"/>
      <c r="C49" s="55">
        <v>29</v>
      </c>
      <c r="D49" s="54">
        <v>1</v>
      </c>
      <c r="E49" s="190">
        <f t="shared" si="12"/>
        <v>1</v>
      </c>
      <c r="F49" s="191">
        <f t="shared" si="13"/>
        <v>45686</v>
      </c>
      <c r="G49" s="192" t="str">
        <f t="shared" si="14"/>
        <v>Wed</v>
      </c>
      <c r="H49" s="193"/>
      <c r="I49" s="194"/>
      <c r="J49" s="308">
        <f>278350/B13</f>
        <v>2522.6572412543046</v>
      </c>
      <c r="K49" s="206"/>
      <c r="L49" s="317">
        <f t="shared" si="15"/>
        <v>2068.0255531592288</v>
      </c>
      <c r="M49" s="318">
        <f t="shared" si="7"/>
        <v>454.63168809507579</v>
      </c>
      <c r="N49" s="41">
        <f t="shared" si="8"/>
        <v>1.2198385253995316</v>
      </c>
      <c r="O49" s="56"/>
      <c r="P49" s="317">
        <f>IF(D49=0,0,SUM($L$21:L49))</f>
        <v>38720.17335347434</v>
      </c>
      <c r="Q49" s="317">
        <f>IF(D49=0,0,SUM($J$21:J49))</f>
        <v>44953.869856806239</v>
      </c>
      <c r="R49" s="321">
        <f t="shared" si="9"/>
        <v>6233.6965033318993</v>
      </c>
      <c r="S49" s="198">
        <f t="shared" si="16"/>
        <v>1.1609935070906017</v>
      </c>
      <c r="T49" s="207"/>
      <c r="U49" s="317">
        <f>IF(D49=0,0,SUM($L$21:L49))</f>
        <v>38720.17335347434</v>
      </c>
      <c r="V49" s="317">
        <f>IF(D49=0,0,SUM($J$21:J49))</f>
        <v>44953.869856806239</v>
      </c>
      <c r="W49" s="331">
        <f t="shared" si="10"/>
        <v>6233.6965033318993</v>
      </c>
      <c r="X49" s="200">
        <f t="shared" si="17"/>
        <v>1.1609935070906017</v>
      </c>
      <c r="Y49" s="201">
        <f t="shared" si="21"/>
        <v>45686</v>
      </c>
      <c r="Z49" s="202">
        <f t="shared" si="21"/>
        <v>45686</v>
      </c>
      <c r="AA49" s="246">
        <v>5</v>
      </c>
      <c r="AB49" s="136" t="s">
        <v>216</v>
      </c>
      <c r="AC49" s="336">
        <f>IFERROR(AVERAGEIFS(J141:J171,D141:D171,1,G141:G171,"mon"),0)</f>
        <v>2924.699413932693</v>
      </c>
      <c r="AD49" s="275">
        <f>COUNTIFS(D141:D171,1,G141:G171,"Mon")</f>
        <v>3</v>
      </c>
      <c r="AE49" s="335">
        <f>($I$11*'2024(¥)'!AI48)/AD49</f>
        <v>2119.334855308291</v>
      </c>
      <c r="AF49" s="334">
        <f t="shared" ref="AF49:AF54" si="23">AD49*AE49</f>
        <v>6358.0045659248735</v>
      </c>
      <c r="AG49" s="203" t="s">
        <v>132</v>
      </c>
      <c r="AH49" s="203"/>
      <c r="AI49" s="18"/>
      <c r="AJ49" s="18"/>
      <c r="AK49" s="18"/>
      <c r="AL49" s="18"/>
      <c r="AM49" s="18"/>
      <c r="AN49" s="18"/>
    </row>
    <row r="50" spans="1:40" ht="20">
      <c r="A50" s="18"/>
      <c r="B50" s="151"/>
      <c r="C50" s="55">
        <v>30</v>
      </c>
      <c r="D50" s="54">
        <v>1</v>
      </c>
      <c r="E50" s="190">
        <f t="shared" si="12"/>
        <v>1</v>
      </c>
      <c r="F50" s="191">
        <f t="shared" si="13"/>
        <v>45687</v>
      </c>
      <c r="G50" s="192" t="str">
        <f t="shared" si="14"/>
        <v>Thu</v>
      </c>
      <c r="H50" s="193"/>
      <c r="I50" s="194"/>
      <c r="J50" s="307">
        <f>317820/B13</f>
        <v>2880.3697661772703</v>
      </c>
      <c r="K50" s="215"/>
      <c r="L50" s="317">
        <f t="shared" si="15"/>
        <v>1436.7425561451571</v>
      </c>
      <c r="M50" s="318">
        <f t="shared" si="7"/>
        <v>1443.6272100321132</v>
      </c>
      <c r="N50" s="41">
        <f t="shared" si="8"/>
        <v>2.0047918493522094</v>
      </c>
      <c r="O50" s="56"/>
      <c r="P50" s="317">
        <f>IF(D50=0,0,SUM($L$21:L50))</f>
        <v>40156.9159096195</v>
      </c>
      <c r="Q50" s="317">
        <f>IF(D50=0,0,SUM($J$21:J50))</f>
        <v>47834.239622983507</v>
      </c>
      <c r="R50" s="321">
        <f t="shared" si="9"/>
        <v>7677.3237133640068</v>
      </c>
      <c r="S50" s="198">
        <f t="shared" si="16"/>
        <v>1.1911831010788585</v>
      </c>
      <c r="T50" s="207"/>
      <c r="U50" s="317">
        <f>IF(D50=0,0,SUM($L$21:L50))</f>
        <v>40156.9159096195</v>
      </c>
      <c r="V50" s="317">
        <f>IF(D50=0,0,SUM($J$21:J50))</f>
        <v>47834.239622983507</v>
      </c>
      <c r="W50" s="331">
        <f t="shared" si="10"/>
        <v>7677.3237133640068</v>
      </c>
      <c r="X50" s="200">
        <f t="shared" si="17"/>
        <v>1.1911831010788585</v>
      </c>
      <c r="Y50" s="201">
        <f t="shared" si="21"/>
        <v>45687</v>
      </c>
      <c r="Z50" s="202">
        <f t="shared" si="21"/>
        <v>45687</v>
      </c>
      <c r="AA50" s="246">
        <v>5</v>
      </c>
      <c r="AB50" s="243" t="s">
        <v>217</v>
      </c>
      <c r="AC50" s="336">
        <f>IFERROR(AVERAGEIFS(J141:J171,D141:D171,1,G141:G171,"tue"),0)</f>
        <v>2683.8499184339312</v>
      </c>
      <c r="AD50" s="275">
        <f>COUNTIFS(D141:D171,1,G141:G171,"tue")</f>
        <v>3</v>
      </c>
      <c r="AE50" s="335">
        <f>($I$11*'2024(¥)'!AI49)/AD50</f>
        <v>2747.6329796104983</v>
      </c>
      <c r="AF50" s="334">
        <f t="shared" si="23"/>
        <v>8242.8989388314949</v>
      </c>
      <c r="AG50" s="203"/>
      <c r="AH50" s="203"/>
      <c r="AI50" s="18"/>
      <c r="AJ50" s="18"/>
      <c r="AK50" s="18"/>
      <c r="AL50" s="18"/>
      <c r="AM50" s="18"/>
      <c r="AN50" s="18"/>
    </row>
    <row r="51" spans="1:40" ht="21" thickBot="1">
      <c r="A51" s="18"/>
      <c r="B51" s="151"/>
      <c r="C51" s="216">
        <v>31</v>
      </c>
      <c r="D51" s="38">
        <v>1</v>
      </c>
      <c r="E51" s="217">
        <f t="shared" si="12"/>
        <v>1</v>
      </c>
      <c r="F51" s="218">
        <f t="shared" si="13"/>
        <v>45688</v>
      </c>
      <c r="G51" s="219" t="str">
        <f t="shared" si="14"/>
        <v>Fri</v>
      </c>
      <c r="H51" s="220"/>
      <c r="I51" s="221"/>
      <c r="J51" s="312">
        <f>335220/B13</f>
        <v>3038.0641653072321</v>
      </c>
      <c r="K51" s="223"/>
      <c r="L51" s="319">
        <f t="shared" si="15"/>
        <v>2508.4122369484471</v>
      </c>
      <c r="M51" s="320">
        <f t="shared" si="7"/>
        <v>529.65192835878497</v>
      </c>
      <c r="N51" s="225">
        <f t="shared" si="8"/>
        <v>1.2111502728925934</v>
      </c>
      <c r="O51" s="226"/>
      <c r="P51" s="322">
        <f>IF(D51=0,0,SUM($L$21:L51))</f>
        <v>42665.328146567947</v>
      </c>
      <c r="Q51" s="323">
        <f>IF(D51=0,0,SUM($J$21:J51))</f>
        <v>50872.303788290737</v>
      </c>
      <c r="R51" s="320">
        <f t="shared" si="9"/>
        <v>8206.9756417227909</v>
      </c>
      <c r="S51" s="228">
        <f t="shared" si="16"/>
        <v>1.192357026143791</v>
      </c>
      <c r="T51" s="229"/>
      <c r="U51" s="332">
        <f>IF(D51=0,0,SUM($L$21:L51))</f>
        <v>42665.328146567947</v>
      </c>
      <c r="V51" s="323">
        <f>IF(D51=0,0,SUM($J$21:J51))</f>
        <v>50872.303788290737</v>
      </c>
      <c r="W51" s="333">
        <f t="shared" si="10"/>
        <v>8206.9756417227909</v>
      </c>
      <c r="X51" s="230">
        <f t="shared" si="17"/>
        <v>1.192357026143791</v>
      </c>
      <c r="Y51" s="201">
        <f t="shared" si="21"/>
        <v>45688</v>
      </c>
      <c r="Z51" s="202">
        <f t="shared" si="21"/>
        <v>45688</v>
      </c>
      <c r="AA51" s="246">
        <v>5</v>
      </c>
      <c r="AB51" s="243" t="s">
        <v>218</v>
      </c>
      <c r="AC51" s="336">
        <f>IFERROR(AVERAGEIFS(J141:J171,D141:D171,1,G141:G171,"wed"),0)</f>
        <v>2763.6555193039694</v>
      </c>
      <c r="AD51" s="275">
        <f>COUNTIFS(D141:D171,1,G141:G171,"wed")</f>
        <v>4</v>
      </c>
      <c r="AE51" s="335">
        <f>($I$11*'2024(¥)'!AI50)/AD51</f>
        <v>3561.3170211468218</v>
      </c>
      <c r="AF51" s="334">
        <f t="shared" si="23"/>
        <v>14245.268084587287</v>
      </c>
      <c r="AG51" s="203"/>
      <c r="AH51" s="203"/>
      <c r="AI51" s="18"/>
      <c r="AJ51" s="18"/>
      <c r="AK51" s="18"/>
      <c r="AL51" s="18"/>
      <c r="AM51" s="18"/>
      <c r="AN51" s="18"/>
    </row>
    <row r="52" spans="1:40" ht="21" thickTop="1">
      <c r="A52" s="18"/>
      <c r="B52" s="151"/>
      <c r="C52" s="55">
        <v>32</v>
      </c>
      <c r="D52" s="62">
        <v>1</v>
      </c>
      <c r="E52" s="190">
        <f t="shared" si="12"/>
        <v>2</v>
      </c>
      <c r="F52" s="191">
        <f t="shared" si="13"/>
        <v>45689</v>
      </c>
      <c r="G52" s="192" t="str">
        <f t="shared" si="14"/>
        <v>Sat</v>
      </c>
      <c r="H52" s="193"/>
      <c r="I52" s="194"/>
      <c r="J52" s="307">
        <f>76880/B13</f>
        <v>696.75548305238351</v>
      </c>
      <c r="K52" s="215"/>
      <c r="L52" s="317">
        <f t="shared" si="15"/>
        <v>1163.4203420009812</v>
      </c>
      <c r="M52" s="321">
        <f t="shared" si="7"/>
        <v>-466.66485894859773</v>
      </c>
      <c r="N52" s="60">
        <f t="shared" si="8"/>
        <v>0.59888542248971255</v>
      </c>
      <c r="O52" s="56"/>
      <c r="P52" s="317">
        <f>IF(D52=0,0,$L$52)</f>
        <v>1163.4203420009812</v>
      </c>
      <c r="Q52" s="317">
        <f>IF(D52=0,0,$J$52)</f>
        <v>696.75548305238351</v>
      </c>
      <c r="R52" s="321">
        <f t="shared" si="9"/>
        <v>-466.66485894859773</v>
      </c>
      <c r="S52" s="231">
        <f t="shared" si="16"/>
        <v>0.59888542248971255</v>
      </c>
      <c r="T52" s="207"/>
      <c r="U52" s="317">
        <f>IF(D52=0,0,SUM($L$21:L52))</f>
        <v>43828.748488568926</v>
      </c>
      <c r="V52" s="317">
        <f>IF(D52=0,0,SUM($J$21:J52))</f>
        <v>51569.059271343118</v>
      </c>
      <c r="W52" s="331">
        <f t="shared" si="10"/>
        <v>7740.3107827741915</v>
      </c>
      <c r="X52" s="232">
        <f t="shared" si="17"/>
        <v>1.1766035091052842</v>
      </c>
      <c r="Y52" s="201">
        <f t="shared" si="21"/>
        <v>45689</v>
      </c>
      <c r="Z52" s="202">
        <f t="shared" si="21"/>
        <v>45689</v>
      </c>
      <c r="AA52" s="246">
        <v>5</v>
      </c>
      <c r="AB52" s="243" t="s">
        <v>219</v>
      </c>
      <c r="AC52" s="336">
        <f>IFERROR(AVERAGEIFS(J141:J171,D141:D171,1,G141:G171,"thu"),0)</f>
        <v>2326.9331158238174</v>
      </c>
      <c r="AD52" s="275">
        <f>COUNTIFS(D141:D171,1,G141:G171,"thu")</f>
        <v>5</v>
      </c>
      <c r="AE52" s="335">
        <f>($I$11*'2024(¥)'!AI51)/AD52</f>
        <v>1957.7534476230787</v>
      </c>
      <c r="AF52" s="334">
        <f t="shared" si="23"/>
        <v>9788.7672381153934</v>
      </c>
      <c r="AG52" s="203"/>
      <c r="AH52" s="203"/>
      <c r="AI52" s="18"/>
      <c r="AJ52" s="18"/>
      <c r="AK52" s="18"/>
      <c r="AL52" s="18"/>
      <c r="AM52" s="18"/>
      <c r="AN52" s="18"/>
    </row>
    <row r="53" spans="1:40" ht="20">
      <c r="A53" s="18"/>
      <c r="B53" s="151"/>
      <c r="C53" s="55">
        <v>33</v>
      </c>
      <c r="D53" s="54">
        <v>0</v>
      </c>
      <c r="E53" s="190">
        <f t="shared" si="12"/>
        <v>2</v>
      </c>
      <c r="F53" s="191">
        <f t="shared" si="13"/>
        <v>45690</v>
      </c>
      <c r="G53" s="192" t="str">
        <f t="shared" si="14"/>
        <v>Sun</v>
      </c>
      <c r="H53" s="193"/>
      <c r="I53" s="194"/>
      <c r="J53" s="307"/>
      <c r="K53" s="215"/>
      <c r="L53" s="317">
        <f t="shared" si="15"/>
        <v>0</v>
      </c>
      <c r="M53" s="318">
        <f t="shared" si="7"/>
        <v>0</v>
      </c>
      <c r="N53" s="41" t="str">
        <f t="shared" si="8"/>
        <v>¥0</v>
      </c>
      <c r="O53" s="44"/>
      <c r="P53" s="317">
        <f>IF(D53=0,0,SUM($L$52:L53))</f>
        <v>0</v>
      </c>
      <c r="Q53" s="317">
        <f>IF(D53=0,0,SUM($J$52:J53))</f>
        <v>0</v>
      </c>
      <c r="R53" s="321">
        <f t="shared" si="9"/>
        <v>0</v>
      </c>
      <c r="S53" s="198">
        <f t="shared" si="16"/>
        <v>0</v>
      </c>
      <c r="T53" s="212"/>
      <c r="U53" s="317">
        <f>IF(D53=0,0,SUM($L$21:L53))</f>
        <v>0</v>
      </c>
      <c r="V53" s="317">
        <f>IF(D53=0,0,SUM($J$21:J53))</f>
        <v>0</v>
      </c>
      <c r="W53" s="331">
        <f t="shared" si="10"/>
        <v>0</v>
      </c>
      <c r="X53" s="200">
        <f t="shared" si="17"/>
        <v>0</v>
      </c>
      <c r="Y53" s="201">
        <f t="shared" si="21"/>
        <v>45690</v>
      </c>
      <c r="Z53" s="202">
        <f t="shared" si="21"/>
        <v>45690</v>
      </c>
      <c r="AA53" s="246">
        <v>5</v>
      </c>
      <c r="AB53" s="243" t="s">
        <v>220</v>
      </c>
      <c r="AC53" s="336">
        <f>IFERROR(AVERAGEIFS(J141:J171,D141:D171,1,G141:G171,"fri"),0)</f>
        <v>3259.0810222947252</v>
      </c>
      <c r="AD53" s="275">
        <f>COUNTIFS(D141:D171,1,G141:G171,"fri")</f>
        <v>5</v>
      </c>
      <c r="AE53" s="335">
        <f>($I$11*'2024(¥)'!AI52)/AD53</f>
        <v>2487.0498002383574</v>
      </c>
      <c r="AF53" s="334">
        <f t="shared" si="23"/>
        <v>12435.249001191787</v>
      </c>
      <c r="AG53" s="203"/>
      <c r="AH53" s="203"/>
      <c r="AI53" s="18"/>
      <c r="AJ53" s="18"/>
      <c r="AK53" s="18"/>
      <c r="AL53" s="18"/>
      <c r="AM53" s="18"/>
      <c r="AN53" s="18"/>
    </row>
    <row r="54" spans="1:40" ht="20">
      <c r="A54" s="18"/>
      <c r="B54" s="151"/>
      <c r="C54" s="55">
        <v>34</v>
      </c>
      <c r="D54" s="54">
        <v>1</v>
      </c>
      <c r="E54" s="190">
        <f t="shared" si="12"/>
        <v>2</v>
      </c>
      <c r="F54" s="191">
        <f t="shared" si="13"/>
        <v>45691</v>
      </c>
      <c r="G54" s="192" t="str">
        <f t="shared" si="14"/>
        <v>Mon</v>
      </c>
      <c r="H54" s="193"/>
      <c r="I54" s="194"/>
      <c r="J54" s="307">
        <f>269090/B13</f>
        <v>2438.7348196483595</v>
      </c>
      <c r="K54" s="215"/>
      <c r="L54" s="317">
        <f t="shared" si="15"/>
        <v>1972.5494736714036</v>
      </c>
      <c r="M54" s="318">
        <f t="shared" si="7"/>
        <v>466.18534597695589</v>
      </c>
      <c r="N54" s="41">
        <f t="shared" si="8"/>
        <v>1.2363364530012366</v>
      </c>
      <c r="O54" s="56"/>
      <c r="P54" s="317">
        <f>IF(D54=0,0,SUM($L$52:L54))</f>
        <v>3135.9698156723848</v>
      </c>
      <c r="Q54" s="317">
        <f>IF(D54=0,0,SUM($J$52:J54))</f>
        <v>3135.4903027007431</v>
      </c>
      <c r="R54" s="321">
        <f t="shared" si="9"/>
        <v>-0.47951297164172502</v>
      </c>
      <c r="S54" s="198">
        <f t="shared" si="16"/>
        <v>0.99984709260617077</v>
      </c>
      <c r="T54" s="207"/>
      <c r="U54" s="317">
        <f>IF(D54=0,0,SUM($L$21:L54))</f>
        <v>45801.297962240329</v>
      </c>
      <c r="V54" s="317">
        <f>IF(D54=0,0,SUM($J$21:J54))</f>
        <v>54007.794090991476</v>
      </c>
      <c r="W54" s="331">
        <f t="shared" si="10"/>
        <v>8206.4961287511469</v>
      </c>
      <c r="X54" s="200">
        <f t="shared" si="17"/>
        <v>1.1791760603709698</v>
      </c>
      <c r="Y54" s="201">
        <f t="shared" si="21"/>
        <v>45691</v>
      </c>
      <c r="Z54" s="202">
        <f t="shared" si="21"/>
        <v>45691</v>
      </c>
      <c r="AA54" s="246">
        <v>5</v>
      </c>
      <c r="AB54" s="243" t="s">
        <v>221</v>
      </c>
      <c r="AC54" s="336">
        <f>IFERROR(AVERAGEIFS(J141:J171,D141:D171,1,G141:G171,"sat"),0)</f>
        <v>2376.6721044045676</v>
      </c>
      <c r="AD54" s="275">
        <f>COUNTIFS(D141:D171,1,G141:G171,"sat")</f>
        <v>4</v>
      </c>
      <c r="AE54" s="335">
        <f>($I$11*'2024(¥)'!AI53)/AD54</f>
        <v>921.86314334037752</v>
      </c>
      <c r="AF54" s="334">
        <f t="shared" si="23"/>
        <v>3687.4525733615101</v>
      </c>
      <c r="AG54" s="273" t="s">
        <v>194</v>
      </c>
      <c r="AH54" s="203"/>
      <c r="AI54" s="18"/>
      <c r="AJ54" s="18"/>
      <c r="AK54" s="18"/>
      <c r="AL54" s="18"/>
      <c r="AM54" s="18"/>
      <c r="AN54" s="18"/>
    </row>
    <row r="55" spans="1:40" ht="20">
      <c r="A55" s="18"/>
      <c r="B55" s="151"/>
      <c r="C55" s="55">
        <v>35</v>
      </c>
      <c r="D55" s="54">
        <v>1</v>
      </c>
      <c r="E55" s="190">
        <f t="shared" si="12"/>
        <v>2</v>
      </c>
      <c r="F55" s="191">
        <f t="shared" si="13"/>
        <v>45692</v>
      </c>
      <c r="G55" s="192" t="str">
        <f t="shared" si="14"/>
        <v>Tue</v>
      </c>
      <c r="H55" s="193"/>
      <c r="I55" s="194"/>
      <c r="J55" s="307">
        <f>250480/B13</f>
        <v>2270.0743157513139</v>
      </c>
      <c r="K55" s="215"/>
      <c r="L55" s="317">
        <f t="shared" si="15"/>
        <v>2436.6637087523163</v>
      </c>
      <c r="M55" s="318">
        <f t="shared" si="7"/>
        <v>-166.58939300100246</v>
      </c>
      <c r="N55" s="41">
        <f t="shared" si="8"/>
        <v>0.93163217706135415</v>
      </c>
      <c r="O55" s="56"/>
      <c r="P55" s="317">
        <f>IF(D55=0,0,SUM($L$52:L55))</f>
        <v>5572.6335244247011</v>
      </c>
      <c r="Q55" s="317">
        <f>IF(D55=0,0,SUM($J$52:J55))</f>
        <v>5405.5646184520574</v>
      </c>
      <c r="R55" s="321">
        <f t="shared" si="9"/>
        <v>-167.06890597264373</v>
      </c>
      <c r="S55" s="198">
        <f t="shared" si="16"/>
        <v>0.97001975722243616</v>
      </c>
      <c r="T55" s="207"/>
      <c r="U55" s="317">
        <f>IF(D55=0,0,SUM($L$21:L55))</f>
        <v>48237.961670992649</v>
      </c>
      <c r="V55" s="317">
        <f>IF(D55=0,0,SUM($J$21:J55))</f>
        <v>56277.868406742789</v>
      </c>
      <c r="W55" s="331">
        <f t="shared" si="10"/>
        <v>8039.9067357501408</v>
      </c>
      <c r="X55" s="200">
        <f t="shared" si="17"/>
        <v>1.1666717758637146</v>
      </c>
      <c r="Y55" s="201">
        <f t="shared" ref="Y55:Z70" si="24">Y54+1</f>
        <v>45692</v>
      </c>
      <c r="Z55" s="202">
        <f t="shared" si="24"/>
        <v>45692</v>
      </c>
      <c r="AA55" s="246">
        <v>5</v>
      </c>
      <c r="AB55" s="243" t="s">
        <v>222</v>
      </c>
      <c r="AC55" s="336">
        <f>IFERROR(AVERAGEIFS(J141:J171,D141:D171,1,G141:G171,"sun"),0)</f>
        <v>0</v>
      </c>
      <c r="AD55" s="275">
        <f>IFERROR(COUNTIFS(D141:D171,1,G141:G171,"sun"),0)</f>
        <v>0</v>
      </c>
      <c r="AE55" s="335">
        <f>IFERROR(($I$11*'2024(¥)'!AI54)/AD55,0)</f>
        <v>0</v>
      </c>
      <c r="AF55" s="337">
        <f>SUM(AF49:AF54)</f>
        <v>54757.640402012337</v>
      </c>
      <c r="AG55" s="272">
        <f>I11</f>
        <v>54757.640402012345</v>
      </c>
      <c r="AH55" s="270"/>
      <c r="AI55" s="18"/>
      <c r="AJ55" s="18"/>
      <c r="AK55" s="18"/>
      <c r="AL55" s="18"/>
      <c r="AM55" s="18"/>
      <c r="AN55" s="18"/>
    </row>
    <row r="56" spans="1:40" ht="20">
      <c r="A56" s="18"/>
      <c r="B56" s="151"/>
      <c r="C56" s="55">
        <v>36</v>
      </c>
      <c r="D56" s="54">
        <v>1</v>
      </c>
      <c r="E56" s="190">
        <f t="shared" si="12"/>
        <v>2</v>
      </c>
      <c r="F56" s="191">
        <f t="shared" si="13"/>
        <v>45693</v>
      </c>
      <c r="G56" s="192" t="str">
        <f t="shared" si="14"/>
        <v>Wed</v>
      </c>
      <c r="H56" s="193"/>
      <c r="I56" s="194"/>
      <c r="J56" s="307">
        <f>273590/B13</f>
        <v>2479.5178539061085</v>
      </c>
      <c r="K56" s="215"/>
      <c r="L56" s="317">
        <f t="shared" si="15"/>
        <v>1891.2377856377923</v>
      </c>
      <c r="M56" s="318">
        <f t="shared" si="7"/>
        <v>588.2800682683162</v>
      </c>
      <c r="N56" s="41">
        <f t="shared" si="8"/>
        <v>1.3110555810251683</v>
      </c>
      <c r="O56" s="56"/>
      <c r="P56" s="317">
        <f>IF(D56=0,0,SUM($L$52:L56))</f>
        <v>7463.8713100624936</v>
      </c>
      <c r="Q56" s="317">
        <f>IF(D56=0,0,SUM($J$52:J56))</f>
        <v>7885.0824723581663</v>
      </c>
      <c r="R56" s="321">
        <f t="shared" si="9"/>
        <v>421.21116229567269</v>
      </c>
      <c r="S56" s="198">
        <f t="shared" si="16"/>
        <v>1.0564333366423149</v>
      </c>
      <c r="T56" s="207"/>
      <c r="U56" s="317">
        <f>IF(D56=0,0,SUM($L$21:L56))</f>
        <v>50129.199456630442</v>
      </c>
      <c r="V56" s="317">
        <f>IF(D56=0,0,SUM($J$21:J56))</f>
        <v>58757.386260648898</v>
      </c>
      <c r="W56" s="331">
        <f t="shared" si="10"/>
        <v>8628.1868040184563</v>
      </c>
      <c r="X56" s="200">
        <f t="shared" si="17"/>
        <v>1.1721189825000733</v>
      </c>
      <c r="Y56" s="201">
        <f t="shared" si="24"/>
        <v>45693</v>
      </c>
      <c r="Z56" s="202">
        <f t="shared" si="24"/>
        <v>45693</v>
      </c>
      <c r="AA56" s="246">
        <v>6</v>
      </c>
      <c r="AB56" s="136" t="s">
        <v>216</v>
      </c>
      <c r="AC56" s="336">
        <f>IFERROR(AVERAGEIFS(J172:J201,D172:D201,1,G172:G201,"mon"),0)</f>
        <v>2744.2631865144094</v>
      </c>
      <c r="AD56" s="275">
        <f>COUNTIFS(D172:D201,1,G172:G201,"Mon")</f>
        <v>5</v>
      </c>
      <c r="AE56" s="335">
        <f>($I$12*'2024(¥)'!AI55)/AD56</f>
        <v>1262.1856470469945</v>
      </c>
      <c r="AF56" s="334">
        <f t="shared" ref="AF56:AF61" si="25">AD56*AE56</f>
        <v>6310.9282352349728</v>
      </c>
      <c r="AG56" s="203" t="s">
        <v>133</v>
      </c>
      <c r="AH56" s="203"/>
      <c r="AI56" s="18"/>
      <c r="AJ56" s="18"/>
      <c r="AK56" s="18"/>
      <c r="AL56" s="18"/>
      <c r="AM56" s="18"/>
      <c r="AN56" s="18"/>
    </row>
    <row r="57" spans="1:40" ht="20">
      <c r="A57" s="18"/>
      <c r="B57" s="151"/>
      <c r="C57" s="55">
        <v>37</v>
      </c>
      <c r="D57" s="54">
        <v>1</v>
      </c>
      <c r="E57" s="190">
        <f t="shared" si="12"/>
        <v>2</v>
      </c>
      <c r="F57" s="191">
        <f t="shared" si="13"/>
        <v>45694</v>
      </c>
      <c r="G57" s="192" t="str">
        <f t="shared" si="14"/>
        <v>Thu</v>
      </c>
      <c r="H57" s="193"/>
      <c r="I57" s="194"/>
      <c r="J57" s="307">
        <f>302940/B13</f>
        <v>2745.5138662316476</v>
      </c>
      <c r="K57" s="215"/>
      <c r="L57" s="317">
        <f t="shared" si="15"/>
        <v>2488.5684159838429</v>
      </c>
      <c r="M57" s="318">
        <f t="shared" si="7"/>
        <v>256.94545024780473</v>
      </c>
      <c r="N57" s="41">
        <f t="shared" si="8"/>
        <v>1.1032503059178393</v>
      </c>
      <c r="O57" s="56"/>
      <c r="P57" s="317">
        <f>IF(D57=0,0,SUM($L$52:L57))</f>
        <v>9952.4397260463375</v>
      </c>
      <c r="Q57" s="317">
        <f>IF(D57=0,0,SUM($J$52:J57))</f>
        <v>10630.596338589814</v>
      </c>
      <c r="R57" s="321">
        <f t="shared" si="9"/>
        <v>678.15661254347651</v>
      </c>
      <c r="S57" s="198">
        <f t="shared" si="16"/>
        <v>1.0681397357040692</v>
      </c>
      <c r="T57" s="207"/>
      <c r="U57" s="317">
        <f>IF(D57=0,0,SUM($L$21:L57))</f>
        <v>52617.767872614284</v>
      </c>
      <c r="V57" s="317">
        <f>IF(D57=0,0,SUM($J$21:J57))</f>
        <v>61502.900126880544</v>
      </c>
      <c r="W57" s="331">
        <f t="shared" si="10"/>
        <v>8885.1322542662601</v>
      </c>
      <c r="X57" s="200">
        <f t="shared" si="17"/>
        <v>1.1688618239332547</v>
      </c>
      <c r="Y57" s="201">
        <f t="shared" si="24"/>
        <v>45694</v>
      </c>
      <c r="Z57" s="202">
        <f t="shared" si="24"/>
        <v>45694</v>
      </c>
      <c r="AA57" s="246">
        <v>6</v>
      </c>
      <c r="AB57" s="243" t="s">
        <v>217</v>
      </c>
      <c r="AC57" s="336">
        <f>IFERROR(AVERAGEIFS(J172:J201,D172:D201,1,G172:G201,"tue"),0)</f>
        <v>2174.1208990393329</v>
      </c>
      <c r="AD57" s="275">
        <f>COUNTIFS(D172:D201,1,G172:G201,"tue")</f>
        <v>4</v>
      </c>
      <c r="AE57" s="335">
        <f>($I$12*'2024(¥)'!AI56)/AD57</f>
        <v>1679.9639753914585</v>
      </c>
      <c r="AF57" s="334">
        <f t="shared" si="25"/>
        <v>6719.8559015658338</v>
      </c>
      <c r="AG57" s="203"/>
      <c r="AH57" s="203"/>
      <c r="AI57" s="18"/>
      <c r="AJ57" s="18"/>
      <c r="AK57" s="18"/>
      <c r="AL57" s="18"/>
      <c r="AM57" s="18"/>
      <c r="AN57" s="18"/>
    </row>
    <row r="58" spans="1:40" ht="20">
      <c r="A58" s="18"/>
      <c r="B58" s="151"/>
      <c r="C58" s="55">
        <v>38</v>
      </c>
      <c r="D58" s="54">
        <v>1</v>
      </c>
      <c r="E58" s="190">
        <f t="shared" si="12"/>
        <v>2</v>
      </c>
      <c r="F58" s="191">
        <f t="shared" si="13"/>
        <v>45695</v>
      </c>
      <c r="G58" s="192" t="str">
        <f t="shared" si="14"/>
        <v>Fri</v>
      </c>
      <c r="H58" s="193"/>
      <c r="I58" s="194"/>
      <c r="J58" s="307">
        <f>312510/B13</f>
        <v>2832.2457857531267</v>
      </c>
      <c r="K58" s="215"/>
      <c r="L58" s="317">
        <f t="shared" si="15"/>
        <v>1816.1956062015797</v>
      </c>
      <c r="M58" s="318">
        <f t="shared" si="7"/>
        <v>1016.050179551547</v>
      </c>
      <c r="N58" s="41">
        <f t="shared" si="8"/>
        <v>1.5594387389123412</v>
      </c>
      <c r="O58" s="56"/>
      <c r="P58" s="317">
        <f>IF(D58=0,0,SUM($L$52:L58))</f>
        <v>11768.635332247917</v>
      </c>
      <c r="Q58" s="317">
        <f>IF(D58=0,0,SUM($J$52:J58))</f>
        <v>13462.84212434294</v>
      </c>
      <c r="R58" s="321">
        <f t="shared" si="9"/>
        <v>1694.206792095023</v>
      </c>
      <c r="S58" s="198">
        <f t="shared" si="16"/>
        <v>1.1439594943903673</v>
      </c>
      <c r="T58" s="207"/>
      <c r="U58" s="317">
        <f>IF(D58=0,0,SUM($L$21:L58))</f>
        <v>54433.963478815866</v>
      </c>
      <c r="V58" s="317">
        <f>IF(D58=0,0,SUM($J$21:J58))</f>
        <v>64335.14591263367</v>
      </c>
      <c r="W58" s="331">
        <f t="shared" si="10"/>
        <v>9901.1824338178048</v>
      </c>
      <c r="X58" s="200">
        <f t="shared" si="17"/>
        <v>1.1818934687287848</v>
      </c>
      <c r="Y58" s="201">
        <f t="shared" si="24"/>
        <v>45695</v>
      </c>
      <c r="Z58" s="202">
        <f t="shared" si="24"/>
        <v>45695</v>
      </c>
      <c r="AA58" s="246">
        <v>6</v>
      </c>
      <c r="AB58" s="243" t="s">
        <v>218</v>
      </c>
      <c r="AC58" s="336">
        <f>IFERROR(AVERAGEIFS(J172:J201,D172:D201,1,G172:G201,"wed"),0)</f>
        <v>2461.2787746963927</v>
      </c>
      <c r="AD58" s="275">
        <f>COUNTIFS(D172:D201,1,G172:G201,"wed")</f>
        <v>4</v>
      </c>
      <c r="AE58" s="335">
        <f>($I$12*'2024(¥)'!AI57)/AD58</f>
        <v>2530.9323550859926</v>
      </c>
      <c r="AF58" s="334">
        <f t="shared" si="25"/>
        <v>10123.729420343971</v>
      </c>
      <c r="AG58" s="203"/>
      <c r="AH58" s="203"/>
      <c r="AI58" s="18"/>
      <c r="AJ58" s="18"/>
      <c r="AK58" s="18"/>
      <c r="AL58" s="18"/>
      <c r="AM58" s="18"/>
      <c r="AN58" s="18"/>
    </row>
    <row r="59" spans="1:40" ht="20">
      <c r="A59" s="18"/>
      <c r="B59" s="151"/>
      <c r="C59" s="55">
        <v>39</v>
      </c>
      <c r="D59" s="54">
        <v>1</v>
      </c>
      <c r="E59" s="190">
        <f t="shared" si="12"/>
        <v>2</v>
      </c>
      <c r="F59" s="191">
        <f t="shared" si="13"/>
        <v>45696</v>
      </c>
      <c r="G59" s="192" t="str">
        <f t="shared" si="14"/>
        <v>Sat</v>
      </c>
      <c r="H59" s="193"/>
      <c r="I59" s="194"/>
      <c r="J59" s="307">
        <f>46100/B13</f>
        <v>417.7995287293819</v>
      </c>
      <c r="K59" s="215"/>
      <c r="L59" s="317">
        <f t="shared" si="15"/>
        <v>1163.4203420009812</v>
      </c>
      <c r="M59" s="318">
        <f t="shared" si="7"/>
        <v>-745.62081327159933</v>
      </c>
      <c r="N59" s="41">
        <f t="shared" si="8"/>
        <v>0.35911313705483544</v>
      </c>
      <c r="O59" s="56"/>
      <c r="P59" s="317">
        <f>IF(D59=0,0,SUM($L$52:L59))</f>
        <v>12932.055674248899</v>
      </c>
      <c r="Q59" s="317">
        <f>IF(D59=0,0,SUM($J$52:J59))</f>
        <v>13880.641653072322</v>
      </c>
      <c r="R59" s="321">
        <f t="shared" si="9"/>
        <v>948.58597882342292</v>
      </c>
      <c r="S59" s="198">
        <f t="shared" si="16"/>
        <v>1.0733515229687964</v>
      </c>
      <c r="T59" s="207"/>
      <c r="U59" s="317">
        <f>IF(D59=0,0,SUM($L$21:L59))</f>
        <v>55597.383820816845</v>
      </c>
      <c r="V59" s="317">
        <f>IF(D59=0,0,SUM($J$21:J59))</f>
        <v>64752.945441363052</v>
      </c>
      <c r="W59" s="331">
        <f t="shared" si="10"/>
        <v>9155.5616205462065</v>
      </c>
      <c r="X59" s="200">
        <f t="shared" si="17"/>
        <v>1.1646761230717868</v>
      </c>
      <c r="Y59" s="201">
        <f t="shared" si="24"/>
        <v>45696</v>
      </c>
      <c r="Z59" s="202">
        <f t="shared" si="24"/>
        <v>45696</v>
      </c>
      <c r="AA59" s="246">
        <v>6</v>
      </c>
      <c r="AB59" s="243" t="s">
        <v>219</v>
      </c>
      <c r="AC59" s="336">
        <f>IFERROR(AVERAGEIFS(J172:J201,D172:D201,1,G172:G201,"thu"),0)</f>
        <v>2042.0518397679898</v>
      </c>
      <c r="AD59" s="275">
        <f>COUNTIFS(D172:D201,1,G172:G201,"thu")</f>
        <v>4</v>
      </c>
      <c r="AE59" s="335">
        <f>($I$12*'2024(¥)'!AI58)/AD59</f>
        <v>2293.458055578682</v>
      </c>
      <c r="AF59" s="334">
        <f t="shared" si="25"/>
        <v>9173.8322223147279</v>
      </c>
      <c r="AG59" s="203"/>
      <c r="AH59" s="203"/>
      <c r="AI59" s="18"/>
      <c r="AJ59" s="18"/>
      <c r="AK59" s="18"/>
      <c r="AL59" s="18"/>
      <c r="AM59" s="18"/>
      <c r="AN59" s="18"/>
    </row>
    <row r="60" spans="1:40" ht="20">
      <c r="A60" s="18"/>
      <c r="B60" s="151"/>
      <c r="C60" s="55">
        <v>40</v>
      </c>
      <c r="D60" s="54">
        <v>0</v>
      </c>
      <c r="E60" s="190">
        <f t="shared" si="12"/>
        <v>2</v>
      </c>
      <c r="F60" s="191">
        <f t="shared" si="13"/>
        <v>45697</v>
      </c>
      <c r="G60" s="192" t="str">
        <f t="shared" si="14"/>
        <v>Sun</v>
      </c>
      <c r="H60" s="193"/>
      <c r="I60" s="194"/>
      <c r="J60" s="307"/>
      <c r="K60" s="215"/>
      <c r="L60" s="317">
        <f t="shared" si="15"/>
        <v>0</v>
      </c>
      <c r="M60" s="318">
        <f t="shared" si="7"/>
        <v>0</v>
      </c>
      <c r="N60" s="41" t="str">
        <f t="shared" si="8"/>
        <v>¥0</v>
      </c>
      <c r="O60" s="44"/>
      <c r="P60" s="317">
        <f>IF(D60=0,0,SUM($L$52:L60))</f>
        <v>0</v>
      </c>
      <c r="Q60" s="317">
        <f>IF(D60=0,0,SUM($J$52:J60))</f>
        <v>0</v>
      </c>
      <c r="R60" s="321">
        <f t="shared" si="9"/>
        <v>0</v>
      </c>
      <c r="S60" s="198">
        <f t="shared" si="16"/>
        <v>0</v>
      </c>
      <c r="T60" s="212"/>
      <c r="U60" s="317">
        <f>IF(D60=0,0,SUM($L$21:L60))</f>
        <v>0</v>
      </c>
      <c r="V60" s="317">
        <f>IF(D60=0,0,SUM($J$21:J60))</f>
        <v>0</v>
      </c>
      <c r="W60" s="331">
        <f t="shared" si="10"/>
        <v>0</v>
      </c>
      <c r="X60" s="200">
        <f t="shared" si="17"/>
        <v>0</v>
      </c>
      <c r="Y60" s="201">
        <f t="shared" si="24"/>
        <v>45697</v>
      </c>
      <c r="Z60" s="202">
        <f t="shared" si="24"/>
        <v>45697</v>
      </c>
      <c r="AA60" s="246">
        <v>6</v>
      </c>
      <c r="AB60" s="243" t="s">
        <v>220</v>
      </c>
      <c r="AC60" s="336">
        <f>IFERROR(AVERAGEIFS(J172:J201,D172:D201,1,G172:G201,"fri"),0)</f>
        <v>3069.9429037520385</v>
      </c>
      <c r="AD60" s="275">
        <f>COUNTIFS(D172:D201,1,G172:G201,"fri")</f>
        <v>4</v>
      </c>
      <c r="AE60" s="335">
        <f>($I$12*'2024(¥)'!AI59)/AD60</f>
        <v>2648.6129237230493</v>
      </c>
      <c r="AF60" s="334">
        <f t="shared" si="25"/>
        <v>10594.451694892197</v>
      </c>
      <c r="AG60" s="203"/>
      <c r="AH60" s="203"/>
      <c r="AI60" s="18"/>
      <c r="AJ60" s="18"/>
      <c r="AK60" s="18"/>
      <c r="AL60" s="18"/>
      <c r="AM60" s="18"/>
      <c r="AN60" s="18"/>
    </row>
    <row r="61" spans="1:40" ht="20">
      <c r="A61" s="18"/>
      <c r="B61" s="151"/>
      <c r="C61" s="55">
        <v>41</v>
      </c>
      <c r="D61" s="54">
        <v>1</v>
      </c>
      <c r="E61" s="190">
        <f t="shared" si="12"/>
        <v>2</v>
      </c>
      <c r="F61" s="191">
        <f t="shared" si="13"/>
        <v>45698</v>
      </c>
      <c r="G61" s="192" t="str">
        <f t="shared" si="14"/>
        <v>Mon</v>
      </c>
      <c r="H61" s="193"/>
      <c r="I61" s="194"/>
      <c r="J61" s="307">
        <f>278310/B13</f>
        <v>2522.2947253942361</v>
      </c>
      <c r="K61" s="215"/>
      <c r="L61" s="317">
        <f t="shared" si="15"/>
        <v>1972.5494736714036</v>
      </c>
      <c r="M61" s="318">
        <f t="shared" si="7"/>
        <v>549.74525172283256</v>
      </c>
      <c r="N61" s="41">
        <f t="shared" si="8"/>
        <v>1.2786978268786438</v>
      </c>
      <c r="O61" s="56"/>
      <c r="P61" s="317">
        <f>IF(D61=0,0,SUM($L$52:L61))</f>
        <v>14904.605147920302</v>
      </c>
      <c r="Q61" s="317">
        <f>IF(D61=0,0,SUM($J$52:J61))</f>
        <v>16402.936378466558</v>
      </c>
      <c r="R61" s="321">
        <f t="shared" si="9"/>
        <v>1498.3312305462568</v>
      </c>
      <c r="S61" s="198">
        <f t="shared" si="16"/>
        <v>1.1005280727450417</v>
      </c>
      <c r="T61" s="207"/>
      <c r="U61" s="317">
        <f>IF(D61=0,0,SUM($L$21:L61))</f>
        <v>57569.933294488248</v>
      </c>
      <c r="V61" s="317">
        <f>IF(D61=0,0,SUM($J$21:J61))</f>
        <v>67275.240166757285</v>
      </c>
      <c r="W61" s="331">
        <f t="shared" si="10"/>
        <v>9705.3068722690368</v>
      </c>
      <c r="X61" s="200">
        <f t="shared" si="17"/>
        <v>1.1685829098085514</v>
      </c>
      <c r="Y61" s="201">
        <f t="shared" si="24"/>
        <v>45698</v>
      </c>
      <c r="Z61" s="202">
        <f t="shared" si="24"/>
        <v>45698</v>
      </c>
      <c r="AA61" s="246">
        <v>6</v>
      </c>
      <c r="AB61" s="243" t="s">
        <v>221</v>
      </c>
      <c r="AC61" s="336">
        <f>IFERROR(AVERAGEIFS(J172:J201,D172:D201,1,G172:G201,"sat"),0)</f>
        <v>650.17219503353272</v>
      </c>
      <c r="AD61" s="275">
        <f>COUNTIFS(D172:D201,1,G172:G201,"sat")</f>
        <v>4</v>
      </c>
      <c r="AE61" s="335">
        <f>($I$12*'2024(¥)'!AI60)/AD61</f>
        <v>1390.1324912325144</v>
      </c>
      <c r="AF61" s="334">
        <f t="shared" si="25"/>
        <v>5560.5299649300578</v>
      </c>
      <c r="AG61" s="273" t="s">
        <v>195</v>
      </c>
      <c r="AH61" s="203"/>
      <c r="AI61" s="18"/>
      <c r="AJ61" s="18"/>
      <c r="AK61" s="18"/>
      <c r="AL61" s="18"/>
      <c r="AM61" s="18"/>
      <c r="AN61" s="18"/>
    </row>
    <row r="62" spans="1:40" ht="20">
      <c r="A62" s="18"/>
      <c r="B62" s="151"/>
      <c r="C62" s="55">
        <v>42</v>
      </c>
      <c r="D62" s="54">
        <v>0</v>
      </c>
      <c r="E62" s="190">
        <f t="shared" si="12"/>
        <v>2</v>
      </c>
      <c r="F62" s="191">
        <f t="shared" si="13"/>
        <v>45699</v>
      </c>
      <c r="G62" s="192" t="str">
        <f t="shared" si="14"/>
        <v>Tue</v>
      </c>
      <c r="H62" s="193" t="s">
        <v>168</v>
      </c>
      <c r="I62" s="194"/>
      <c r="J62" s="307"/>
      <c r="K62" s="215"/>
      <c r="L62" s="317">
        <f t="shared" si="15"/>
        <v>0</v>
      </c>
      <c r="M62" s="318">
        <f t="shared" si="7"/>
        <v>0</v>
      </c>
      <c r="N62" s="41" t="str">
        <f t="shared" si="8"/>
        <v>¥0</v>
      </c>
      <c r="O62" s="44"/>
      <c r="P62" s="317">
        <f>IF(D62=0,0,SUM($L$52:L62))</f>
        <v>0</v>
      </c>
      <c r="Q62" s="317">
        <f>IF(D62=0,0,SUM($J$52:J62))</f>
        <v>0</v>
      </c>
      <c r="R62" s="321">
        <f t="shared" si="9"/>
        <v>0</v>
      </c>
      <c r="S62" s="198">
        <f t="shared" si="16"/>
        <v>0</v>
      </c>
      <c r="T62" s="212"/>
      <c r="U62" s="317">
        <f>IF(D62=0,0,SUM($L$21:L62))</f>
        <v>0</v>
      </c>
      <c r="V62" s="317">
        <f>IF(D62=0,0,SUM($J$21:J62))</f>
        <v>0</v>
      </c>
      <c r="W62" s="331">
        <f t="shared" si="10"/>
        <v>0</v>
      </c>
      <c r="X62" s="200">
        <f t="shared" si="17"/>
        <v>0</v>
      </c>
      <c r="Y62" s="201">
        <f t="shared" si="24"/>
        <v>45699</v>
      </c>
      <c r="Z62" s="202">
        <f t="shared" si="24"/>
        <v>45699</v>
      </c>
      <c r="AA62" s="246">
        <v>6</v>
      </c>
      <c r="AB62" s="243" t="s">
        <v>222</v>
      </c>
      <c r="AC62" s="336">
        <f>IFERROR(AVERAGEIFS(J172:J201,D172:D201,1,G172:G201,"sun"),0)</f>
        <v>0</v>
      </c>
      <c r="AD62" s="275">
        <f>IFERROR(COUNTIFS(D172:D201,1,G172:G201,"sun"),0)</f>
        <v>0</v>
      </c>
      <c r="AE62" s="335">
        <f>IFERROR(($I$12*'2024(¥)'!AI61)/AD62,0)</f>
        <v>0</v>
      </c>
      <c r="AF62" s="337">
        <f>SUM(AF56:AF61)</f>
        <v>48483.327439281755</v>
      </c>
      <c r="AG62" s="272">
        <f>I12</f>
        <v>48483.327439281762</v>
      </c>
      <c r="AH62" s="270"/>
      <c r="AI62" s="18"/>
      <c r="AJ62" s="18"/>
      <c r="AK62" s="18"/>
      <c r="AL62" s="18"/>
      <c r="AM62" s="18"/>
      <c r="AN62" s="18"/>
    </row>
    <row r="63" spans="1:40" ht="20">
      <c r="A63" s="18"/>
      <c r="B63" s="151"/>
      <c r="C63" s="55">
        <v>43</v>
      </c>
      <c r="D63" s="54">
        <v>1</v>
      </c>
      <c r="E63" s="190">
        <f t="shared" si="12"/>
        <v>2</v>
      </c>
      <c r="F63" s="191">
        <f t="shared" si="13"/>
        <v>45700</v>
      </c>
      <c r="G63" s="192" t="str">
        <f t="shared" si="14"/>
        <v>Wed</v>
      </c>
      <c r="H63" s="193"/>
      <c r="I63" s="194"/>
      <c r="J63" s="307">
        <f>227850/B13</f>
        <v>2064.9809679173463</v>
      </c>
      <c r="K63" s="215"/>
      <c r="L63" s="317">
        <f t="shared" si="15"/>
        <v>1891.2377856377923</v>
      </c>
      <c r="M63" s="318">
        <f t="shared" si="7"/>
        <v>173.74318227955405</v>
      </c>
      <c r="N63" s="41">
        <f t="shared" si="8"/>
        <v>1.0918674444847567</v>
      </c>
      <c r="O63" s="56"/>
      <c r="P63" s="317">
        <f>IF(D63=0,0,SUM($L$52:L63))</f>
        <v>16795.842933558095</v>
      </c>
      <c r="Q63" s="317">
        <f>IF(D63=0,0,SUM($J$52:J63))</f>
        <v>18467.917346383903</v>
      </c>
      <c r="R63" s="321">
        <f t="shared" si="9"/>
        <v>1672.0744128258084</v>
      </c>
      <c r="S63" s="198">
        <f t="shared" si="16"/>
        <v>1.099552872662616</v>
      </c>
      <c r="T63" s="207"/>
      <c r="U63" s="317">
        <f>IF(D63=0,0,SUM($L$21:L63))</f>
        <v>59461.171080126041</v>
      </c>
      <c r="V63" s="317">
        <f>IF(D63=0,0,SUM($J$21:J63))</f>
        <v>69340.221134674634</v>
      </c>
      <c r="W63" s="331">
        <f t="shared" si="10"/>
        <v>9879.050054548592</v>
      </c>
      <c r="X63" s="200">
        <f t="shared" si="17"/>
        <v>1.1661428773617024</v>
      </c>
      <c r="Y63" s="201">
        <f t="shared" si="24"/>
        <v>45700</v>
      </c>
      <c r="Z63" s="202">
        <f t="shared" si="24"/>
        <v>45700</v>
      </c>
      <c r="AA63" s="246">
        <v>7</v>
      </c>
      <c r="AB63" s="136" t="s">
        <v>216</v>
      </c>
      <c r="AC63" s="336">
        <f>IFERROR(AVERAGEIFS(J202:J232,D202:D232,1,G202:G232,"mon"),0)</f>
        <v>2164.3405232312248</v>
      </c>
      <c r="AD63" s="275">
        <f>COUNTIFS(D202:D232,1,G202:G232,"Mon")</f>
        <v>3</v>
      </c>
      <c r="AE63" s="335">
        <f>($I$13*'2024(¥)'!AI62)/AD63</f>
        <v>2995.4232716232327</v>
      </c>
      <c r="AF63" s="334">
        <f t="shared" ref="AF63:AF68" si="26">AD63*AE63</f>
        <v>8986.2698148696982</v>
      </c>
      <c r="AG63" s="203" t="s">
        <v>134</v>
      </c>
      <c r="AH63" s="203"/>
      <c r="AI63" s="18"/>
      <c r="AJ63" s="18"/>
      <c r="AK63" s="18"/>
      <c r="AL63" s="18"/>
      <c r="AM63" s="18"/>
      <c r="AN63" s="18"/>
    </row>
    <row r="64" spans="1:40" ht="20">
      <c r="A64" s="18"/>
      <c r="B64" s="151"/>
      <c r="C64" s="55">
        <v>44</v>
      </c>
      <c r="D64" s="54">
        <v>1</v>
      </c>
      <c r="E64" s="190">
        <f t="shared" si="12"/>
        <v>2</v>
      </c>
      <c r="F64" s="191">
        <f t="shared" si="13"/>
        <v>45701</v>
      </c>
      <c r="G64" s="192" t="str">
        <f t="shared" si="14"/>
        <v>Thu</v>
      </c>
      <c r="H64" s="193"/>
      <c r="I64" s="194"/>
      <c r="J64" s="307">
        <f>315020/B13</f>
        <v>2854.9936559724488</v>
      </c>
      <c r="K64" s="215"/>
      <c r="L64" s="317">
        <f t="shared" si="15"/>
        <v>2488.5684159838429</v>
      </c>
      <c r="M64" s="318">
        <f t="shared" si="7"/>
        <v>366.42523998860588</v>
      </c>
      <c r="N64" s="41">
        <f t="shared" si="8"/>
        <v>1.1472433860508278</v>
      </c>
      <c r="O64" s="56"/>
      <c r="P64" s="317">
        <f>IF(D64=0,0,SUM($L$52:L64))</f>
        <v>19284.411349541937</v>
      </c>
      <c r="Q64" s="317">
        <f>IF(D64=0,0,SUM($J$52:J64))</f>
        <v>21322.911002356352</v>
      </c>
      <c r="R64" s="321">
        <f t="shared" si="9"/>
        <v>2038.4996528144147</v>
      </c>
      <c r="S64" s="198">
        <f t="shared" si="16"/>
        <v>1.1057071235344103</v>
      </c>
      <c r="T64" s="207"/>
      <c r="U64" s="317">
        <f>IF(D64=0,0,SUM($L$21:L64))</f>
        <v>61949.739496109883</v>
      </c>
      <c r="V64" s="317">
        <f>IF(D64=0,0,SUM($J$21:J64))</f>
        <v>72195.214790647078</v>
      </c>
      <c r="W64" s="331">
        <f t="shared" si="10"/>
        <v>10245.475294537195</v>
      </c>
      <c r="X64" s="200">
        <f t="shared" si="17"/>
        <v>1.1653836703410279</v>
      </c>
      <c r="Y64" s="201">
        <f t="shared" si="24"/>
        <v>45701</v>
      </c>
      <c r="Z64" s="202">
        <f t="shared" si="24"/>
        <v>45701</v>
      </c>
      <c r="AA64" s="246">
        <v>7</v>
      </c>
      <c r="AB64" s="243" t="s">
        <v>217</v>
      </c>
      <c r="AC64" s="336">
        <f>IFERROR(AVERAGEIFS(J202:J232,D202:D232,1,G202:G232,"tue"),0)</f>
        <v>2382.5629871306874</v>
      </c>
      <c r="AD64" s="275">
        <f>COUNTIFS(D202:D232,1,G202:G232,"tue")</f>
        <v>5</v>
      </c>
      <c r="AE64" s="335">
        <f>($I$13*'2024(¥)'!AI63)/AD64</f>
        <v>1693.0590003222248</v>
      </c>
      <c r="AF64" s="334">
        <f t="shared" si="26"/>
        <v>8465.2950016111245</v>
      </c>
      <c r="AG64" s="203"/>
      <c r="AH64" s="203"/>
      <c r="AI64" s="18"/>
      <c r="AJ64" s="18"/>
      <c r="AK64" s="18"/>
      <c r="AL64" s="18"/>
      <c r="AM64" s="18"/>
      <c r="AN64" s="18"/>
    </row>
    <row r="65" spans="1:40" ht="20">
      <c r="A65" s="18"/>
      <c r="B65" s="151"/>
      <c r="C65" s="55">
        <v>45</v>
      </c>
      <c r="D65" s="54">
        <v>1</v>
      </c>
      <c r="E65" s="190">
        <f t="shared" si="12"/>
        <v>2</v>
      </c>
      <c r="F65" s="191">
        <f t="shared" si="13"/>
        <v>45702</v>
      </c>
      <c r="G65" s="192" t="str">
        <f t="shared" si="14"/>
        <v>Fri</v>
      </c>
      <c r="H65" s="193"/>
      <c r="I65" s="194"/>
      <c r="J65" s="307">
        <f>346520/B13</f>
        <v>3140.4748957766901</v>
      </c>
      <c r="K65" s="215"/>
      <c r="L65" s="317">
        <f t="shared" si="15"/>
        <v>1816.1956062015797</v>
      </c>
      <c r="M65" s="318">
        <f t="shared" si="7"/>
        <v>1324.2792895751104</v>
      </c>
      <c r="N65" s="41">
        <f t="shared" si="8"/>
        <v>1.729150144980655</v>
      </c>
      <c r="O65" s="56"/>
      <c r="P65" s="317">
        <f>IF(D65=0,0,SUM($L$52:L65))</f>
        <v>21100.606955743518</v>
      </c>
      <c r="Q65" s="317">
        <f>IF(D65=0,0,SUM($J$52:J65))</f>
        <v>24463.385898133041</v>
      </c>
      <c r="R65" s="321">
        <f t="shared" si="9"/>
        <v>3362.7789423895229</v>
      </c>
      <c r="S65" s="198">
        <f t="shared" si="16"/>
        <v>1.1593688252400809</v>
      </c>
      <c r="T65" s="207"/>
      <c r="U65" s="317">
        <f>IF(D65=0,0,SUM($L$21:L65))</f>
        <v>63765.935102311465</v>
      </c>
      <c r="V65" s="317">
        <f>IF(D65=0,0,SUM($J$21:J65))</f>
        <v>75335.689686423764</v>
      </c>
      <c r="W65" s="331">
        <f t="shared" si="10"/>
        <v>11569.754584112299</v>
      </c>
      <c r="X65" s="200">
        <f t="shared" si="17"/>
        <v>1.1814409929933405</v>
      </c>
      <c r="Y65" s="201">
        <f t="shared" si="24"/>
        <v>45702</v>
      </c>
      <c r="Z65" s="202">
        <f t="shared" si="24"/>
        <v>45702</v>
      </c>
      <c r="AA65" s="246">
        <v>7</v>
      </c>
      <c r="AB65" s="243" t="s">
        <v>218</v>
      </c>
      <c r="AC65" s="336">
        <f>IFERROR(AVERAGEIFS(J202:J232,D202:D232,1,G202:G232,"wed"),0)</f>
        <v>2500.4712706180894</v>
      </c>
      <c r="AD65" s="275">
        <f>COUNTIFS(D202:D232,1,G202:G232,"wed")</f>
        <v>5</v>
      </c>
      <c r="AE65" s="335">
        <f>($I$13*'2024(¥)'!AI64)/AD65</f>
        <v>2453.638570572487</v>
      </c>
      <c r="AF65" s="334">
        <f t="shared" si="26"/>
        <v>12268.192852862434</v>
      </c>
      <c r="AG65" s="203"/>
      <c r="AH65" s="203"/>
      <c r="AI65" s="18"/>
      <c r="AJ65" s="18"/>
      <c r="AK65" s="18"/>
      <c r="AL65" s="18"/>
      <c r="AM65" s="18"/>
      <c r="AN65" s="18"/>
    </row>
    <row r="66" spans="1:40" ht="20">
      <c r="A66" s="18"/>
      <c r="B66" s="151"/>
      <c r="C66" s="55">
        <v>46</v>
      </c>
      <c r="D66" s="54">
        <v>1</v>
      </c>
      <c r="E66" s="190">
        <f t="shared" si="12"/>
        <v>2</v>
      </c>
      <c r="F66" s="191">
        <f t="shared" si="13"/>
        <v>45703</v>
      </c>
      <c r="G66" s="192" t="str">
        <f t="shared" si="14"/>
        <v>Sat</v>
      </c>
      <c r="H66" s="193"/>
      <c r="I66" s="194"/>
      <c r="J66" s="307">
        <f>91050/B13</f>
        <v>825.17672648178359</v>
      </c>
      <c r="K66" s="215"/>
      <c r="L66" s="317">
        <f t="shared" si="15"/>
        <v>1163.4203420009812</v>
      </c>
      <c r="M66" s="318">
        <f t="shared" si="7"/>
        <v>-338.24361551919765</v>
      </c>
      <c r="N66" s="41">
        <f t="shared" si="8"/>
        <v>0.70926792036535291</v>
      </c>
      <c r="O66" s="56"/>
      <c r="P66" s="317">
        <f>IF(D66=0,0,SUM($L$52:L66))</f>
        <v>22264.027297744498</v>
      </c>
      <c r="Q66" s="317">
        <f>IF(D66=0,0,SUM($J$52:J66))</f>
        <v>25288.562624614824</v>
      </c>
      <c r="R66" s="321">
        <f t="shared" si="9"/>
        <v>3024.5353268703257</v>
      </c>
      <c r="S66" s="198">
        <f t="shared" si="16"/>
        <v>1.1358485276011467</v>
      </c>
      <c r="T66" s="207"/>
      <c r="U66" s="317">
        <f>IF(D66=0,0,SUM($L$21:L66))</f>
        <v>64929.355444312445</v>
      </c>
      <c r="V66" s="317">
        <f>IF(D66=0,0,SUM($J$21:J66))</f>
        <v>76160.866412905554</v>
      </c>
      <c r="W66" s="331">
        <f t="shared" si="10"/>
        <v>11231.510968593109</v>
      </c>
      <c r="X66" s="200">
        <f t="shared" si="17"/>
        <v>1.1729804784251396</v>
      </c>
      <c r="Y66" s="201">
        <f t="shared" si="24"/>
        <v>45703</v>
      </c>
      <c r="Z66" s="202">
        <f t="shared" si="24"/>
        <v>45703</v>
      </c>
      <c r="AA66" s="246">
        <v>7</v>
      </c>
      <c r="AB66" s="243" t="s">
        <v>219</v>
      </c>
      <c r="AC66" s="336">
        <f>IFERROR(AVERAGEIFS(J202:J232,D202:D232,1,G202:G232,"thu"),0)</f>
        <v>2812.4524197933661</v>
      </c>
      <c r="AD66" s="275">
        <f>COUNTIFS(D202:D232,1,G202:G232,"thu")</f>
        <v>5</v>
      </c>
      <c r="AE66" s="335">
        <f>($I$13*'2024(¥)'!AI65)/AD66</f>
        <v>2199.4632540340072</v>
      </c>
      <c r="AF66" s="334">
        <f t="shared" si="26"/>
        <v>10997.316270170035</v>
      </c>
      <c r="AG66" s="203"/>
      <c r="AH66" s="203"/>
      <c r="AI66" s="18"/>
      <c r="AJ66" s="18"/>
      <c r="AK66" s="18"/>
      <c r="AL66" s="18"/>
      <c r="AM66" s="18"/>
      <c r="AN66" s="18"/>
    </row>
    <row r="67" spans="1:40" ht="20">
      <c r="A67" s="18"/>
      <c r="B67" s="151"/>
      <c r="C67" s="55">
        <v>47</v>
      </c>
      <c r="D67" s="54">
        <v>0</v>
      </c>
      <c r="E67" s="190">
        <f t="shared" si="12"/>
        <v>2</v>
      </c>
      <c r="F67" s="191">
        <f t="shared" si="13"/>
        <v>45704</v>
      </c>
      <c r="G67" s="192" t="str">
        <f t="shared" si="14"/>
        <v>Sun</v>
      </c>
      <c r="H67" s="193"/>
      <c r="I67" s="194"/>
      <c r="J67" s="307"/>
      <c r="K67" s="215"/>
      <c r="L67" s="317">
        <f t="shared" si="15"/>
        <v>0</v>
      </c>
      <c r="M67" s="318">
        <f t="shared" si="7"/>
        <v>0</v>
      </c>
      <c r="N67" s="41" t="str">
        <f t="shared" si="8"/>
        <v>¥0</v>
      </c>
      <c r="O67" s="44"/>
      <c r="P67" s="317">
        <f>IF(D67=0,0,SUM($L$52:L67))</f>
        <v>0</v>
      </c>
      <c r="Q67" s="317">
        <f>IF(D67=0,0,SUM($J$52:J67))</f>
        <v>0</v>
      </c>
      <c r="R67" s="321">
        <f t="shared" si="9"/>
        <v>0</v>
      </c>
      <c r="S67" s="198">
        <f t="shared" si="16"/>
        <v>0</v>
      </c>
      <c r="T67" s="212"/>
      <c r="U67" s="317">
        <f>IF(D67=0,0,SUM($L$21:L67))</f>
        <v>0</v>
      </c>
      <c r="V67" s="317">
        <f>IF(D67=0,0,SUM($J$21:J67))</f>
        <v>0</v>
      </c>
      <c r="W67" s="331">
        <f t="shared" si="10"/>
        <v>0</v>
      </c>
      <c r="X67" s="200">
        <f t="shared" si="17"/>
        <v>0</v>
      </c>
      <c r="Y67" s="201">
        <f t="shared" si="24"/>
        <v>45704</v>
      </c>
      <c r="Z67" s="202">
        <f t="shared" si="24"/>
        <v>45704</v>
      </c>
      <c r="AA67" s="246">
        <v>7</v>
      </c>
      <c r="AB67" s="243" t="s">
        <v>220</v>
      </c>
      <c r="AC67" s="336">
        <f>IFERROR(AVERAGEIFS(J202:J232,D202:D232,1,G202:G232,"fri"),0)</f>
        <v>2946.7101685698749</v>
      </c>
      <c r="AD67" s="275">
        <f>COUNTIFS(D202:D232,1,G202:G232,"fri")</f>
        <v>4</v>
      </c>
      <c r="AE67" s="335">
        <f>($I$13*'2024(¥)'!AI66)/AD67</f>
        <v>3299.4086189719533</v>
      </c>
      <c r="AF67" s="334">
        <f t="shared" si="26"/>
        <v>13197.634475887813</v>
      </c>
      <c r="AG67" s="203"/>
      <c r="AH67" s="203"/>
      <c r="AI67" s="18"/>
      <c r="AJ67" s="18"/>
      <c r="AK67" s="18"/>
      <c r="AL67" s="18"/>
      <c r="AM67" s="18"/>
      <c r="AN67" s="18"/>
    </row>
    <row r="68" spans="1:40" ht="20">
      <c r="A68" s="18"/>
      <c r="B68" s="151"/>
      <c r="C68" s="55">
        <v>48</v>
      </c>
      <c r="D68" s="54">
        <v>1</v>
      </c>
      <c r="E68" s="190">
        <f t="shared" si="12"/>
        <v>2</v>
      </c>
      <c r="F68" s="191">
        <f t="shared" si="13"/>
        <v>45705</v>
      </c>
      <c r="G68" s="192" t="str">
        <f t="shared" si="14"/>
        <v>Mon</v>
      </c>
      <c r="H68" s="193"/>
      <c r="I68" s="194"/>
      <c r="J68" s="307">
        <f>107730/B13</f>
        <v>976.34584013050574</v>
      </c>
      <c r="K68" s="215"/>
      <c r="L68" s="317">
        <f t="shared" si="15"/>
        <v>1972.5494736714036</v>
      </c>
      <c r="M68" s="318">
        <f t="shared" si="7"/>
        <v>-996.20363354089784</v>
      </c>
      <c r="N68" s="41">
        <f t="shared" si="8"/>
        <v>0.49496646505564401</v>
      </c>
      <c r="O68" s="56"/>
      <c r="P68" s="317">
        <f>IF(D68=0,0,SUM($L$52:L68))</f>
        <v>24236.576771415901</v>
      </c>
      <c r="Q68" s="317">
        <f>IF(D68=0,0,SUM($J$52:J68))</f>
        <v>26264.908464745331</v>
      </c>
      <c r="R68" s="321">
        <f t="shared" si="9"/>
        <v>2028.33169332943</v>
      </c>
      <c r="S68" s="198">
        <f t="shared" si="16"/>
        <v>1.0836888687894901</v>
      </c>
      <c r="T68" s="207"/>
      <c r="U68" s="317">
        <f>IF(D68=0,0,SUM($L$21:L68))</f>
        <v>66901.904917983848</v>
      </c>
      <c r="V68" s="317">
        <f>IF(D68=0,0,SUM($J$21:J68))</f>
        <v>77137.212253036065</v>
      </c>
      <c r="W68" s="331">
        <f t="shared" si="10"/>
        <v>10235.307335052217</v>
      </c>
      <c r="X68" s="200">
        <f t="shared" si="17"/>
        <v>1.1529897743210729</v>
      </c>
      <c r="Y68" s="201">
        <f t="shared" si="24"/>
        <v>45705</v>
      </c>
      <c r="Z68" s="202">
        <f t="shared" si="24"/>
        <v>45705</v>
      </c>
      <c r="AA68" s="246">
        <v>7</v>
      </c>
      <c r="AB68" s="243" t="s">
        <v>221</v>
      </c>
      <c r="AC68" s="336">
        <f>IFERROR(AVERAGEIFS(J202:J232,D202:D232,1,G202:G232,"sat"),0)</f>
        <v>722.13159325720494</v>
      </c>
      <c r="AD68" s="275">
        <f>COUNTIFS(D202:D232,1,G202:G232,"sat")</f>
        <v>4</v>
      </c>
      <c r="AE68" s="335">
        <f>($I$13*'2024(¥)'!AI67)/AD68</f>
        <v>1351.5171716947345</v>
      </c>
      <c r="AF68" s="334">
        <f t="shared" si="26"/>
        <v>5406.0686867789382</v>
      </c>
      <c r="AG68" s="273" t="s">
        <v>196</v>
      </c>
      <c r="AH68" s="203"/>
      <c r="AI68" s="18"/>
      <c r="AJ68" s="18"/>
      <c r="AK68" s="18"/>
      <c r="AL68" s="18"/>
      <c r="AM68" s="18"/>
      <c r="AN68" s="18"/>
    </row>
    <row r="69" spans="1:40" ht="20">
      <c r="A69" s="18"/>
      <c r="B69" s="151"/>
      <c r="C69" s="55">
        <v>49</v>
      </c>
      <c r="D69" s="54">
        <v>1</v>
      </c>
      <c r="E69" s="190">
        <f t="shared" si="12"/>
        <v>2</v>
      </c>
      <c r="F69" s="191">
        <f t="shared" si="13"/>
        <v>45706</v>
      </c>
      <c r="G69" s="192" t="str">
        <f t="shared" si="14"/>
        <v>Tue</v>
      </c>
      <c r="H69" s="193"/>
      <c r="I69" s="194"/>
      <c r="J69" s="307">
        <f>196730/B13</f>
        <v>1782.9436287837593</v>
      </c>
      <c r="K69" s="215"/>
      <c r="L69" s="317">
        <f t="shared" si="15"/>
        <v>2436.6637087523163</v>
      </c>
      <c r="M69" s="318">
        <f t="shared" si="7"/>
        <v>-653.720079968557</v>
      </c>
      <c r="N69" s="41">
        <f t="shared" si="8"/>
        <v>0.73171509978154037</v>
      </c>
      <c r="O69" s="56"/>
      <c r="P69" s="317">
        <f>IF(D69=0,0,SUM($L$52:L69))</f>
        <v>26673.240480168217</v>
      </c>
      <c r="Q69" s="317">
        <f>IF(D69=0,0,SUM($J$52:J69))</f>
        <v>28047.852093529091</v>
      </c>
      <c r="R69" s="321">
        <f t="shared" si="9"/>
        <v>1374.6116133608739</v>
      </c>
      <c r="S69" s="198">
        <f t="shared" si="16"/>
        <v>1.0515352311385979</v>
      </c>
      <c r="T69" s="207"/>
      <c r="U69" s="317">
        <f>IF(D69=0,0,SUM($L$21:L69))</f>
        <v>69338.56862673616</v>
      </c>
      <c r="V69" s="317">
        <f>IF(D69=0,0,SUM($J$21:J69))</f>
        <v>78920.155881819825</v>
      </c>
      <c r="W69" s="331">
        <f t="shared" si="10"/>
        <v>9581.5872550836648</v>
      </c>
      <c r="X69" s="200">
        <f t="shared" si="17"/>
        <v>1.1381855357681716</v>
      </c>
      <c r="Y69" s="201">
        <f t="shared" si="24"/>
        <v>45706</v>
      </c>
      <c r="Z69" s="202">
        <f t="shared" si="24"/>
        <v>45706</v>
      </c>
      <c r="AA69" s="246">
        <v>7</v>
      </c>
      <c r="AB69" s="243" t="s">
        <v>222</v>
      </c>
      <c r="AC69" s="336">
        <f>IFERROR(AVERAGEIFS(J202:J232,D202:D232,1,G202:G232,"sun"),0)</f>
        <v>0</v>
      </c>
      <c r="AD69" s="275">
        <f>IFERROR(COUNTIFS(D202:D232,1,G202:G232,"sun"),0)</f>
        <v>0</v>
      </c>
      <c r="AE69" s="335">
        <f>IFERROR(($I$13*'2024(¥)'!AI68)/AD69,0)</f>
        <v>0</v>
      </c>
      <c r="AF69" s="337">
        <f>SUM(AF63:AF68)</f>
        <v>59320.777102180044</v>
      </c>
      <c r="AG69" s="272">
        <f>I13</f>
        <v>59320.777102180044</v>
      </c>
      <c r="AH69" s="270"/>
      <c r="AI69" s="18"/>
      <c r="AJ69" s="18"/>
      <c r="AK69" s="18"/>
      <c r="AL69" s="18"/>
      <c r="AM69" s="18"/>
      <c r="AN69" s="18"/>
    </row>
    <row r="70" spans="1:40" ht="20">
      <c r="A70" s="18"/>
      <c r="B70" s="151"/>
      <c r="C70" s="55">
        <v>50</v>
      </c>
      <c r="D70" s="54">
        <v>1</v>
      </c>
      <c r="E70" s="190">
        <f t="shared" si="12"/>
        <v>2</v>
      </c>
      <c r="F70" s="191">
        <f t="shared" si="13"/>
        <v>45707</v>
      </c>
      <c r="G70" s="192" t="str">
        <f t="shared" si="14"/>
        <v>Wed</v>
      </c>
      <c r="H70" s="193"/>
      <c r="I70" s="194"/>
      <c r="J70" s="307">
        <f>329290/B13</f>
        <v>2984.3211890520211</v>
      </c>
      <c r="K70" s="215"/>
      <c r="L70" s="317">
        <f t="shared" si="15"/>
        <v>1891.2377856377923</v>
      </c>
      <c r="M70" s="318">
        <f t="shared" si="7"/>
        <v>1093.0834034142288</v>
      </c>
      <c r="N70" s="41">
        <f t="shared" si="8"/>
        <v>1.5779724853824251</v>
      </c>
      <c r="O70" s="56"/>
      <c r="P70" s="317">
        <f>IF(D70=0,0,SUM($L$52:L70))</f>
        <v>28564.47826580601</v>
      </c>
      <c r="Q70" s="317">
        <f>IF(D70=0,0,SUM($J$52:J70))</f>
        <v>31032.173282581112</v>
      </c>
      <c r="R70" s="321">
        <f t="shared" si="9"/>
        <v>2467.695016775102</v>
      </c>
      <c r="S70" s="198">
        <f t="shared" si="16"/>
        <v>1.0863903409616669</v>
      </c>
      <c r="T70" s="207"/>
      <c r="U70" s="317">
        <f>IF(D70=0,0,SUM($L$21:L70))</f>
        <v>71229.806412373946</v>
      </c>
      <c r="V70" s="317">
        <f>IF(D70=0,0,SUM($J$21:J70))</f>
        <v>81904.477070871842</v>
      </c>
      <c r="W70" s="331">
        <f t="shared" si="10"/>
        <v>10674.670658497897</v>
      </c>
      <c r="X70" s="200">
        <f t="shared" si="17"/>
        <v>1.1498624128879213</v>
      </c>
      <c r="Y70" s="201">
        <f t="shared" si="24"/>
        <v>45707</v>
      </c>
      <c r="Z70" s="202">
        <f t="shared" si="24"/>
        <v>45707</v>
      </c>
      <c r="AA70" s="246">
        <v>8</v>
      </c>
      <c r="AB70" s="136" t="s">
        <v>216</v>
      </c>
      <c r="AC70" s="336">
        <f>IFERROR(AVERAGEIFS(J233:J263,D233:D263,1,G233:G263,"mon"),0)</f>
        <v>2579.5420216301131</v>
      </c>
      <c r="AD70" s="275">
        <f>COUNTIFS(D233:D263,1,G233:G263,"Mon")</f>
        <v>3</v>
      </c>
      <c r="AE70" s="335">
        <f>($I$14*'2024(¥)'!AI69)/AD70</f>
        <v>1891.5298962368172</v>
      </c>
      <c r="AF70" s="334">
        <f t="shared" ref="AF70:AF75" si="27">AD70*AE70</f>
        <v>5674.5896887104518</v>
      </c>
      <c r="AG70" s="203" t="s">
        <v>135</v>
      </c>
      <c r="AH70" s="203"/>
      <c r="AI70" s="18"/>
      <c r="AJ70" s="18"/>
      <c r="AK70" s="18"/>
      <c r="AL70" s="18"/>
      <c r="AM70" s="18"/>
      <c r="AN70" s="18"/>
    </row>
    <row r="71" spans="1:40" ht="20">
      <c r="A71" s="18"/>
      <c r="B71" s="151"/>
      <c r="C71" s="55">
        <v>51</v>
      </c>
      <c r="D71" s="54">
        <v>1</v>
      </c>
      <c r="E71" s="190">
        <f t="shared" si="12"/>
        <v>2</v>
      </c>
      <c r="F71" s="191">
        <f t="shared" si="13"/>
        <v>45708</v>
      </c>
      <c r="G71" s="192" t="str">
        <f t="shared" si="14"/>
        <v>Thu</v>
      </c>
      <c r="H71" s="193"/>
      <c r="I71" s="194"/>
      <c r="J71" s="307">
        <f>330090/B13</f>
        <v>2991.5715062533986</v>
      </c>
      <c r="K71" s="215"/>
      <c r="L71" s="317">
        <f t="shared" si="15"/>
        <v>2488.5684159838429</v>
      </c>
      <c r="M71" s="318">
        <f t="shared" si="7"/>
        <v>503.00309026955574</v>
      </c>
      <c r="N71" s="41">
        <f t="shared" si="8"/>
        <v>1.2021254818789846</v>
      </c>
      <c r="O71" s="56"/>
      <c r="P71" s="317">
        <f>IF(D71=0,0,SUM($L$52:L71))</f>
        <v>31053.046681789852</v>
      </c>
      <c r="Q71" s="317">
        <f>IF(D71=0,0,SUM($J$52:J71))</f>
        <v>34023.744788834512</v>
      </c>
      <c r="R71" s="321">
        <f t="shared" si="9"/>
        <v>2970.69810704466</v>
      </c>
      <c r="S71" s="198">
        <f t="shared" si="16"/>
        <v>1.095665270383493</v>
      </c>
      <c r="T71" s="207"/>
      <c r="U71" s="317">
        <f>IF(D71=0,0,SUM($L$21:L71))</f>
        <v>73718.374828357788</v>
      </c>
      <c r="V71" s="317">
        <f>IF(D71=0,0,SUM($J$21:J71))</f>
        <v>84896.048577125242</v>
      </c>
      <c r="W71" s="331">
        <f t="shared" si="10"/>
        <v>11177.673748767455</v>
      </c>
      <c r="X71" s="200">
        <f t="shared" si="17"/>
        <v>1.1516266978862868</v>
      </c>
      <c r="Y71" s="201">
        <f t="shared" ref="Y71:Z86" si="28">Y70+1</f>
        <v>45708</v>
      </c>
      <c r="Z71" s="202">
        <f t="shared" si="28"/>
        <v>45708</v>
      </c>
      <c r="AA71" s="246">
        <v>8</v>
      </c>
      <c r="AB71" s="243" t="s">
        <v>217</v>
      </c>
      <c r="AC71" s="336">
        <f>IFERROR(AVERAGEIFS(J233:J263,D233:D263,1,G233:G263,"tue"),0)</f>
        <v>1892.8765633496466</v>
      </c>
      <c r="AD71" s="275">
        <f>COUNTIFS(D233:D263,1,G233:G263,"tue")</f>
        <v>3</v>
      </c>
      <c r="AE71" s="335">
        <f>($I$14*'2024(¥)'!AI70)/AD71</f>
        <v>1586.2758735951427</v>
      </c>
      <c r="AF71" s="334">
        <f t="shared" si="27"/>
        <v>4758.8276207854278</v>
      </c>
      <c r="AG71" s="203"/>
      <c r="AH71" s="203"/>
      <c r="AI71" s="18"/>
      <c r="AJ71" s="18"/>
      <c r="AK71" s="18"/>
      <c r="AL71" s="18"/>
      <c r="AM71" s="18"/>
      <c r="AN71" s="18"/>
    </row>
    <row r="72" spans="1:40" ht="20">
      <c r="A72" s="18"/>
      <c r="B72" s="151"/>
      <c r="C72" s="55">
        <v>52</v>
      </c>
      <c r="D72" s="54">
        <v>1</v>
      </c>
      <c r="E72" s="190">
        <f t="shared" si="12"/>
        <v>2</v>
      </c>
      <c r="F72" s="191">
        <f t="shared" si="13"/>
        <v>45709</v>
      </c>
      <c r="G72" s="192" t="str">
        <f t="shared" si="14"/>
        <v>Fri</v>
      </c>
      <c r="H72" s="193"/>
      <c r="I72" s="194"/>
      <c r="J72" s="307">
        <f>331770/B13</f>
        <v>3006.7971723762912</v>
      </c>
      <c r="K72" s="215"/>
      <c r="L72" s="317">
        <f t="shared" si="15"/>
        <v>1816.1956062015797</v>
      </c>
      <c r="M72" s="318">
        <f t="shared" si="7"/>
        <v>1190.6015661747115</v>
      </c>
      <c r="N72" s="41">
        <f t="shared" si="8"/>
        <v>1.655546991804894</v>
      </c>
      <c r="O72" s="56"/>
      <c r="P72" s="317">
        <f>IF(D72=0,0,SUM($L$52:L72))</f>
        <v>32869.24228799143</v>
      </c>
      <c r="Q72" s="317">
        <f>IF(D72=0,0,SUM($J$52:J72))</f>
        <v>37030.541961210802</v>
      </c>
      <c r="R72" s="321">
        <f t="shared" si="9"/>
        <v>4161.2996732193715</v>
      </c>
      <c r="S72" s="198">
        <f t="shared" si="16"/>
        <v>1.1266016306904549</v>
      </c>
      <c r="T72" s="207"/>
      <c r="U72" s="317">
        <f>IF(D72=0,0,SUM($L$21:L72))</f>
        <v>75534.570434559369</v>
      </c>
      <c r="V72" s="317">
        <f>IF(D72=0,0,SUM($J$21:J72))</f>
        <v>87902.845749501532</v>
      </c>
      <c r="W72" s="331">
        <f t="shared" si="10"/>
        <v>12368.275314942162</v>
      </c>
      <c r="X72" s="200">
        <f t="shared" si="17"/>
        <v>1.163743240264504</v>
      </c>
      <c r="Y72" s="201">
        <f t="shared" si="28"/>
        <v>45709</v>
      </c>
      <c r="Z72" s="202">
        <f t="shared" si="28"/>
        <v>45709</v>
      </c>
      <c r="AA72" s="246">
        <v>8</v>
      </c>
      <c r="AB72" s="243" t="s">
        <v>218</v>
      </c>
      <c r="AC72" s="336">
        <f>IFERROR(AVERAGEIFS(J233:J263,D233:D263,1,G233:G263,"wed"),0)</f>
        <v>2508.3680744365897</v>
      </c>
      <c r="AD72" s="275">
        <f>COUNTIFS(D233:D263,1,G233:G263,"wed")</f>
        <v>3</v>
      </c>
      <c r="AE72" s="335">
        <f>($I$14*'2024(¥)'!AI71)/AD72</f>
        <v>2973.585455966273</v>
      </c>
      <c r="AF72" s="334">
        <f t="shared" si="27"/>
        <v>8920.756367898819</v>
      </c>
      <c r="AG72" s="203"/>
      <c r="AH72" s="203"/>
      <c r="AI72" s="18"/>
      <c r="AJ72" s="18"/>
      <c r="AK72" s="18"/>
      <c r="AL72" s="18"/>
      <c r="AM72" s="18"/>
      <c r="AN72" s="18"/>
    </row>
    <row r="73" spans="1:40" ht="20">
      <c r="A73" s="18"/>
      <c r="B73" s="151"/>
      <c r="C73" s="55">
        <v>53</v>
      </c>
      <c r="D73" s="54">
        <v>1</v>
      </c>
      <c r="E73" s="190">
        <f t="shared" si="12"/>
        <v>2</v>
      </c>
      <c r="F73" s="191">
        <f t="shared" si="13"/>
        <v>45710</v>
      </c>
      <c r="G73" s="192" t="str">
        <f t="shared" si="14"/>
        <v>Sat</v>
      </c>
      <c r="H73" s="193"/>
      <c r="I73" s="194"/>
      <c r="J73" s="307">
        <f>124830/B13</f>
        <v>1131.3213703099511</v>
      </c>
      <c r="K73" s="215"/>
      <c r="L73" s="317">
        <f t="shared" si="15"/>
        <v>1163.4203420009812</v>
      </c>
      <c r="M73" s="318">
        <f t="shared" si="7"/>
        <v>-32.098971691030101</v>
      </c>
      <c r="N73" s="41">
        <f t="shared" si="8"/>
        <v>0.9724098242636684</v>
      </c>
      <c r="O73" s="56"/>
      <c r="P73" s="317">
        <f>IF(D73=0,0,SUM($L$52:L73))</f>
        <v>34032.66262999241</v>
      </c>
      <c r="Q73" s="317">
        <f>IF(D73=0,0,SUM($J$52:J73))</f>
        <v>38161.863331520755</v>
      </c>
      <c r="R73" s="321">
        <f t="shared" si="9"/>
        <v>4129.2007015283452</v>
      </c>
      <c r="S73" s="198">
        <f t="shared" si="16"/>
        <v>1.1213305214000315</v>
      </c>
      <c r="T73" s="207"/>
      <c r="U73" s="317">
        <f>IF(D73=0,0,SUM($L$21:L73))</f>
        <v>76697.990776560357</v>
      </c>
      <c r="V73" s="317">
        <f>IF(D73=0,0,SUM($J$21:J73))</f>
        <v>89034.167119811478</v>
      </c>
      <c r="W73" s="331">
        <f t="shared" si="10"/>
        <v>12336.176343251122</v>
      </c>
      <c r="X73" s="200">
        <f t="shared" si="17"/>
        <v>1.1608409323158069</v>
      </c>
      <c r="Y73" s="201">
        <f t="shared" si="28"/>
        <v>45710</v>
      </c>
      <c r="Z73" s="202">
        <f t="shared" si="28"/>
        <v>45710</v>
      </c>
      <c r="AA73" s="246">
        <v>8</v>
      </c>
      <c r="AB73" s="243" t="s">
        <v>219</v>
      </c>
      <c r="AC73" s="336">
        <f>IFERROR(AVERAGEIFS(J233:J263,D233:D263,1,G233:G263,"thu"),0)</f>
        <v>2325.0256782067549</v>
      </c>
      <c r="AD73" s="275">
        <f>COUNTIFS(D233:D263,1,G233:G263,"thu")</f>
        <v>3</v>
      </c>
      <c r="AE73" s="335">
        <f>($I$14*'2024(¥)'!AI72)/AD73</f>
        <v>2771.4334656655478</v>
      </c>
      <c r="AF73" s="334">
        <f t="shared" si="27"/>
        <v>8314.300396996643</v>
      </c>
      <c r="AG73" s="203"/>
      <c r="AH73" s="203"/>
      <c r="AI73" s="18"/>
      <c r="AJ73" s="18"/>
      <c r="AK73" s="18"/>
      <c r="AL73" s="18"/>
      <c r="AM73" s="18"/>
      <c r="AN73" s="18"/>
    </row>
    <row r="74" spans="1:40" ht="20">
      <c r="A74" s="18"/>
      <c r="B74" s="151"/>
      <c r="C74" s="55">
        <v>54</v>
      </c>
      <c r="D74" s="54">
        <v>0</v>
      </c>
      <c r="E74" s="190">
        <f t="shared" si="12"/>
        <v>2</v>
      </c>
      <c r="F74" s="191">
        <f t="shared" si="13"/>
        <v>45711</v>
      </c>
      <c r="G74" s="192" t="str">
        <f t="shared" si="14"/>
        <v>Sun</v>
      </c>
      <c r="H74" s="193" t="s">
        <v>169</v>
      </c>
      <c r="I74" s="194"/>
      <c r="J74" s="307"/>
      <c r="K74" s="215"/>
      <c r="L74" s="317">
        <f t="shared" si="15"/>
        <v>0</v>
      </c>
      <c r="M74" s="318">
        <f t="shared" si="7"/>
        <v>0</v>
      </c>
      <c r="N74" s="41" t="str">
        <f t="shared" si="8"/>
        <v>¥0</v>
      </c>
      <c r="O74" s="44"/>
      <c r="P74" s="317">
        <f>IF(D74=0,0,SUM($L$52:L74))</f>
        <v>0</v>
      </c>
      <c r="Q74" s="317">
        <f>IF(D74=0,0,SUM($J$52:J74))</f>
        <v>0</v>
      </c>
      <c r="R74" s="321">
        <f t="shared" si="9"/>
        <v>0</v>
      </c>
      <c r="S74" s="198">
        <f t="shared" si="16"/>
        <v>0</v>
      </c>
      <c r="T74" s="212"/>
      <c r="U74" s="317">
        <f>IF(D74=0,0,SUM($L$21:L74))</f>
        <v>0</v>
      </c>
      <c r="V74" s="317">
        <f>IF(D74=0,0,SUM($J$21:J74))</f>
        <v>0</v>
      </c>
      <c r="W74" s="331">
        <f t="shared" si="10"/>
        <v>0</v>
      </c>
      <c r="X74" s="200">
        <f t="shared" si="17"/>
        <v>0</v>
      </c>
      <c r="Y74" s="201">
        <f t="shared" si="28"/>
        <v>45711</v>
      </c>
      <c r="Z74" s="202">
        <f t="shared" si="28"/>
        <v>45711</v>
      </c>
      <c r="AA74" s="246">
        <v>8</v>
      </c>
      <c r="AB74" s="243" t="s">
        <v>220</v>
      </c>
      <c r="AC74" s="336">
        <f>IFERROR(AVERAGEIFS(J233:J263,D233:D263,1,G233:G263,"fri"),0)</f>
        <v>3082.812216784484</v>
      </c>
      <c r="AD74" s="275">
        <f>COUNTIFS(D233:D263,1,G233:G263,"fri")</f>
        <v>4</v>
      </c>
      <c r="AE74" s="335">
        <f>($I$14*'2024(¥)'!AI73)/AD74</f>
        <v>2907.8858905630304</v>
      </c>
      <c r="AF74" s="334">
        <f t="shared" si="27"/>
        <v>11631.543562252122</v>
      </c>
      <c r="AG74" s="203"/>
      <c r="AH74" s="203"/>
      <c r="AI74" s="18"/>
      <c r="AJ74" s="18"/>
      <c r="AK74" s="18"/>
      <c r="AL74" s="18"/>
      <c r="AM74" s="18"/>
      <c r="AN74" s="18"/>
    </row>
    <row r="75" spans="1:40" ht="20">
      <c r="A75" s="18"/>
      <c r="B75" s="151"/>
      <c r="C75" s="55">
        <v>55</v>
      </c>
      <c r="D75" s="54">
        <v>0</v>
      </c>
      <c r="E75" s="190">
        <f t="shared" si="12"/>
        <v>2</v>
      </c>
      <c r="F75" s="191">
        <f t="shared" si="13"/>
        <v>45712</v>
      </c>
      <c r="G75" s="192" t="str">
        <f t="shared" si="14"/>
        <v>Mon</v>
      </c>
      <c r="H75" s="193" t="s">
        <v>170</v>
      </c>
      <c r="I75" s="194"/>
      <c r="J75" s="307"/>
      <c r="K75" s="215"/>
      <c r="L75" s="317">
        <f t="shared" si="15"/>
        <v>0</v>
      </c>
      <c r="M75" s="318">
        <f t="shared" si="7"/>
        <v>0</v>
      </c>
      <c r="N75" s="41" t="str">
        <f t="shared" si="8"/>
        <v>¥0</v>
      </c>
      <c r="O75" s="44"/>
      <c r="P75" s="317">
        <f>IF(D75=0,0,SUM($L$52:L75))</f>
        <v>0</v>
      </c>
      <c r="Q75" s="317">
        <f>IF(D75=0,0,SUM($J$52:J75))</f>
        <v>0</v>
      </c>
      <c r="R75" s="321">
        <f t="shared" si="9"/>
        <v>0</v>
      </c>
      <c r="S75" s="198">
        <f t="shared" si="16"/>
        <v>0</v>
      </c>
      <c r="T75" s="212"/>
      <c r="U75" s="317">
        <f>IF(D75=0,0,SUM($L$21:L75))</f>
        <v>0</v>
      </c>
      <c r="V75" s="317">
        <f>IF(D75=0,0,SUM($J$21:J75))</f>
        <v>0</v>
      </c>
      <c r="W75" s="331">
        <f t="shared" si="10"/>
        <v>0</v>
      </c>
      <c r="X75" s="200">
        <f t="shared" si="17"/>
        <v>0</v>
      </c>
      <c r="Y75" s="201">
        <f t="shared" si="28"/>
        <v>45712</v>
      </c>
      <c r="Z75" s="202">
        <f t="shared" si="28"/>
        <v>45712</v>
      </c>
      <c r="AA75" s="246">
        <v>8</v>
      </c>
      <c r="AB75" s="243" t="s">
        <v>221</v>
      </c>
      <c r="AC75" s="336">
        <f>IFERROR(AVERAGEIFS(J233:J263,D233:D263,1,G233:G263,"sat"),0)</f>
        <v>943.01703824542324</v>
      </c>
      <c r="AD75" s="275">
        <f>COUNTIFS(D233:D263,1,G233:G263,"sat")</f>
        <v>4</v>
      </c>
      <c r="AE75" s="335">
        <f>($I$14*'2024(¥)'!AI74)/AD75</f>
        <v>1582.8373412583728</v>
      </c>
      <c r="AF75" s="334">
        <f t="shared" si="27"/>
        <v>6331.3493650334913</v>
      </c>
      <c r="AG75" s="273" t="s">
        <v>197</v>
      </c>
      <c r="AH75" s="203"/>
      <c r="AI75" s="18"/>
      <c r="AJ75" s="18"/>
      <c r="AK75" s="18"/>
      <c r="AL75" s="18"/>
      <c r="AM75" s="18"/>
      <c r="AN75" s="18"/>
    </row>
    <row r="76" spans="1:40" ht="20">
      <c r="A76" s="18"/>
      <c r="B76" s="151"/>
      <c r="C76" s="55">
        <v>56</v>
      </c>
      <c r="D76" s="54">
        <v>1</v>
      </c>
      <c r="E76" s="190">
        <f t="shared" si="12"/>
        <v>2</v>
      </c>
      <c r="F76" s="191">
        <f t="shared" si="13"/>
        <v>45713</v>
      </c>
      <c r="G76" s="192" t="str">
        <f t="shared" si="14"/>
        <v>Tue</v>
      </c>
      <c r="H76" s="193"/>
      <c r="I76" s="194"/>
      <c r="J76" s="307">
        <f>332790/B13</f>
        <v>3016.0413268080479</v>
      </c>
      <c r="K76" s="215"/>
      <c r="L76" s="317">
        <f t="shared" si="15"/>
        <v>2436.6637087523163</v>
      </c>
      <c r="M76" s="318">
        <f t="shared" si="7"/>
        <v>579.37761805573155</v>
      </c>
      <c r="N76" s="41">
        <f t="shared" si="8"/>
        <v>1.2377749608920796</v>
      </c>
      <c r="O76" s="56"/>
      <c r="P76" s="317">
        <f>IF(D76=0,0,SUM($L$52:L76))</f>
        <v>36469.32633874473</v>
      </c>
      <c r="Q76" s="317">
        <f>IF(D76=0,0,SUM($J$52:J76))</f>
        <v>41177.9046583288</v>
      </c>
      <c r="R76" s="321">
        <f t="shared" si="9"/>
        <v>4708.5783195840704</v>
      </c>
      <c r="S76" s="198">
        <f t="shared" si="16"/>
        <v>1.1291106470091747</v>
      </c>
      <c r="T76" s="207"/>
      <c r="U76" s="317">
        <f>IF(D76=0,0,SUM($L$21:L76))</f>
        <v>79134.654485312669</v>
      </c>
      <c r="V76" s="317">
        <f>IF(D76=0,0,SUM($J$21:J76))</f>
        <v>92050.208446619523</v>
      </c>
      <c r="W76" s="331">
        <f t="shared" si="10"/>
        <v>12915.553961306854</v>
      </c>
      <c r="X76" s="200">
        <f t="shared" si="17"/>
        <v>1.1632098357579101</v>
      </c>
      <c r="Y76" s="201">
        <f t="shared" si="28"/>
        <v>45713</v>
      </c>
      <c r="Z76" s="202">
        <f t="shared" si="28"/>
        <v>45713</v>
      </c>
      <c r="AA76" s="246">
        <v>8</v>
      </c>
      <c r="AB76" s="243" t="s">
        <v>222</v>
      </c>
      <c r="AC76" s="336">
        <f>IFERROR(AVERAGEIFS(J233:J263,D233:D263,1,G233:G263,"sun"),0)</f>
        <v>0</v>
      </c>
      <c r="AD76" s="275">
        <f>IFERROR(COUNTIFS(D233:D263,1,G233:G263,"sun"),0)</f>
        <v>0</v>
      </c>
      <c r="AE76" s="335">
        <f>IFERROR(($I$14*'2024(¥)'!AI75)/AD76,0)</f>
        <v>0</v>
      </c>
      <c r="AF76" s="337">
        <f>SUM(AF70:AF75)</f>
        <v>45631.367001676954</v>
      </c>
      <c r="AG76" s="272">
        <f>I14</f>
        <v>45631.367001676954</v>
      </c>
      <c r="AH76" s="270"/>
      <c r="AI76" s="18"/>
      <c r="AJ76" s="18"/>
      <c r="AK76" s="18"/>
      <c r="AL76" s="18"/>
      <c r="AM76" s="18"/>
      <c r="AN76" s="18"/>
    </row>
    <row r="77" spans="1:40" ht="20">
      <c r="A77" s="18"/>
      <c r="B77" s="151"/>
      <c r="C77" s="55">
        <v>57</v>
      </c>
      <c r="D77" s="54">
        <v>1</v>
      </c>
      <c r="E77" s="190">
        <f t="shared" si="12"/>
        <v>2</v>
      </c>
      <c r="F77" s="191">
        <f t="shared" si="13"/>
        <v>45714</v>
      </c>
      <c r="G77" s="192" t="str">
        <f t="shared" si="14"/>
        <v>Wed</v>
      </c>
      <c r="H77" s="193"/>
      <c r="I77" s="194"/>
      <c r="J77" s="307">
        <f>236070/B13</f>
        <v>2139.4779771615008</v>
      </c>
      <c r="K77" s="215"/>
      <c r="L77" s="317">
        <f t="shared" si="15"/>
        <v>1891.2377856377923</v>
      </c>
      <c r="M77" s="318">
        <f t="shared" si="7"/>
        <v>248.24019152370852</v>
      </c>
      <c r="N77" s="41">
        <f t="shared" si="8"/>
        <v>1.1312580540685386</v>
      </c>
      <c r="O77" s="56"/>
      <c r="P77" s="317">
        <f>IF(D77=0,0,SUM($L$52:L77))</f>
        <v>38360.564124382523</v>
      </c>
      <c r="Q77" s="317">
        <f>IF(D77=0,0,SUM($J$52:J77))</f>
        <v>43317.382635490299</v>
      </c>
      <c r="R77" s="321">
        <f t="shared" si="9"/>
        <v>4956.8185111077764</v>
      </c>
      <c r="S77" s="198">
        <f t="shared" si="16"/>
        <v>1.129216517646495</v>
      </c>
      <c r="T77" s="207"/>
      <c r="U77" s="317">
        <f>IF(D77=0,0,SUM($L$21:L77))</f>
        <v>81025.892270950455</v>
      </c>
      <c r="V77" s="317">
        <f>IF(D77=0,0,SUM($J$21:J77))</f>
        <v>94189.686423781022</v>
      </c>
      <c r="W77" s="331">
        <f t="shared" si="10"/>
        <v>13163.794152830567</v>
      </c>
      <c r="X77" s="200">
        <f t="shared" si="17"/>
        <v>1.1624640443182146</v>
      </c>
      <c r="Y77" s="201">
        <f t="shared" si="28"/>
        <v>45714</v>
      </c>
      <c r="Z77" s="202">
        <f t="shared" si="28"/>
        <v>45714</v>
      </c>
      <c r="AA77" s="246">
        <v>9</v>
      </c>
      <c r="AB77" s="136" t="s">
        <v>216</v>
      </c>
      <c r="AC77" s="336">
        <f>IFERROR(AVERAGEIFS(J264:J293,D264:D293,1,G264:G293,"mon"),0)</f>
        <v>1920.3597969911184</v>
      </c>
      <c r="AD77" s="275">
        <f>COUNTIFS(D264:D293,1,G264:G293,"Mon")</f>
        <v>4</v>
      </c>
      <c r="AE77" s="335">
        <f>($I$15*'2024(¥)'!AI76)/AD77</f>
        <v>1790.3229847157761</v>
      </c>
      <c r="AF77" s="334">
        <f t="shared" ref="AF77:AF82" si="29">AD77*AE77</f>
        <v>7161.2919388631044</v>
      </c>
      <c r="AG77" s="203" t="s">
        <v>136</v>
      </c>
      <c r="AH77" s="203"/>
      <c r="AI77" s="18"/>
      <c r="AJ77" s="18"/>
      <c r="AK77" s="18"/>
      <c r="AL77" s="18"/>
      <c r="AM77" s="18"/>
      <c r="AN77" s="18"/>
    </row>
    <row r="78" spans="1:40" ht="20">
      <c r="A78" s="18"/>
      <c r="B78" s="151"/>
      <c r="C78" s="55">
        <v>58</v>
      </c>
      <c r="D78" s="54">
        <v>1</v>
      </c>
      <c r="E78" s="190">
        <f t="shared" si="12"/>
        <v>2</v>
      </c>
      <c r="F78" s="191">
        <f t="shared" si="13"/>
        <v>45715</v>
      </c>
      <c r="G78" s="192" t="str">
        <f t="shared" si="14"/>
        <v>Thu</v>
      </c>
      <c r="H78" s="193"/>
      <c r="I78" s="194"/>
      <c r="J78" s="307">
        <f>346880/B13</f>
        <v>3143.73753851731</v>
      </c>
      <c r="K78" s="215"/>
      <c r="L78" s="317">
        <f t="shared" si="15"/>
        <v>2488.5684159838429</v>
      </c>
      <c r="M78" s="318">
        <f t="shared" si="7"/>
        <v>655.16912253346709</v>
      </c>
      <c r="N78" s="41">
        <f t="shared" si="8"/>
        <v>1.2632714930903153</v>
      </c>
      <c r="O78" s="56"/>
      <c r="P78" s="317">
        <f>IF(D78=0,0,SUM($L$52:L78))</f>
        <v>40849.132540366365</v>
      </c>
      <c r="Q78" s="317">
        <f>IF(D78=0,0,SUM($J$52:J78))</f>
        <v>46461.120174007607</v>
      </c>
      <c r="R78" s="321">
        <f t="shared" si="9"/>
        <v>5611.9876336412417</v>
      </c>
      <c r="S78" s="198">
        <f t="shared" si="16"/>
        <v>1.1373832755957689</v>
      </c>
      <c r="T78" s="207"/>
      <c r="U78" s="317">
        <f>IF(D78=0,0,SUM($L$21:L78))</f>
        <v>83514.460686934297</v>
      </c>
      <c r="V78" s="317">
        <f>IF(D78=0,0,SUM($J$21:J78))</f>
        <v>97333.42396229833</v>
      </c>
      <c r="W78" s="331">
        <f t="shared" si="10"/>
        <v>13818.963275364033</v>
      </c>
      <c r="X78" s="200">
        <f t="shared" si="17"/>
        <v>1.1654679101283592</v>
      </c>
      <c r="Y78" s="201">
        <f t="shared" si="28"/>
        <v>45715</v>
      </c>
      <c r="Z78" s="202">
        <f t="shared" si="28"/>
        <v>45715</v>
      </c>
      <c r="AA78" s="246">
        <v>9</v>
      </c>
      <c r="AB78" s="243" t="s">
        <v>217</v>
      </c>
      <c r="AC78" s="336">
        <f>IFERROR(AVERAGEIFS(J264:J293,D264:D293,1,G264:G293,"tue"),0)</f>
        <v>2330.9316657603767</v>
      </c>
      <c r="AD78" s="275">
        <f>COUNTIFS(D264:D293,1,G264:G293,"tue")</f>
        <v>4</v>
      </c>
      <c r="AE78" s="335">
        <f>($I$15*'2024(¥)'!AI77)/AD78</f>
        <v>2960.3034711052292</v>
      </c>
      <c r="AF78" s="334">
        <f t="shared" si="29"/>
        <v>11841.213884420917</v>
      </c>
      <c r="AG78" s="203"/>
      <c r="AH78" s="203"/>
      <c r="AI78" s="18"/>
      <c r="AJ78" s="18"/>
      <c r="AK78" s="18"/>
      <c r="AL78" s="18"/>
      <c r="AM78" s="18"/>
      <c r="AN78" s="18"/>
    </row>
    <row r="79" spans="1:40" ht="21" thickBot="1">
      <c r="A79" s="18"/>
      <c r="B79" s="151"/>
      <c r="C79" s="216">
        <v>59</v>
      </c>
      <c r="D79" s="38">
        <v>1</v>
      </c>
      <c r="E79" s="217">
        <f t="shared" si="12"/>
        <v>2</v>
      </c>
      <c r="F79" s="218">
        <f t="shared" si="13"/>
        <v>45716</v>
      </c>
      <c r="G79" s="219" t="str">
        <f t="shared" si="14"/>
        <v>Fri</v>
      </c>
      <c r="H79" s="233"/>
      <c r="I79" s="221"/>
      <c r="J79" s="312">
        <f>377320/B13</f>
        <v>3419.6121080297262</v>
      </c>
      <c r="K79" s="223"/>
      <c r="L79" s="317">
        <f t="shared" si="15"/>
        <v>1816.1956062015797</v>
      </c>
      <c r="M79" s="320">
        <f t="shared" si="7"/>
        <v>1603.4165018281465</v>
      </c>
      <c r="N79" s="225">
        <f t="shared" si="8"/>
        <v>1.8828435089002098</v>
      </c>
      <c r="O79" s="226"/>
      <c r="P79" s="322">
        <f>IF(D79=0,0,SUM($L$52:L79))</f>
        <v>42665.328146567947</v>
      </c>
      <c r="Q79" s="323">
        <f>IF(D79=0,0,SUM($J$52:J79))</f>
        <v>49880.73228203733</v>
      </c>
      <c r="R79" s="320">
        <f t="shared" si="9"/>
        <v>7215.4041354693836</v>
      </c>
      <c r="S79" s="228">
        <f t="shared" si="16"/>
        <v>1.169116339869281</v>
      </c>
      <c r="T79" s="229"/>
      <c r="U79" s="332">
        <f>IF(D79=0,0,SUM($L$21:L79))</f>
        <v>85330.656293135879</v>
      </c>
      <c r="V79" s="323">
        <f>IF(D79=0,0,SUM($J$21:J79))</f>
        <v>100753.03607032806</v>
      </c>
      <c r="W79" s="333">
        <f t="shared" si="10"/>
        <v>15422.379777192182</v>
      </c>
      <c r="X79" s="230">
        <f t="shared" si="17"/>
        <v>1.180736683006536</v>
      </c>
      <c r="Y79" s="201">
        <f t="shared" si="28"/>
        <v>45716</v>
      </c>
      <c r="Z79" s="202">
        <f t="shared" si="28"/>
        <v>45716</v>
      </c>
      <c r="AA79" s="246">
        <v>9</v>
      </c>
      <c r="AB79" s="243" t="s">
        <v>218</v>
      </c>
      <c r="AC79" s="336">
        <f>IFERROR(AVERAGEIFS(J264:J293,D264:D293,1,G264:G293,"wed"),0)</f>
        <v>2199.8821823454773</v>
      </c>
      <c r="AD79" s="275">
        <f>COUNTIFS(D264:D293,1,G264:G293,"wed")</f>
        <v>4</v>
      </c>
      <c r="AE79" s="335">
        <f>($I$15*'2024(¥)'!AI78)/AD79</f>
        <v>1996.70849129774</v>
      </c>
      <c r="AF79" s="334">
        <f t="shared" si="29"/>
        <v>7986.83396519096</v>
      </c>
      <c r="AG79" s="203"/>
      <c r="AH79" s="203"/>
      <c r="AI79" s="18"/>
      <c r="AJ79" s="18"/>
      <c r="AK79" s="18"/>
      <c r="AL79" s="18"/>
      <c r="AM79" s="18"/>
      <c r="AN79" s="18"/>
    </row>
    <row r="80" spans="1:40" ht="21" thickTop="1">
      <c r="A80" s="18"/>
      <c r="B80" s="151"/>
      <c r="C80" s="55">
        <v>60</v>
      </c>
      <c r="D80" s="62">
        <v>1</v>
      </c>
      <c r="E80" s="190">
        <f t="shared" si="12"/>
        <v>3</v>
      </c>
      <c r="F80" s="191">
        <f t="shared" si="13"/>
        <v>45717</v>
      </c>
      <c r="G80" s="192" t="str">
        <f t="shared" si="14"/>
        <v>Sat</v>
      </c>
      <c r="H80" s="193"/>
      <c r="I80" s="194"/>
      <c r="J80" s="307">
        <f>67720/B13</f>
        <v>613.73935109661045</v>
      </c>
      <c r="K80" s="215"/>
      <c r="L80" s="317">
        <f t="shared" si="15"/>
        <v>1341.0510027732532</v>
      </c>
      <c r="M80" s="321">
        <f t="shared" si="7"/>
        <v>-727.31165167664278</v>
      </c>
      <c r="N80" s="60">
        <f t="shared" si="8"/>
        <v>0.45765548799219113</v>
      </c>
      <c r="O80" s="56"/>
      <c r="P80" s="317">
        <f>IF(D80=0,0,$L$80)</f>
        <v>1341.0510027732532</v>
      </c>
      <c r="Q80" s="317">
        <f>IF(D80=0,0,$J$80)</f>
        <v>613.73935109661045</v>
      </c>
      <c r="R80" s="321">
        <f t="shared" si="9"/>
        <v>-727.31165167664278</v>
      </c>
      <c r="S80" s="231">
        <f t="shared" si="16"/>
        <v>0.45765548799219113</v>
      </c>
      <c r="T80" s="207"/>
      <c r="U80" s="317">
        <f>IF(D80=0,0,SUM($L$21:L80))</f>
        <v>86671.707295909131</v>
      </c>
      <c r="V80" s="317">
        <f>IF(D80=0,0,SUM($J$21:J80))</f>
        <v>101366.77542142467</v>
      </c>
      <c r="W80" s="331">
        <f t="shared" si="10"/>
        <v>14695.068125515536</v>
      </c>
      <c r="X80" s="232">
        <f t="shared" si="17"/>
        <v>1.1695486172361247</v>
      </c>
      <c r="Y80" s="201">
        <f t="shared" si="28"/>
        <v>45717</v>
      </c>
      <c r="Z80" s="202">
        <f t="shared" si="28"/>
        <v>45717</v>
      </c>
      <c r="AA80" s="246">
        <v>9</v>
      </c>
      <c r="AB80" s="243" t="s">
        <v>219</v>
      </c>
      <c r="AC80" s="336">
        <f>IFERROR(AVERAGEIFS(J264:J293,D264:D293,1,G264:G293,"thu"),0)</f>
        <v>2584.1716512597422</v>
      </c>
      <c r="AD80" s="275">
        <f>COUNTIFS(D264:D293,1,G264:G293,"thu")</f>
        <v>4</v>
      </c>
      <c r="AE80" s="335">
        <f>($I$15*'2024(¥)'!AI79)/AD80</f>
        <v>2250.5079075101612</v>
      </c>
      <c r="AF80" s="334">
        <f t="shared" si="29"/>
        <v>9002.0316300406448</v>
      </c>
      <c r="AG80" s="203"/>
      <c r="AH80" s="203"/>
      <c r="AI80" s="18"/>
      <c r="AJ80" s="18"/>
      <c r="AK80" s="18"/>
      <c r="AL80" s="18"/>
      <c r="AM80" s="18"/>
      <c r="AN80" s="18"/>
    </row>
    <row r="81" spans="1:40" ht="20">
      <c r="A81" s="18"/>
      <c r="B81" s="151"/>
      <c r="C81" s="55">
        <v>61</v>
      </c>
      <c r="D81" s="54">
        <v>0</v>
      </c>
      <c r="E81" s="190">
        <f t="shared" si="12"/>
        <v>3</v>
      </c>
      <c r="F81" s="191">
        <f t="shared" si="13"/>
        <v>45718</v>
      </c>
      <c r="G81" s="192" t="str">
        <f t="shared" si="14"/>
        <v>Sun</v>
      </c>
      <c r="H81" s="193"/>
      <c r="I81" s="194"/>
      <c r="J81" s="307"/>
      <c r="K81" s="215"/>
      <c r="L81" s="317">
        <f t="shared" si="15"/>
        <v>0</v>
      </c>
      <c r="M81" s="318">
        <f t="shared" si="7"/>
        <v>0</v>
      </c>
      <c r="N81" s="41" t="str">
        <f t="shared" si="8"/>
        <v>¥0</v>
      </c>
      <c r="O81" s="44"/>
      <c r="P81" s="317">
        <f>IF(D81=0,0,SUM($L$80:L81))</f>
        <v>0</v>
      </c>
      <c r="Q81" s="317">
        <f>IF(D81=0,0,SUM($J$80:J81))</f>
        <v>0</v>
      </c>
      <c r="R81" s="321">
        <f t="shared" si="9"/>
        <v>0</v>
      </c>
      <c r="S81" s="198">
        <f t="shared" si="16"/>
        <v>0</v>
      </c>
      <c r="T81" s="212"/>
      <c r="U81" s="317">
        <f>IF(D81=0,0,SUM($L$21:L81))</f>
        <v>0</v>
      </c>
      <c r="V81" s="317">
        <f>IF(D81=0,0,SUM($J$21:J81))</f>
        <v>0</v>
      </c>
      <c r="W81" s="331">
        <f t="shared" si="10"/>
        <v>0</v>
      </c>
      <c r="X81" s="200">
        <f t="shared" si="17"/>
        <v>0</v>
      </c>
      <c r="Y81" s="201">
        <f t="shared" si="28"/>
        <v>45718</v>
      </c>
      <c r="Z81" s="202">
        <f t="shared" si="28"/>
        <v>45718</v>
      </c>
      <c r="AA81" s="246">
        <v>9</v>
      </c>
      <c r="AB81" s="243" t="s">
        <v>220</v>
      </c>
      <c r="AC81" s="336">
        <f>IFERROR(AVERAGEIFS(J264:J293,D264:D293,1,G264:G293,"fri"),0)</f>
        <v>3247.7569331158238</v>
      </c>
      <c r="AD81" s="275">
        <f>COUNTIFS(D264:D293,1,G264:G293,"fri")</f>
        <v>4</v>
      </c>
      <c r="AE81" s="335">
        <f>($I$15*'2024(¥)'!AI80)/AD81</f>
        <v>3343.3619357913158</v>
      </c>
      <c r="AF81" s="334">
        <f t="shared" si="29"/>
        <v>13373.447743165263</v>
      </c>
      <c r="AG81" s="203"/>
      <c r="AH81" s="203"/>
      <c r="AI81" s="18"/>
      <c r="AJ81" s="18"/>
      <c r="AK81" s="18"/>
      <c r="AL81" s="18"/>
      <c r="AM81" s="18"/>
      <c r="AN81" s="18"/>
    </row>
    <row r="82" spans="1:40" ht="20">
      <c r="A82" s="18"/>
      <c r="B82" s="151"/>
      <c r="C82" s="55">
        <v>62</v>
      </c>
      <c r="D82" s="54">
        <v>1</v>
      </c>
      <c r="E82" s="190">
        <f t="shared" si="12"/>
        <v>3</v>
      </c>
      <c r="F82" s="191">
        <f t="shared" si="13"/>
        <v>45719</v>
      </c>
      <c r="G82" s="192" t="str">
        <f t="shared" si="14"/>
        <v>Mon</v>
      </c>
      <c r="H82" s="193"/>
      <c r="I82" s="194"/>
      <c r="J82" s="307">
        <f>179600/B13</f>
        <v>1627.6962117092623</v>
      </c>
      <c r="K82" s="215"/>
      <c r="L82" s="317">
        <f t="shared" si="15"/>
        <v>1617.1654226849021</v>
      </c>
      <c r="M82" s="318">
        <f t="shared" si="7"/>
        <v>10.530789024360274</v>
      </c>
      <c r="N82" s="41">
        <f t="shared" si="8"/>
        <v>1.00651188114502</v>
      </c>
      <c r="O82" s="56"/>
      <c r="P82" s="317">
        <f>IF(D82=0,0,SUM($L$80:L82))</f>
        <v>2958.2164254581553</v>
      </c>
      <c r="Q82" s="317">
        <f>IF(D82=0,0,SUM($J$80:J82))</f>
        <v>2241.4355628058729</v>
      </c>
      <c r="R82" s="321">
        <f t="shared" si="9"/>
        <v>-716.78086265228239</v>
      </c>
      <c r="S82" s="198">
        <f t="shared" si="16"/>
        <v>0.75769830209726097</v>
      </c>
      <c r="T82" s="207"/>
      <c r="U82" s="317">
        <f>IF(D82=0,0,SUM($L$21:L82))</f>
        <v>88288.872718594037</v>
      </c>
      <c r="V82" s="317">
        <f>IF(D82=0,0,SUM($J$21:J82))</f>
        <v>102994.47163313393</v>
      </c>
      <c r="W82" s="331">
        <f t="shared" si="10"/>
        <v>14705.598914539893</v>
      </c>
      <c r="X82" s="200">
        <f t="shared" si="17"/>
        <v>1.1665623137064114</v>
      </c>
      <c r="Y82" s="201">
        <f t="shared" si="28"/>
        <v>45719</v>
      </c>
      <c r="Z82" s="202">
        <f t="shared" si="28"/>
        <v>45719</v>
      </c>
      <c r="AA82" s="246">
        <v>9</v>
      </c>
      <c r="AB82" s="243" t="s">
        <v>221</v>
      </c>
      <c r="AC82" s="336">
        <f>IFERROR(AVERAGEIFS(J264:J293,D264:D293,1,G264:G293,"sat"),0)</f>
        <v>1825.711437375385</v>
      </c>
      <c r="AD82" s="275">
        <f>COUNTIFS(D264:D293,1,G264:G293,"sat")</f>
        <v>4</v>
      </c>
      <c r="AE82" s="335">
        <f>($I$15*'2024(¥)'!AI81)/AD82</f>
        <v>1348.2053100828641</v>
      </c>
      <c r="AF82" s="334">
        <f t="shared" si="29"/>
        <v>5392.8212403314565</v>
      </c>
      <c r="AG82" s="273" t="s">
        <v>198</v>
      </c>
      <c r="AH82" s="203"/>
      <c r="AI82" s="18"/>
      <c r="AJ82" s="18"/>
      <c r="AK82" s="18"/>
      <c r="AL82" s="18"/>
      <c r="AM82" s="18"/>
      <c r="AN82" s="18"/>
    </row>
    <row r="83" spans="1:40" ht="20">
      <c r="A83" s="18"/>
      <c r="B83" s="151"/>
      <c r="C83" s="55">
        <v>63</v>
      </c>
      <c r="D83" s="54">
        <v>1</v>
      </c>
      <c r="E83" s="190">
        <f t="shared" si="12"/>
        <v>3</v>
      </c>
      <c r="F83" s="191">
        <f t="shared" si="13"/>
        <v>45720</v>
      </c>
      <c r="G83" s="192" t="str">
        <f t="shared" si="14"/>
        <v>Tue</v>
      </c>
      <c r="H83" s="193"/>
      <c r="I83" s="194"/>
      <c r="J83" s="307">
        <f>161920/B13</f>
        <v>1467.4642015588181</v>
      </c>
      <c r="K83" s="215"/>
      <c r="L83" s="317">
        <f t="shared" si="15"/>
        <v>2330.5077999267178</v>
      </c>
      <c r="M83" s="318">
        <f t="shared" si="7"/>
        <v>-863.04359836789968</v>
      </c>
      <c r="N83" s="41">
        <f t="shared" si="8"/>
        <v>0.62967573058754067</v>
      </c>
      <c r="O83" s="56"/>
      <c r="P83" s="317">
        <f>IF(D83=0,0,SUM($L$80:L83))</f>
        <v>5288.7242253848726</v>
      </c>
      <c r="Q83" s="317">
        <f>IF(D83=0,0,SUM($J$80:J83))</f>
        <v>3708.8997643646908</v>
      </c>
      <c r="R83" s="321">
        <f t="shared" si="9"/>
        <v>-1579.8244610201818</v>
      </c>
      <c r="S83" s="198">
        <f t="shared" si="16"/>
        <v>0.70128439417632626</v>
      </c>
      <c r="T83" s="207"/>
      <c r="U83" s="317">
        <f>IF(D83=0,0,SUM($L$21:L83))</f>
        <v>90619.38051852076</v>
      </c>
      <c r="V83" s="317">
        <f>IF(D83=0,0,SUM($J$21:J83))</f>
        <v>104461.93583469275</v>
      </c>
      <c r="W83" s="331">
        <f t="shared" si="10"/>
        <v>13842.555316171987</v>
      </c>
      <c r="X83" s="200">
        <f t="shared" si="17"/>
        <v>1.152754910008934</v>
      </c>
      <c r="Y83" s="201">
        <f t="shared" si="28"/>
        <v>45720</v>
      </c>
      <c r="Z83" s="202">
        <f t="shared" si="28"/>
        <v>45720</v>
      </c>
      <c r="AA83" s="246">
        <v>9</v>
      </c>
      <c r="AB83" s="243" t="s">
        <v>222</v>
      </c>
      <c r="AC83" s="336">
        <f>IFERROR(AVERAGEIFS(J264:J293,D264:D293,1,G264:G293,"sun"),0)</f>
        <v>0</v>
      </c>
      <c r="AD83" s="275">
        <f>IFERROR(COUNTIFS(D264:D293,1,G264:G293,"sun"),0)</f>
        <v>0</v>
      </c>
      <c r="AE83" s="335">
        <f>IFERROR(($I$15*'2024(¥)'!AI82)/AD83,0)</f>
        <v>0</v>
      </c>
      <c r="AF83" s="337">
        <f>SUM(AF77:AF82)</f>
        <v>54757.640402012345</v>
      </c>
      <c r="AG83" s="272">
        <f>I15</f>
        <v>54757.640402012345</v>
      </c>
      <c r="AH83" s="270"/>
      <c r="AI83" s="18"/>
      <c r="AJ83" s="18"/>
      <c r="AK83" s="18"/>
      <c r="AL83" s="18"/>
      <c r="AM83" s="18"/>
      <c r="AN83" s="18"/>
    </row>
    <row r="84" spans="1:40" ht="20">
      <c r="A84" s="18"/>
      <c r="B84" s="151"/>
      <c r="C84" s="55">
        <v>64</v>
      </c>
      <c r="D84" s="54">
        <v>1</v>
      </c>
      <c r="E84" s="190">
        <f t="shared" si="12"/>
        <v>3</v>
      </c>
      <c r="F84" s="191">
        <f t="shared" si="13"/>
        <v>45721</v>
      </c>
      <c r="G84" s="192" t="str">
        <f t="shared" si="14"/>
        <v>Wed</v>
      </c>
      <c r="H84" s="193"/>
      <c r="I84" s="194"/>
      <c r="J84" s="307">
        <f>211040/B13</f>
        <v>1912.6336777234003</v>
      </c>
      <c r="K84" s="215"/>
      <c r="L84" s="317">
        <f t="shared" si="15"/>
        <v>1946.4122509071913</v>
      </c>
      <c r="M84" s="318">
        <f t="shared" si="7"/>
        <v>-33.778573183790968</v>
      </c>
      <c r="N84" s="41">
        <f t="shared" si="8"/>
        <v>0.98264572514479021</v>
      </c>
      <c r="O84" s="56"/>
      <c r="P84" s="317">
        <f>IF(D84=0,0,SUM($L$80:L84))</f>
        <v>7235.1364762920639</v>
      </c>
      <c r="Q84" s="317">
        <f>IF(D84=0,0,SUM($J$80:J84))</f>
        <v>5621.5334420880909</v>
      </c>
      <c r="R84" s="321">
        <f t="shared" si="9"/>
        <v>-1613.603034203973</v>
      </c>
      <c r="S84" s="198">
        <f t="shared" si="16"/>
        <v>0.77697683526891415</v>
      </c>
      <c r="T84" s="207"/>
      <c r="U84" s="317">
        <f>IF(D84=0,0,SUM($L$21:L84))</f>
        <v>92565.79276942795</v>
      </c>
      <c r="V84" s="317">
        <f>IF(D84=0,0,SUM($J$21:J84))</f>
        <v>106374.56951241614</v>
      </c>
      <c r="W84" s="331">
        <f t="shared" si="10"/>
        <v>13808.776742988193</v>
      </c>
      <c r="X84" s="200">
        <f t="shared" si="17"/>
        <v>1.1491779666100248</v>
      </c>
      <c r="Y84" s="201">
        <f t="shared" si="28"/>
        <v>45721</v>
      </c>
      <c r="Z84" s="202">
        <f t="shared" si="28"/>
        <v>45721</v>
      </c>
      <c r="AA84" s="246">
        <v>10</v>
      </c>
      <c r="AB84" s="136" t="s">
        <v>216</v>
      </c>
      <c r="AC84" s="336">
        <f>IFERROR(AVERAGEIFS(J294:J324,D294:D324,1,G294:G324,"mon"),0)</f>
        <v>2996.7373572593801</v>
      </c>
      <c r="AD84" s="275">
        <f>COUNTIFS(D294:D324,1,G294:G324,"Mon")</f>
        <v>3</v>
      </c>
      <c r="AE84" s="335">
        <f>($I$16*'2024(¥)'!AI83)/AD84</f>
        <v>2756.4890256896492</v>
      </c>
      <c r="AF84" s="334">
        <f t="shared" ref="AF84:AF89" si="30">AD84*AE84</f>
        <v>8269.4670770689481</v>
      </c>
      <c r="AG84" s="203" t="s">
        <v>137</v>
      </c>
      <c r="AH84" s="203"/>
      <c r="AI84" s="18"/>
      <c r="AJ84" s="18"/>
      <c r="AK84" s="18"/>
      <c r="AL84" s="18"/>
      <c r="AM84" s="18"/>
      <c r="AN84" s="18"/>
    </row>
    <row r="85" spans="1:40" ht="20">
      <c r="A85" s="18"/>
      <c r="B85" s="151"/>
      <c r="C85" s="55">
        <v>65</v>
      </c>
      <c r="D85" s="54">
        <v>1</v>
      </c>
      <c r="E85" s="190">
        <f t="shared" si="12"/>
        <v>3</v>
      </c>
      <c r="F85" s="191">
        <f t="shared" si="13"/>
        <v>45722</v>
      </c>
      <c r="G85" s="192" t="str">
        <f t="shared" si="14"/>
        <v>Thu</v>
      </c>
      <c r="H85" s="193"/>
      <c r="I85" s="194"/>
      <c r="J85" s="307">
        <f>347450/B13</f>
        <v>3148.9033895232915</v>
      </c>
      <c r="K85" s="215"/>
      <c r="L85" s="317">
        <f t="shared" si="15"/>
        <v>3632.8320007368807</v>
      </c>
      <c r="M85" s="318">
        <f t="shared" ref="M85:M148" si="31">IF(D85=0,0,J85-L85)</f>
        <v>-483.92861121358919</v>
      </c>
      <c r="N85" s="41">
        <f t="shared" si="8"/>
        <v>0.86679025864245041</v>
      </c>
      <c r="O85" s="56"/>
      <c r="P85" s="317">
        <f>IF(D85=0,0,SUM($L$80:L85))</f>
        <v>10867.968477028944</v>
      </c>
      <c r="Q85" s="317">
        <f>IF(D85=0,0,SUM($J$80:J85))</f>
        <v>8770.4368316113832</v>
      </c>
      <c r="R85" s="321">
        <f t="shared" ref="R85:R148" si="32">IF(D85=0,0,Q85-P85)</f>
        <v>-2097.5316454175609</v>
      </c>
      <c r="S85" s="198">
        <f t="shared" si="16"/>
        <v>0.80699873671413347</v>
      </c>
      <c r="T85" s="207"/>
      <c r="U85" s="317">
        <f>IF(D85=0,0,SUM($L$21:L85))</f>
        <v>96198.624770164824</v>
      </c>
      <c r="V85" s="317">
        <f>IF(D85=0,0,SUM($J$21:J85))</f>
        <v>109523.47290193943</v>
      </c>
      <c r="W85" s="331">
        <f t="shared" ref="W85:W148" si="33">IF(D85=0,0,V85-U85)</f>
        <v>13324.848131774605</v>
      </c>
      <c r="X85" s="200">
        <f t="shared" si="17"/>
        <v>1.1385139149713417</v>
      </c>
      <c r="Y85" s="201">
        <f t="shared" si="28"/>
        <v>45722</v>
      </c>
      <c r="Z85" s="202">
        <f t="shared" si="28"/>
        <v>45722</v>
      </c>
      <c r="AA85" s="246">
        <v>10</v>
      </c>
      <c r="AB85" s="243" t="s">
        <v>217</v>
      </c>
      <c r="AC85" s="336">
        <f>IFERROR(AVERAGEIFS(J294:J324,D294:D324,1,G294:G324,"tue"),0)</f>
        <v>3001.0195758564437</v>
      </c>
      <c r="AD85" s="275">
        <f>COUNTIFS(D294:D324,1,G294:G324,"tue")</f>
        <v>4</v>
      </c>
      <c r="AE85" s="335">
        <f>($I$16*'2024(¥)'!AI84)/AD85</f>
        <v>2906.2939562278925</v>
      </c>
      <c r="AF85" s="334">
        <f t="shared" si="30"/>
        <v>11625.17582491157</v>
      </c>
      <c r="AG85" s="203"/>
      <c r="AH85" s="203"/>
      <c r="AI85" s="18"/>
      <c r="AJ85" s="18"/>
      <c r="AK85" s="18"/>
      <c r="AL85" s="18"/>
      <c r="AM85" s="18"/>
      <c r="AN85" s="18"/>
    </row>
    <row r="86" spans="1:40" ht="20">
      <c r="A86" s="18"/>
      <c r="B86" s="151"/>
      <c r="C86" s="55">
        <v>66</v>
      </c>
      <c r="D86" s="54">
        <v>1</v>
      </c>
      <c r="E86" s="190">
        <f t="shared" ref="E86:E149" si="34">MONTH(Y86)</f>
        <v>3</v>
      </c>
      <c r="F86" s="191">
        <f t="shared" ref="F86:F149" si="35">F85+1</f>
        <v>45723</v>
      </c>
      <c r="G86" s="192" t="str">
        <f t="shared" ref="G86:G149" si="36">TEXT(Z86,"ddd")</f>
        <v>Fri</v>
      </c>
      <c r="H86" s="193"/>
      <c r="I86" s="194"/>
      <c r="J86" s="307">
        <f>346310/B13</f>
        <v>3138.5716875113285</v>
      </c>
      <c r="K86" s="215"/>
      <c r="L86" s="317">
        <f t="shared" ref="L86:L149" si="37">IF(D86=0,0,IFERROR(SUMIFS($AE$21:$AE$104,$AA$21:$AA$104,$E86,$AB$21:$AB$104,$G86),0))</f>
        <v>3560.4876048147844</v>
      </c>
      <c r="M86" s="318">
        <f t="shared" si="31"/>
        <v>-421.9159173034559</v>
      </c>
      <c r="N86" s="41">
        <f t="shared" si="8"/>
        <v>0.88150052348647234</v>
      </c>
      <c r="O86" s="56"/>
      <c r="P86" s="317">
        <f>IF(D86=0,0,SUM($L$80:L86))</f>
        <v>14428.456081843728</v>
      </c>
      <c r="Q86" s="317">
        <f>IF(D86=0,0,SUM($J$80:J86))</f>
        <v>11909.008519122712</v>
      </c>
      <c r="R86" s="321">
        <f t="shared" si="32"/>
        <v>-2519.4475627210159</v>
      </c>
      <c r="S86" s="198">
        <f t="shared" ref="S86:S149" si="38">IF(D86=0,0,Q86/P86)</f>
        <v>0.82538342644356788</v>
      </c>
      <c r="T86" s="207"/>
      <c r="U86" s="317">
        <f>IF(D86=0,0,SUM($L$21:L86))</f>
        <v>99759.11237497961</v>
      </c>
      <c r="V86" s="317">
        <f>IF(D86=0,0,SUM($J$21:J86))</f>
        <v>112662.04458945076</v>
      </c>
      <c r="W86" s="331">
        <f t="shared" si="33"/>
        <v>12902.932214471148</v>
      </c>
      <c r="X86" s="200">
        <f t="shared" ref="X86:X149" si="39">IF(D86=0,0,V86/U86)</f>
        <v>1.1293408883388112</v>
      </c>
      <c r="Y86" s="201">
        <f t="shared" si="28"/>
        <v>45723</v>
      </c>
      <c r="Z86" s="202">
        <f t="shared" si="28"/>
        <v>45723</v>
      </c>
      <c r="AA86" s="246">
        <v>10</v>
      </c>
      <c r="AB86" s="243" t="s">
        <v>218</v>
      </c>
      <c r="AC86" s="336">
        <f>IFERROR(AVERAGEIFS(J294:J324,D294:D324,1,G294:G324,"wed"),0)</f>
        <v>2851.3141199927495</v>
      </c>
      <c r="AD86" s="275">
        <f>COUNTIFS(D294:D324,1,G294:G324,"wed")</f>
        <v>5</v>
      </c>
      <c r="AE86" s="335">
        <f>($I$16*'2024(¥)'!AI85)/AD86</f>
        <v>2508.2190418858963</v>
      </c>
      <c r="AF86" s="334">
        <f t="shared" si="30"/>
        <v>12541.095209429481</v>
      </c>
      <c r="AG86" s="203"/>
      <c r="AH86" s="203"/>
      <c r="AI86" s="18"/>
      <c r="AJ86" s="18"/>
      <c r="AK86" s="18"/>
      <c r="AL86" s="18"/>
      <c r="AM86" s="18"/>
      <c r="AN86" s="18"/>
    </row>
    <row r="87" spans="1:40" ht="20">
      <c r="A87" s="18"/>
      <c r="B87" s="151"/>
      <c r="C87" s="55">
        <v>67</v>
      </c>
      <c r="D87" s="54">
        <v>1</v>
      </c>
      <c r="E87" s="190">
        <f t="shared" si="34"/>
        <v>3</v>
      </c>
      <c r="F87" s="191">
        <f t="shared" si="35"/>
        <v>45724</v>
      </c>
      <c r="G87" s="192" t="str">
        <f t="shared" si="36"/>
        <v>Sat</v>
      </c>
      <c r="H87" s="193"/>
      <c r="I87" s="194"/>
      <c r="J87" s="307">
        <f>60610/B13</f>
        <v>549.30215696936739</v>
      </c>
      <c r="K87" s="215"/>
      <c r="L87" s="317">
        <f t="shared" si="37"/>
        <v>1341.0510027732532</v>
      </c>
      <c r="M87" s="318">
        <f t="shared" si="31"/>
        <v>-791.74884580388584</v>
      </c>
      <c r="N87" s="41">
        <f t="shared" si="8"/>
        <v>0.40960571658604111</v>
      </c>
      <c r="O87" s="56"/>
      <c r="P87" s="317">
        <f>IF(D87=0,0,SUM($L$80:L87))</f>
        <v>15769.50708461698</v>
      </c>
      <c r="Q87" s="317">
        <f>IF(D87=0,0,SUM($J$80:J87))</f>
        <v>12458.310676092078</v>
      </c>
      <c r="R87" s="321">
        <f t="shared" si="32"/>
        <v>-3311.1964085249019</v>
      </c>
      <c r="S87" s="198">
        <f t="shared" si="38"/>
        <v>0.79002537043437804</v>
      </c>
      <c r="T87" s="207"/>
      <c r="U87" s="317">
        <f>IF(D87=0,0,SUM($L$21:L87))</f>
        <v>101100.16337775286</v>
      </c>
      <c r="V87" s="317">
        <f>IF(D87=0,0,SUM($J$21:J87))</f>
        <v>113211.34674642012</v>
      </c>
      <c r="W87" s="331">
        <f t="shared" si="33"/>
        <v>12111.183368667262</v>
      </c>
      <c r="X87" s="200">
        <f t="shared" si="39"/>
        <v>1.1197939050149184</v>
      </c>
      <c r="Y87" s="201">
        <f t="shared" ref="Y87:Z102" si="40">Y86+1</f>
        <v>45724</v>
      </c>
      <c r="Z87" s="202">
        <f t="shared" si="40"/>
        <v>45724</v>
      </c>
      <c r="AA87" s="246">
        <v>10</v>
      </c>
      <c r="AB87" s="243" t="s">
        <v>219</v>
      </c>
      <c r="AC87" s="336">
        <f>IFERROR(AVERAGEIFS(J294:J324,D294:D324,1,G294:G324,"thu"),0)</f>
        <v>2915.733188326989</v>
      </c>
      <c r="AD87" s="275">
        <f>COUNTIFS(D294:D324,1,G294:G324,"thu")</f>
        <v>5</v>
      </c>
      <c r="AE87" s="335">
        <f>($I$16*'2024(¥)'!AI86)/AD87</f>
        <v>2924.8813174230654</v>
      </c>
      <c r="AF87" s="334">
        <f t="shared" si="30"/>
        <v>14624.406587115327</v>
      </c>
      <c r="AG87" s="203"/>
      <c r="AH87" s="203"/>
      <c r="AI87" s="18"/>
      <c r="AJ87" s="18"/>
      <c r="AK87" s="18"/>
      <c r="AL87" s="18"/>
      <c r="AM87" s="18"/>
      <c r="AN87" s="18"/>
    </row>
    <row r="88" spans="1:40" ht="20">
      <c r="A88" s="18"/>
      <c r="B88" s="151"/>
      <c r="C88" s="55">
        <v>68</v>
      </c>
      <c r="D88" s="54">
        <v>0</v>
      </c>
      <c r="E88" s="190">
        <f t="shared" si="34"/>
        <v>3</v>
      </c>
      <c r="F88" s="191">
        <f t="shared" si="35"/>
        <v>45725</v>
      </c>
      <c r="G88" s="192" t="str">
        <f t="shared" si="36"/>
        <v>Sun</v>
      </c>
      <c r="H88" s="193"/>
      <c r="I88" s="194"/>
      <c r="J88" s="307"/>
      <c r="K88" s="215"/>
      <c r="L88" s="317">
        <f t="shared" si="37"/>
        <v>0</v>
      </c>
      <c r="M88" s="318">
        <f t="shared" si="31"/>
        <v>0</v>
      </c>
      <c r="N88" s="41" t="str">
        <f t="shared" si="8"/>
        <v>¥0</v>
      </c>
      <c r="O88" s="44"/>
      <c r="P88" s="317">
        <f>IF(D88=0,0,SUM($L$80:L88))</f>
        <v>0</v>
      </c>
      <c r="Q88" s="317">
        <f>IF(D88=0,0,SUM($J$80:J88))</f>
        <v>0</v>
      </c>
      <c r="R88" s="321">
        <f t="shared" si="32"/>
        <v>0</v>
      </c>
      <c r="S88" s="198">
        <f t="shared" si="38"/>
        <v>0</v>
      </c>
      <c r="T88" s="212"/>
      <c r="U88" s="317">
        <f>IF(D88=0,0,SUM($L$21:L88))</f>
        <v>0</v>
      </c>
      <c r="V88" s="317">
        <f>IF(D88=0,0,SUM($J$21:J88))</f>
        <v>0</v>
      </c>
      <c r="W88" s="331">
        <f t="shared" si="33"/>
        <v>0</v>
      </c>
      <c r="X88" s="200">
        <f t="shared" si="39"/>
        <v>0</v>
      </c>
      <c r="Y88" s="201">
        <f t="shared" si="40"/>
        <v>45725</v>
      </c>
      <c r="Z88" s="202">
        <f t="shared" si="40"/>
        <v>45725</v>
      </c>
      <c r="AA88" s="246">
        <v>10</v>
      </c>
      <c r="AB88" s="243" t="s">
        <v>220</v>
      </c>
      <c r="AC88" s="336">
        <f>IFERROR(AVERAGEIFS(J294:J324,D294:D324,1,G294:G324,"fri"),0)</f>
        <v>2968.0623527279317</v>
      </c>
      <c r="AD88" s="275">
        <f>COUNTIFS(D294:D324,1,G294:G324,"fri")</f>
        <v>5</v>
      </c>
      <c r="AE88" s="335">
        <f>($I$16*'2024(¥)'!AI87)/AD88</f>
        <v>2357.8757728190935</v>
      </c>
      <c r="AF88" s="334">
        <f t="shared" si="30"/>
        <v>11789.378864095468</v>
      </c>
      <c r="AG88" s="203"/>
      <c r="AH88" s="203"/>
      <c r="AI88" s="18"/>
      <c r="AJ88" s="18"/>
      <c r="AK88" s="18"/>
      <c r="AL88" s="18"/>
      <c r="AM88" s="18"/>
      <c r="AN88" s="18"/>
    </row>
    <row r="89" spans="1:40" ht="20">
      <c r="A89" s="18"/>
      <c r="B89" s="151"/>
      <c r="C89" s="55">
        <v>69</v>
      </c>
      <c r="D89" s="54">
        <v>1</v>
      </c>
      <c r="E89" s="190">
        <f t="shared" si="34"/>
        <v>3</v>
      </c>
      <c r="F89" s="191">
        <f t="shared" si="35"/>
        <v>45726</v>
      </c>
      <c r="G89" s="192" t="str">
        <f t="shared" si="36"/>
        <v>Mon</v>
      </c>
      <c r="H89" s="193"/>
      <c r="I89" s="194"/>
      <c r="J89" s="307">
        <f>273200/B13</f>
        <v>2475.9833242704367</v>
      </c>
      <c r="K89" s="215"/>
      <c r="L89" s="317">
        <f t="shared" si="37"/>
        <v>1617.1654226849021</v>
      </c>
      <c r="M89" s="318">
        <f t="shared" si="31"/>
        <v>858.81790158553463</v>
      </c>
      <c r="N89" s="41">
        <f t="shared" si="8"/>
        <v>1.5310637301159213</v>
      </c>
      <c r="O89" s="56"/>
      <c r="P89" s="317">
        <f>IF(D89=0,0,SUM($L$80:L89))</f>
        <v>17386.672507301882</v>
      </c>
      <c r="Q89" s="317">
        <f>IF(D89=0,0,SUM($J$80:J89))</f>
        <v>14934.294000362515</v>
      </c>
      <c r="R89" s="321">
        <f t="shared" si="32"/>
        <v>-2452.3785069393671</v>
      </c>
      <c r="S89" s="198">
        <f t="shared" si="38"/>
        <v>0.85895067006585413</v>
      </c>
      <c r="T89" s="207"/>
      <c r="U89" s="317">
        <f>IF(D89=0,0,SUM($L$21:L89))</f>
        <v>102717.32880043777</v>
      </c>
      <c r="V89" s="317">
        <f>IF(D89=0,0,SUM($J$21:J89))</f>
        <v>115687.33007069056</v>
      </c>
      <c r="W89" s="331">
        <f t="shared" si="33"/>
        <v>12970.001270252789</v>
      </c>
      <c r="X89" s="200">
        <f t="shared" si="39"/>
        <v>1.126268872270338</v>
      </c>
      <c r="Y89" s="201">
        <f t="shared" si="40"/>
        <v>45726</v>
      </c>
      <c r="Z89" s="202">
        <f t="shared" si="40"/>
        <v>45726</v>
      </c>
      <c r="AA89" s="246">
        <v>10</v>
      </c>
      <c r="AB89" s="243" t="s">
        <v>221</v>
      </c>
      <c r="AC89" s="336">
        <f>IFERROR(AVERAGEIFS(J294:J324,D294:D324,1,G294:G324,"sat"),0)</f>
        <v>1514.6592350915353</v>
      </c>
      <c r="AD89" s="275">
        <f>COUNTIFS(D294:D324,1,G294:G324,"sat")</f>
        <v>4</v>
      </c>
      <c r="AE89" s="335">
        <f>($I$16*'2024(¥)'!AI88)/AD89</f>
        <v>1600.8328124443144</v>
      </c>
      <c r="AF89" s="334">
        <f t="shared" si="30"/>
        <v>6403.3312497772577</v>
      </c>
      <c r="AG89" s="273" t="s">
        <v>199</v>
      </c>
      <c r="AH89" s="203"/>
      <c r="AI89" s="18"/>
      <c r="AJ89" s="18"/>
      <c r="AK89" s="18"/>
      <c r="AL89" s="18"/>
      <c r="AM89" s="18"/>
      <c r="AN89" s="18"/>
    </row>
    <row r="90" spans="1:40" ht="20">
      <c r="A90" s="18"/>
      <c r="B90" s="151"/>
      <c r="C90" s="55">
        <v>70</v>
      </c>
      <c r="D90" s="54">
        <v>1</v>
      </c>
      <c r="E90" s="190">
        <f t="shared" si="34"/>
        <v>3</v>
      </c>
      <c r="F90" s="191">
        <f t="shared" si="35"/>
        <v>45727</v>
      </c>
      <c r="G90" s="192" t="str">
        <f t="shared" si="36"/>
        <v>Tue</v>
      </c>
      <c r="H90" s="193"/>
      <c r="I90" s="194"/>
      <c r="J90" s="307">
        <f>262880/B13</f>
        <v>2382.4542323726664</v>
      </c>
      <c r="K90" s="215"/>
      <c r="L90" s="317">
        <f t="shared" si="37"/>
        <v>2330.5077999267178</v>
      </c>
      <c r="M90" s="318">
        <f t="shared" si="31"/>
        <v>51.946432445948631</v>
      </c>
      <c r="N90" s="41">
        <f t="shared" si="8"/>
        <v>1.0222897483748314</v>
      </c>
      <c r="O90" s="56"/>
      <c r="P90" s="317">
        <f>IF(D90=0,0,SUM($L$80:L90))</f>
        <v>19717.180307228598</v>
      </c>
      <c r="Q90" s="317">
        <f>IF(D90=0,0,SUM($J$80:J90))</f>
        <v>17316.748232735183</v>
      </c>
      <c r="R90" s="321">
        <f t="shared" si="32"/>
        <v>-2400.4320744934157</v>
      </c>
      <c r="S90" s="198">
        <f t="shared" si="38"/>
        <v>0.87825682794951243</v>
      </c>
      <c r="T90" s="207"/>
      <c r="U90" s="317">
        <f>IF(D90=0,0,SUM($L$21:L90))</f>
        <v>105047.83660036449</v>
      </c>
      <c r="V90" s="317">
        <f>IF(D90=0,0,SUM($J$21:J90))</f>
        <v>118069.78430306322</v>
      </c>
      <c r="W90" s="331">
        <f t="shared" si="33"/>
        <v>13021.94770269873</v>
      </c>
      <c r="X90" s="200">
        <f t="shared" si="39"/>
        <v>1.1239620740809577</v>
      </c>
      <c r="Y90" s="201">
        <f t="shared" si="40"/>
        <v>45727</v>
      </c>
      <c r="Z90" s="202">
        <f t="shared" si="40"/>
        <v>45727</v>
      </c>
      <c r="AA90" s="246">
        <v>10</v>
      </c>
      <c r="AB90" s="243" t="s">
        <v>222</v>
      </c>
      <c r="AC90" s="336">
        <f>IFERROR(AVERAGEIFS(J294:J324,D294:D324,1,G294:G324,"sun"),0)</f>
        <v>0</v>
      </c>
      <c r="AD90" s="275">
        <f>IFERROR(COUNTIFS(D294:D324,1,G294:G324,"sun"),0)</f>
        <v>0</v>
      </c>
      <c r="AE90" s="335">
        <f>IFERROR(($I$16*'2024(¥)'!AI89)/AD90,0)</f>
        <v>0</v>
      </c>
      <c r="AF90" s="337">
        <f>SUM(AF84:AF89)</f>
        <v>65252.854812398051</v>
      </c>
      <c r="AG90" s="272">
        <f>I16</f>
        <v>65252.854812398051</v>
      </c>
      <c r="AH90" s="270"/>
      <c r="AI90" s="18"/>
      <c r="AJ90" s="18"/>
      <c r="AK90" s="18"/>
      <c r="AL90" s="18"/>
      <c r="AM90" s="18"/>
      <c r="AN90" s="18"/>
    </row>
    <row r="91" spans="1:40" ht="20">
      <c r="A91" s="18"/>
      <c r="B91" s="151"/>
      <c r="C91" s="55">
        <v>71</v>
      </c>
      <c r="D91" s="54">
        <v>1</v>
      </c>
      <c r="E91" s="190">
        <f t="shared" si="34"/>
        <v>3</v>
      </c>
      <c r="F91" s="191">
        <f t="shared" si="35"/>
        <v>45728</v>
      </c>
      <c r="G91" s="192" t="str">
        <f t="shared" si="36"/>
        <v>Wed</v>
      </c>
      <c r="H91" s="193"/>
      <c r="I91" s="194"/>
      <c r="J91" s="307">
        <f>298290/B13</f>
        <v>2703.3713974986404</v>
      </c>
      <c r="K91" s="215"/>
      <c r="L91" s="317">
        <f t="shared" si="37"/>
        <v>1946.4122509071913</v>
      </c>
      <c r="M91" s="318">
        <f t="shared" si="31"/>
        <v>756.9591465914491</v>
      </c>
      <c r="N91" s="41">
        <f t="shared" si="8"/>
        <v>1.3888997031531438</v>
      </c>
      <c r="O91" s="56"/>
      <c r="P91" s="317">
        <f>IF(D91=0,0,SUM($L$80:L91))</f>
        <v>21663.592558135788</v>
      </c>
      <c r="Q91" s="317">
        <f>IF(D91=0,0,SUM($J$80:J91))</f>
        <v>20020.119630233821</v>
      </c>
      <c r="R91" s="321">
        <f t="shared" si="32"/>
        <v>-1643.4729279019666</v>
      </c>
      <c r="S91" s="198">
        <f t="shared" si="38"/>
        <v>0.92413663968745763</v>
      </c>
      <c r="T91" s="207"/>
      <c r="U91" s="317">
        <f>IF(D91=0,0,SUM($L$21:L91))</f>
        <v>106994.24885127168</v>
      </c>
      <c r="V91" s="317">
        <f>IF(D91=0,0,SUM($J$21:J91))</f>
        <v>120773.15570056187</v>
      </c>
      <c r="W91" s="331">
        <f t="shared" si="33"/>
        <v>13778.906849290186</v>
      </c>
      <c r="X91" s="200">
        <f t="shared" si="39"/>
        <v>1.128781752264495</v>
      </c>
      <c r="Y91" s="201">
        <f t="shared" si="40"/>
        <v>45728</v>
      </c>
      <c r="Z91" s="202">
        <f t="shared" si="40"/>
        <v>45728</v>
      </c>
      <c r="AA91" s="246">
        <v>11</v>
      </c>
      <c r="AB91" s="136" t="s">
        <v>216</v>
      </c>
      <c r="AC91" s="336">
        <f>IFERROR(AVERAGEIFS(J325:J354,D325:D354,1,G325:G354,"mon"),0)</f>
        <v>2726.6177270255575</v>
      </c>
      <c r="AD91" s="275">
        <f>COUNTIFS(D325:D354,1,G325:G354,"Mon")</f>
        <v>2</v>
      </c>
      <c r="AE91" s="335">
        <f>($I$17*'2024(¥)'!AI90)/AD91</f>
        <v>2497.7250348121643</v>
      </c>
      <c r="AF91" s="334">
        <f t="shared" ref="AF91:AF96" si="41">AD91*AE91</f>
        <v>4995.4500696243285</v>
      </c>
      <c r="AG91" s="203" t="s">
        <v>138</v>
      </c>
      <c r="AH91" s="203"/>
      <c r="AI91" s="18"/>
      <c r="AJ91" s="18"/>
      <c r="AK91" s="18"/>
      <c r="AL91" s="18"/>
      <c r="AM91" s="18"/>
      <c r="AN91" s="18"/>
    </row>
    <row r="92" spans="1:40" ht="20">
      <c r="A92" s="18"/>
      <c r="B92" s="151"/>
      <c r="C92" s="55">
        <v>72</v>
      </c>
      <c r="D92" s="54">
        <v>1</v>
      </c>
      <c r="E92" s="190">
        <f t="shared" si="34"/>
        <v>3</v>
      </c>
      <c r="F92" s="191">
        <f t="shared" si="35"/>
        <v>45729</v>
      </c>
      <c r="G92" s="192" t="str">
        <f t="shared" si="36"/>
        <v>Thu</v>
      </c>
      <c r="H92" s="193"/>
      <c r="I92" s="194"/>
      <c r="J92" s="307">
        <f>302800/B13</f>
        <v>2744.2450607214064</v>
      </c>
      <c r="K92" s="215"/>
      <c r="L92" s="317">
        <f t="shared" si="37"/>
        <v>3632.8320007368807</v>
      </c>
      <c r="M92" s="318">
        <f t="shared" si="31"/>
        <v>-888.58694001547428</v>
      </c>
      <c r="N92" s="41">
        <f t="shared" si="8"/>
        <v>0.75540103703247663</v>
      </c>
      <c r="O92" s="56"/>
      <c r="P92" s="317">
        <f>IF(D92=0,0,SUM($L$80:L92))</f>
        <v>25296.42455887267</v>
      </c>
      <c r="Q92" s="317">
        <f>IF(D92=0,0,SUM($J$80:J92))</f>
        <v>22764.364690955226</v>
      </c>
      <c r="R92" s="321">
        <f t="shared" si="32"/>
        <v>-2532.0598679174436</v>
      </c>
      <c r="S92" s="198">
        <f t="shared" si="38"/>
        <v>0.89990443661219588</v>
      </c>
      <c r="T92" s="207"/>
      <c r="U92" s="317">
        <f>IF(D92=0,0,SUM($L$21:L92))</f>
        <v>110627.08085200856</v>
      </c>
      <c r="V92" s="317">
        <f>IF(D92=0,0,SUM($J$21:J92))</f>
        <v>123517.40076128328</v>
      </c>
      <c r="W92" s="331">
        <f t="shared" si="33"/>
        <v>12890.319909274724</v>
      </c>
      <c r="X92" s="200">
        <f t="shared" si="39"/>
        <v>1.1165204741009007</v>
      </c>
      <c r="Y92" s="201">
        <f t="shared" si="40"/>
        <v>45729</v>
      </c>
      <c r="Z92" s="202">
        <f t="shared" si="40"/>
        <v>45729</v>
      </c>
      <c r="AA92" s="246">
        <v>11</v>
      </c>
      <c r="AB92" s="243" t="s">
        <v>217</v>
      </c>
      <c r="AC92" s="336">
        <f>IFERROR(AVERAGEIFS(J325:J354,D325:D354,1,G325:G354,"tue"),0)</f>
        <v>2776.2144281312303</v>
      </c>
      <c r="AD92" s="275">
        <f>COUNTIFS(D325:D354,1,G325:G354,"tue")</f>
        <v>4</v>
      </c>
      <c r="AE92" s="335">
        <f>($I$17*'2024(¥)'!AI91)/AD92</f>
        <v>2186.9201160271436</v>
      </c>
      <c r="AF92" s="334">
        <f t="shared" si="41"/>
        <v>8747.6804641085746</v>
      </c>
      <c r="AG92" s="203"/>
      <c r="AH92" s="203"/>
      <c r="AI92" s="18"/>
      <c r="AJ92" s="18"/>
      <c r="AK92" s="18"/>
      <c r="AL92" s="18"/>
      <c r="AM92" s="18"/>
      <c r="AN92" s="18"/>
    </row>
    <row r="93" spans="1:40" ht="20">
      <c r="A93" s="18"/>
      <c r="B93" s="151"/>
      <c r="C93" s="55">
        <v>73</v>
      </c>
      <c r="D93" s="54">
        <v>1</v>
      </c>
      <c r="E93" s="190">
        <f t="shared" si="34"/>
        <v>3</v>
      </c>
      <c r="F93" s="191">
        <f t="shared" si="35"/>
        <v>45730</v>
      </c>
      <c r="G93" s="192" t="str">
        <f t="shared" si="36"/>
        <v>Fri</v>
      </c>
      <c r="H93" s="193"/>
      <c r="I93" s="194"/>
      <c r="J93" s="307">
        <f>336320/B13</f>
        <v>3048.0333514591262</v>
      </c>
      <c r="K93" s="215"/>
      <c r="L93" s="317">
        <f t="shared" si="37"/>
        <v>3560.4876048147844</v>
      </c>
      <c r="M93" s="318">
        <f t="shared" si="31"/>
        <v>-512.45425335565824</v>
      </c>
      <c r="N93" s="41">
        <f t="shared" si="8"/>
        <v>0.8560718895179763</v>
      </c>
      <c r="O93" s="56"/>
      <c r="P93" s="317">
        <f>IF(D93=0,0,SUM($L$80:L93))</f>
        <v>28856.912163687455</v>
      </c>
      <c r="Q93" s="317">
        <f>IF(D93=0,0,SUM($J$80:J93))</f>
        <v>25812.398042414352</v>
      </c>
      <c r="R93" s="321">
        <f t="shared" si="32"/>
        <v>-3044.5141212731032</v>
      </c>
      <c r="S93" s="198">
        <f t="shared" si="38"/>
        <v>0.8944961919694161</v>
      </c>
      <c r="T93" s="207"/>
      <c r="U93" s="317">
        <f>IF(D93=0,0,SUM($L$21:L93))</f>
        <v>114187.56845682334</v>
      </c>
      <c r="V93" s="317">
        <f>IF(D93=0,0,SUM($J$21:J93))</f>
        <v>126565.43411274241</v>
      </c>
      <c r="W93" s="331">
        <f t="shared" si="33"/>
        <v>12377.865655919071</v>
      </c>
      <c r="X93" s="200">
        <f t="shared" si="39"/>
        <v>1.1083994153058736</v>
      </c>
      <c r="Y93" s="201">
        <f t="shared" si="40"/>
        <v>45730</v>
      </c>
      <c r="Z93" s="202">
        <f t="shared" si="40"/>
        <v>45730</v>
      </c>
      <c r="AA93" s="246">
        <v>11</v>
      </c>
      <c r="AB93" s="243" t="s">
        <v>218</v>
      </c>
      <c r="AC93" s="336">
        <f>IFERROR(AVERAGEIFS(J325:J354,D325:D354,1,G325:G354,"wed"),0)</f>
        <v>2399.0846474533259</v>
      </c>
      <c r="AD93" s="275">
        <f>COUNTIFS(D325:D354,1,G325:G354,"wed")</f>
        <v>4</v>
      </c>
      <c r="AE93" s="335">
        <f>($I$17*'2024(¥)'!AI92)/AD93</f>
        <v>2521.5949659039038</v>
      </c>
      <c r="AF93" s="334">
        <f t="shared" si="41"/>
        <v>10086.379863615615</v>
      </c>
      <c r="AG93" s="203"/>
      <c r="AH93" s="203"/>
      <c r="AI93" s="18"/>
      <c r="AJ93" s="18"/>
      <c r="AK93" s="18"/>
      <c r="AL93" s="18"/>
      <c r="AM93" s="18"/>
      <c r="AN93" s="18"/>
    </row>
    <row r="94" spans="1:40" ht="20">
      <c r="A94" s="18"/>
      <c r="B94" s="151"/>
      <c r="C94" s="55">
        <v>74</v>
      </c>
      <c r="D94" s="54">
        <v>1</v>
      </c>
      <c r="E94" s="190">
        <f t="shared" si="34"/>
        <v>3</v>
      </c>
      <c r="F94" s="191">
        <f t="shared" si="35"/>
        <v>45731</v>
      </c>
      <c r="G94" s="192" t="str">
        <f t="shared" si="36"/>
        <v>Sat</v>
      </c>
      <c r="H94" s="193"/>
      <c r="I94" s="194"/>
      <c r="J94" s="307">
        <f>54330/B13</f>
        <v>492.38716693855355</v>
      </c>
      <c r="K94" s="215"/>
      <c r="L94" s="317">
        <f t="shared" si="37"/>
        <v>1341.0510027732532</v>
      </c>
      <c r="M94" s="318">
        <f t="shared" si="31"/>
        <v>-848.66383583469974</v>
      </c>
      <c r="N94" s="41">
        <f t="shared" si="8"/>
        <v>0.36716513087146696</v>
      </c>
      <c r="O94" s="56"/>
      <c r="P94" s="317">
        <f>IF(D94=0,0,SUM($L$80:L94))</f>
        <v>30197.963166460708</v>
      </c>
      <c r="Q94" s="317">
        <f>IF(D94=0,0,SUM($J$80:J94))</f>
        <v>26304.785209352907</v>
      </c>
      <c r="R94" s="321">
        <f t="shared" si="32"/>
        <v>-3893.1779571078005</v>
      </c>
      <c r="S94" s="198">
        <f t="shared" si="38"/>
        <v>0.87107812749994518</v>
      </c>
      <c r="T94" s="207"/>
      <c r="U94" s="317">
        <f>IF(D94=0,0,SUM($L$21:L94))</f>
        <v>115528.61945959659</v>
      </c>
      <c r="V94" s="317">
        <f>IF(D94=0,0,SUM($J$21:J94))</f>
        <v>127057.82127968097</v>
      </c>
      <c r="W94" s="331">
        <f t="shared" si="33"/>
        <v>11529.201820084374</v>
      </c>
      <c r="X94" s="200">
        <f t="shared" si="39"/>
        <v>1.0997952011719176</v>
      </c>
      <c r="Y94" s="201">
        <f t="shared" si="40"/>
        <v>45731</v>
      </c>
      <c r="Z94" s="202">
        <f t="shared" si="40"/>
        <v>45731</v>
      </c>
      <c r="AA94" s="246">
        <v>11</v>
      </c>
      <c r="AB94" s="243" t="s">
        <v>219</v>
      </c>
      <c r="AC94" s="336">
        <f>IFERROR(AVERAGEIFS(J325:J354,D325:D354,1,G325:G354,"thu"),0)</f>
        <v>2678.0179445350732</v>
      </c>
      <c r="AD94" s="275">
        <f>COUNTIFS(D325:D354,1,G325:G354,"thu")</f>
        <v>4</v>
      </c>
      <c r="AE94" s="335">
        <f>($I$17*'2024(¥)'!AI93)/AD94</f>
        <v>2456.4307623300156</v>
      </c>
      <c r="AF94" s="334">
        <f t="shared" si="41"/>
        <v>9825.7230493200623</v>
      </c>
      <c r="AG94" s="203"/>
      <c r="AH94" s="203"/>
      <c r="AI94" s="18"/>
      <c r="AJ94" s="18"/>
      <c r="AK94" s="18"/>
      <c r="AL94" s="18"/>
      <c r="AM94" s="18"/>
      <c r="AN94" s="18"/>
    </row>
    <row r="95" spans="1:40" ht="20">
      <c r="A95" s="18"/>
      <c r="B95" s="151"/>
      <c r="C95" s="55">
        <v>75</v>
      </c>
      <c r="D95" s="54">
        <v>0</v>
      </c>
      <c r="E95" s="190">
        <f t="shared" si="34"/>
        <v>3</v>
      </c>
      <c r="F95" s="191">
        <f t="shared" si="35"/>
        <v>45732</v>
      </c>
      <c r="G95" s="192" t="str">
        <f t="shared" si="36"/>
        <v>Sun</v>
      </c>
      <c r="H95" s="193"/>
      <c r="I95" s="194"/>
      <c r="J95" s="307"/>
      <c r="K95" s="215"/>
      <c r="L95" s="317">
        <f t="shared" si="37"/>
        <v>0</v>
      </c>
      <c r="M95" s="318">
        <f t="shared" si="31"/>
        <v>0</v>
      </c>
      <c r="N95" s="41" t="str">
        <f t="shared" si="8"/>
        <v>¥0</v>
      </c>
      <c r="O95" s="44"/>
      <c r="P95" s="317">
        <f>IF(D95=0,0,SUM($L$80:L95))</f>
        <v>0</v>
      </c>
      <c r="Q95" s="317">
        <f>IF(D95=0,0,SUM($J$80:J95))</f>
        <v>0</v>
      </c>
      <c r="R95" s="321">
        <f t="shared" si="32"/>
        <v>0</v>
      </c>
      <c r="S95" s="198">
        <f t="shared" si="38"/>
        <v>0</v>
      </c>
      <c r="T95" s="212"/>
      <c r="U95" s="317">
        <f>IF(D95=0,0,SUM($L$21:L95))</f>
        <v>0</v>
      </c>
      <c r="V95" s="317">
        <f>IF(D95=0,0,SUM($J$21:J95))</f>
        <v>0</v>
      </c>
      <c r="W95" s="331">
        <f t="shared" si="33"/>
        <v>0</v>
      </c>
      <c r="X95" s="200">
        <f t="shared" si="39"/>
        <v>0</v>
      </c>
      <c r="Y95" s="201">
        <f t="shared" si="40"/>
        <v>45732</v>
      </c>
      <c r="Z95" s="202">
        <f t="shared" si="40"/>
        <v>45732</v>
      </c>
      <c r="AA95" s="246">
        <v>11</v>
      </c>
      <c r="AB95" s="243" t="s">
        <v>220</v>
      </c>
      <c r="AC95" s="336">
        <f>IFERROR(AVERAGEIFS(J325:J354,D325:D354,1,G325:G354,"fri"),0)</f>
        <v>4083.7864781584194</v>
      </c>
      <c r="AD95" s="275">
        <f>COUNTIFS(D325:D354,1,G325:G354,"fri")</f>
        <v>4</v>
      </c>
      <c r="AE95" s="335">
        <f>($I$17*'2024(¥)'!AI94)/AD95</f>
        <v>3932.3527528411983</v>
      </c>
      <c r="AF95" s="334">
        <f t="shared" si="41"/>
        <v>15729.411011364793</v>
      </c>
      <c r="AG95" s="203"/>
      <c r="AH95" s="203"/>
      <c r="AI95" s="18"/>
      <c r="AJ95" s="18"/>
      <c r="AK95" s="18"/>
      <c r="AL95" s="18"/>
      <c r="AM95" s="18"/>
      <c r="AN95" s="18"/>
    </row>
    <row r="96" spans="1:40" ht="20">
      <c r="A96" s="18"/>
      <c r="B96" s="151"/>
      <c r="C96" s="55">
        <v>76</v>
      </c>
      <c r="D96" s="54">
        <v>1</v>
      </c>
      <c r="E96" s="190">
        <f t="shared" si="34"/>
        <v>3</v>
      </c>
      <c r="F96" s="191">
        <f t="shared" si="35"/>
        <v>45733</v>
      </c>
      <c r="G96" s="192" t="str">
        <f t="shared" si="36"/>
        <v>Mon</v>
      </c>
      <c r="H96" s="193"/>
      <c r="I96" s="194"/>
      <c r="J96" s="307">
        <f>189690/B13</f>
        <v>1719.1408374116368</v>
      </c>
      <c r="K96" s="215"/>
      <c r="L96" s="317">
        <f t="shared" si="37"/>
        <v>1617.1654226849021</v>
      </c>
      <c r="M96" s="318">
        <f t="shared" si="31"/>
        <v>101.9754147267347</v>
      </c>
      <c r="N96" s="41">
        <f t="shared" si="8"/>
        <v>1.0630581221291695</v>
      </c>
      <c r="O96" s="56"/>
      <c r="P96" s="317">
        <f>IF(D96=0,0,SUM($L$80:L96))</f>
        <v>31815.12858914561</v>
      </c>
      <c r="Q96" s="317">
        <f>IF(D96=0,0,SUM($J$80:J96))</f>
        <v>28023.926046764544</v>
      </c>
      <c r="R96" s="321">
        <f t="shared" si="32"/>
        <v>-3791.2025423810665</v>
      </c>
      <c r="S96" s="198">
        <f t="shared" si="38"/>
        <v>0.88083648532935632</v>
      </c>
      <c r="T96" s="207"/>
      <c r="U96" s="317">
        <f>IF(D96=0,0,SUM($L$21:L96))</f>
        <v>117145.7848822815</v>
      </c>
      <c r="V96" s="317">
        <f>IF(D96=0,0,SUM($J$21:J96))</f>
        <v>128776.96211709261</v>
      </c>
      <c r="W96" s="331">
        <f t="shared" si="33"/>
        <v>11631.177234811112</v>
      </c>
      <c r="X96" s="200">
        <f t="shared" si="39"/>
        <v>1.0992880558741329</v>
      </c>
      <c r="Y96" s="201">
        <f t="shared" si="40"/>
        <v>45733</v>
      </c>
      <c r="Z96" s="202">
        <f t="shared" si="40"/>
        <v>45733</v>
      </c>
      <c r="AA96" s="246">
        <v>11</v>
      </c>
      <c r="AB96" s="243" t="s">
        <v>221</v>
      </c>
      <c r="AC96" s="336">
        <f>IFERROR(AVERAGEIFS(J325:J354,D325:D354,1,G325:G354,"sat"),0)</f>
        <v>1814.138118542686</v>
      </c>
      <c r="AD96" s="275">
        <f>COUNTIFS(D325:D354,1,G325:G354,"sat")</f>
        <v>5</v>
      </c>
      <c r="AE96" s="335">
        <f>($I$17*'2024(¥)'!AI95)/AD96</f>
        <v>1667.8069598175957</v>
      </c>
      <c r="AF96" s="334">
        <f t="shared" si="41"/>
        <v>8339.0347990879782</v>
      </c>
      <c r="AG96" s="273" t="s">
        <v>200</v>
      </c>
      <c r="AH96" s="203"/>
      <c r="AI96" s="18"/>
      <c r="AJ96" s="18"/>
      <c r="AK96" s="18"/>
      <c r="AL96" s="18"/>
      <c r="AM96" s="18"/>
      <c r="AN96" s="18"/>
    </row>
    <row r="97" spans="1:40" ht="20">
      <c r="A97" s="18"/>
      <c r="B97" s="151"/>
      <c r="C97" s="55">
        <v>77</v>
      </c>
      <c r="D97" s="54">
        <v>1</v>
      </c>
      <c r="E97" s="190">
        <f t="shared" si="34"/>
        <v>3</v>
      </c>
      <c r="F97" s="191">
        <f t="shared" si="35"/>
        <v>45734</v>
      </c>
      <c r="G97" s="192" t="str">
        <f t="shared" si="36"/>
        <v>Tue</v>
      </c>
      <c r="H97" s="193"/>
      <c r="I97" s="194"/>
      <c r="J97" s="307">
        <f>281760/B13</f>
        <v>2553.5617183251766</v>
      </c>
      <c r="K97" s="215"/>
      <c r="L97" s="317">
        <f t="shared" si="37"/>
        <v>2330.5077999267178</v>
      </c>
      <c r="M97" s="318">
        <f t="shared" si="31"/>
        <v>223.05391839845879</v>
      </c>
      <c r="N97" s="41">
        <f t="shared" si="8"/>
        <v>1.0957104363287147</v>
      </c>
      <c r="O97" s="56"/>
      <c r="P97" s="317">
        <f>IF(D97=0,0,SUM($L$80:L97))</f>
        <v>34145.63638907233</v>
      </c>
      <c r="Q97" s="317">
        <f>IF(D97=0,0,SUM($J$80:J97))</f>
        <v>30577.487765089722</v>
      </c>
      <c r="R97" s="321">
        <f t="shared" si="32"/>
        <v>-3568.1486239826081</v>
      </c>
      <c r="S97" s="198">
        <f t="shared" si="38"/>
        <v>0.89550206113234054</v>
      </c>
      <c r="T97" s="207"/>
      <c r="U97" s="317">
        <f>IF(D97=0,0,SUM($L$21:L97))</f>
        <v>119476.29268220822</v>
      </c>
      <c r="V97" s="317">
        <f>IF(D97=0,0,SUM($J$21:J97))</f>
        <v>131330.52383541779</v>
      </c>
      <c r="W97" s="331">
        <f t="shared" si="33"/>
        <v>11854.231153209563</v>
      </c>
      <c r="X97" s="200">
        <f t="shared" si="39"/>
        <v>1.0992182707304143</v>
      </c>
      <c r="Y97" s="201">
        <f t="shared" si="40"/>
        <v>45734</v>
      </c>
      <c r="Z97" s="202">
        <f t="shared" si="40"/>
        <v>45734</v>
      </c>
      <c r="AA97" s="246">
        <v>11</v>
      </c>
      <c r="AB97" s="243" t="s">
        <v>222</v>
      </c>
      <c r="AC97" s="336">
        <f>IFERROR(AVERAGEIFS(J325:J354,D325:D354,1,G325:G354,"sun"),0)</f>
        <v>0</v>
      </c>
      <c r="AD97" s="275">
        <f>IFERROR(COUNTIFS(D325:D354,1,G325:G354,"sun"),0)</f>
        <v>0</v>
      </c>
      <c r="AE97" s="335">
        <f>IFERROR(($I$17*'2024(¥)'!AI96)/AD97,0)</f>
        <v>0</v>
      </c>
      <c r="AF97" s="337">
        <f>SUM(AF91:AF96)</f>
        <v>57723.679257121345</v>
      </c>
      <c r="AG97" s="272">
        <f>I17</f>
        <v>57723.679257121352</v>
      </c>
      <c r="AH97" s="270"/>
      <c r="AI97" s="18"/>
      <c r="AJ97" s="18"/>
      <c r="AK97" s="18"/>
      <c r="AL97" s="18"/>
      <c r="AM97" s="18"/>
      <c r="AN97" s="18"/>
    </row>
    <row r="98" spans="1:40" ht="20">
      <c r="A98" s="18"/>
      <c r="B98" s="151"/>
      <c r="C98" s="55">
        <v>78</v>
      </c>
      <c r="D98" s="54">
        <v>1</v>
      </c>
      <c r="E98" s="190">
        <f t="shared" si="34"/>
        <v>3</v>
      </c>
      <c r="F98" s="191">
        <f t="shared" si="35"/>
        <v>45735</v>
      </c>
      <c r="G98" s="192" t="str">
        <f t="shared" si="36"/>
        <v>Wed</v>
      </c>
      <c r="H98" s="193"/>
      <c r="I98" s="194"/>
      <c r="J98" s="307">
        <f>307610/B13</f>
        <v>2787.8375928946889</v>
      </c>
      <c r="K98" s="215"/>
      <c r="L98" s="317">
        <f t="shared" si="37"/>
        <v>1946.4122509071913</v>
      </c>
      <c r="M98" s="318">
        <f t="shared" si="31"/>
        <v>841.42534198749763</v>
      </c>
      <c r="N98" s="41">
        <f t="shared" si="8"/>
        <v>1.4322955435547238</v>
      </c>
      <c r="O98" s="56"/>
      <c r="P98" s="317">
        <f>IF(D98=0,0,SUM($L$80:L98))</f>
        <v>36092.048639979519</v>
      </c>
      <c r="Q98" s="317">
        <f>IF(D98=0,0,SUM($J$80:J98))</f>
        <v>33365.325357984409</v>
      </c>
      <c r="R98" s="321">
        <f t="shared" si="32"/>
        <v>-2726.7232819951096</v>
      </c>
      <c r="S98" s="198">
        <f t="shared" si="38"/>
        <v>0.9244508587142185</v>
      </c>
      <c r="T98" s="207"/>
      <c r="U98" s="317">
        <f>IF(D98=0,0,SUM($L$21:L98))</f>
        <v>121422.70493311541</v>
      </c>
      <c r="V98" s="317">
        <f>IF(D98=0,0,SUM($J$21:J98))</f>
        <v>134118.36142831246</v>
      </c>
      <c r="W98" s="331">
        <f t="shared" si="33"/>
        <v>12695.65649519705</v>
      </c>
      <c r="X98" s="200">
        <f t="shared" si="39"/>
        <v>1.1045575166702992</v>
      </c>
      <c r="Y98" s="201">
        <f t="shared" si="40"/>
        <v>45735</v>
      </c>
      <c r="Z98" s="202">
        <f t="shared" si="40"/>
        <v>45735</v>
      </c>
      <c r="AA98" s="246">
        <v>12</v>
      </c>
      <c r="AB98" s="136" t="s">
        <v>216</v>
      </c>
      <c r="AC98" s="336">
        <f>IFERROR(AVERAGEIFS(J355:J385,D355:D385,1,G355:G385,"mon"),0)</f>
        <v>2827.0572775058909</v>
      </c>
      <c r="AD98" s="275">
        <f>COUNTIFS(D355:D385,1,G355:G385,"Mon")</f>
        <v>4</v>
      </c>
      <c r="AE98" s="335">
        <f>($I$18*'2024(¥)'!AI97)/AD98</f>
        <v>2262.6201941946529</v>
      </c>
      <c r="AF98" s="334">
        <f t="shared" ref="AF98:AF103" si="42">AD98*AE98</f>
        <v>9050.4807767786115</v>
      </c>
      <c r="AG98" s="203" t="s">
        <v>139</v>
      </c>
      <c r="AH98" s="203"/>
      <c r="AI98" s="18"/>
      <c r="AJ98" s="18"/>
      <c r="AK98" s="18"/>
      <c r="AL98" s="18"/>
      <c r="AM98" s="18"/>
      <c r="AN98" s="18"/>
    </row>
    <row r="99" spans="1:40" ht="20">
      <c r="A99" s="18"/>
      <c r="B99" s="151"/>
      <c r="C99" s="55">
        <v>79</v>
      </c>
      <c r="D99" s="54">
        <v>0</v>
      </c>
      <c r="E99" s="190">
        <f t="shared" si="34"/>
        <v>3</v>
      </c>
      <c r="F99" s="191">
        <f t="shared" si="35"/>
        <v>45736</v>
      </c>
      <c r="G99" s="192" t="str">
        <f t="shared" si="36"/>
        <v>Thu</v>
      </c>
      <c r="H99" s="193"/>
      <c r="I99" s="194"/>
      <c r="J99" s="307"/>
      <c r="K99" s="215"/>
      <c r="L99" s="317">
        <f t="shared" si="37"/>
        <v>0</v>
      </c>
      <c r="M99" s="318">
        <f t="shared" si="31"/>
        <v>0</v>
      </c>
      <c r="N99" s="41" t="str">
        <f t="shared" si="8"/>
        <v>¥0</v>
      </c>
      <c r="O99" s="44"/>
      <c r="P99" s="317">
        <f>IF(D99=0,0,SUM($L$80:L99))</f>
        <v>0</v>
      </c>
      <c r="Q99" s="317">
        <f>IF(D99=0,0,SUM($J$80:J99))</f>
        <v>0</v>
      </c>
      <c r="R99" s="321">
        <f t="shared" si="32"/>
        <v>0</v>
      </c>
      <c r="S99" s="198">
        <f t="shared" si="38"/>
        <v>0</v>
      </c>
      <c r="T99" s="212"/>
      <c r="U99" s="317">
        <f>IF(D99=0,0,SUM($L$21:L99))</f>
        <v>0</v>
      </c>
      <c r="V99" s="317">
        <f>IF(D99=0,0,SUM($J$21:J99))</f>
        <v>0</v>
      </c>
      <c r="W99" s="331">
        <f t="shared" si="33"/>
        <v>0</v>
      </c>
      <c r="X99" s="200">
        <f t="shared" si="39"/>
        <v>0</v>
      </c>
      <c r="Y99" s="201">
        <f t="shared" si="40"/>
        <v>45736</v>
      </c>
      <c r="Z99" s="202">
        <f t="shared" si="40"/>
        <v>45736</v>
      </c>
      <c r="AA99" s="246">
        <v>12</v>
      </c>
      <c r="AB99" s="243" t="s">
        <v>217</v>
      </c>
      <c r="AC99" s="336">
        <f>IFERROR(AVERAGEIFS(J355:J385,D355:D385,1,G355:G385,"tue"),0)</f>
        <v>2866.3653253579841</v>
      </c>
      <c r="AD99" s="275">
        <f>COUNTIFS(D355:D385,1,G355:G385,"tue")</f>
        <v>4</v>
      </c>
      <c r="AE99" s="335">
        <f>($I$18*'2024(¥)'!AI98)/AD99</f>
        <v>2490.0899116056289</v>
      </c>
      <c r="AF99" s="334">
        <f t="shared" si="42"/>
        <v>9960.3596464225157</v>
      </c>
      <c r="AG99" s="203"/>
      <c r="AH99" s="203"/>
      <c r="AI99" s="18"/>
      <c r="AJ99" s="18"/>
      <c r="AK99" s="18"/>
      <c r="AL99" s="18"/>
      <c r="AM99" s="18"/>
      <c r="AN99" s="18"/>
    </row>
    <row r="100" spans="1:40" ht="20">
      <c r="A100" s="18"/>
      <c r="B100" s="151"/>
      <c r="C100" s="55">
        <v>80</v>
      </c>
      <c r="D100" s="54">
        <v>1</v>
      </c>
      <c r="E100" s="190">
        <f t="shared" si="34"/>
        <v>3</v>
      </c>
      <c r="F100" s="191">
        <f t="shared" si="35"/>
        <v>45737</v>
      </c>
      <c r="G100" s="192" t="str">
        <f t="shared" si="36"/>
        <v>Fri</v>
      </c>
      <c r="H100" s="193"/>
      <c r="I100" s="194"/>
      <c r="J100" s="307">
        <f>275060/B13</f>
        <v>2492.8403117636394</v>
      </c>
      <c r="K100" s="215"/>
      <c r="L100" s="317">
        <f t="shared" si="37"/>
        <v>3560.4876048147844</v>
      </c>
      <c r="M100" s="318">
        <f t="shared" si="31"/>
        <v>-1067.647293051145</v>
      </c>
      <c r="N100" s="41">
        <f t="shared" si="8"/>
        <v>0.70014014608353514</v>
      </c>
      <c r="O100" s="56"/>
      <c r="P100" s="317">
        <f>IF(D100=0,0,SUM($L$80:L100))</f>
        <v>39652.536244794304</v>
      </c>
      <c r="Q100" s="317">
        <f>IF(D100=0,0,SUM($J$80:J100))</f>
        <v>35858.16566974805</v>
      </c>
      <c r="R100" s="321">
        <f t="shared" si="32"/>
        <v>-3794.3705750462541</v>
      </c>
      <c r="S100" s="198">
        <f t="shared" si="38"/>
        <v>0.90430951120952852</v>
      </c>
      <c r="T100" s="207"/>
      <c r="U100" s="317">
        <f>IF(D100=0,0,SUM($L$21:L100))</f>
        <v>124983.1925379302</v>
      </c>
      <c r="V100" s="317">
        <f>IF(D100=0,0,SUM($J$21:J100))</f>
        <v>136611.2017400761</v>
      </c>
      <c r="W100" s="331">
        <f t="shared" si="33"/>
        <v>11628.009202145899</v>
      </c>
      <c r="X100" s="200">
        <f t="shared" si="39"/>
        <v>1.093036583287925</v>
      </c>
      <c r="Y100" s="201">
        <f t="shared" si="40"/>
        <v>45737</v>
      </c>
      <c r="Z100" s="202">
        <f t="shared" si="40"/>
        <v>45737</v>
      </c>
      <c r="AA100" s="246">
        <v>12</v>
      </c>
      <c r="AB100" s="243" t="s">
        <v>218</v>
      </c>
      <c r="AC100" s="336">
        <f>IFERROR(AVERAGEIFS(J355:J385,D355:D385,1,G355:G385,"wed"),0)</f>
        <v>3407.2321914083741</v>
      </c>
      <c r="AD100" s="275">
        <f>COUNTIFS(D355:D385,1,G355:G385,"wed")</f>
        <v>4</v>
      </c>
      <c r="AE100" s="335">
        <f>($I$18*'2024(¥)'!AI99)/AD100</f>
        <v>3095.4335830931354</v>
      </c>
      <c r="AF100" s="334">
        <f t="shared" si="42"/>
        <v>12381.734332372542</v>
      </c>
      <c r="AG100" s="203"/>
      <c r="AH100" s="203"/>
      <c r="AI100" s="18"/>
      <c r="AJ100" s="18"/>
      <c r="AK100" s="18"/>
      <c r="AL100" s="18"/>
      <c r="AM100" s="18"/>
      <c r="AN100" s="18"/>
    </row>
    <row r="101" spans="1:40" ht="20">
      <c r="A101" s="18"/>
      <c r="B101" s="151"/>
      <c r="C101" s="55">
        <v>81</v>
      </c>
      <c r="D101" s="54">
        <v>1</v>
      </c>
      <c r="E101" s="190">
        <f t="shared" si="34"/>
        <v>3</v>
      </c>
      <c r="F101" s="191">
        <f t="shared" si="35"/>
        <v>45738</v>
      </c>
      <c r="G101" s="192" t="str">
        <f t="shared" si="36"/>
        <v>Sat</v>
      </c>
      <c r="H101" s="193"/>
      <c r="I101" s="194"/>
      <c r="J101" s="307">
        <f>97560/B13</f>
        <v>884.17618270799346</v>
      </c>
      <c r="K101" s="215"/>
      <c r="L101" s="317">
        <f t="shared" si="37"/>
        <v>1341.0510027732532</v>
      </c>
      <c r="M101" s="318">
        <f t="shared" si="31"/>
        <v>-456.87482006525977</v>
      </c>
      <c r="N101" s="41">
        <f t="shared" si="8"/>
        <v>0.65931585068691922</v>
      </c>
      <c r="O101" s="56"/>
      <c r="P101" s="317">
        <f>IF(D101=0,0,SUM($L$80:L101))</f>
        <v>40993.587247567557</v>
      </c>
      <c r="Q101" s="317">
        <f>IF(D101=0,0,SUM($J$80:J101))</f>
        <v>36742.34185245604</v>
      </c>
      <c r="R101" s="321">
        <f t="shared" si="32"/>
        <v>-4251.2453951115167</v>
      </c>
      <c r="S101" s="198">
        <f t="shared" si="38"/>
        <v>0.8962948675499538</v>
      </c>
      <c r="T101" s="207"/>
      <c r="U101" s="317">
        <f>IF(D101=0,0,SUM($L$21:L101))</f>
        <v>126324.24354070345</v>
      </c>
      <c r="V101" s="317">
        <f>IF(D101=0,0,SUM($J$21:J101))</f>
        <v>137495.3779227841</v>
      </c>
      <c r="W101" s="331">
        <f t="shared" si="33"/>
        <v>11171.134382080651</v>
      </c>
      <c r="X101" s="200">
        <f t="shared" si="39"/>
        <v>1.0884322285965731</v>
      </c>
      <c r="Y101" s="201">
        <f t="shared" si="40"/>
        <v>45738</v>
      </c>
      <c r="Z101" s="202">
        <f t="shared" si="40"/>
        <v>45738</v>
      </c>
      <c r="AA101" s="246">
        <v>12</v>
      </c>
      <c r="AB101" s="243" t="s">
        <v>219</v>
      </c>
      <c r="AC101" s="336">
        <f>IFERROR(AVERAGEIFS(J355:J385,D355:D385,1,G355:G385,"thu"),0)</f>
        <v>3218.7556643103135</v>
      </c>
      <c r="AD101" s="275">
        <f>COUNTIFS(D355:D385,1,G355:G385,"thu")</f>
        <v>4</v>
      </c>
      <c r="AE101" s="335">
        <f>($I$18*'2024(¥)'!AI100)/AD101</f>
        <v>2679.7144394806455</v>
      </c>
      <c r="AF101" s="334">
        <f t="shared" si="42"/>
        <v>10718.857757922582</v>
      </c>
      <c r="AG101" s="203"/>
      <c r="AH101" s="203"/>
      <c r="AI101" s="18"/>
      <c r="AJ101" s="18"/>
      <c r="AK101" s="18"/>
      <c r="AL101" s="18"/>
      <c r="AM101" s="18"/>
      <c r="AN101" s="18"/>
    </row>
    <row r="102" spans="1:40" ht="20">
      <c r="A102" s="18"/>
      <c r="B102" s="151"/>
      <c r="C102" s="55">
        <v>82</v>
      </c>
      <c r="D102" s="54">
        <v>0</v>
      </c>
      <c r="E102" s="190">
        <f t="shared" si="34"/>
        <v>3</v>
      </c>
      <c r="F102" s="191">
        <f t="shared" si="35"/>
        <v>45739</v>
      </c>
      <c r="G102" s="192" t="str">
        <f t="shared" si="36"/>
        <v>Sun</v>
      </c>
      <c r="H102" s="193"/>
      <c r="I102" s="194"/>
      <c r="J102" s="307"/>
      <c r="K102" s="215"/>
      <c r="L102" s="317">
        <f t="shared" si="37"/>
        <v>0</v>
      </c>
      <c r="M102" s="318">
        <f t="shared" si="31"/>
        <v>0</v>
      </c>
      <c r="N102" s="41" t="str">
        <f t="shared" si="8"/>
        <v>¥0</v>
      </c>
      <c r="O102" s="44"/>
      <c r="P102" s="317">
        <f>IF(D102=0,0,SUM($L$80:L102))</f>
        <v>0</v>
      </c>
      <c r="Q102" s="317">
        <f>IF(D102=0,0,SUM($J$80:J102))</f>
        <v>0</v>
      </c>
      <c r="R102" s="321">
        <f t="shared" si="32"/>
        <v>0</v>
      </c>
      <c r="S102" s="198">
        <f t="shared" si="38"/>
        <v>0</v>
      </c>
      <c r="T102" s="212"/>
      <c r="U102" s="317">
        <f>IF(D102=0,0,SUM($L$21:L102))</f>
        <v>0</v>
      </c>
      <c r="V102" s="317">
        <f>IF(D102=0,0,SUM($J$21:J102))</f>
        <v>0</v>
      </c>
      <c r="W102" s="331">
        <f t="shared" si="33"/>
        <v>0</v>
      </c>
      <c r="X102" s="200">
        <f t="shared" si="39"/>
        <v>0</v>
      </c>
      <c r="Y102" s="201">
        <f t="shared" si="40"/>
        <v>45739</v>
      </c>
      <c r="Z102" s="202">
        <f t="shared" si="40"/>
        <v>45739</v>
      </c>
      <c r="AA102" s="246">
        <v>12</v>
      </c>
      <c r="AB102" s="243" t="s">
        <v>220</v>
      </c>
      <c r="AC102" s="336">
        <f>IFERROR(AVERAGEIFS(J355:J385,D355:D385,1,G355:G385,"fri"),0)</f>
        <v>3384.6746420155882</v>
      </c>
      <c r="AD102" s="275">
        <f>COUNTIFS(D355:D385,1,G355:G385,"fri")</f>
        <v>4</v>
      </c>
      <c r="AE102" s="335">
        <f>($I$18*'2024(¥)'!AI101)/AD102</f>
        <v>3336.3553820927227</v>
      </c>
      <c r="AF102" s="334">
        <f t="shared" si="42"/>
        <v>13345.421528370891</v>
      </c>
      <c r="AG102" s="203"/>
      <c r="AH102" s="203"/>
      <c r="AI102" s="18"/>
      <c r="AJ102" s="18"/>
      <c r="AK102" s="18"/>
      <c r="AL102" s="18"/>
      <c r="AM102" s="18"/>
      <c r="AN102" s="18"/>
    </row>
    <row r="103" spans="1:40" ht="20">
      <c r="A103" s="18"/>
      <c r="B103" s="151"/>
      <c r="C103" s="55">
        <v>83</v>
      </c>
      <c r="D103" s="54">
        <v>1</v>
      </c>
      <c r="E103" s="190">
        <f t="shared" si="34"/>
        <v>3</v>
      </c>
      <c r="F103" s="191">
        <f t="shared" si="35"/>
        <v>45740</v>
      </c>
      <c r="G103" s="192" t="str">
        <f t="shared" si="36"/>
        <v>Mon</v>
      </c>
      <c r="H103" s="193"/>
      <c r="I103" s="194"/>
      <c r="J103" s="307">
        <f>322520/B13</f>
        <v>2922.9653797353635</v>
      </c>
      <c r="K103" s="215"/>
      <c r="L103" s="317">
        <f t="shared" si="37"/>
        <v>1617.1654226849021</v>
      </c>
      <c r="M103" s="318">
        <f t="shared" si="31"/>
        <v>1305.7999570504614</v>
      </c>
      <c r="N103" s="41">
        <f t="shared" si="8"/>
        <v>1.807462204381358</v>
      </c>
      <c r="O103" s="56"/>
      <c r="P103" s="317">
        <f>IF(D103=0,0,SUM($L$80:L103))</f>
        <v>42610.752670252456</v>
      </c>
      <c r="Q103" s="317">
        <f>IF(D103=0,0,SUM($J$80:J103))</f>
        <v>39665.307232191401</v>
      </c>
      <c r="R103" s="321">
        <f t="shared" si="32"/>
        <v>-2945.445438061055</v>
      </c>
      <c r="S103" s="198">
        <f t="shared" si="38"/>
        <v>0.93087553602127904</v>
      </c>
      <c r="T103" s="207"/>
      <c r="U103" s="317">
        <f>IF(D103=0,0,SUM($L$21:L103))</f>
        <v>127941.40896338836</v>
      </c>
      <c r="V103" s="317">
        <f>IF(D103=0,0,SUM($J$21:J103))</f>
        <v>140418.34330251947</v>
      </c>
      <c r="W103" s="331">
        <f t="shared" si="33"/>
        <v>12476.934339131112</v>
      </c>
      <c r="X103" s="200">
        <f t="shared" si="39"/>
        <v>1.0975206888858127</v>
      </c>
      <c r="Y103" s="201">
        <f t="shared" ref="Y103:Z118" si="43">Y102+1</f>
        <v>45740</v>
      </c>
      <c r="Z103" s="202">
        <f t="shared" si="43"/>
        <v>45740</v>
      </c>
      <c r="AA103" s="246">
        <v>12</v>
      </c>
      <c r="AB103" s="243" t="s">
        <v>221</v>
      </c>
      <c r="AC103" s="336">
        <f>IFERROR(AVERAGEIFS(J355:J385,D355:D385,1,G355:G385,"sat"),0)</f>
        <v>1868.9052021025918</v>
      </c>
      <c r="AD103" s="275">
        <f>COUNTIFS(D355:D385,1,G355:G385,"sat")</f>
        <v>4</v>
      </c>
      <c r="AE103" s="335">
        <f>($I$18*'2024(¥)'!AI102)/AD103</f>
        <v>1878.6081051117633</v>
      </c>
      <c r="AF103" s="334">
        <f t="shared" si="42"/>
        <v>7514.4324204470531</v>
      </c>
      <c r="AG103" s="273" t="s">
        <v>201</v>
      </c>
      <c r="AH103" s="203"/>
      <c r="AI103" s="18"/>
      <c r="AJ103" s="18"/>
      <c r="AK103" s="18"/>
      <c r="AL103" s="18"/>
      <c r="AM103" s="18"/>
      <c r="AN103" s="18"/>
    </row>
    <row r="104" spans="1:40" ht="20">
      <c r="A104" s="18"/>
      <c r="B104" s="151"/>
      <c r="C104" s="55">
        <v>84</v>
      </c>
      <c r="D104" s="54">
        <v>1</v>
      </c>
      <c r="E104" s="190">
        <f t="shared" si="34"/>
        <v>3</v>
      </c>
      <c r="F104" s="191">
        <f t="shared" si="35"/>
        <v>45741</v>
      </c>
      <c r="G104" s="192" t="str">
        <f t="shared" si="36"/>
        <v>Tue</v>
      </c>
      <c r="H104" s="193"/>
      <c r="I104" s="194"/>
      <c r="J104" s="307">
        <f>255200/B13</f>
        <v>2312.8511872394415</v>
      </c>
      <c r="K104" s="215"/>
      <c r="L104" s="317">
        <f t="shared" si="37"/>
        <v>2330.5077999267178</v>
      </c>
      <c r="M104" s="318">
        <f t="shared" si="31"/>
        <v>-17.656612687276265</v>
      </c>
      <c r="N104" s="41">
        <f t="shared" si="8"/>
        <v>0.99242370581731953</v>
      </c>
      <c r="O104" s="56"/>
      <c r="P104" s="317">
        <f>IF(D104=0,0,SUM($L$80:L104))</f>
        <v>44941.260470179172</v>
      </c>
      <c r="Q104" s="317">
        <f>IF(D104=0,0,SUM($J$80:J104))</f>
        <v>41978.158419430845</v>
      </c>
      <c r="R104" s="321">
        <f t="shared" si="32"/>
        <v>-2963.1020507483263</v>
      </c>
      <c r="S104" s="198">
        <f t="shared" si="38"/>
        <v>0.93406722420003119</v>
      </c>
      <c r="T104" s="207"/>
      <c r="U104" s="317">
        <f>IF(D104=0,0,SUM($L$21:L104))</f>
        <v>130271.91676331508</v>
      </c>
      <c r="V104" s="317">
        <f>IF(D104=0,0,SUM($J$21:J104))</f>
        <v>142731.1944897589</v>
      </c>
      <c r="W104" s="331">
        <f t="shared" si="33"/>
        <v>12459.277726443819</v>
      </c>
      <c r="X104" s="200">
        <f t="shared" si="39"/>
        <v>1.0956405496748811</v>
      </c>
      <c r="Y104" s="201">
        <f t="shared" si="43"/>
        <v>45741</v>
      </c>
      <c r="Z104" s="202">
        <f t="shared" si="43"/>
        <v>45741</v>
      </c>
      <c r="AA104" s="246">
        <v>12</v>
      </c>
      <c r="AB104" s="243" t="s">
        <v>222</v>
      </c>
      <c r="AC104" s="336">
        <f>IFERROR(AVERAGEIFS(J355:J385,D355:D385,1,G355:G385,"sun"),0)</f>
        <v>0</v>
      </c>
      <c r="AD104" s="275">
        <f>IFERROR(COUNTIFS(D355:D385,1,G355:G385,"sun"),0)</f>
        <v>0</v>
      </c>
      <c r="AE104" s="335">
        <f>IFERROR(($I$18*'2024(¥)'!AI103)/AD104,0)</f>
        <v>0</v>
      </c>
      <c r="AF104" s="337">
        <f>SUM(AF98:AF103)</f>
        <v>62971.286462314194</v>
      </c>
      <c r="AG104" s="272">
        <f>I18</f>
        <v>62971.286462314194</v>
      </c>
      <c r="AH104" s="270"/>
      <c r="AI104" s="18"/>
      <c r="AJ104" s="18"/>
      <c r="AK104" s="18"/>
      <c r="AL104" s="18"/>
      <c r="AM104" s="18"/>
      <c r="AN104" s="18"/>
    </row>
    <row r="105" spans="1:40" ht="20">
      <c r="A105" s="18"/>
      <c r="B105" s="151"/>
      <c r="C105" s="55">
        <v>85</v>
      </c>
      <c r="D105" s="54">
        <v>1</v>
      </c>
      <c r="E105" s="190">
        <f t="shared" si="34"/>
        <v>3</v>
      </c>
      <c r="F105" s="191">
        <f t="shared" si="35"/>
        <v>45742</v>
      </c>
      <c r="G105" s="192" t="str">
        <f t="shared" si="36"/>
        <v>Wed</v>
      </c>
      <c r="H105" s="193"/>
      <c r="I105" s="194"/>
      <c r="J105" s="307">
        <f>328120/B13</f>
        <v>2973.7176001450061</v>
      </c>
      <c r="K105" s="215"/>
      <c r="L105" s="317">
        <f t="shared" si="37"/>
        <v>1946.4122509071913</v>
      </c>
      <c r="M105" s="318">
        <f t="shared" si="31"/>
        <v>1027.3053492378149</v>
      </c>
      <c r="N105" s="41">
        <f t="shared" si="8"/>
        <v>1.5277943296745098</v>
      </c>
      <c r="O105" s="56"/>
      <c r="P105" s="317">
        <f>IF(D105=0,0,SUM($L$80:L105))</f>
        <v>46887.672721086361</v>
      </c>
      <c r="Q105" s="317">
        <f>IF(D105=0,0,SUM($J$80:J105))</f>
        <v>44951.876019575851</v>
      </c>
      <c r="R105" s="321">
        <f t="shared" si="32"/>
        <v>-1935.7967015105096</v>
      </c>
      <c r="S105" s="198">
        <f t="shared" si="38"/>
        <v>0.95871416538360321</v>
      </c>
      <c r="T105" s="207"/>
      <c r="U105" s="317">
        <f>IF(D105=0,0,SUM($L$21:L105))</f>
        <v>132218.32901422228</v>
      </c>
      <c r="V105" s="317">
        <f>IF(D105=0,0,SUM($J$21:J105))</f>
        <v>145704.9120899039</v>
      </c>
      <c r="W105" s="331">
        <f t="shared" si="33"/>
        <v>13486.583075681614</v>
      </c>
      <c r="X105" s="200">
        <f t="shared" si="39"/>
        <v>1.102002371200977</v>
      </c>
      <c r="Y105" s="201">
        <f t="shared" si="43"/>
        <v>45742</v>
      </c>
      <c r="Z105" s="202">
        <f t="shared" si="43"/>
        <v>45742</v>
      </c>
      <c r="AA105" s="18"/>
      <c r="AB105" s="244"/>
      <c r="AC105" s="247"/>
      <c r="AD105" s="142"/>
      <c r="AE105" s="18"/>
      <c r="AF105" s="18"/>
      <c r="AG105" s="203"/>
      <c r="AH105" s="203"/>
      <c r="AI105" s="18"/>
      <c r="AJ105" s="18"/>
      <c r="AK105" s="18"/>
      <c r="AL105" s="18"/>
      <c r="AM105" s="18"/>
      <c r="AN105" s="18"/>
    </row>
    <row r="106" spans="1:40" ht="20">
      <c r="A106" s="18"/>
      <c r="B106" s="151"/>
      <c r="C106" s="55">
        <v>86</v>
      </c>
      <c r="D106" s="54">
        <v>1</v>
      </c>
      <c r="E106" s="190">
        <f t="shared" si="34"/>
        <v>3</v>
      </c>
      <c r="F106" s="191">
        <f t="shared" si="35"/>
        <v>45743</v>
      </c>
      <c r="G106" s="192" t="str">
        <f t="shared" si="36"/>
        <v>Thu</v>
      </c>
      <c r="H106" s="193"/>
      <c r="I106" s="194"/>
      <c r="J106" s="307">
        <f>334920/B13</f>
        <v>3035.3452963567156</v>
      </c>
      <c r="K106" s="215"/>
      <c r="L106" s="317">
        <f t="shared" si="37"/>
        <v>3632.8320007368807</v>
      </c>
      <c r="M106" s="318">
        <f t="shared" si="31"/>
        <v>-597.48670438016507</v>
      </c>
      <c r="N106" s="41">
        <f t="shared" si="8"/>
        <v>0.83553142444820694</v>
      </c>
      <c r="O106" s="56"/>
      <c r="P106" s="317">
        <f>IF(D106=0,0,SUM($L$80:L106))</f>
        <v>50520.504721823243</v>
      </c>
      <c r="Q106" s="317">
        <f>IF(D106=0,0,SUM($J$80:J106))</f>
        <v>47987.221315932569</v>
      </c>
      <c r="R106" s="321">
        <f t="shared" si="32"/>
        <v>-2533.2834058906737</v>
      </c>
      <c r="S106" s="198">
        <f t="shared" si="38"/>
        <v>0.9498563321993817</v>
      </c>
      <c r="T106" s="207"/>
      <c r="U106" s="317">
        <f>IF(D106=0,0,SUM($L$21:L106))</f>
        <v>135851.16101495916</v>
      </c>
      <c r="V106" s="317">
        <f>IF(D106=0,0,SUM($J$21:J106))</f>
        <v>148740.25738626061</v>
      </c>
      <c r="W106" s="331">
        <f t="shared" si="33"/>
        <v>12889.09637130145</v>
      </c>
      <c r="X106" s="200">
        <f t="shared" si="39"/>
        <v>1.0948766007960886</v>
      </c>
      <c r="Y106" s="201">
        <f t="shared" si="43"/>
        <v>45743</v>
      </c>
      <c r="Z106" s="202">
        <f t="shared" si="43"/>
        <v>45743</v>
      </c>
      <c r="AA106" s="18"/>
      <c r="AB106" s="244"/>
      <c r="AC106" s="247"/>
      <c r="AD106" s="142"/>
      <c r="AE106" s="18"/>
      <c r="AF106" s="18"/>
      <c r="AG106" s="203"/>
      <c r="AH106" s="203"/>
      <c r="AI106" s="18"/>
      <c r="AJ106" s="18"/>
      <c r="AK106" s="18"/>
      <c r="AL106" s="18"/>
      <c r="AM106" s="18"/>
      <c r="AN106" s="18"/>
    </row>
    <row r="107" spans="1:40" ht="20">
      <c r="A107" s="18"/>
      <c r="B107" s="151"/>
      <c r="C107" s="55">
        <v>87</v>
      </c>
      <c r="D107" s="54">
        <v>1</v>
      </c>
      <c r="E107" s="190">
        <f t="shared" si="34"/>
        <v>3</v>
      </c>
      <c r="F107" s="191">
        <f t="shared" si="35"/>
        <v>45744</v>
      </c>
      <c r="G107" s="192" t="str">
        <f t="shared" si="36"/>
        <v>Fri</v>
      </c>
      <c r="H107" s="193"/>
      <c r="I107" s="194"/>
      <c r="J107" s="307">
        <f>375510/B13</f>
        <v>3403.2082653616094</v>
      </c>
      <c r="K107" s="215"/>
      <c r="L107" s="317">
        <f t="shared" si="37"/>
        <v>3560.4876048147844</v>
      </c>
      <c r="M107" s="318">
        <f t="shared" si="31"/>
        <v>-157.279339453175</v>
      </c>
      <c r="N107" s="41">
        <f t="shared" si="8"/>
        <v>0.95582646061160581</v>
      </c>
      <c r="O107" s="56"/>
      <c r="P107" s="317">
        <f>IF(D107=0,0,SUM($L$80:L107))</f>
        <v>54080.992326638028</v>
      </c>
      <c r="Q107" s="317">
        <f>IF(D107=0,0,SUM($J$80:J107))</f>
        <v>51390.429581294178</v>
      </c>
      <c r="R107" s="321">
        <f t="shared" si="32"/>
        <v>-2690.5627453438501</v>
      </c>
      <c r="S107" s="198">
        <f t="shared" si="38"/>
        <v>0.9502493828313392</v>
      </c>
      <c r="T107" s="207"/>
      <c r="U107" s="317">
        <f>IF(D107=0,0,SUM($L$21:L107))</f>
        <v>139411.64861977394</v>
      </c>
      <c r="V107" s="317">
        <f>IF(D107=0,0,SUM($J$21:J107))</f>
        <v>152143.46565162222</v>
      </c>
      <c r="W107" s="331">
        <f t="shared" si="33"/>
        <v>12731.817031848273</v>
      </c>
      <c r="X107" s="200">
        <f t="shared" si="39"/>
        <v>1.0913253458939616</v>
      </c>
      <c r="Y107" s="201">
        <f t="shared" si="43"/>
        <v>45744</v>
      </c>
      <c r="Z107" s="202">
        <f t="shared" si="43"/>
        <v>45744</v>
      </c>
      <c r="AA107" s="18"/>
      <c r="AB107" s="244"/>
      <c r="AC107" s="247"/>
      <c r="AD107" s="142"/>
      <c r="AE107" s="18"/>
      <c r="AF107" s="18"/>
      <c r="AG107" s="203"/>
      <c r="AH107" s="203"/>
      <c r="AI107" s="18"/>
      <c r="AJ107" s="18"/>
      <c r="AK107" s="18"/>
      <c r="AL107" s="18"/>
      <c r="AM107" s="18"/>
      <c r="AN107" s="18"/>
    </row>
    <row r="108" spans="1:40" ht="20">
      <c r="A108" s="18"/>
      <c r="B108" s="151"/>
      <c r="C108" s="55">
        <v>88</v>
      </c>
      <c r="D108" s="54">
        <v>1</v>
      </c>
      <c r="E108" s="190">
        <f t="shared" si="34"/>
        <v>3</v>
      </c>
      <c r="F108" s="191">
        <f t="shared" si="35"/>
        <v>45745</v>
      </c>
      <c r="G108" s="192" t="str">
        <f t="shared" si="36"/>
        <v>Sat</v>
      </c>
      <c r="H108" s="193"/>
      <c r="I108" s="194"/>
      <c r="J108" s="307">
        <f>83110/B13</f>
        <v>753.21732825811125</v>
      </c>
      <c r="K108" s="215"/>
      <c r="L108" s="317">
        <f t="shared" si="37"/>
        <v>1341.0510027732532</v>
      </c>
      <c r="M108" s="318">
        <f t="shared" si="31"/>
        <v>-587.83367451514198</v>
      </c>
      <c r="N108" s="41">
        <f t="shared" si="8"/>
        <v>0.56166195521309814</v>
      </c>
      <c r="O108" s="56"/>
      <c r="P108" s="317">
        <f>IF(D108=0,0,SUM($L$80:L108))</f>
        <v>55422.043329411281</v>
      </c>
      <c r="Q108" s="317">
        <f>IF(D108=0,0,SUM($J$80:J108))</f>
        <v>52143.646909552292</v>
      </c>
      <c r="R108" s="321">
        <f t="shared" si="32"/>
        <v>-3278.3964198589892</v>
      </c>
      <c r="S108" s="198">
        <f t="shared" si="38"/>
        <v>0.94084670605929799</v>
      </c>
      <c r="T108" s="207"/>
      <c r="U108" s="317">
        <f>IF(D108=0,0,SUM($L$21:L108))</f>
        <v>140752.6996225472</v>
      </c>
      <c r="V108" s="317">
        <f>IF(D108=0,0,SUM($J$21:J108))</f>
        <v>152896.68297988034</v>
      </c>
      <c r="W108" s="331">
        <f t="shared" si="33"/>
        <v>12143.983357333142</v>
      </c>
      <c r="X108" s="200">
        <f t="shared" si="39"/>
        <v>1.0862788663371952</v>
      </c>
      <c r="Y108" s="201">
        <f t="shared" si="43"/>
        <v>45745</v>
      </c>
      <c r="Z108" s="202">
        <f t="shared" si="43"/>
        <v>45745</v>
      </c>
      <c r="AA108" s="18"/>
      <c r="AB108" s="244"/>
      <c r="AC108" s="247"/>
      <c r="AD108" s="142"/>
      <c r="AE108" s="18"/>
      <c r="AF108" s="18"/>
      <c r="AG108" s="203"/>
      <c r="AH108" s="203"/>
      <c r="AI108" s="18"/>
      <c r="AJ108" s="18"/>
      <c r="AK108" s="18"/>
      <c r="AL108" s="18"/>
      <c r="AM108" s="18"/>
      <c r="AN108" s="18"/>
    </row>
    <row r="109" spans="1:40" ht="20">
      <c r="A109" s="18"/>
      <c r="B109" s="151"/>
      <c r="C109" s="55">
        <v>89</v>
      </c>
      <c r="D109" s="54">
        <v>0</v>
      </c>
      <c r="E109" s="190">
        <f t="shared" si="34"/>
        <v>3</v>
      </c>
      <c r="F109" s="191">
        <f t="shared" si="35"/>
        <v>45746</v>
      </c>
      <c r="G109" s="192" t="str">
        <f t="shared" si="36"/>
        <v>Sun</v>
      </c>
      <c r="H109" s="193"/>
      <c r="I109" s="194"/>
      <c r="J109" s="307"/>
      <c r="K109" s="215"/>
      <c r="L109" s="317">
        <f t="shared" si="37"/>
        <v>0</v>
      </c>
      <c r="M109" s="318">
        <f t="shared" si="31"/>
        <v>0</v>
      </c>
      <c r="N109" s="41" t="str">
        <f t="shared" si="8"/>
        <v>¥0</v>
      </c>
      <c r="O109" s="44"/>
      <c r="P109" s="317">
        <f>IF(D109=0,0,SUM($L$80:L109))</f>
        <v>0</v>
      </c>
      <c r="Q109" s="317">
        <f>IF(D109=0,0,SUM($J$80:J109))</f>
        <v>0</v>
      </c>
      <c r="R109" s="321">
        <f t="shared" si="32"/>
        <v>0</v>
      </c>
      <c r="S109" s="198">
        <f t="shared" si="38"/>
        <v>0</v>
      </c>
      <c r="T109" s="212"/>
      <c r="U109" s="317">
        <f>IF(D109=0,0,SUM($L$21:L109))</f>
        <v>0</v>
      </c>
      <c r="V109" s="317">
        <f>IF(D109=0,0,SUM($J$21:J109))</f>
        <v>0</v>
      </c>
      <c r="W109" s="331">
        <f t="shared" si="33"/>
        <v>0</v>
      </c>
      <c r="X109" s="200">
        <f t="shared" si="39"/>
        <v>0</v>
      </c>
      <c r="Y109" s="201">
        <f t="shared" si="43"/>
        <v>45746</v>
      </c>
      <c r="Z109" s="202">
        <f t="shared" si="43"/>
        <v>45746</v>
      </c>
      <c r="AA109" s="18"/>
      <c r="AB109" s="244"/>
      <c r="AC109" s="247"/>
      <c r="AD109" s="142"/>
      <c r="AE109" s="18"/>
      <c r="AF109" s="18"/>
      <c r="AG109" s="203"/>
      <c r="AH109" s="203"/>
      <c r="AI109" s="18"/>
      <c r="AJ109" s="18"/>
      <c r="AK109" s="18"/>
      <c r="AL109" s="18"/>
      <c r="AM109" s="18"/>
      <c r="AN109" s="18"/>
    </row>
    <row r="110" spans="1:40" ht="21" thickBot="1">
      <c r="A110" s="18"/>
      <c r="B110" s="151"/>
      <c r="C110" s="39">
        <v>90</v>
      </c>
      <c r="D110" s="38">
        <v>1</v>
      </c>
      <c r="E110" s="217">
        <f t="shared" si="34"/>
        <v>3</v>
      </c>
      <c r="F110" s="218">
        <f t="shared" si="35"/>
        <v>45747</v>
      </c>
      <c r="G110" s="219" t="str">
        <f t="shared" si="36"/>
        <v>Mon</v>
      </c>
      <c r="H110" s="233"/>
      <c r="I110" s="221"/>
      <c r="J110" s="312">
        <f>390560/B13</f>
        <v>3539.6048577125248</v>
      </c>
      <c r="K110" s="223"/>
      <c r="L110" s="317">
        <f t="shared" si="37"/>
        <v>1617.1654226849021</v>
      </c>
      <c r="M110" s="320">
        <f t="shared" si="31"/>
        <v>1922.4394350276227</v>
      </c>
      <c r="N110" s="234">
        <f t="shared" si="8"/>
        <v>2.1887710484409744</v>
      </c>
      <c r="O110" s="226"/>
      <c r="P110" s="322">
        <f>IF(D110=0,0,SUM($L$80:L110))</f>
        <v>57039.20875209618</v>
      </c>
      <c r="Q110" s="323">
        <f>IF(D110=0,0,SUM($J$80:J110))</f>
        <v>55683.251767264817</v>
      </c>
      <c r="R110" s="320">
        <f t="shared" si="32"/>
        <v>-1355.9569848313622</v>
      </c>
      <c r="S110" s="228">
        <f t="shared" si="38"/>
        <v>0.97622763333333351</v>
      </c>
      <c r="T110" s="229"/>
      <c r="U110" s="332">
        <f>IF(D110=0,0,SUM($L$21:L110))</f>
        <v>142369.86504523209</v>
      </c>
      <c r="V110" s="323">
        <f>IF(D110=0,0,SUM($J$21:J110))</f>
        <v>156436.28783759286</v>
      </c>
      <c r="W110" s="333">
        <f t="shared" si="33"/>
        <v>14066.422792360769</v>
      </c>
      <c r="X110" s="230">
        <f t="shared" si="39"/>
        <v>1.0988019675925924</v>
      </c>
      <c r="Y110" s="201">
        <f t="shared" si="43"/>
        <v>45747</v>
      </c>
      <c r="Z110" s="202">
        <f t="shared" si="43"/>
        <v>45747</v>
      </c>
      <c r="AA110" s="18"/>
      <c r="AB110" s="244"/>
      <c r="AC110" s="247"/>
      <c r="AD110" s="142"/>
      <c r="AE110" s="18"/>
      <c r="AF110" s="18"/>
      <c r="AG110" s="203"/>
      <c r="AH110" s="203"/>
      <c r="AI110" s="18"/>
      <c r="AJ110" s="18"/>
      <c r="AK110" s="18"/>
      <c r="AL110" s="18"/>
      <c r="AM110" s="18"/>
      <c r="AN110" s="18"/>
    </row>
    <row r="111" spans="1:40" ht="21" thickTop="1">
      <c r="A111" s="18"/>
      <c r="B111" s="151"/>
      <c r="C111" s="55">
        <v>91</v>
      </c>
      <c r="D111" s="62">
        <v>1</v>
      </c>
      <c r="E111" s="190">
        <f t="shared" si="34"/>
        <v>4</v>
      </c>
      <c r="F111" s="191">
        <f t="shared" si="35"/>
        <v>45748</v>
      </c>
      <c r="G111" s="192" t="str">
        <f t="shared" si="36"/>
        <v>Tue</v>
      </c>
      <c r="H111" s="193"/>
      <c r="I111" s="194"/>
      <c r="J111" s="307">
        <f>332310/B13</f>
        <v>3011.6911364872212</v>
      </c>
      <c r="K111" s="215"/>
      <c r="L111" s="317">
        <f t="shared" si="37"/>
        <v>3169.3556881472177</v>
      </c>
      <c r="M111" s="321">
        <f t="shared" si="31"/>
        <v>-157.6645516599965</v>
      </c>
      <c r="N111" s="60">
        <f t="shared" si="8"/>
        <v>0.95025343723658673</v>
      </c>
      <c r="O111" s="56"/>
      <c r="P111" s="317">
        <f>IF(D111=0,0,$L$111)</f>
        <v>3169.3556881472177</v>
      </c>
      <c r="Q111" s="317">
        <f>IF(D111=0,0,$J$111)</f>
        <v>3011.6911364872212</v>
      </c>
      <c r="R111" s="321">
        <f t="shared" si="32"/>
        <v>-157.6645516599965</v>
      </c>
      <c r="S111" s="231">
        <f t="shared" si="38"/>
        <v>0.95025343723658673</v>
      </c>
      <c r="T111" s="207"/>
      <c r="U111" s="317">
        <f>IF(D111=0,0,SUM($L$21:L111))</f>
        <v>145539.2207333793</v>
      </c>
      <c r="V111" s="317">
        <f>IF(D111=0,0,SUM($J$21:J111))</f>
        <v>159447.97897408006</v>
      </c>
      <c r="W111" s="331">
        <f t="shared" si="33"/>
        <v>13908.758240700758</v>
      </c>
      <c r="X111" s="232">
        <f t="shared" si="39"/>
        <v>1.0955670792423777</v>
      </c>
      <c r="Y111" s="201">
        <f t="shared" si="43"/>
        <v>45748</v>
      </c>
      <c r="Z111" s="202">
        <f t="shared" si="43"/>
        <v>45748</v>
      </c>
      <c r="AA111" s="18"/>
      <c r="AB111" s="244"/>
      <c r="AC111" s="247"/>
      <c r="AD111" s="142"/>
      <c r="AE111" s="18"/>
      <c r="AF111" s="18"/>
      <c r="AG111" s="203"/>
      <c r="AH111" s="203"/>
      <c r="AI111" s="18"/>
      <c r="AJ111" s="18"/>
      <c r="AK111" s="18"/>
      <c r="AL111" s="18"/>
      <c r="AM111" s="18"/>
      <c r="AN111" s="18"/>
    </row>
    <row r="112" spans="1:40" ht="20">
      <c r="A112" s="18"/>
      <c r="B112" s="151"/>
      <c r="C112" s="55">
        <v>92</v>
      </c>
      <c r="D112" s="54">
        <v>1</v>
      </c>
      <c r="E112" s="190">
        <f t="shared" si="34"/>
        <v>4</v>
      </c>
      <c r="F112" s="191">
        <f t="shared" si="35"/>
        <v>45749</v>
      </c>
      <c r="G112" s="192" t="str">
        <f t="shared" si="36"/>
        <v>Wed</v>
      </c>
      <c r="H112" s="193"/>
      <c r="I112" s="194"/>
      <c r="J112" s="307">
        <f>242970/B13</f>
        <v>2202.0119630233821</v>
      </c>
      <c r="K112" s="215"/>
      <c r="L112" s="317">
        <f t="shared" si="37"/>
        <v>2200.5673166327024</v>
      </c>
      <c r="M112" s="318">
        <f t="shared" si="31"/>
        <v>1.4446463906797362</v>
      </c>
      <c r="N112" s="41">
        <f t="shared" si="8"/>
        <v>1.0006564881609212</v>
      </c>
      <c r="O112" s="56"/>
      <c r="P112" s="317">
        <f>IF(D112=0,0,SUM($L$111:L112))</f>
        <v>5369.9230047799201</v>
      </c>
      <c r="Q112" s="317">
        <f>IF(D112=0,0,SUM($J$111:J112))</f>
        <v>5213.7030995106034</v>
      </c>
      <c r="R112" s="321">
        <f t="shared" si="32"/>
        <v>-156.21990526931677</v>
      </c>
      <c r="S112" s="198">
        <f t="shared" si="38"/>
        <v>0.97090835285156585</v>
      </c>
      <c r="T112" s="207"/>
      <c r="U112" s="317">
        <f>IF(D112=0,0,SUM($L$21:L112))</f>
        <v>147739.78805001199</v>
      </c>
      <c r="V112" s="317">
        <f>IF(D112=0,0,SUM($J$21:J112))</f>
        <v>161649.99093710346</v>
      </c>
      <c r="W112" s="331">
        <f t="shared" si="33"/>
        <v>13910.202887091466</v>
      </c>
      <c r="X112" s="200">
        <f t="shared" si="39"/>
        <v>1.0941533967977717</v>
      </c>
      <c r="Y112" s="201">
        <f t="shared" si="43"/>
        <v>45749</v>
      </c>
      <c r="Z112" s="202">
        <f t="shared" si="43"/>
        <v>45749</v>
      </c>
      <c r="AA112" s="18"/>
      <c r="AB112" s="244"/>
      <c r="AC112" s="247"/>
      <c r="AD112" s="142"/>
      <c r="AE112" s="18"/>
      <c r="AF112" s="18"/>
      <c r="AG112" s="203"/>
      <c r="AH112" s="203"/>
      <c r="AI112" s="18"/>
      <c r="AJ112" s="18"/>
      <c r="AK112" s="18"/>
      <c r="AL112" s="18"/>
      <c r="AM112" s="18"/>
      <c r="AN112" s="18"/>
    </row>
    <row r="113" spans="1:40" ht="20">
      <c r="A113" s="18"/>
      <c r="B113" s="151"/>
      <c r="C113" s="55">
        <v>93</v>
      </c>
      <c r="D113" s="54">
        <v>1</v>
      </c>
      <c r="E113" s="190">
        <f t="shared" si="34"/>
        <v>4</v>
      </c>
      <c r="F113" s="191">
        <f t="shared" si="35"/>
        <v>45750</v>
      </c>
      <c r="G113" s="192" t="str">
        <f t="shared" si="36"/>
        <v>Thu</v>
      </c>
      <c r="H113" s="193"/>
      <c r="I113" s="194"/>
      <c r="J113" s="307">
        <f>353310/B13</f>
        <v>3202.0119630233821</v>
      </c>
      <c r="K113" s="215"/>
      <c r="L113" s="317">
        <f t="shared" si="37"/>
        <v>2612.8729721176601</v>
      </c>
      <c r="M113" s="318">
        <f t="shared" si="31"/>
        <v>589.13899090572204</v>
      </c>
      <c r="N113" s="41">
        <f t="shared" si="8"/>
        <v>1.2254755578217955</v>
      </c>
      <c r="O113" s="56"/>
      <c r="P113" s="317">
        <f>IF(D113=0,0,SUM($L$111:L113))</f>
        <v>7982.7959768975797</v>
      </c>
      <c r="Q113" s="317">
        <f>IF(D113=0,0,SUM($J$111:J113))</f>
        <v>8415.7150625339855</v>
      </c>
      <c r="R113" s="321">
        <f t="shared" si="32"/>
        <v>432.91908563640573</v>
      </c>
      <c r="S113" s="198">
        <f t="shared" si="38"/>
        <v>1.0542315107249747</v>
      </c>
      <c r="T113" s="207"/>
      <c r="U113" s="317">
        <f>IF(D113=0,0,SUM($L$21:L113))</f>
        <v>150352.66102212964</v>
      </c>
      <c r="V113" s="317">
        <f>IF(D113=0,0,SUM($J$21:J113))</f>
        <v>164852.00290012686</v>
      </c>
      <c r="W113" s="331">
        <f t="shared" si="33"/>
        <v>14499.341877997213</v>
      </c>
      <c r="X113" s="200">
        <f t="shared" si="39"/>
        <v>1.0964355521174523</v>
      </c>
      <c r="Y113" s="201">
        <f t="shared" si="43"/>
        <v>45750</v>
      </c>
      <c r="Z113" s="202">
        <f t="shared" si="43"/>
        <v>45750</v>
      </c>
      <c r="AA113" s="18"/>
      <c r="AB113" s="244"/>
      <c r="AC113" s="247"/>
      <c r="AD113" s="142"/>
      <c r="AE113" s="18"/>
      <c r="AF113" s="18"/>
      <c r="AG113" s="203"/>
      <c r="AH113" s="203"/>
      <c r="AI113" s="18"/>
      <c r="AJ113" s="18"/>
      <c r="AK113" s="18"/>
      <c r="AL113" s="18"/>
      <c r="AM113" s="18"/>
      <c r="AN113" s="18"/>
    </row>
    <row r="114" spans="1:40" ht="20">
      <c r="A114" s="18"/>
      <c r="B114" s="151"/>
      <c r="C114" s="55">
        <v>94</v>
      </c>
      <c r="D114" s="54">
        <v>1</v>
      </c>
      <c r="E114" s="190">
        <f t="shared" si="34"/>
        <v>4</v>
      </c>
      <c r="F114" s="191">
        <f t="shared" si="35"/>
        <v>45751</v>
      </c>
      <c r="G114" s="192" t="str">
        <f t="shared" si="36"/>
        <v>Fri</v>
      </c>
      <c r="H114" s="193"/>
      <c r="I114" s="194"/>
      <c r="J114" s="307">
        <f>364780/B13</f>
        <v>3305.9633858981329</v>
      </c>
      <c r="K114" s="215"/>
      <c r="L114" s="317">
        <f t="shared" si="37"/>
        <v>3111.7567539398497</v>
      </c>
      <c r="M114" s="318">
        <f t="shared" si="31"/>
        <v>194.2066319582832</v>
      </c>
      <c r="N114" s="41">
        <f t="shared" si="8"/>
        <v>1.0624106083203306</v>
      </c>
      <c r="O114" s="56"/>
      <c r="P114" s="317">
        <f>IF(D114=0,0,SUM($L$111:L114))</f>
        <v>11094.552730837429</v>
      </c>
      <c r="Q114" s="317">
        <f>IF(D114=0,0,SUM($J$111:J114))</f>
        <v>11721.678448432118</v>
      </c>
      <c r="R114" s="321">
        <f t="shared" si="32"/>
        <v>627.12571759468847</v>
      </c>
      <c r="S114" s="198">
        <f t="shared" si="38"/>
        <v>1.0565255520262287</v>
      </c>
      <c r="T114" s="207"/>
      <c r="U114" s="317">
        <f>IF(D114=0,0,SUM($L$21:L114))</f>
        <v>153464.41777606949</v>
      </c>
      <c r="V114" s="317">
        <f>IF(D114=0,0,SUM($J$21:J114))</f>
        <v>168157.96628602498</v>
      </c>
      <c r="W114" s="331">
        <f t="shared" si="33"/>
        <v>14693.548509955494</v>
      </c>
      <c r="X114" s="200">
        <f t="shared" si="39"/>
        <v>1.0957456374766681</v>
      </c>
      <c r="Y114" s="201">
        <f t="shared" si="43"/>
        <v>45751</v>
      </c>
      <c r="Z114" s="202">
        <f t="shared" si="43"/>
        <v>45751</v>
      </c>
      <c r="AA114" s="18"/>
      <c r="AB114" s="244"/>
      <c r="AC114" s="247"/>
      <c r="AD114" s="142"/>
      <c r="AE114" s="18"/>
      <c r="AF114" s="18"/>
      <c r="AG114" s="203"/>
      <c r="AH114" s="203"/>
      <c r="AI114" s="18"/>
      <c r="AJ114" s="18"/>
      <c r="AK114" s="18"/>
      <c r="AL114" s="18"/>
      <c r="AM114" s="18"/>
      <c r="AN114" s="18"/>
    </row>
    <row r="115" spans="1:40" ht="20">
      <c r="A115" s="18"/>
      <c r="B115" s="151"/>
      <c r="C115" s="55">
        <v>95</v>
      </c>
      <c r="D115" s="54">
        <v>1</v>
      </c>
      <c r="E115" s="190">
        <f t="shared" si="34"/>
        <v>4</v>
      </c>
      <c r="F115" s="191">
        <f t="shared" si="35"/>
        <v>45752</v>
      </c>
      <c r="G115" s="192" t="str">
        <f t="shared" si="36"/>
        <v>Sat</v>
      </c>
      <c r="H115" s="193"/>
      <c r="I115" s="194"/>
      <c r="J115" s="307">
        <f>81370/B13</f>
        <v>737.44788834511508</v>
      </c>
      <c r="K115" s="215"/>
      <c r="L115" s="317">
        <f t="shared" si="37"/>
        <v>1895.0535669000853</v>
      </c>
      <c r="M115" s="318">
        <f t="shared" si="31"/>
        <v>-1157.6056785549704</v>
      </c>
      <c r="N115" s="41">
        <f t="shared" si="8"/>
        <v>0.38914355838047726</v>
      </c>
      <c r="O115" s="56"/>
      <c r="P115" s="317">
        <f>IF(D115=0,0,SUM($L$111:L115))</f>
        <v>12989.606297737515</v>
      </c>
      <c r="Q115" s="317">
        <f>IF(D115=0,0,SUM($J$111:J115))</f>
        <v>12459.126336777234</v>
      </c>
      <c r="R115" s="321">
        <f t="shared" si="32"/>
        <v>-530.47996096028146</v>
      </c>
      <c r="S115" s="198">
        <f t="shared" si="38"/>
        <v>0.95916119789922516</v>
      </c>
      <c r="T115" s="207"/>
      <c r="U115" s="317">
        <f>IF(D115=0,0,SUM($L$21:L115))</f>
        <v>155359.47134296957</v>
      </c>
      <c r="V115" s="317">
        <f>IF(D115=0,0,SUM($J$21:J115))</f>
        <v>168895.41417437009</v>
      </c>
      <c r="W115" s="331">
        <f t="shared" si="33"/>
        <v>13535.94283140052</v>
      </c>
      <c r="X115" s="200">
        <f t="shared" si="39"/>
        <v>1.0871266020307107</v>
      </c>
      <c r="Y115" s="201">
        <f t="shared" si="43"/>
        <v>45752</v>
      </c>
      <c r="Z115" s="202">
        <f t="shared" si="43"/>
        <v>45752</v>
      </c>
      <c r="AA115" s="18"/>
      <c r="AB115" s="244"/>
      <c r="AC115" s="247"/>
      <c r="AD115" s="142"/>
      <c r="AE115" s="18"/>
      <c r="AF115" s="18"/>
      <c r="AG115" s="203"/>
      <c r="AH115" s="203"/>
      <c r="AI115" s="18"/>
      <c r="AJ115" s="18"/>
      <c r="AK115" s="18"/>
      <c r="AL115" s="18"/>
      <c r="AM115" s="18"/>
      <c r="AN115" s="18"/>
    </row>
    <row r="116" spans="1:40" ht="20">
      <c r="A116" s="18"/>
      <c r="B116" s="151"/>
      <c r="C116" s="55">
        <v>96</v>
      </c>
      <c r="D116" s="54">
        <v>0</v>
      </c>
      <c r="E116" s="190">
        <f t="shared" si="34"/>
        <v>4</v>
      </c>
      <c r="F116" s="191">
        <f t="shared" si="35"/>
        <v>45753</v>
      </c>
      <c r="G116" s="192" t="str">
        <f t="shared" si="36"/>
        <v>Sun</v>
      </c>
      <c r="H116" s="193"/>
      <c r="I116" s="194"/>
      <c r="J116" s="307"/>
      <c r="K116" s="215"/>
      <c r="L116" s="317">
        <f t="shared" si="37"/>
        <v>0</v>
      </c>
      <c r="M116" s="318">
        <f t="shared" si="31"/>
        <v>0</v>
      </c>
      <c r="N116" s="41" t="str">
        <f t="shared" si="8"/>
        <v>¥0</v>
      </c>
      <c r="O116" s="44"/>
      <c r="P116" s="317">
        <f>IF(D116=0,0,SUM($L$111:L116))</f>
        <v>0</v>
      </c>
      <c r="Q116" s="317">
        <f>IF(D116=0,0,SUM($J$111:J116))</f>
        <v>0</v>
      </c>
      <c r="R116" s="321">
        <f t="shared" si="32"/>
        <v>0</v>
      </c>
      <c r="S116" s="198">
        <f t="shared" si="38"/>
        <v>0</v>
      </c>
      <c r="T116" s="212"/>
      <c r="U116" s="317">
        <f>IF(D116=0,0,SUM($L$21:L116))</f>
        <v>0</v>
      </c>
      <c r="V116" s="317">
        <f>IF(D116=0,0,SUM($J$21:J116))</f>
        <v>0</v>
      </c>
      <c r="W116" s="331">
        <f t="shared" si="33"/>
        <v>0</v>
      </c>
      <c r="X116" s="200">
        <f t="shared" si="39"/>
        <v>0</v>
      </c>
      <c r="Y116" s="201">
        <f t="shared" si="43"/>
        <v>45753</v>
      </c>
      <c r="Z116" s="202">
        <f t="shared" si="43"/>
        <v>45753</v>
      </c>
      <c r="AA116" s="18"/>
      <c r="AB116" s="244"/>
      <c r="AC116" s="247"/>
      <c r="AD116" s="142"/>
      <c r="AE116" s="18"/>
      <c r="AF116" s="18"/>
      <c r="AG116" s="203"/>
      <c r="AH116" s="203"/>
      <c r="AI116" s="18"/>
      <c r="AJ116" s="18"/>
      <c r="AK116" s="18"/>
      <c r="AL116" s="18"/>
      <c r="AM116" s="18"/>
      <c r="AN116" s="18"/>
    </row>
    <row r="117" spans="1:40" ht="20">
      <c r="A117" s="18"/>
      <c r="B117" s="151"/>
      <c r="C117" s="55">
        <v>97</v>
      </c>
      <c r="D117" s="54">
        <v>1</v>
      </c>
      <c r="E117" s="190">
        <f t="shared" si="34"/>
        <v>4</v>
      </c>
      <c r="F117" s="191">
        <f t="shared" si="35"/>
        <v>45754</v>
      </c>
      <c r="G117" s="192" t="str">
        <f t="shared" si="36"/>
        <v>Mon</v>
      </c>
      <c r="H117" s="193"/>
      <c r="I117" s="194"/>
      <c r="J117" s="307">
        <f>188390/B13</f>
        <v>1707.3590719593981</v>
      </c>
      <c r="K117" s="215"/>
      <c r="L117" s="317">
        <f t="shared" si="37"/>
        <v>2146.0342799307637</v>
      </c>
      <c r="M117" s="318">
        <f t="shared" si="31"/>
        <v>-438.67520797136558</v>
      </c>
      <c r="N117" s="41">
        <f t="shared" si="8"/>
        <v>0.79558797728733466</v>
      </c>
      <c r="O117" s="56"/>
      <c r="P117" s="317">
        <f>IF(D117=0,0,SUM($L$111:L117))</f>
        <v>15135.640577668279</v>
      </c>
      <c r="Q117" s="317">
        <f>IF(D117=0,0,SUM($J$111:J117))</f>
        <v>14166.485408736631</v>
      </c>
      <c r="R117" s="321">
        <f t="shared" si="32"/>
        <v>-969.15516893164749</v>
      </c>
      <c r="S117" s="198">
        <f t="shared" si="38"/>
        <v>0.93596867182737031</v>
      </c>
      <c r="T117" s="207"/>
      <c r="U117" s="317">
        <f>IF(D117=0,0,SUM($L$21:L117))</f>
        <v>157505.50562290032</v>
      </c>
      <c r="V117" s="317">
        <f>IF(D117=0,0,SUM($J$21:J117))</f>
        <v>170602.77324632948</v>
      </c>
      <c r="W117" s="331">
        <f t="shared" si="33"/>
        <v>13097.267623429158</v>
      </c>
      <c r="X117" s="200">
        <f t="shared" si="39"/>
        <v>1.0831543479806136</v>
      </c>
      <c r="Y117" s="201">
        <f t="shared" si="43"/>
        <v>45754</v>
      </c>
      <c r="Z117" s="202">
        <f t="shared" si="43"/>
        <v>45754</v>
      </c>
      <c r="AA117" s="18"/>
      <c r="AB117" s="244"/>
      <c r="AC117" s="247"/>
      <c r="AD117" s="142"/>
      <c r="AE117" s="18"/>
      <c r="AF117" s="18"/>
      <c r="AG117" s="203"/>
      <c r="AH117" s="203"/>
      <c r="AI117" s="18"/>
      <c r="AJ117" s="18"/>
      <c r="AK117" s="18"/>
      <c r="AL117" s="18"/>
      <c r="AM117" s="18"/>
      <c r="AN117" s="18"/>
    </row>
    <row r="118" spans="1:40" ht="20">
      <c r="A118" s="18"/>
      <c r="B118" s="151"/>
      <c r="C118" s="55">
        <v>98</v>
      </c>
      <c r="D118" s="54">
        <v>1</v>
      </c>
      <c r="E118" s="190">
        <f t="shared" si="34"/>
        <v>4</v>
      </c>
      <c r="F118" s="191">
        <f t="shared" si="35"/>
        <v>45755</v>
      </c>
      <c r="G118" s="192" t="str">
        <f t="shared" si="36"/>
        <v>Tue</v>
      </c>
      <c r="H118" s="193"/>
      <c r="I118" s="194"/>
      <c r="J118" s="307">
        <f>327820/B13</f>
        <v>2970.9987311944897</v>
      </c>
      <c r="K118" s="215"/>
      <c r="L118" s="317">
        <f t="shared" si="37"/>
        <v>3169.3556881472177</v>
      </c>
      <c r="M118" s="318">
        <f t="shared" si="31"/>
        <v>-198.35695695272807</v>
      </c>
      <c r="N118" s="41">
        <f t="shared" si="8"/>
        <v>0.93741410669223868</v>
      </c>
      <c r="O118" s="56"/>
      <c r="P118" s="317">
        <f>IF(D118=0,0,SUM($L$111:L118))</f>
        <v>18304.996265815498</v>
      </c>
      <c r="Q118" s="317">
        <f>IF(D118=0,0,SUM($J$111:J118))</f>
        <v>17137.484139931119</v>
      </c>
      <c r="R118" s="321">
        <f t="shared" si="32"/>
        <v>-1167.5121258843792</v>
      </c>
      <c r="S118" s="198">
        <f t="shared" si="38"/>
        <v>0.93621893668098133</v>
      </c>
      <c r="T118" s="207"/>
      <c r="U118" s="317">
        <f>IF(D118=0,0,SUM($L$21:L118))</f>
        <v>160674.86131104754</v>
      </c>
      <c r="V118" s="317">
        <f>IF(D118=0,0,SUM($J$21:J118))</f>
        <v>173573.77197752398</v>
      </c>
      <c r="W118" s="331">
        <f t="shared" si="33"/>
        <v>12898.91066647644</v>
      </c>
      <c r="X118" s="200">
        <f t="shared" si="39"/>
        <v>1.0802795817667188</v>
      </c>
      <c r="Y118" s="201">
        <f t="shared" si="43"/>
        <v>45755</v>
      </c>
      <c r="Z118" s="202">
        <f t="shared" si="43"/>
        <v>45755</v>
      </c>
      <c r="AA118" s="18"/>
      <c r="AB118" s="244"/>
      <c r="AC118" s="247"/>
      <c r="AD118" s="142"/>
      <c r="AE118" s="18"/>
      <c r="AF118" s="18"/>
      <c r="AG118" s="203"/>
      <c r="AH118" s="203"/>
      <c r="AI118" s="18"/>
      <c r="AJ118" s="18"/>
      <c r="AK118" s="18"/>
      <c r="AL118" s="18"/>
      <c r="AM118" s="18"/>
      <c r="AN118" s="18"/>
    </row>
    <row r="119" spans="1:40" ht="20">
      <c r="A119" s="18"/>
      <c r="B119" s="151"/>
      <c r="C119" s="55">
        <v>99</v>
      </c>
      <c r="D119" s="54">
        <v>1</v>
      </c>
      <c r="E119" s="190">
        <f t="shared" si="34"/>
        <v>4</v>
      </c>
      <c r="F119" s="191">
        <f t="shared" si="35"/>
        <v>45756</v>
      </c>
      <c r="G119" s="192" t="str">
        <f t="shared" si="36"/>
        <v>Wed</v>
      </c>
      <c r="H119" s="193"/>
      <c r="I119" s="194"/>
      <c r="J119" s="307">
        <f>248000/B13</f>
        <v>2247.5983324270437</v>
      </c>
      <c r="K119" s="215"/>
      <c r="L119" s="317">
        <f t="shared" si="37"/>
        <v>2200.5673166327024</v>
      </c>
      <c r="M119" s="318">
        <f t="shared" si="31"/>
        <v>47.031015794341329</v>
      </c>
      <c r="N119" s="41">
        <f t="shared" si="8"/>
        <v>1.0213722231712083</v>
      </c>
      <c r="O119" s="56"/>
      <c r="P119" s="317">
        <f>IF(D119=0,0,SUM($L$111:L119))</f>
        <v>20505.563582448201</v>
      </c>
      <c r="Q119" s="317">
        <f>IF(D119=0,0,SUM($J$111:J119))</f>
        <v>19385.082472358161</v>
      </c>
      <c r="R119" s="321">
        <f t="shared" si="32"/>
        <v>-1120.4811100900406</v>
      </c>
      <c r="S119" s="198">
        <f t="shared" si="38"/>
        <v>0.94535721461227629</v>
      </c>
      <c r="T119" s="207"/>
      <c r="U119" s="317">
        <f>IF(D119=0,0,SUM($L$21:L119))</f>
        <v>162875.42862768023</v>
      </c>
      <c r="V119" s="317">
        <f>IF(D119=0,0,SUM($J$21:J119))</f>
        <v>175821.37030995102</v>
      </c>
      <c r="W119" s="331">
        <f t="shared" si="33"/>
        <v>12945.941682270786</v>
      </c>
      <c r="X119" s="200">
        <f t="shared" si="39"/>
        <v>1.0794836998517692</v>
      </c>
      <c r="Y119" s="201">
        <f t="shared" ref="Y119:Z134" si="44">Y118+1</f>
        <v>45756</v>
      </c>
      <c r="Z119" s="202">
        <f t="shared" si="44"/>
        <v>45756</v>
      </c>
      <c r="AA119" s="18"/>
      <c r="AB119" s="244"/>
      <c r="AC119" s="247"/>
      <c r="AD119" s="142"/>
      <c r="AE119" s="18"/>
      <c r="AF119" s="18"/>
      <c r="AG119" s="203"/>
      <c r="AH119" s="203"/>
      <c r="AI119" s="18"/>
      <c r="AJ119" s="18"/>
      <c r="AK119" s="18"/>
      <c r="AL119" s="18"/>
      <c r="AM119" s="18"/>
      <c r="AN119" s="18"/>
    </row>
    <row r="120" spans="1:40" ht="20">
      <c r="A120" s="18"/>
      <c r="B120" s="151"/>
      <c r="C120" s="55">
        <v>100</v>
      </c>
      <c r="D120" s="54">
        <v>1</v>
      </c>
      <c r="E120" s="190">
        <f t="shared" si="34"/>
        <v>4</v>
      </c>
      <c r="F120" s="191">
        <f t="shared" si="35"/>
        <v>45757</v>
      </c>
      <c r="G120" s="192" t="str">
        <f t="shared" si="36"/>
        <v>Thu</v>
      </c>
      <c r="H120" s="193"/>
      <c r="I120" s="194"/>
      <c r="J120" s="307">
        <f>333790/B13</f>
        <v>3025.1042233097696</v>
      </c>
      <c r="K120" s="215"/>
      <c r="L120" s="317">
        <f t="shared" si="37"/>
        <v>2612.8729721176601</v>
      </c>
      <c r="M120" s="318">
        <f t="shared" si="31"/>
        <v>412.23125119210954</v>
      </c>
      <c r="N120" s="41">
        <f t="shared" si="8"/>
        <v>1.1577693426320712</v>
      </c>
      <c r="O120" s="56"/>
      <c r="P120" s="317">
        <f>IF(D120=0,0,SUM($L$111:L120))</f>
        <v>23118.436554565862</v>
      </c>
      <c r="Q120" s="317">
        <f>IF(D120=0,0,SUM($J$111:J120))</f>
        <v>22410.18669566793</v>
      </c>
      <c r="R120" s="321">
        <f t="shared" si="32"/>
        <v>-708.24985889793243</v>
      </c>
      <c r="S120" s="198">
        <f t="shared" si="38"/>
        <v>0.96936428390275142</v>
      </c>
      <c r="T120" s="207"/>
      <c r="U120" s="317">
        <f>IF(D120=0,0,SUM($L$21:L120))</f>
        <v>165488.30159979788</v>
      </c>
      <c r="V120" s="317">
        <f>IF(D120=0,0,SUM($J$21:J120))</f>
        <v>178846.4745332608</v>
      </c>
      <c r="W120" s="331">
        <f t="shared" si="33"/>
        <v>13358.17293346292</v>
      </c>
      <c r="X120" s="200">
        <f t="shared" si="39"/>
        <v>1.0807197415426206</v>
      </c>
      <c r="Y120" s="201">
        <f t="shared" si="44"/>
        <v>45757</v>
      </c>
      <c r="Z120" s="202">
        <f t="shared" si="44"/>
        <v>45757</v>
      </c>
      <c r="AA120" s="18"/>
      <c r="AB120" s="244"/>
      <c r="AC120" s="247"/>
      <c r="AD120" s="142"/>
      <c r="AE120" s="18"/>
      <c r="AF120" s="18"/>
      <c r="AG120" s="203"/>
      <c r="AH120" s="203"/>
      <c r="AI120" s="18"/>
      <c r="AJ120" s="18"/>
      <c r="AK120" s="18"/>
      <c r="AL120" s="18"/>
      <c r="AM120" s="18"/>
      <c r="AN120" s="18"/>
    </row>
    <row r="121" spans="1:40" ht="20">
      <c r="A121" s="18"/>
      <c r="B121" s="151"/>
      <c r="C121" s="55">
        <v>101</v>
      </c>
      <c r="D121" s="54">
        <v>1</v>
      </c>
      <c r="E121" s="190">
        <f t="shared" si="34"/>
        <v>4</v>
      </c>
      <c r="F121" s="191">
        <f t="shared" si="35"/>
        <v>45758</v>
      </c>
      <c r="G121" s="192" t="str">
        <f t="shared" si="36"/>
        <v>Fri</v>
      </c>
      <c r="H121" s="193"/>
      <c r="I121" s="194"/>
      <c r="J121" s="307">
        <f>352720/B13</f>
        <v>3196.6648540873662</v>
      </c>
      <c r="K121" s="215"/>
      <c r="L121" s="317">
        <f t="shared" si="37"/>
        <v>3111.7567539398497</v>
      </c>
      <c r="M121" s="318">
        <f t="shared" si="31"/>
        <v>84.908100147516507</v>
      </c>
      <c r="N121" s="41">
        <f t="shared" si="8"/>
        <v>1.0272862266756593</v>
      </c>
      <c r="O121" s="56"/>
      <c r="P121" s="317">
        <f>IF(D121=0,0,SUM($L$111:L121))</f>
        <v>26230.19330850571</v>
      </c>
      <c r="Q121" s="317">
        <f>IF(D121=0,0,SUM($J$111:J121))</f>
        <v>25606.851549755294</v>
      </c>
      <c r="R121" s="321">
        <f t="shared" si="32"/>
        <v>-623.34175875041547</v>
      </c>
      <c r="S121" s="198">
        <f t="shared" si="38"/>
        <v>0.9762357161680435</v>
      </c>
      <c r="T121" s="207"/>
      <c r="U121" s="317">
        <f>IF(D121=0,0,SUM($L$21:L121))</f>
        <v>168600.05835373772</v>
      </c>
      <c r="V121" s="317">
        <f>IF(D121=0,0,SUM($J$21:J121))</f>
        <v>182043.13938734817</v>
      </c>
      <c r="W121" s="331">
        <f t="shared" si="33"/>
        <v>13443.081033610448</v>
      </c>
      <c r="X121" s="200">
        <f t="shared" si="39"/>
        <v>1.0797335491154201</v>
      </c>
      <c r="Y121" s="201">
        <f t="shared" si="44"/>
        <v>45758</v>
      </c>
      <c r="Z121" s="202">
        <f t="shared" si="44"/>
        <v>45758</v>
      </c>
      <c r="AA121" s="18"/>
      <c r="AB121" s="244"/>
      <c r="AC121" s="247"/>
      <c r="AD121" s="142"/>
      <c r="AE121" s="18"/>
      <c r="AF121" s="18"/>
      <c r="AG121" s="203"/>
      <c r="AH121" s="203"/>
      <c r="AI121" s="18"/>
      <c r="AJ121" s="18"/>
      <c r="AK121" s="18"/>
      <c r="AL121" s="18"/>
      <c r="AM121" s="18"/>
      <c r="AN121" s="18"/>
    </row>
    <row r="122" spans="1:40" ht="20">
      <c r="A122" s="18"/>
      <c r="B122" s="151"/>
      <c r="C122" s="55">
        <v>102</v>
      </c>
      <c r="D122" s="54">
        <v>1</v>
      </c>
      <c r="E122" s="190">
        <f t="shared" si="34"/>
        <v>4</v>
      </c>
      <c r="F122" s="191">
        <f t="shared" si="35"/>
        <v>45759</v>
      </c>
      <c r="G122" s="192" t="str">
        <f t="shared" si="36"/>
        <v>Sat</v>
      </c>
      <c r="H122" s="193"/>
      <c r="I122" s="194"/>
      <c r="J122" s="307">
        <f>96750/B13</f>
        <v>876.83523654159865</v>
      </c>
      <c r="K122" s="215"/>
      <c r="L122" s="317">
        <f t="shared" si="37"/>
        <v>1895.0535669000853</v>
      </c>
      <c r="M122" s="318">
        <f t="shared" si="31"/>
        <v>-1018.2183303584867</v>
      </c>
      <c r="N122" s="41">
        <f t="shared" si="8"/>
        <v>0.46269680807805302</v>
      </c>
      <c r="O122" s="56"/>
      <c r="P122" s="317">
        <f>IF(D122=0,0,SUM($L$111:L122))</f>
        <v>28125.246875405795</v>
      </c>
      <c r="Q122" s="317">
        <f>IF(D122=0,0,SUM($J$111:J122))</f>
        <v>26483.686786296894</v>
      </c>
      <c r="R122" s="321">
        <f t="shared" si="32"/>
        <v>-1641.5600891089016</v>
      </c>
      <c r="S122" s="198">
        <f t="shared" si="38"/>
        <v>0.94163393137912799</v>
      </c>
      <c r="T122" s="207"/>
      <c r="U122" s="317">
        <f>IF(D122=0,0,SUM($L$21:L122))</f>
        <v>170495.11192063781</v>
      </c>
      <c r="V122" s="317">
        <f>IF(D122=0,0,SUM($J$21:J122))</f>
        <v>182919.97462388978</v>
      </c>
      <c r="W122" s="331">
        <f t="shared" si="33"/>
        <v>12424.862703251973</v>
      </c>
      <c r="X122" s="200">
        <f t="shared" si="39"/>
        <v>1.072875184298747</v>
      </c>
      <c r="Y122" s="201">
        <f t="shared" si="44"/>
        <v>45759</v>
      </c>
      <c r="Z122" s="202">
        <f t="shared" si="44"/>
        <v>45759</v>
      </c>
      <c r="AA122" s="18"/>
      <c r="AB122" s="244"/>
      <c r="AC122" s="247"/>
      <c r="AD122" s="142"/>
      <c r="AE122" s="18"/>
      <c r="AF122" s="18"/>
      <c r="AG122" s="203"/>
      <c r="AH122" s="203"/>
      <c r="AI122" s="18"/>
      <c r="AJ122" s="18"/>
      <c r="AK122" s="18"/>
      <c r="AL122" s="18"/>
      <c r="AM122" s="18"/>
      <c r="AN122" s="18"/>
    </row>
    <row r="123" spans="1:40" ht="20">
      <c r="A123" s="18"/>
      <c r="B123" s="151"/>
      <c r="C123" s="55">
        <v>103</v>
      </c>
      <c r="D123" s="54">
        <v>0</v>
      </c>
      <c r="E123" s="190">
        <f t="shared" si="34"/>
        <v>4</v>
      </c>
      <c r="F123" s="191">
        <f t="shared" si="35"/>
        <v>45760</v>
      </c>
      <c r="G123" s="192" t="str">
        <f t="shared" si="36"/>
        <v>Sun</v>
      </c>
      <c r="H123" s="193"/>
      <c r="I123" s="194"/>
      <c r="J123" s="307"/>
      <c r="K123" s="215"/>
      <c r="L123" s="317">
        <f t="shared" si="37"/>
        <v>0</v>
      </c>
      <c r="M123" s="318">
        <f t="shared" si="31"/>
        <v>0</v>
      </c>
      <c r="N123" s="41" t="str">
        <f t="shared" si="8"/>
        <v>¥0</v>
      </c>
      <c r="O123" s="44"/>
      <c r="P123" s="317">
        <f>IF(D123=0,0,SUM($L$111:L123))</f>
        <v>0</v>
      </c>
      <c r="Q123" s="317">
        <f>IF(D123=0,0,SUM($J$111:J123))</f>
        <v>0</v>
      </c>
      <c r="R123" s="321">
        <f t="shared" si="32"/>
        <v>0</v>
      </c>
      <c r="S123" s="198">
        <f t="shared" si="38"/>
        <v>0</v>
      </c>
      <c r="T123" s="212"/>
      <c r="U123" s="317">
        <f>IF(D123=0,0,SUM($L$21:L123))</f>
        <v>0</v>
      </c>
      <c r="V123" s="317">
        <f>IF(D123=0,0,SUM($J$21:J123))</f>
        <v>0</v>
      </c>
      <c r="W123" s="331">
        <f t="shared" si="33"/>
        <v>0</v>
      </c>
      <c r="X123" s="200">
        <f t="shared" si="39"/>
        <v>0</v>
      </c>
      <c r="Y123" s="201">
        <f t="shared" si="44"/>
        <v>45760</v>
      </c>
      <c r="Z123" s="202">
        <f t="shared" si="44"/>
        <v>45760</v>
      </c>
      <c r="AA123" s="18"/>
      <c r="AB123" s="244"/>
      <c r="AC123" s="247"/>
      <c r="AD123" s="142"/>
      <c r="AE123" s="18"/>
      <c r="AF123" s="18"/>
      <c r="AG123" s="203"/>
      <c r="AH123" s="203"/>
      <c r="AI123" s="18"/>
      <c r="AJ123" s="18"/>
      <c r="AK123" s="18"/>
      <c r="AL123" s="18"/>
      <c r="AM123" s="18"/>
      <c r="AN123" s="18"/>
    </row>
    <row r="124" spans="1:40" ht="20">
      <c r="A124" s="18"/>
      <c r="B124" s="151"/>
      <c r="C124" s="55">
        <v>104</v>
      </c>
      <c r="D124" s="54">
        <v>1</v>
      </c>
      <c r="E124" s="190">
        <f t="shared" si="34"/>
        <v>4</v>
      </c>
      <c r="F124" s="191">
        <f t="shared" si="35"/>
        <v>45761</v>
      </c>
      <c r="G124" s="192" t="str">
        <f t="shared" si="36"/>
        <v>Mon</v>
      </c>
      <c r="H124" s="193"/>
      <c r="I124" s="194"/>
      <c r="J124" s="307">
        <f>252260/B13</f>
        <v>2286.2062715243792</v>
      </c>
      <c r="K124" s="215"/>
      <c r="L124" s="317">
        <f t="shared" si="37"/>
        <v>2146.0342799307637</v>
      </c>
      <c r="M124" s="318">
        <f t="shared" si="31"/>
        <v>140.17199159361553</v>
      </c>
      <c r="N124" s="41">
        <f t="shared" si="8"/>
        <v>1.0653167532804453</v>
      </c>
      <c r="O124" s="56"/>
      <c r="P124" s="317">
        <f>IF(D124=0,0,SUM($L$111:L124))</f>
        <v>30271.281155336561</v>
      </c>
      <c r="Q124" s="317">
        <f>IF(D124=0,0,SUM($J$111:J124))</f>
        <v>28769.893057821275</v>
      </c>
      <c r="R124" s="321">
        <f t="shared" si="32"/>
        <v>-1501.3880975152861</v>
      </c>
      <c r="S124" s="198">
        <f t="shared" si="38"/>
        <v>0.95040222811149155</v>
      </c>
      <c r="T124" s="207"/>
      <c r="U124" s="317">
        <f>IF(D124=0,0,SUM($L$21:L124))</f>
        <v>172641.14620056856</v>
      </c>
      <c r="V124" s="317">
        <f>IF(D124=0,0,SUM($J$21:J124))</f>
        <v>185206.18089541415</v>
      </c>
      <c r="W124" s="331">
        <f t="shared" si="33"/>
        <v>12565.034694845584</v>
      </c>
      <c r="X124" s="200">
        <f t="shared" si="39"/>
        <v>1.0727812284114933</v>
      </c>
      <c r="Y124" s="201">
        <f t="shared" si="44"/>
        <v>45761</v>
      </c>
      <c r="Z124" s="202">
        <f t="shared" si="44"/>
        <v>45761</v>
      </c>
      <c r="AA124" s="18"/>
      <c r="AB124" s="244"/>
      <c r="AC124" s="247"/>
      <c r="AD124" s="142"/>
      <c r="AE124" s="18"/>
      <c r="AF124" s="18"/>
      <c r="AG124" s="203"/>
      <c r="AH124" s="203"/>
      <c r="AI124" s="18"/>
      <c r="AJ124" s="18"/>
      <c r="AK124" s="18"/>
      <c r="AL124" s="18"/>
      <c r="AM124" s="18"/>
      <c r="AN124" s="18"/>
    </row>
    <row r="125" spans="1:40" ht="20">
      <c r="A125" s="18"/>
      <c r="B125" s="151"/>
      <c r="C125" s="55">
        <v>105</v>
      </c>
      <c r="D125" s="54">
        <v>1</v>
      </c>
      <c r="E125" s="190">
        <f t="shared" si="34"/>
        <v>4</v>
      </c>
      <c r="F125" s="191">
        <f t="shared" si="35"/>
        <v>45762</v>
      </c>
      <c r="G125" s="192" t="str">
        <f t="shared" si="36"/>
        <v>Tue</v>
      </c>
      <c r="H125" s="193"/>
      <c r="I125" s="194"/>
      <c r="J125" s="307">
        <f>320850/B13</f>
        <v>2907.8303425774875</v>
      </c>
      <c r="K125" s="215"/>
      <c r="L125" s="317">
        <f t="shared" si="37"/>
        <v>3169.3556881472177</v>
      </c>
      <c r="M125" s="318">
        <f t="shared" si="31"/>
        <v>-261.52534556973023</v>
      </c>
      <c r="N125" s="41">
        <f t="shared" si="8"/>
        <v>0.91748311918798353</v>
      </c>
      <c r="O125" s="56"/>
      <c r="P125" s="317">
        <f>IF(D125=0,0,SUM($L$111:L125))</f>
        <v>33440.636843483779</v>
      </c>
      <c r="Q125" s="317">
        <f>IF(D125=0,0,SUM($J$111:J125))</f>
        <v>31677.723400398761</v>
      </c>
      <c r="R125" s="321">
        <f t="shared" si="32"/>
        <v>-1762.9134430850172</v>
      </c>
      <c r="S125" s="198">
        <f t="shared" si="38"/>
        <v>0.94728230053344398</v>
      </c>
      <c r="T125" s="207"/>
      <c r="U125" s="317">
        <f>IF(D125=0,0,SUM($L$21:L125))</f>
        <v>175810.50188871578</v>
      </c>
      <c r="V125" s="317">
        <f>IF(D125=0,0,SUM($J$21:J125))</f>
        <v>188114.01123799162</v>
      </c>
      <c r="W125" s="331">
        <f t="shared" si="33"/>
        <v>12303.509349275846</v>
      </c>
      <c r="X125" s="200">
        <f t="shared" si="39"/>
        <v>1.0699816519326228</v>
      </c>
      <c r="Y125" s="201">
        <f t="shared" si="44"/>
        <v>45762</v>
      </c>
      <c r="Z125" s="202">
        <f t="shared" si="44"/>
        <v>45762</v>
      </c>
      <c r="AA125" s="18"/>
      <c r="AB125" s="244"/>
      <c r="AC125" s="247"/>
      <c r="AD125" s="142"/>
      <c r="AE125" s="18"/>
      <c r="AF125" s="18"/>
      <c r="AG125" s="203"/>
      <c r="AH125" s="203"/>
      <c r="AI125" s="18"/>
      <c r="AJ125" s="18"/>
      <c r="AK125" s="18"/>
      <c r="AL125" s="18"/>
      <c r="AM125" s="18"/>
      <c r="AN125" s="18"/>
    </row>
    <row r="126" spans="1:40" ht="20">
      <c r="A126" s="18"/>
      <c r="B126" s="151"/>
      <c r="C126" s="55">
        <v>106</v>
      </c>
      <c r="D126" s="54">
        <v>1</v>
      </c>
      <c r="E126" s="190">
        <f t="shared" si="34"/>
        <v>4</v>
      </c>
      <c r="F126" s="191">
        <f t="shared" si="35"/>
        <v>45763</v>
      </c>
      <c r="G126" s="192" t="str">
        <f t="shared" si="36"/>
        <v>Wed</v>
      </c>
      <c r="H126" s="193"/>
      <c r="I126" s="194"/>
      <c r="J126" s="307">
        <f>282460/B13</f>
        <v>2559.9057458763818</v>
      </c>
      <c r="K126" s="215"/>
      <c r="L126" s="317">
        <f t="shared" si="37"/>
        <v>2200.5673166327024</v>
      </c>
      <c r="M126" s="318">
        <f t="shared" si="31"/>
        <v>359.33842924367946</v>
      </c>
      <c r="N126" s="41">
        <f t="shared" si="8"/>
        <v>1.1632935409554013</v>
      </c>
      <c r="O126" s="56"/>
      <c r="P126" s="317">
        <f>IF(D126=0,0,SUM($L$111:L126))</f>
        <v>35641.204160116482</v>
      </c>
      <c r="Q126" s="317">
        <f>IF(D126=0,0,SUM($J$111:J126))</f>
        <v>34237.62914627514</v>
      </c>
      <c r="R126" s="321">
        <f t="shared" si="32"/>
        <v>-1403.5750138413423</v>
      </c>
      <c r="S126" s="198">
        <f t="shared" si="38"/>
        <v>0.9606193155670093</v>
      </c>
      <c r="T126" s="207"/>
      <c r="U126" s="317">
        <f>IF(D126=0,0,SUM($L$21:L126))</f>
        <v>178011.06920534847</v>
      </c>
      <c r="V126" s="317">
        <f>IF(D126=0,0,SUM($J$21:J126))</f>
        <v>190673.916983868</v>
      </c>
      <c r="W126" s="331">
        <f t="shared" si="33"/>
        <v>12662.847778519528</v>
      </c>
      <c r="X126" s="200">
        <f t="shared" si="39"/>
        <v>1.0711351706107222</v>
      </c>
      <c r="Y126" s="201">
        <f t="shared" si="44"/>
        <v>45763</v>
      </c>
      <c r="Z126" s="202">
        <f t="shared" si="44"/>
        <v>45763</v>
      </c>
      <c r="AA126" s="18"/>
      <c r="AB126" s="244"/>
      <c r="AC126" s="247"/>
      <c r="AD126" s="142"/>
      <c r="AE126" s="18"/>
      <c r="AF126" s="18"/>
      <c r="AG126" s="203"/>
      <c r="AH126" s="203"/>
      <c r="AI126" s="18"/>
      <c r="AJ126" s="18"/>
      <c r="AK126" s="18"/>
      <c r="AL126" s="18"/>
      <c r="AM126" s="18"/>
      <c r="AN126" s="18"/>
    </row>
    <row r="127" spans="1:40" ht="20">
      <c r="A127" s="18"/>
      <c r="B127" s="151"/>
      <c r="C127" s="55">
        <v>107</v>
      </c>
      <c r="D127" s="54">
        <v>1</v>
      </c>
      <c r="E127" s="190">
        <f t="shared" si="34"/>
        <v>4</v>
      </c>
      <c r="F127" s="191">
        <f t="shared" si="35"/>
        <v>45764</v>
      </c>
      <c r="G127" s="192" t="str">
        <f t="shared" si="36"/>
        <v>Thu</v>
      </c>
      <c r="H127" s="193"/>
      <c r="I127" s="194"/>
      <c r="J127" s="307">
        <f>349940/B13</f>
        <v>3171.4700018125791</v>
      </c>
      <c r="K127" s="215"/>
      <c r="L127" s="317">
        <f t="shared" si="37"/>
        <v>2612.8729721176601</v>
      </c>
      <c r="M127" s="318">
        <f t="shared" si="31"/>
        <v>558.597029694919</v>
      </c>
      <c r="N127" s="41">
        <f t="shared" si="8"/>
        <v>1.2137865237444712</v>
      </c>
      <c r="O127" s="56"/>
      <c r="P127" s="317">
        <f>IF(D127=0,0,SUM($L$111:L127))</f>
        <v>38254.077132234139</v>
      </c>
      <c r="Q127" s="317">
        <f>IF(D127=0,0,SUM($J$111:J127))</f>
        <v>37409.09914808772</v>
      </c>
      <c r="R127" s="321">
        <f t="shared" si="32"/>
        <v>-844.97798414641875</v>
      </c>
      <c r="S127" s="198">
        <f t="shared" si="38"/>
        <v>0.9779114267683009</v>
      </c>
      <c r="T127" s="207"/>
      <c r="U127" s="317">
        <f>IF(D127=0,0,SUM($L$21:L127))</f>
        <v>180623.94217746612</v>
      </c>
      <c r="V127" s="317">
        <f>IF(D127=0,0,SUM($J$21:J127))</f>
        <v>193845.38698568058</v>
      </c>
      <c r="W127" s="331">
        <f t="shared" si="33"/>
        <v>13221.444808214466</v>
      </c>
      <c r="X127" s="200">
        <f t="shared" si="39"/>
        <v>1.0731987390421596</v>
      </c>
      <c r="Y127" s="201">
        <f t="shared" si="44"/>
        <v>45764</v>
      </c>
      <c r="Z127" s="202">
        <f t="shared" si="44"/>
        <v>45764</v>
      </c>
      <c r="AA127" s="18"/>
      <c r="AB127" s="244"/>
      <c r="AC127" s="247"/>
      <c r="AD127" s="142"/>
      <c r="AE127" s="18"/>
      <c r="AF127" s="18"/>
      <c r="AG127" s="203"/>
      <c r="AH127" s="203"/>
      <c r="AI127" s="18"/>
      <c r="AJ127" s="18"/>
      <c r="AK127" s="18"/>
      <c r="AL127" s="18"/>
      <c r="AM127" s="18"/>
      <c r="AN127" s="18"/>
    </row>
    <row r="128" spans="1:40" ht="20">
      <c r="A128" s="18"/>
      <c r="B128" s="151"/>
      <c r="C128" s="55">
        <v>108</v>
      </c>
      <c r="D128" s="54">
        <v>1</v>
      </c>
      <c r="E128" s="190">
        <f t="shared" si="34"/>
        <v>4</v>
      </c>
      <c r="F128" s="191">
        <f t="shared" si="35"/>
        <v>45765</v>
      </c>
      <c r="G128" s="192" t="str">
        <f t="shared" si="36"/>
        <v>Fri</v>
      </c>
      <c r="H128" s="193"/>
      <c r="I128" s="194"/>
      <c r="J128" s="307">
        <f>350530/B13</f>
        <v>3176.817110748595</v>
      </c>
      <c r="K128" s="215"/>
      <c r="L128" s="317">
        <f t="shared" si="37"/>
        <v>3111.7567539398497</v>
      </c>
      <c r="M128" s="318">
        <f t="shared" si="31"/>
        <v>65.060356808745382</v>
      </c>
      <c r="N128" s="41">
        <f t="shared" si="8"/>
        <v>1.0209079185660548</v>
      </c>
      <c r="O128" s="56"/>
      <c r="P128" s="317">
        <f>IF(D128=0,0,SUM($L$111:L128))</f>
        <v>41365.83388617399</v>
      </c>
      <c r="Q128" s="317">
        <f>IF(D128=0,0,SUM($J$111:J128))</f>
        <v>40585.916258836318</v>
      </c>
      <c r="R128" s="321">
        <f t="shared" si="32"/>
        <v>-779.91762733767246</v>
      </c>
      <c r="S128" s="198">
        <f t="shared" si="38"/>
        <v>0.98114585023273637</v>
      </c>
      <c r="T128" s="207"/>
      <c r="U128" s="317">
        <f>IF(D128=0,0,SUM($L$21:L128))</f>
        <v>183735.69893140596</v>
      </c>
      <c r="V128" s="317">
        <f>IF(D128=0,0,SUM($J$21:J128))</f>
        <v>197022.20409642917</v>
      </c>
      <c r="W128" s="331">
        <f t="shared" si="33"/>
        <v>13286.505165023205</v>
      </c>
      <c r="X128" s="200">
        <f t="shared" si="39"/>
        <v>1.0723131391574778</v>
      </c>
      <c r="Y128" s="201">
        <f t="shared" si="44"/>
        <v>45765</v>
      </c>
      <c r="Z128" s="202">
        <f t="shared" si="44"/>
        <v>45765</v>
      </c>
      <c r="AA128" s="18"/>
      <c r="AB128" s="244"/>
      <c r="AC128" s="247"/>
      <c r="AD128" s="142"/>
      <c r="AE128" s="18"/>
      <c r="AF128" s="18"/>
      <c r="AG128" s="203"/>
      <c r="AH128" s="203"/>
      <c r="AI128" s="18"/>
      <c r="AJ128" s="18"/>
      <c r="AK128" s="18"/>
      <c r="AL128" s="18"/>
      <c r="AM128" s="18"/>
      <c r="AN128" s="18"/>
    </row>
    <row r="129" spans="1:40" ht="20">
      <c r="A129" s="18"/>
      <c r="B129" s="151"/>
      <c r="C129" s="55">
        <v>109</v>
      </c>
      <c r="D129" s="54">
        <v>1</v>
      </c>
      <c r="E129" s="190">
        <f t="shared" si="34"/>
        <v>4</v>
      </c>
      <c r="F129" s="191">
        <f t="shared" si="35"/>
        <v>45766</v>
      </c>
      <c r="G129" s="192" t="str">
        <f t="shared" si="36"/>
        <v>Sat</v>
      </c>
      <c r="H129" s="193"/>
      <c r="I129" s="194"/>
      <c r="J129" s="307">
        <f>131870/B13</f>
        <v>1195.1241616820735</v>
      </c>
      <c r="K129" s="215"/>
      <c r="L129" s="317">
        <f t="shared" si="37"/>
        <v>1895.0535669000853</v>
      </c>
      <c r="M129" s="318">
        <f t="shared" si="31"/>
        <v>-699.92940521801188</v>
      </c>
      <c r="N129" s="41">
        <f t="shared" si="8"/>
        <v>0.63065455381139901</v>
      </c>
      <c r="O129" s="56"/>
      <c r="P129" s="317">
        <f>IF(D129=0,0,SUM($L$111:L129))</f>
        <v>43260.887453074072</v>
      </c>
      <c r="Q129" s="317">
        <f>IF(D129=0,0,SUM($J$111:J129))</f>
        <v>41781.040420518388</v>
      </c>
      <c r="R129" s="321">
        <f t="shared" si="32"/>
        <v>-1479.8470325556846</v>
      </c>
      <c r="S129" s="198">
        <f t="shared" si="38"/>
        <v>0.96579249479888951</v>
      </c>
      <c r="T129" s="207"/>
      <c r="U129" s="317">
        <f>IF(D129=0,0,SUM($L$21:L129))</f>
        <v>185630.75249830604</v>
      </c>
      <c r="V129" s="317">
        <f>IF(D129=0,0,SUM($J$21:J129))</f>
        <v>198217.32825811123</v>
      </c>
      <c r="W129" s="331">
        <f t="shared" si="33"/>
        <v>12586.575759805186</v>
      </c>
      <c r="X129" s="200">
        <f t="shared" si="39"/>
        <v>1.0678043674898103</v>
      </c>
      <c r="Y129" s="201">
        <f t="shared" si="44"/>
        <v>45766</v>
      </c>
      <c r="Z129" s="202">
        <f t="shared" si="44"/>
        <v>45766</v>
      </c>
      <c r="AA129" s="18"/>
      <c r="AB129" s="244"/>
      <c r="AC129" s="247"/>
      <c r="AD129" s="142"/>
      <c r="AE129" s="18"/>
      <c r="AF129" s="18"/>
      <c r="AG129" s="203"/>
      <c r="AH129" s="203"/>
      <c r="AI129" s="18"/>
      <c r="AJ129" s="18"/>
      <c r="AK129" s="18"/>
      <c r="AL129" s="18"/>
      <c r="AM129" s="18"/>
      <c r="AN129" s="18"/>
    </row>
    <row r="130" spans="1:40" ht="20">
      <c r="A130" s="18"/>
      <c r="B130" s="151"/>
      <c r="C130" s="55">
        <v>110</v>
      </c>
      <c r="D130" s="54">
        <v>0</v>
      </c>
      <c r="E130" s="190">
        <f t="shared" si="34"/>
        <v>4</v>
      </c>
      <c r="F130" s="191">
        <f t="shared" si="35"/>
        <v>45767</v>
      </c>
      <c r="G130" s="192" t="str">
        <f t="shared" si="36"/>
        <v>Sun</v>
      </c>
      <c r="H130" s="193"/>
      <c r="I130" s="194"/>
      <c r="J130" s="307"/>
      <c r="K130" s="215"/>
      <c r="L130" s="317">
        <f t="shared" si="37"/>
        <v>0</v>
      </c>
      <c r="M130" s="318">
        <f t="shared" si="31"/>
        <v>0</v>
      </c>
      <c r="N130" s="41" t="str">
        <f t="shared" si="8"/>
        <v>¥0</v>
      </c>
      <c r="O130" s="44"/>
      <c r="P130" s="317">
        <f>IF(D130=0,0,SUM($L$111:L130))</f>
        <v>0</v>
      </c>
      <c r="Q130" s="317">
        <f>IF(D130=0,0,SUM($J$111:J130))</f>
        <v>0</v>
      </c>
      <c r="R130" s="321">
        <f t="shared" si="32"/>
        <v>0</v>
      </c>
      <c r="S130" s="198">
        <f t="shared" si="38"/>
        <v>0</v>
      </c>
      <c r="T130" s="212"/>
      <c r="U130" s="317">
        <f>IF(D130=0,0,SUM($L$21:L130))</f>
        <v>0</v>
      </c>
      <c r="V130" s="317">
        <f>IF(D130=0,0,SUM($J$21:J130))</f>
        <v>0</v>
      </c>
      <c r="W130" s="331">
        <f t="shared" si="33"/>
        <v>0</v>
      </c>
      <c r="X130" s="200">
        <f t="shared" si="39"/>
        <v>0</v>
      </c>
      <c r="Y130" s="201">
        <f t="shared" si="44"/>
        <v>45767</v>
      </c>
      <c r="Z130" s="202">
        <f t="shared" si="44"/>
        <v>45767</v>
      </c>
      <c r="AA130" s="18"/>
      <c r="AB130" s="244"/>
      <c r="AC130" s="247"/>
      <c r="AD130" s="142"/>
      <c r="AE130" s="18"/>
      <c r="AF130" s="18"/>
      <c r="AG130" s="203"/>
      <c r="AH130" s="203"/>
      <c r="AI130" s="18"/>
      <c r="AJ130" s="18"/>
      <c r="AK130" s="18"/>
      <c r="AL130" s="18"/>
      <c r="AM130" s="18"/>
      <c r="AN130" s="18"/>
    </row>
    <row r="131" spans="1:40" ht="20">
      <c r="A131" s="18"/>
      <c r="B131" s="151"/>
      <c r="C131" s="55">
        <v>111</v>
      </c>
      <c r="D131" s="54">
        <v>1</v>
      </c>
      <c r="E131" s="190">
        <f t="shared" si="34"/>
        <v>4</v>
      </c>
      <c r="F131" s="191">
        <f t="shared" si="35"/>
        <v>45768</v>
      </c>
      <c r="G131" s="192" t="str">
        <f t="shared" si="36"/>
        <v>Mon</v>
      </c>
      <c r="H131" s="193"/>
      <c r="I131" s="194"/>
      <c r="J131" s="307">
        <f>275300/B13</f>
        <v>2495.015406924053</v>
      </c>
      <c r="K131" s="215"/>
      <c r="L131" s="317">
        <f t="shared" si="37"/>
        <v>2146.0342799307637</v>
      </c>
      <c r="M131" s="318">
        <f t="shared" si="31"/>
        <v>348.98112699328931</v>
      </c>
      <c r="N131" s="41">
        <f t="shared" si="8"/>
        <v>1.1626167532629295</v>
      </c>
      <c r="O131" s="56"/>
      <c r="P131" s="317">
        <f>IF(D131=0,0,SUM($L$111:L131))</f>
        <v>45406.921733004834</v>
      </c>
      <c r="Q131" s="317">
        <f>IF(D131=0,0,SUM($J$111:J131))</f>
        <v>44276.05582744244</v>
      </c>
      <c r="R131" s="321">
        <f t="shared" si="32"/>
        <v>-1130.8659055623939</v>
      </c>
      <c r="S131" s="198">
        <f t="shared" si="38"/>
        <v>0.97509485641391969</v>
      </c>
      <c r="T131" s="207"/>
      <c r="U131" s="317">
        <f>IF(D131=0,0,SUM($L$21:L131))</f>
        <v>187776.7867782368</v>
      </c>
      <c r="V131" s="317">
        <f>IF(D131=0,0,SUM($J$21:J131))</f>
        <v>200712.3436650353</v>
      </c>
      <c r="W131" s="331">
        <f t="shared" si="33"/>
        <v>12935.556886798498</v>
      </c>
      <c r="X131" s="200">
        <f t="shared" si="39"/>
        <v>1.0688879446109349</v>
      </c>
      <c r="Y131" s="201">
        <f t="shared" si="44"/>
        <v>45768</v>
      </c>
      <c r="Z131" s="202">
        <f t="shared" si="44"/>
        <v>45768</v>
      </c>
      <c r="AA131" s="18"/>
      <c r="AB131" s="244"/>
      <c r="AC131" s="247"/>
      <c r="AD131" s="142"/>
      <c r="AE131" s="18"/>
      <c r="AF131" s="18"/>
      <c r="AG131" s="203"/>
      <c r="AH131" s="203"/>
      <c r="AI131" s="18"/>
      <c r="AJ131" s="18"/>
      <c r="AK131" s="18"/>
      <c r="AL131" s="18"/>
      <c r="AM131" s="18"/>
      <c r="AN131" s="18"/>
    </row>
    <row r="132" spans="1:40" ht="20">
      <c r="A132" s="18"/>
      <c r="B132" s="151"/>
      <c r="C132" s="55">
        <v>112</v>
      </c>
      <c r="D132" s="54">
        <v>1</v>
      </c>
      <c r="E132" s="190">
        <f t="shared" si="34"/>
        <v>4</v>
      </c>
      <c r="F132" s="191">
        <f t="shared" si="35"/>
        <v>45769</v>
      </c>
      <c r="G132" s="192" t="str">
        <f t="shared" si="36"/>
        <v>Tue</v>
      </c>
      <c r="H132" s="193"/>
      <c r="I132" s="194"/>
      <c r="J132" s="307">
        <f>215300/B13</f>
        <v>1951.2416168207358</v>
      </c>
      <c r="K132" s="215"/>
      <c r="L132" s="317">
        <f t="shared" si="37"/>
        <v>3169.3556881472177</v>
      </c>
      <c r="M132" s="318">
        <f>IF(D132=0,0,J132-L132)</f>
        <v>-1218.114071326482</v>
      </c>
      <c r="N132" s="41">
        <f>IFERROR(J132/L132,"¥0")</f>
        <v>0.61565876752742055</v>
      </c>
      <c r="O132" s="56"/>
      <c r="P132" s="317">
        <f>IF(D132=0,0,SUM($L$111:L132))</f>
        <v>48576.277421152052</v>
      </c>
      <c r="Q132" s="317">
        <f>IF(D132=0,0,SUM($J$111:J132))</f>
        <v>46227.297444263175</v>
      </c>
      <c r="R132" s="321">
        <f t="shared" si="32"/>
        <v>-2348.979976888877</v>
      </c>
      <c r="S132" s="198">
        <f t="shared" si="38"/>
        <v>0.95164347493070689</v>
      </c>
      <c r="T132" s="207"/>
      <c r="U132" s="317">
        <f>IF(D132=0,0,SUM($L$21:L132))</f>
        <v>190946.14246638402</v>
      </c>
      <c r="V132" s="317">
        <f>IF(D132=0,0,SUM($J$21:J132))</f>
        <v>202663.58528185604</v>
      </c>
      <c r="W132" s="331">
        <f t="shared" si="33"/>
        <v>11717.442815472023</v>
      </c>
      <c r="X132" s="200">
        <f t="shared" si="39"/>
        <v>1.0613651716872723</v>
      </c>
      <c r="Y132" s="201">
        <f t="shared" si="44"/>
        <v>45769</v>
      </c>
      <c r="Z132" s="202">
        <f t="shared" si="44"/>
        <v>45769</v>
      </c>
      <c r="AA132" s="18"/>
      <c r="AB132" s="244"/>
      <c r="AC132" s="247"/>
      <c r="AD132" s="142"/>
      <c r="AE132" s="18"/>
      <c r="AF132" s="18"/>
      <c r="AG132" s="203"/>
      <c r="AH132" s="203"/>
      <c r="AI132" s="18"/>
      <c r="AJ132" s="18"/>
      <c r="AK132" s="18"/>
      <c r="AL132" s="18"/>
      <c r="AM132" s="18"/>
      <c r="AN132" s="18"/>
    </row>
    <row r="133" spans="1:40" ht="20">
      <c r="A133" s="18"/>
      <c r="B133" s="151"/>
      <c r="C133" s="55">
        <v>113</v>
      </c>
      <c r="D133" s="54">
        <v>1</v>
      </c>
      <c r="E133" s="190">
        <f t="shared" si="34"/>
        <v>4</v>
      </c>
      <c r="F133" s="191">
        <f t="shared" si="35"/>
        <v>45770</v>
      </c>
      <c r="G133" s="192" t="str">
        <f t="shared" si="36"/>
        <v>Wed</v>
      </c>
      <c r="H133" s="193"/>
      <c r="I133" s="194"/>
      <c r="J133" s="307">
        <f>334180/B13</f>
        <v>3028.6387529454414</v>
      </c>
      <c r="K133" s="215"/>
      <c r="L133" s="317">
        <f t="shared" si="37"/>
        <v>2200.5673166327024</v>
      </c>
      <c r="M133" s="318">
        <f>IF(D133=0,0,J133-L133)</f>
        <v>828.07143631273902</v>
      </c>
      <c r="N133" s="41">
        <f>IFERROR(J133/L133,"¥0")</f>
        <v>1.3762990707232032</v>
      </c>
      <c r="O133" s="56"/>
      <c r="P133" s="317">
        <f>IF(D133=0,0,SUM($L$111:L133))</f>
        <v>50776.844737784755</v>
      </c>
      <c r="Q133" s="317">
        <f>IF(D133=0,0,SUM($J$111:J133))</f>
        <v>49255.936197208619</v>
      </c>
      <c r="R133" s="321">
        <f t="shared" si="32"/>
        <v>-1520.9085405761361</v>
      </c>
      <c r="S133" s="198">
        <f t="shared" si="38"/>
        <v>0.97004720264856514</v>
      </c>
      <c r="T133" s="207"/>
      <c r="U133" s="317">
        <f>IF(D133=0,0,SUM($L$21:L133))</f>
        <v>193146.7097830167</v>
      </c>
      <c r="V133" s="317">
        <f>IF(D133=0,0,SUM($J$21:J133))</f>
        <v>205692.22403480147</v>
      </c>
      <c r="W133" s="331">
        <f t="shared" si="33"/>
        <v>12545.514251784771</v>
      </c>
      <c r="X133" s="200">
        <f t="shared" si="39"/>
        <v>1.064953289993283</v>
      </c>
      <c r="Y133" s="201">
        <f t="shared" si="44"/>
        <v>45770</v>
      </c>
      <c r="Z133" s="202">
        <f t="shared" si="44"/>
        <v>45770</v>
      </c>
      <c r="AA133" s="18"/>
      <c r="AB133" s="244"/>
      <c r="AC133" s="247"/>
      <c r="AD133" s="142"/>
      <c r="AE133" s="18"/>
      <c r="AF133" s="18"/>
      <c r="AG133" s="203"/>
      <c r="AH133" s="203"/>
      <c r="AI133" s="18"/>
      <c r="AJ133" s="18"/>
      <c r="AK133" s="18"/>
      <c r="AL133" s="18"/>
      <c r="AM133" s="18"/>
      <c r="AN133" s="18"/>
    </row>
    <row r="134" spans="1:40" ht="20">
      <c r="A134" s="18"/>
      <c r="B134" s="151"/>
      <c r="C134" s="55">
        <v>114</v>
      </c>
      <c r="D134" s="54">
        <v>1</v>
      </c>
      <c r="E134" s="190">
        <f t="shared" si="34"/>
        <v>4</v>
      </c>
      <c r="F134" s="191">
        <f t="shared" si="35"/>
        <v>45771</v>
      </c>
      <c r="G134" s="192" t="str">
        <f t="shared" si="36"/>
        <v>Thu</v>
      </c>
      <c r="H134" s="193"/>
      <c r="I134" s="194"/>
      <c r="J134" s="307">
        <f>351760/B13</f>
        <v>3187.9644734457133</v>
      </c>
      <c r="K134" s="215"/>
      <c r="L134" s="317">
        <f t="shared" si="37"/>
        <v>2612.8729721176601</v>
      </c>
      <c r="M134" s="318">
        <f t="shared" si="31"/>
        <v>575.09150132805325</v>
      </c>
      <c r="N134" s="41">
        <f t="shared" si="8"/>
        <v>1.2200992958574475</v>
      </c>
      <c r="O134" s="56"/>
      <c r="P134" s="317">
        <f>IF(D134=0,0,SUM($L$111:L134))</f>
        <v>53389.717709902412</v>
      </c>
      <c r="Q134" s="317">
        <f>IF(D134=0,0,SUM($J$111:J134))</f>
        <v>52443.90067065433</v>
      </c>
      <c r="R134" s="321">
        <f t="shared" si="32"/>
        <v>-945.81703924808244</v>
      </c>
      <c r="S134" s="198">
        <f t="shared" si="38"/>
        <v>0.98228465929737141</v>
      </c>
      <c r="T134" s="207"/>
      <c r="U134" s="317">
        <f>IF(D134=0,0,SUM($L$21:L134))</f>
        <v>195759.58275513435</v>
      </c>
      <c r="V134" s="317">
        <f>IF(D134=0,0,SUM($J$21:J134))</f>
        <v>208880.1885082472</v>
      </c>
      <c r="W134" s="331">
        <f t="shared" si="33"/>
        <v>13120.605753112846</v>
      </c>
      <c r="X134" s="200">
        <f t="shared" si="39"/>
        <v>1.0670240790690932</v>
      </c>
      <c r="Y134" s="201">
        <f t="shared" si="44"/>
        <v>45771</v>
      </c>
      <c r="Z134" s="202">
        <f t="shared" si="44"/>
        <v>45771</v>
      </c>
      <c r="AA134" s="18"/>
      <c r="AB134" s="244"/>
      <c r="AC134" s="247"/>
      <c r="AD134" s="142"/>
      <c r="AE134" s="18"/>
      <c r="AF134" s="18"/>
      <c r="AG134" s="203"/>
      <c r="AH134" s="203"/>
      <c r="AI134" s="18"/>
      <c r="AJ134" s="18"/>
      <c r="AK134" s="18"/>
      <c r="AL134" s="18"/>
      <c r="AM134" s="18"/>
      <c r="AN134" s="18"/>
    </row>
    <row r="135" spans="1:40" ht="20">
      <c r="A135" s="18"/>
      <c r="B135" s="151"/>
      <c r="C135" s="55">
        <v>115</v>
      </c>
      <c r="D135" s="54">
        <v>1</v>
      </c>
      <c r="E135" s="190">
        <f t="shared" si="34"/>
        <v>4</v>
      </c>
      <c r="F135" s="191">
        <f t="shared" si="35"/>
        <v>45772</v>
      </c>
      <c r="G135" s="192" t="str">
        <f t="shared" si="36"/>
        <v>Fri</v>
      </c>
      <c r="H135" s="193"/>
      <c r="I135" s="194"/>
      <c r="J135" s="307">
        <f>321050/B13</f>
        <v>2909.6429218778321</v>
      </c>
      <c r="K135" s="215"/>
      <c r="L135" s="317">
        <f t="shared" si="37"/>
        <v>3111.7567539398497</v>
      </c>
      <c r="M135" s="318">
        <f t="shared" si="31"/>
        <v>-202.11383206201754</v>
      </c>
      <c r="N135" s="41">
        <f t="shared" si="8"/>
        <v>0.9350483189901917</v>
      </c>
      <c r="O135" s="56"/>
      <c r="P135" s="317">
        <f>IF(D135=0,0,SUM($L$111:L135))</f>
        <v>56501.474463842264</v>
      </c>
      <c r="Q135" s="317">
        <f>IF(D135=0,0,SUM($J$111:J135))</f>
        <v>55353.543592532165</v>
      </c>
      <c r="R135" s="321">
        <f t="shared" si="32"/>
        <v>-1147.9308713100982</v>
      </c>
      <c r="S135" s="198">
        <f t="shared" si="38"/>
        <v>0.9796831696481707</v>
      </c>
      <c r="T135" s="207"/>
      <c r="U135" s="317">
        <f>IF(D135=0,0,SUM($L$21:L135))</f>
        <v>198871.3395090742</v>
      </c>
      <c r="V135" s="317">
        <f>IF(D135=0,0,SUM($J$21:J135))</f>
        <v>211789.83143012502</v>
      </c>
      <c r="W135" s="331">
        <f t="shared" si="33"/>
        <v>12918.491921050823</v>
      </c>
      <c r="X135" s="200">
        <f t="shared" si="39"/>
        <v>1.064959043132816</v>
      </c>
      <c r="Y135" s="201">
        <f t="shared" ref="Y135:Z150" si="45">Y134+1</f>
        <v>45772</v>
      </c>
      <c r="Z135" s="202">
        <f t="shared" si="45"/>
        <v>45772</v>
      </c>
      <c r="AA135" s="18"/>
      <c r="AB135" s="244"/>
      <c r="AC135" s="247"/>
      <c r="AD135" s="142"/>
      <c r="AE135" s="18"/>
      <c r="AF135" s="18"/>
      <c r="AG135" s="203"/>
      <c r="AH135" s="203"/>
      <c r="AI135" s="18"/>
      <c r="AJ135" s="18"/>
      <c r="AK135" s="18"/>
      <c r="AL135" s="18"/>
      <c r="AM135" s="18"/>
      <c r="AN135" s="18"/>
    </row>
    <row r="136" spans="1:40" ht="20">
      <c r="A136" s="18"/>
      <c r="B136" s="151"/>
      <c r="C136" s="55">
        <v>116</v>
      </c>
      <c r="D136" s="54">
        <v>1</v>
      </c>
      <c r="E136" s="190">
        <f t="shared" si="34"/>
        <v>4</v>
      </c>
      <c r="F136" s="191">
        <f t="shared" si="35"/>
        <v>45773</v>
      </c>
      <c r="G136" s="192" t="str">
        <f t="shared" si="36"/>
        <v>Sat</v>
      </c>
      <c r="H136" s="193"/>
      <c r="I136" s="194"/>
      <c r="J136" s="307">
        <f>61970/B13</f>
        <v>561.62769621170924</v>
      </c>
      <c r="K136" s="215"/>
      <c r="L136" s="317">
        <f t="shared" si="37"/>
        <v>1895.0535669000853</v>
      </c>
      <c r="M136" s="318">
        <f t="shared" si="31"/>
        <v>-1333.4258706883761</v>
      </c>
      <c r="N136" s="41">
        <f t="shared" si="8"/>
        <v>0.29636507696741032</v>
      </c>
      <c r="O136" s="56"/>
      <c r="P136" s="317">
        <v>43886</v>
      </c>
      <c r="Q136" s="317">
        <f>IF(D136=0,0,SUM($J$111:J136))</f>
        <v>55915.171288743877</v>
      </c>
      <c r="R136" s="321">
        <f t="shared" si="32"/>
        <v>12029.171288743877</v>
      </c>
      <c r="S136" s="198">
        <f t="shared" si="38"/>
        <v>1.2741004258475113</v>
      </c>
      <c r="T136" s="207"/>
      <c r="U136" s="317">
        <f>IF(D136=0,0,SUM($L$21:L136))</f>
        <v>200766.39307597428</v>
      </c>
      <c r="V136" s="317">
        <f>IF(D136=0,0,SUM($J$21:J136))</f>
        <v>212351.45912633673</v>
      </c>
      <c r="W136" s="331">
        <f t="shared" si="33"/>
        <v>11585.066050362453</v>
      </c>
      <c r="X136" s="200">
        <f t="shared" si="39"/>
        <v>1.0577042097179004</v>
      </c>
      <c r="Y136" s="201">
        <f t="shared" si="45"/>
        <v>45773</v>
      </c>
      <c r="Z136" s="202">
        <f t="shared" si="45"/>
        <v>45773</v>
      </c>
      <c r="AA136" s="18"/>
      <c r="AB136" s="244"/>
      <c r="AC136" s="247"/>
      <c r="AD136" s="142"/>
      <c r="AE136" s="18"/>
      <c r="AF136" s="18"/>
      <c r="AG136" s="203"/>
      <c r="AH136" s="203"/>
      <c r="AI136" s="18"/>
      <c r="AJ136" s="18"/>
      <c r="AK136" s="18"/>
      <c r="AL136" s="18"/>
      <c r="AM136" s="18"/>
      <c r="AN136" s="18"/>
    </row>
    <row r="137" spans="1:40" ht="20">
      <c r="A137" s="18"/>
      <c r="B137" s="151"/>
      <c r="C137" s="55">
        <v>117</v>
      </c>
      <c r="D137" s="54">
        <v>0</v>
      </c>
      <c r="E137" s="190">
        <f t="shared" si="34"/>
        <v>4</v>
      </c>
      <c r="F137" s="191">
        <f t="shared" si="35"/>
        <v>45774</v>
      </c>
      <c r="G137" s="192" t="str">
        <f t="shared" si="36"/>
        <v>Sun</v>
      </c>
      <c r="H137" s="193"/>
      <c r="I137" s="194"/>
      <c r="J137" s="307"/>
      <c r="K137" s="215"/>
      <c r="L137" s="317">
        <f t="shared" si="37"/>
        <v>0</v>
      </c>
      <c r="M137" s="318">
        <f t="shared" si="31"/>
        <v>0</v>
      </c>
      <c r="N137" s="41" t="str">
        <f t="shared" si="8"/>
        <v>¥0</v>
      </c>
      <c r="O137" s="44"/>
      <c r="P137" s="317">
        <v>13930</v>
      </c>
      <c r="Q137" s="317">
        <f>IF(D137=0,0,SUM($J$111:J137))</f>
        <v>0</v>
      </c>
      <c r="R137" s="321">
        <f t="shared" si="32"/>
        <v>0</v>
      </c>
      <c r="S137" s="198">
        <f t="shared" si="38"/>
        <v>0</v>
      </c>
      <c r="T137" s="212"/>
      <c r="U137" s="317">
        <f>IF(D137=0,0,SUM($L$21:L137))</f>
        <v>0</v>
      </c>
      <c r="V137" s="317">
        <f>IF(D137=0,0,SUM($J$21:J137))</f>
        <v>0</v>
      </c>
      <c r="W137" s="331">
        <f t="shared" si="33"/>
        <v>0</v>
      </c>
      <c r="X137" s="200">
        <f t="shared" si="39"/>
        <v>0</v>
      </c>
      <c r="Y137" s="201">
        <f t="shared" si="45"/>
        <v>45774</v>
      </c>
      <c r="Z137" s="202">
        <f t="shared" si="45"/>
        <v>45774</v>
      </c>
      <c r="AA137" s="18"/>
      <c r="AB137" s="244"/>
      <c r="AC137" s="247"/>
      <c r="AD137" s="142"/>
      <c r="AE137" s="18"/>
      <c r="AF137" s="18"/>
      <c r="AG137" s="203"/>
      <c r="AH137" s="203"/>
      <c r="AI137" s="18"/>
      <c r="AJ137" s="18"/>
      <c r="AK137" s="18"/>
      <c r="AL137" s="18"/>
      <c r="AM137" s="18"/>
      <c r="AN137" s="18"/>
    </row>
    <row r="138" spans="1:40" ht="20">
      <c r="A138" s="18"/>
      <c r="B138" s="151"/>
      <c r="C138" s="55">
        <v>118</v>
      </c>
      <c r="D138" s="54">
        <v>1</v>
      </c>
      <c r="E138" s="190">
        <f t="shared" si="34"/>
        <v>4</v>
      </c>
      <c r="F138" s="191">
        <f t="shared" si="35"/>
        <v>45775</v>
      </c>
      <c r="G138" s="192" t="str">
        <f t="shared" si="36"/>
        <v>Mon</v>
      </c>
      <c r="H138" s="193"/>
      <c r="I138" s="194"/>
      <c r="J138" s="307">
        <f>324030/B13</f>
        <v>2936.6503534529634</v>
      </c>
      <c r="K138" s="215"/>
      <c r="L138" s="317">
        <f t="shared" si="37"/>
        <v>2146.0342799307637</v>
      </c>
      <c r="M138" s="318">
        <f t="shared" si="31"/>
        <v>790.61607352219971</v>
      </c>
      <c r="N138" s="41">
        <f t="shared" si="8"/>
        <v>1.3684079424619942</v>
      </c>
      <c r="O138" s="56"/>
      <c r="P138" s="317">
        <v>0</v>
      </c>
      <c r="Q138" s="317">
        <f>IF(D138=0,0,SUM($J$111:J138))</f>
        <v>58851.821642196839</v>
      </c>
      <c r="R138" s="321">
        <f t="shared" si="32"/>
        <v>58851.821642196839</v>
      </c>
      <c r="S138" s="198" t="e">
        <f t="shared" si="38"/>
        <v>#DIV/0!</v>
      </c>
      <c r="T138" s="207"/>
      <c r="U138" s="317">
        <f>IF(D138=0,0,SUM($L$21:L138))</f>
        <v>202912.42735590503</v>
      </c>
      <c r="V138" s="317">
        <f>IF(D138=0,0,SUM($J$21:J138))</f>
        <v>215288.10947978971</v>
      </c>
      <c r="W138" s="331">
        <f t="shared" si="33"/>
        <v>12375.682123884675</v>
      </c>
      <c r="X138" s="200">
        <f t="shared" si="39"/>
        <v>1.0609902620807838</v>
      </c>
      <c r="Y138" s="201">
        <f t="shared" si="45"/>
        <v>45775</v>
      </c>
      <c r="Z138" s="202">
        <f t="shared" si="45"/>
        <v>45775</v>
      </c>
      <c r="AA138" s="18"/>
      <c r="AB138" s="244"/>
      <c r="AC138" s="247"/>
      <c r="AD138" s="142"/>
      <c r="AE138" s="18"/>
      <c r="AF138" s="18"/>
      <c r="AG138" s="203"/>
      <c r="AH138" s="203"/>
      <c r="AI138" s="18"/>
      <c r="AJ138" s="18"/>
      <c r="AK138" s="18"/>
      <c r="AL138" s="18"/>
      <c r="AM138" s="18"/>
      <c r="AN138" s="18"/>
    </row>
    <row r="139" spans="1:40" ht="20">
      <c r="A139" s="18"/>
      <c r="B139" s="151"/>
      <c r="C139" s="55">
        <v>119</v>
      </c>
      <c r="D139" s="54">
        <v>0</v>
      </c>
      <c r="E139" s="190">
        <f t="shared" si="34"/>
        <v>4</v>
      </c>
      <c r="F139" s="191">
        <f t="shared" si="35"/>
        <v>45776</v>
      </c>
      <c r="G139" s="192" t="str">
        <f t="shared" si="36"/>
        <v>Tue</v>
      </c>
      <c r="H139" s="193" t="s">
        <v>171</v>
      </c>
      <c r="I139" s="194"/>
      <c r="J139" s="307"/>
      <c r="K139" s="215"/>
      <c r="L139" s="317">
        <f t="shared" si="37"/>
        <v>0</v>
      </c>
      <c r="M139" s="318">
        <f t="shared" si="31"/>
        <v>0</v>
      </c>
      <c r="N139" s="41" t="str">
        <f t="shared" si="8"/>
        <v>¥0</v>
      </c>
      <c r="O139" s="44"/>
      <c r="P139" s="317">
        <v>0</v>
      </c>
      <c r="Q139" s="317">
        <f>IF(D139=0,0,SUM($J$111:J139))</f>
        <v>0</v>
      </c>
      <c r="R139" s="321">
        <f t="shared" si="32"/>
        <v>0</v>
      </c>
      <c r="S139" s="198">
        <f t="shared" si="38"/>
        <v>0</v>
      </c>
      <c r="T139" s="212"/>
      <c r="U139" s="317">
        <f>IF(D139=0,0,SUM($L$21:L139))</f>
        <v>0</v>
      </c>
      <c r="V139" s="317">
        <f>IF(D139=0,0,SUM($J$21:J139))</f>
        <v>0</v>
      </c>
      <c r="W139" s="331">
        <f t="shared" si="33"/>
        <v>0</v>
      </c>
      <c r="X139" s="200">
        <f t="shared" si="39"/>
        <v>0</v>
      </c>
      <c r="Y139" s="201">
        <f t="shared" si="45"/>
        <v>45776</v>
      </c>
      <c r="Z139" s="202">
        <f t="shared" si="45"/>
        <v>45776</v>
      </c>
      <c r="AA139" s="18"/>
      <c r="AB139" s="244"/>
      <c r="AC139" s="247"/>
      <c r="AD139" s="142"/>
      <c r="AE139" s="18"/>
      <c r="AF139" s="18"/>
      <c r="AG139" s="203"/>
      <c r="AH139" s="203"/>
      <c r="AI139" s="18"/>
      <c r="AJ139" s="18"/>
      <c r="AK139" s="18"/>
      <c r="AL139" s="18"/>
      <c r="AM139" s="18"/>
      <c r="AN139" s="18"/>
    </row>
    <row r="140" spans="1:40" ht="21" thickBot="1">
      <c r="A140" s="18"/>
      <c r="B140" s="151"/>
      <c r="C140" s="216">
        <v>120</v>
      </c>
      <c r="D140" s="38">
        <v>1</v>
      </c>
      <c r="E140" s="217">
        <f t="shared" si="34"/>
        <v>4</v>
      </c>
      <c r="F140" s="218">
        <f t="shared" si="35"/>
        <v>45777</v>
      </c>
      <c r="G140" s="219" t="str">
        <f t="shared" si="36"/>
        <v>Wed</v>
      </c>
      <c r="H140" s="233"/>
      <c r="I140" s="221"/>
      <c r="J140" s="312">
        <f>269570/B13</f>
        <v>2443.0850099691861</v>
      </c>
      <c r="K140" s="223"/>
      <c r="L140" s="317">
        <f t="shared" si="37"/>
        <v>2200.5673166327024</v>
      </c>
      <c r="M140" s="320">
        <f t="shared" si="31"/>
        <v>242.51769333648372</v>
      </c>
      <c r="N140" s="234">
        <f t="shared" si="8"/>
        <v>1.110206895968801</v>
      </c>
      <c r="O140" s="226"/>
      <c r="P140" s="322">
        <v>0</v>
      </c>
      <c r="Q140" s="323">
        <f>IF(D140=0,0,SUM($J$111:J140))</f>
        <v>61294.906652166028</v>
      </c>
      <c r="R140" s="320">
        <f t="shared" si="32"/>
        <v>61294.906652166028</v>
      </c>
      <c r="S140" s="228" t="e">
        <f t="shared" si="38"/>
        <v>#DIV/0!</v>
      </c>
      <c r="T140" s="229"/>
      <c r="U140" s="332">
        <f>IF(D140=0,0,SUM($L$21:L140))</f>
        <v>205112.99467253772</v>
      </c>
      <c r="V140" s="323">
        <f>IF(D140=0,0,SUM($J$21:J140))</f>
        <v>217731.1944897589</v>
      </c>
      <c r="W140" s="333">
        <f t="shared" si="33"/>
        <v>12618.199817221175</v>
      </c>
      <c r="X140" s="230">
        <f t="shared" si="39"/>
        <v>1.0615182857495991</v>
      </c>
      <c r="Y140" s="201">
        <f t="shared" si="45"/>
        <v>45777</v>
      </c>
      <c r="Z140" s="202">
        <f t="shared" si="45"/>
        <v>45777</v>
      </c>
      <c r="AA140" s="18"/>
      <c r="AB140" s="244"/>
      <c r="AC140" s="247"/>
      <c r="AD140" s="142"/>
      <c r="AE140" s="18"/>
      <c r="AF140" s="18"/>
      <c r="AG140" s="203"/>
      <c r="AH140" s="203"/>
      <c r="AI140" s="18"/>
      <c r="AJ140" s="18"/>
      <c r="AK140" s="18"/>
      <c r="AL140" s="18"/>
      <c r="AM140" s="18"/>
      <c r="AN140" s="18"/>
    </row>
    <row r="141" spans="1:40" ht="21" thickTop="1">
      <c r="A141" s="18"/>
      <c r="B141" s="151"/>
      <c r="C141" s="55">
        <v>121</v>
      </c>
      <c r="D141" s="62">
        <v>1</v>
      </c>
      <c r="E141" s="190">
        <f t="shared" si="34"/>
        <v>5</v>
      </c>
      <c r="F141" s="191">
        <f t="shared" si="35"/>
        <v>45778</v>
      </c>
      <c r="G141" s="192" t="str">
        <f t="shared" si="36"/>
        <v>Thu</v>
      </c>
      <c r="H141" s="193"/>
      <c r="I141" s="194"/>
      <c r="J141" s="307">
        <f>234876/B13</f>
        <v>2128.6568787384449</v>
      </c>
      <c r="K141" s="215"/>
      <c r="L141" s="317">
        <f t="shared" si="37"/>
        <v>1957.7534476230787</v>
      </c>
      <c r="M141" s="321">
        <f t="shared" si="31"/>
        <v>170.90343111536617</v>
      </c>
      <c r="N141" s="60">
        <f t="shared" si="8"/>
        <v>1.0872956864526844</v>
      </c>
      <c r="O141" s="56"/>
      <c r="P141" s="317">
        <v>0</v>
      </c>
      <c r="Q141" s="317">
        <f>IF(D141=0,0,$J$141)</f>
        <v>2128.6568787384449</v>
      </c>
      <c r="R141" s="321">
        <f t="shared" si="32"/>
        <v>2128.6568787384449</v>
      </c>
      <c r="S141" s="231" t="e">
        <f t="shared" si="38"/>
        <v>#DIV/0!</v>
      </c>
      <c r="T141" s="207"/>
      <c r="U141" s="317">
        <f>IF(D141=0,0,SUM($L$21:L141))</f>
        <v>207070.7481201608</v>
      </c>
      <c r="V141" s="317">
        <f>IF(D141=0,0,SUM($J$21:J141))</f>
        <v>219859.85136849733</v>
      </c>
      <c r="W141" s="331">
        <f t="shared" si="33"/>
        <v>12789.103248336527</v>
      </c>
      <c r="X141" s="232">
        <f t="shared" si="39"/>
        <v>1.0617619985654139</v>
      </c>
      <c r="Y141" s="201">
        <f t="shared" si="45"/>
        <v>45778</v>
      </c>
      <c r="Z141" s="202">
        <f t="shared" si="45"/>
        <v>45778</v>
      </c>
      <c r="AA141" s="18"/>
      <c r="AB141" s="244"/>
      <c r="AC141" s="247"/>
      <c r="AD141" s="142"/>
      <c r="AE141" s="18"/>
      <c r="AF141" s="18"/>
      <c r="AG141" s="203"/>
      <c r="AH141" s="203"/>
      <c r="AI141" s="18"/>
      <c r="AJ141" s="18"/>
      <c r="AK141" s="18"/>
      <c r="AL141" s="18"/>
      <c r="AM141" s="18"/>
      <c r="AN141" s="18"/>
    </row>
    <row r="142" spans="1:40" ht="20">
      <c r="A142" s="18"/>
      <c r="B142" s="151"/>
      <c r="C142" s="55">
        <v>122</v>
      </c>
      <c r="D142" s="54">
        <v>1</v>
      </c>
      <c r="E142" s="190">
        <f t="shared" si="34"/>
        <v>5</v>
      </c>
      <c r="F142" s="191">
        <f t="shared" si="35"/>
        <v>45779</v>
      </c>
      <c r="G142" s="192" t="str">
        <f t="shared" si="36"/>
        <v>Fri</v>
      </c>
      <c r="H142" s="193"/>
      <c r="I142" s="194"/>
      <c r="J142" s="307">
        <f>334578/B13</f>
        <v>3032.2457857531267</v>
      </c>
      <c r="K142" s="215"/>
      <c r="L142" s="317">
        <f t="shared" si="37"/>
        <v>2487.0498002383574</v>
      </c>
      <c r="M142" s="318">
        <f t="shared" si="31"/>
        <v>545.19598551476929</v>
      </c>
      <c r="N142" s="41">
        <f t="shared" si="8"/>
        <v>1.2192139399309647</v>
      </c>
      <c r="O142" s="56"/>
      <c r="P142" s="317">
        <v>21683</v>
      </c>
      <c r="Q142" s="317">
        <f>IF(D142=0,0,SUM($J$141:J142))</f>
        <v>5160.9026644915721</v>
      </c>
      <c r="R142" s="321">
        <f t="shared" si="32"/>
        <v>-16522.097335508428</v>
      </c>
      <c r="S142" s="198">
        <f t="shared" si="38"/>
        <v>0.23801608008539279</v>
      </c>
      <c r="T142" s="207"/>
      <c r="U142" s="317">
        <f>IF(D142=0,0,SUM($L$21:L142))</f>
        <v>209557.79792039917</v>
      </c>
      <c r="V142" s="317">
        <f>IF(D142=0,0,SUM($J$21:J142))</f>
        <v>222892.09715425046</v>
      </c>
      <c r="W142" s="331">
        <f t="shared" si="33"/>
        <v>13334.299233851285</v>
      </c>
      <c r="X142" s="200">
        <f t="shared" si="39"/>
        <v>1.0636306516205918</v>
      </c>
      <c r="Y142" s="201">
        <f t="shared" si="45"/>
        <v>45779</v>
      </c>
      <c r="Z142" s="202">
        <f t="shared" si="45"/>
        <v>45779</v>
      </c>
      <c r="AA142" s="18"/>
      <c r="AB142" s="244"/>
      <c r="AC142" s="247"/>
      <c r="AD142" s="142"/>
      <c r="AE142" s="18"/>
      <c r="AF142" s="18"/>
      <c r="AG142" s="203"/>
      <c r="AH142" s="203"/>
      <c r="AI142" s="18"/>
      <c r="AJ142" s="18"/>
      <c r="AK142" s="18"/>
      <c r="AL142" s="18"/>
      <c r="AM142" s="18"/>
      <c r="AN142" s="18"/>
    </row>
    <row r="143" spans="1:40" ht="20">
      <c r="A143" s="18"/>
      <c r="B143" s="151"/>
      <c r="C143" s="55">
        <v>123</v>
      </c>
      <c r="D143" s="54">
        <v>0</v>
      </c>
      <c r="E143" s="190">
        <f t="shared" si="34"/>
        <v>5</v>
      </c>
      <c r="F143" s="191">
        <f t="shared" si="35"/>
        <v>45780</v>
      </c>
      <c r="G143" s="192" t="str">
        <f t="shared" si="36"/>
        <v>Sat</v>
      </c>
      <c r="H143" s="193" t="s">
        <v>172</v>
      </c>
      <c r="I143" s="194"/>
      <c r="J143" s="307"/>
      <c r="K143" s="215"/>
      <c r="L143" s="317">
        <f t="shared" si="37"/>
        <v>0</v>
      </c>
      <c r="M143" s="318">
        <f t="shared" si="31"/>
        <v>0</v>
      </c>
      <c r="N143" s="41" t="str">
        <f t="shared" si="8"/>
        <v>¥0</v>
      </c>
      <c r="O143" s="44"/>
      <c r="P143" s="317">
        <v>22550</v>
      </c>
      <c r="Q143" s="317">
        <f>IF(D143=0,0,SUM($J$141:J143))</f>
        <v>0</v>
      </c>
      <c r="R143" s="321">
        <f t="shared" si="32"/>
        <v>0</v>
      </c>
      <c r="S143" s="198">
        <f t="shared" si="38"/>
        <v>0</v>
      </c>
      <c r="T143" s="212"/>
      <c r="U143" s="317">
        <f>IF(D143=0,0,SUM($L$21:L143))</f>
        <v>0</v>
      </c>
      <c r="V143" s="317">
        <f>IF(D143=0,0,SUM($J$21:J143))</f>
        <v>0</v>
      </c>
      <c r="W143" s="331">
        <f t="shared" si="33"/>
        <v>0</v>
      </c>
      <c r="X143" s="200">
        <f t="shared" si="39"/>
        <v>0</v>
      </c>
      <c r="Y143" s="201">
        <f t="shared" si="45"/>
        <v>45780</v>
      </c>
      <c r="Z143" s="202">
        <f t="shared" si="45"/>
        <v>45780</v>
      </c>
      <c r="AA143" s="18"/>
      <c r="AB143" s="244"/>
      <c r="AC143" s="247"/>
      <c r="AD143" s="142"/>
      <c r="AE143" s="18"/>
      <c r="AF143" s="18"/>
      <c r="AG143" s="203"/>
      <c r="AH143" s="203"/>
      <c r="AI143" s="18"/>
      <c r="AJ143" s="18"/>
      <c r="AK143" s="18"/>
      <c r="AL143" s="18"/>
      <c r="AM143" s="18"/>
      <c r="AN143" s="18"/>
    </row>
    <row r="144" spans="1:40" ht="20">
      <c r="A144" s="18"/>
      <c r="B144" s="151"/>
      <c r="C144" s="55">
        <v>124</v>
      </c>
      <c r="D144" s="54">
        <v>0</v>
      </c>
      <c r="E144" s="190">
        <f t="shared" si="34"/>
        <v>5</v>
      </c>
      <c r="F144" s="191">
        <f t="shared" si="35"/>
        <v>45781</v>
      </c>
      <c r="G144" s="192" t="str">
        <f t="shared" si="36"/>
        <v>Sun</v>
      </c>
      <c r="H144" s="193" t="s">
        <v>173</v>
      </c>
      <c r="I144" s="194"/>
      <c r="J144" s="307"/>
      <c r="K144" s="215"/>
      <c r="L144" s="317">
        <f t="shared" si="37"/>
        <v>0</v>
      </c>
      <c r="M144" s="318">
        <f t="shared" si="31"/>
        <v>0</v>
      </c>
      <c r="N144" s="41" t="str">
        <f t="shared" si="8"/>
        <v>¥0</v>
      </c>
      <c r="O144" s="44"/>
      <c r="P144" s="317">
        <v>34995</v>
      </c>
      <c r="Q144" s="317">
        <f>IF(D144=0,0,SUM($J$141:J144))</f>
        <v>0</v>
      </c>
      <c r="R144" s="321">
        <f t="shared" si="32"/>
        <v>0</v>
      </c>
      <c r="S144" s="198">
        <f t="shared" si="38"/>
        <v>0</v>
      </c>
      <c r="T144" s="212"/>
      <c r="U144" s="317">
        <f>IF(D144=0,0,SUM($L$21:L144))</f>
        <v>0</v>
      </c>
      <c r="V144" s="317">
        <f>IF(D144=0,0,SUM($J$21:J144))</f>
        <v>0</v>
      </c>
      <c r="W144" s="331">
        <f t="shared" si="33"/>
        <v>0</v>
      </c>
      <c r="X144" s="200">
        <f t="shared" si="39"/>
        <v>0</v>
      </c>
      <c r="Y144" s="201">
        <f t="shared" si="45"/>
        <v>45781</v>
      </c>
      <c r="Z144" s="202">
        <f t="shared" si="45"/>
        <v>45781</v>
      </c>
      <c r="AA144" s="18"/>
      <c r="AB144" s="244"/>
      <c r="AC144" s="247"/>
      <c r="AD144" s="142"/>
      <c r="AE144" s="18"/>
      <c r="AF144" s="18"/>
      <c r="AG144" s="203"/>
      <c r="AH144" s="203"/>
      <c r="AI144" s="18"/>
      <c r="AJ144" s="18"/>
      <c r="AK144" s="18"/>
      <c r="AL144" s="18"/>
      <c r="AM144" s="18"/>
      <c r="AN144" s="18"/>
    </row>
    <row r="145" spans="1:40" ht="20">
      <c r="A145" s="18"/>
      <c r="B145" s="151"/>
      <c r="C145" s="55">
        <v>125</v>
      </c>
      <c r="D145" s="54">
        <v>0</v>
      </c>
      <c r="E145" s="190">
        <f t="shared" si="34"/>
        <v>5</v>
      </c>
      <c r="F145" s="191">
        <f t="shared" si="35"/>
        <v>45782</v>
      </c>
      <c r="G145" s="192" t="str">
        <f t="shared" si="36"/>
        <v>Mon</v>
      </c>
      <c r="H145" s="193" t="s">
        <v>174</v>
      </c>
      <c r="I145" s="194"/>
      <c r="J145" s="307"/>
      <c r="K145" s="215"/>
      <c r="L145" s="317">
        <f t="shared" si="37"/>
        <v>0</v>
      </c>
      <c r="M145" s="318">
        <f t="shared" si="31"/>
        <v>0</v>
      </c>
      <c r="N145" s="41" t="str">
        <f t="shared" si="8"/>
        <v>¥0</v>
      </c>
      <c r="O145" s="44"/>
      <c r="P145" s="317">
        <v>0</v>
      </c>
      <c r="Q145" s="317">
        <f>IF(D145=0,0,SUM($J$141:J145))</f>
        <v>0</v>
      </c>
      <c r="R145" s="321">
        <f t="shared" si="32"/>
        <v>0</v>
      </c>
      <c r="S145" s="198">
        <f t="shared" si="38"/>
        <v>0</v>
      </c>
      <c r="T145" s="212"/>
      <c r="U145" s="317">
        <f>IF(D145=0,0,SUM($L$21:L145))</f>
        <v>0</v>
      </c>
      <c r="V145" s="317">
        <f>IF(D145=0,0,SUM($J$21:J145))</f>
        <v>0</v>
      </c>
      <c r="W145" s="331">
        <f t="shared" si="33"/>
        <v>0</v>
      </c>
      <c r="X145" s="200">
        <f t="shared" si="39"/>
        <v>0</v>
      </c>
      <c r="Y145" s="201">
        <f t="shared" si="45"/>
        <v>45782</v>
      </c>
      <c r="Z145" s="202">
        <f t="shared" si="45"/>
        <v>45782</v>
      </c>
      <c r="AA145" s="18"/>
      <c r="AB145" s="244"/>
      <c r="AC145" s="247"/>
      <c r="AD145" s="142"/>
      <c r="AE145" s="18"/>
      <c r="AF145" s="18"/>
      <c r="AG145" s="203"/>
      <c r="AH145" s="203"/>
      <c r="AI145" s="18"/>
      <c r="AJ145" s="18"/>
      <c r="AK145" s="18"/>
      <c r="AL145" s="18"/>
      <c r="AM145" s="18"/>
      <c r="AN145" s="18"/>
    </row>
    <row r="146" spans="1:40" ht="20">
      <c r="A146" s="18"/>
      <c r="B146" s="151"/>
      <c r="C146" s="55">
        <v>126</v>
      </c>
      <c r="D146" s="54">
        <v>0</v>
      </c>
      <c r="E146" s="190">
        <f t="shared" si="34"/>
        <v>5</v>
      </c>
      <c r="F146" s="191">
        <f t="shared" si="35"/>
        <v>45783</v>
      </c>
      <c r="G146" s="192" t="str">
        <f t="shared" si="36"/>
        <v>Tue</v>
      </c>
      <c r="H146" s="193" t="s">
        <v>175</v>
      </c>
      <c r="I146" s="194"/>
      <c r="J146" s="307"/>
      <c r="K146" s="215"/>
      <c r="L146" s="317">
        <f t="shared" si="37"/>
        <v>0</v>
      </c>
      <c r="M146" s="318">
        <f t="shared" si="31"/>
        <v>0</v>
      </c>
      <c r="N146" s="41" t="str">
        <f t="shared" si="8"/>
        <v>¥0</v>
      </c>
      <c r="O146" s="44"/>
      <c r="P146" s="317">
        <v>0</v>
      </c>
      <c r="Q146" s="317">
        <f>IF(D146=0,0,SUM($J$141:J146))</f>
        <v>0</v>
      </c>
      <c r="R146" s="321">
        <f t="shared" si="32"/>
        <v>0</v>
      </c>
      <c r="S146" s="198">
        <f t="shared" si="38"/>
        <v>0</v>
      </c>
      <c r="T146" s="212"/>
      <c r="U146" s="317">
        <f>IF(D146=0,0,SUM($L$21:L146))</f>
        <v>0</v>
      </c>
      <c r="V146" s="317">
        <f>IF(D146=0,0,SUM($J$21:J146))</f>
        <v>0</v>
      </c>
      <c r="W146" s="331">
        <f t="shared" si="33"/>
        <v>0</v>
      </c>
      <c r="X146" s="200">
        <f t="shared" si="39"/>
        <v>0</v>
      </c>
      <c r="Y146" s="201">
        <f t="shared" si="45"/>
        <v>45783</v>
      </c>
      <c r="Z146" s="202">
        <f t="shared" si="45"/>
        <v>45783</v>
      </c>
      <c r="AA146" s="18"/>
      <c r="AB146" s="244"/>
      <c r="AC146" s="247"/>
      <c r="AD146" s="142"/>
      <c r="AE146" s="18"/>
      <c r="AF146" s="18"/>
      <c r="AG146" s="203"/>
      <c r="AH146" s="203"/>
      <c r="AI146" s="18"/>
      <c r="AJ146" s="18"/>
      <c r="AK146" s="18"/>
      <c r="AL146" s="18"/>
      <c r="AM146" s="18"/>
      <c r="AN146" s="18"/>
    </row>
    <row r="147" spans="1:40" ht="20">
      <c r="A147" s="18"/>
      <c r="B147" s="151"/>
      <c r="C147" s="55">
        <v>127</v>
      </c>
      <c r="D147" s="54">
        <v>1</v>
      </c>
      <c r="E147" s="190">
        <f t="shared" si="34"/>
        <v>5</v>
      </c>
      <c r="F147" s="191">
        <f t="shared" si="35"/>
        <v>45784</v>
      </c>
      <c r="G147" s="192" t="str">
        <f t="shared" si="36"/>
        <v>Wed</v>
      </c>
      <c r="H147" s="193"/>
      <c r="I147" s="194"/>
      <c r="J147" s="307">
        <f>456990/B13</f>
        <v>4141.6530723219139</v>
      </c>
      <c r="K147" s="215"/>
      <c r="L147" s="317">
        <f t="shared" si="37"/>
        <v>3561.3170211468218</v>
      </c>
      <c r="M147" s="318">
        <f t="shared" si="31"/>
        <v>580.33605117509205</v>
      </c>
      <c r="N147" s="41">
        <f t="shared" si="8"/>
        <v>1.1629554593789606</v>
      </c>
      <c r="O147" s="56"/>
      <c r="P147" s="317">
        <v>2860</v>
      </c>
      <c r="Q147" s="317">
        <f>IF(D147=0,0,SUM($J$141:J147))</f>
        <v>9302.5557368134869</v>
      </c>
      <c r="R147" s="321">
        <f t="shared" si="32"/>
        <v>6442.5557368134869</v>
      </c>
      <c r="S147" s="198">
        <f t="shared" si="38"/>
        <v>3.2526418660187018</v>
      </c>
      <c r="T147" s="207"/>
      <c r="U147" s="317">
        <f>IF(D147=0,0,SUM($L$21:L147))</f>
        <v>213119.11494154599</v>
      </c>
      <c r="V147" s="317">
        <f>IF(D147=0,0,SUM($J$21:J147))</f>
        <v>227033.75022657236</v>
      </c>
      <c r="W147" s="331">
        <f t="shared" si="33"/>
        <v>13914.635285026365</v>
      </c>
      <c r="X147" s="200">
        <f t="shared" si="39"/>
        <v>1.0652904141838373</v>
      </c>
      <c r="Y147" s="201">
        <f t="shared" si="45"/>
        <v>45784</v>
      </c>
      <c r="Z147" s="202">
        <f t="shared" si="45"/>
        <v>45784</v>
      </c>
      <c r="AA147" s="18"/>
      <c r="AB147" s="244"/>
      <c r="AC147" s="247"/>
      <c r="AD147" s="142"/>
      <c r="AE147" s="18"/>
      <c r="AF147" s="18"/>
      <c r="AG147" s="203"/>
      <c r="AH147" s="203"/>
      <c r="AI147" s="18"/>
      <c r="AJ147" s="18"/>
      <c r="AK147" s="18"/>
      <c r="AL147" s="18"/>
      <c r="AM147" s="18"/>
      <c r="AN147" s="18"/>
    </row>
    <row r="148" spans="1:40" ht="20">
      <c r="A148" s="18"/>
      <c r="B148" s="151"/>
      <c r="C148" s="55">
        <v>128</v>
      </c>
      <c r="D148" s="54">
        <v>1</v>
      </c>
      <c r="E148" s="190">
        <f t="shared" si="34"/>
        <v>5</v>
      </c>
      <c r="F148" s="191">
        <f t="shared" si="35"/>
        <v>45785</v>
      </c>
      <c r="G148" s="192" t="str">
        <f t="shared" si="36"/>
        <v>Thu</v>
      </c>
      <c r="H148" s="193"/>
      <c r="I148" s="194"/>
      <c r="J148" s="307">
        <f>236550/B13</f>
        <v>2143.8281674823274</v>
      </c>
      <c r="K148" s="215"/>
      <c r="L148" s="317">
        <f t="shared" si="37"/>
        <v>1957.7534476230787</v>
      </c>
      <c r="M148" s="318">
        <f t="shared" si="31"/>
        <v>186.07471985924872</v>
      </c>
      <c r="N148" s="41">
        <f t="shared" si="8"/>
        <v>1.0950450221835457</v>
      </c>
      <c r="O148" s="56"/>
      <c r="P148" s="317">
        <v>23745</v>
      </c>
      <c r="Q148" s="317">
        <f>IF(D148=0,0,SUM($J$141:J148))</f>
        <v>11446.383904295813</v>
      </c>
      <c r="R148" s="321">
        <f t="shared" si="32"/>
        <v>-12298.616095704187</v>
      </c>
      <c r="S148" s="198">
        <f t="shared" si="38"/>
        <v>0.48205449165280329</v>
      </c>
      <c r="T148" s="207"/>
      <c r="U148" s="317">
        <f>IF(D148=0,0,SUM($L$21:L148))</f>
        <v>215076.86838916907</v>
      </c>
      <c r="V148" s="317">
        <f>IF(D148=0,0,SUM($J$21:J148))</f>
        <v>229177.5783940547</v>
      </c>
      <c r="W148" s="331">
        <f t="shared" si="33"/>
        <v>14100.710004885623</v>
      </c>
      <c r="X148" s="200">
        <f t="shared" si="39"/>
        <v>1.065561257751676</v>
      </c>
      <c r="Y148" s="201">
        <f t="shared" si="45"/>
        <v>45785</v>
      </c>
      <c r="Z148" s="202">
        <f t="shared" si="45"/>
        <v>45785</v>
      </c>
      <c r="AA148" s="18"/>
      <c r="AB148" s="244"/>
      <c r="AC148" s="247"/>
      <c r="AD148" s="142"/>
      <c r="AE148" s="18"/>
      <c r="AF148" s="18"/>
      <c r="AG148" s="203"/>
      <c r="AH148" s="203"/>
      <c r="AI148" s="18"/>
      <c r="AJ148" s="18"/>
      <c r="AK148" s="18"/>
      <c r="AL148" s="18"/>
      <c r="AM148" s="18"/>
      <c r="AN148" s="18"/>
    </row>
    <row r="149" spans="1:40" ht="20">
      <c r="A149" s="18"/>
      <c r="B149" s="151"/>
      <c r="C149" s="55">
        <v>129</v>
      </c>
      <c r="D149" s="54">
        <v>1</v>
      </c>
      <c r="E149" s="190">
        <f t="shared" si="34"/>
        <v>5</v>
      </c>
      <c r="F149" s="191">
        <f t="shared" si="35"/>
        <v>45786</v>
      </c>
      <c r="G149" s="192" t="str">
        <f t="shared" si="36"/>
        <v>Fri</v>
      </c>
      <c r="H149" s="193"/>
      <c r="I149" s="194"/>
      <c r="J149" s="307">
        <f>445678/B13</f>
        <v>4039.1335870944354</v>
      </c>
      <c r="K149" s="215"/>
      <c r="L149" s="317">
        <f t="shared" si="37"/>
        <v>2487.0498002383574</v>
      </c>
      <c r="M149" s="318">
        <f t="shared" ref="M149:M212" si="46">IF(D149=0,0,J149-L149)</f>
        <v>1552.0837868560779</v>
      </c>
      <c r="N149" s="41">
        <f t="shared" si="8"/>
        <v>1.624066227667547</v>
      </c>
      <c r="O149" s="56"/>
      <c r="P149" s="317">
        <v>18175</v>
      </c>
      <c r="Q149" s="317">
        <f>IF(D149=0,0,SUM($J$141:J149))</f>
        <v>15485.517491390248</v>
      </c>
      <c r="R149" s="321">
        <f t="shared" ref="R149:R212" si="47">IF(D149=0,0,Q149-P149)</f>
        <v>-2689.4825086097517</v>
      </c>
      <c r="S149" s="198">
        <f t="shared" si="38"/>
        <v>0.85202297064045385</v>
      </c>
      <c r="T149" s="207"/>
      <c r="U149" s="317">
        <f>IF(D149=0,0,SUM($L$21:L149))</f>
        <v>217563.91818940744</v>
      </c>
      <c r="V149" s="317">
        <f>IF(D149=0,0,SUM($J$21:J149))</f>
        <v>233216.71198114913</v>
      </c>
      <c r="W149" s="331">
        <f t="shared" ref="W149:W212" si="48">IF(D149=0,0,V149-U149)</f>
        <v>15652.793791741686</v>
      </c>
      <c r="X149" s="200">
        <f t="shared" si="39"/>
        <v>1.071945724833447</v>
      </c>
      <c r="Y149" s="201">
        <f t="shared" si="45"/>
        <v>45786</v>
      </c>
      <c r="Z149" s="202">
        <f t="shared" si="45"/>
        <v>45786</v>
      </c>
      <c r="AA149" s="18"/>
      <c r="AB149" s="244"/>
      <c r="AC149" s="247"/>
      <c r="AD149" s="142"/>
      <c r="AE149" s="18"/>
      <c r="AF149" s="18"/>
      <c r="AG149" s="203"/>
      <c r="AH149" s="203"/>
      <c r="AI149" s="18"/>
      <c r="AJ149" s="18"/>
      <c r="AK149" s="18"/>
      <c r="AL149" s="18"/>
      <c r="AM149" s="18"/>
      <c r="AN149" s="18"/>
    </row>
    <row r="150" spans="1:40" ht="20">
      <c r="A150" s="18"/>
      <c r="B150" s="151"/>
      <c r="C150" s="55">
        <v>130</v>
      </c>
      <c r="D150" s="54">
        <v>1</v>
      </c>
      <c r="E150" s="190">
        <f t="shared" ref="E150:E213" si="49">MONTH(Y150)</f>
        <v>5</v>
      </c>
      <c r="F150" s="191">
        <f t="shared" ref="F150:F213" si="50">F149+1</f>
        <v>45787</v>
      </c>
      <c r="G150" s="192" t="str">
        <f t="shared" ref="G150:G213" si="51">TEXT(Z150,"ddd")</f>
        <v>Sat</v>
      </c>
      <c r="H150" s="193"/>
      <c r="I150" s="194"/>
      <c r="J150" s="307">
        <f>156789/B13</f>
        <v>1420.9624796084829</v>
      </c>
      <c r="K150" s="215"/>
      <c r="L150" s="317">
        <f t="shared" ref="L150:L213" si="52">IF(D150=0,0,IFERROR(SUMIFS($AE$21:$AE$104,$AA$21:$AA$104,$E150,$AB$21:$AB$104,$G150),0))</f>
        <v>921.86314334037752</v>
      </c>
      <c r="M150" s="318">
        <f t="shared" si="46"/>
        <v>499.09933626810539</v>
      </c>
      <c r="N150" s="41">
        <f t="shared" si="8"/>
        <v>1.5414028534209703</v>
      </c>
      <c r="O150" s="56"/>
      <c r="P150" s="317">
        <v>28564</v>
      </c>
      <c r="Q150" s="317">
        <f>IF(D150=0,0,SUM($J$141:J150))</f>
        <v>16906.479970998731</v>
      </c>
      <c r="R150" s="321">
        <f t="shared" si="47"/>
        <v>-11657.520029001269</v>
      </c>
      <c r="S150" s="198">
        <f t="shared" ref="S150:S213" si="53">IF(D150=0,0,Q150/P150)</f>
        <v>0.5918806879638262</v>
      </c>
      <c r="T150" s="207"/>
      <c r="U150" s="317">
        <f>IF(D150=0,0,SUM($L$21:L150))</f>
        <v>218485.78133274781</v>
      </c>
      <c r="V150" s="317">
        <f>IF(D150=0,0,SUM($J$21:J150))</f>
        <v>234637.67446075761</v>
      </c>
      <c r="W150" s="331">
        <f t="shared" si="48"/>
        <v>16151.893128009804</v>
      </c>
      <c r="X150" s="200">
        <f t="shared" ref="X150:X213" si="54">IF(D150=0,0,V150/U150)</f>
        <v>1.073926518373344</v>
      </c>
      <c r="Y150" s="201">
        <f t="shared" si="45"/>
        <v>45787</v>
      </c>
      <c r="Z150" s="202">
        <f t="shared" si="45"/>
        <v>45787</v>
      </c>
      <c r="AA150" s="18"/>
      <c r="AB150" s="244"/>
      <c r="AC150" s="247"/>
      <c r="AD150" s="142"/>
      <c r="AE150" s="18"/>
      <c r="AF150" s="18"/>
      <c r="AG150" s="203"/>
      <c r="AH150" s="203"/>
      <c r="AI150" s="18"/>
      <c r="AJ150" s="18"/>
      <c r="AK150" s="18"/>
      <c r="AL150" s="18"/>
      <c r="AM150" s="18"/>
      <c r="AN150" s="18"/>
    </row>
    <row r="151" spans="1:40" ht="20">
      <c r="A151" s="18"/>
      <c r="B151" s="151"/>
      <c r="C151" s="55">
        <v>131</v>
      </c>
      <c r="D151" s="54">
        <v>0</v>
      </c>
      <c r="E151" s="190">
        <f t="shared" si="49"/>
        <v>5</v>
      </c>
      <c r="F151" s="191">
        <f t="shared" si="50"/>
        <v>45788</v>
      </c>
      <c r="G151" s="192" t="str">
        <f t="shared" si="51"/>
        <v>Sun</v>
      </c>
      <c r="H151" s="193"/>
      <c r="I151" s="194"/>
      <c r="J151" s="307"/>
      <c r="K151" s="215"/>
      <c r="L151" s="317">
        <f t="shared" si="52"/>
        <v>0</v>
      </c>
      <c r="M151" s="318">
        <f t="shared" si="46"/>
        <v>0</v>
      </c>
      <c r="N151" s="41" t="str">
        <f t="shared" si="8"/>
        <v>¥0</v>
      </c>
      <c r="O151" s="44"/>
      <c r="P151" s="317">
        <v>43891</v>
      </c>
      <c r="Q151" s="317">
        <f>IF(D151=0,0,SUM($J$141:J151))</f>
        <v>0</v>
      </c>
      <c r="R151" s="321">
        <f t="shared" si="47"/>
        <v>0</v>
      </c>
      <c r="S151" s="198">
        <f t="shared" si="53"/>
        <v>0</v>
      </c>
      <c r="T151" s="212"/>
      <c r="U151" s="317">
        <f>IF(D151=0,0,SUM($L$21:L151))</f>
        <v>0</v>
      </c>
      <c r="V151" s="317">
        <f>IF(D151=0,0,SUM($J$21:J151))</f>
        <v>0</v>
      </c>
      <c r="W151" s="331">
        <f t="shared" si="48"/>
        <v>0</v>
      </c>
      <c r="X151" s="200">
        <f t="shared" si="54"/>
        <v>0</v>
      </c>
      <c r="Y151" s="201">
        <f t="shared" ref="Y151:Z166" si="55">Y150+1</f>
        <v>45788</v>
      </c>
      <c r="Z151" s="202">
        <f t="shared" si="55"/>
        <v>45788</v>
      </c>
      <c r="AA151" s="18"/>
      <c r="AB151" s="244"/>
      <c r="AC151" s="247"/>
      <c r="AD151" s="142"/>
      <c r="AE151" s="18"/>
      <c r="AF151" s="18"/>
      <c r="AG151" s="203"/>
      <c r="AH151" s="203"/>
      <c r="AI151" s="18"/>
      <c r="AJ151" s="18"/>
      <c r="AK151" s="18"/>
      <c r="AL151" s="18"/>
      <c r="AM151" s="18"/>
      <c r="AN151" s="18"/>
    </row>
    <row r="152" spans="1:40" ht="20">
      <c r="A152" s="18"/>
      <c r="B152" s="151"/>
      <c r="C152" s="55">
        <v>132</v>
      </c>
      <c r="D152" s="54">
        <v>1</v>
      </c>
      <c r="E152" s="190">
        <f t="shared" si="49"/>
        <v>5</v>
      </c>
      <c r="F152" s="191">
        <f t="shared" si="50"/>
        <v>45789</v>
      </c>
      <c r="G152" s="192" t="str">
        <f t="shared" si="51"/>
        <v>Mon</v>
      </c>
      <c r="H152" s="193"/>
      <c r="I152" s="194"/>
      <c r="J152" s="307">
        <f>321456/B13</f>
        <v>2913.3224578575314</v>
      </c>
      <c r="K152" s="215"/>
      <c r="L152" s="317">
        <f t="shared" si="52"/>
        <v>2119.334855308291</v>
      </c>
      <c r="M152" s="318">
        <f t="shared" si="46"/>
        <v>793.98760254924036</v>
      </c>
      <c r="N152" s="41">
        <f t="shared" si="8"/>
        <v>1.3746399963934639</v>
      </c>
      <c r="O152" s="56"/>
      <c r="P152" s="317">
        <v>22286</v>
      </c>
      <c r="Q152" s="317">
        <f>IF(D152=0,0,SUM($J$141:J152))</f>
        <v>19819.802428856263</v>
      </c>
      <c r="R152" s="321">
        <f t="shared" si="47"/>
        <v>-2466.1975711437372</v>
      </c>
      <c r="S152" s="198">
        <f t="shared" si="53"/>
        <v>0.88933870720884245</v>
      </c>
      <c r="T152" s="207"/>
      <c r="U152" s="317">
        <f>IF(D152=0,0,SUM($L$21:L152))</f>
        <v>220605.1161880561</v>
      </c>
      <c r="V152" s="317">
        <f>IF(D152=0,0,SUM($J$21:J152))</f>
        <v>237550.99691861513</v>
      </c>
      <c r="W152" s="331">
        <f t="shared" si="48"/>
        <v>16945.880730559031</v>
      </c>
      <c r="X152" s="200">
        <f t="shared" si="54"/>
        <v>1.0768154475443508</v>
      </c>
      <c r="Y152" s="201">
        <f t="shared" si="55"/>
        <v>45789</v>
      </c>
      <c r="Z152" s="202">
        <f t="shared" si="55"/>
        <v>45789</v>
      </c>
      <c r="AA152" s="18"/>
      <c r="AB152" s="244"/>
      <c r="AC152" s="247"/>
      <c r="AD152" s="142"/>
      <c r="AE152" s="18"/>
      <c r="AF152" s="18"/>
      <c r="AG152" s="203"/>
      <c r="AH152" s="203"/>
      <c r="AI152" s="18"/>
      <c r="AJ152" s="18"/>
      <c r="AK152" s="18"/>
      <c r="AL152" s="18"/>
      <c r="AM152" s="18"/>
      <c r="AN152" s="18"/>
    </row>
    <row r="153" spans="1:40" ht="20">
      <c r="A153" s="18"/>
      <c r="B153" s="151"/>
      <c r="C153" s="55">
        <v>133</v>
      </c>
      <c r="D153" s="54">
        <v>1</v>
      </c>
      <c r="E153" s="190">
        <f t="shared" si="49"/>
        <v>5</v>
      </c>
      <c r="F153" s="191">
        <f t="shared" si="50"/>
        <v>45790</v>
      </c>
      <c r="G153" s="192" t="str">
        <f t="shared" si="51"/>
        <v>Tue</v>
      </c>
      <c r="H153" s="193"/>
      <c r="I153" s="194"/>
      <c r="J153" s="307">
        <f>287654/B13</f>
        <v>2606.9784303063257</v>
      </c>
      <c r="K153" s="215"/>
      <c r="L153" s="317">
        <f t="shared" si="52"/>
        <v>2747.6329796104983</v>
      </c>
      <c r="M153" s="318">
        <f t="shared" si="46"/>
        <v>-140.65454930417263</v>
      </c>
      <c r="N153" s="41">
        <f t="shared" si="8"/>
        <v>0.94880882914569187</v>
      </c>
      <c r="O153" s="56"/>
      <c r="P153" s="317">
        <v>0</v>
      </c>
      <c r="Q153" s="317">
        <f>IF(D153=0,0,SUM($J$141:J153))</f>
        <v>22426.780859162587</v>
      </c>
      <c r="R153" s="321">
        <f t="shared" si="47"/>
        <v>22426.780859162587</v>
      </c>
      <c r="S153" s="198" t="e">
        <f t="shared" si="53"/>
        <v>#DIV/0!</v>
      </c>
      <c r="T153" s="207"/>
      <c r="U153" s="317">
        <f>IF(D153=0,0,SUM($L$21:L153))</f>
        <v>223352.7491676666</v>
      </c>
      <c r="V153" s="317">
        <f>IF(D153=0,0,SUM($J$21:J153))</f>
        <v>240157.97534892146</v>
      </c>
      <c r="W153" s="331">
        <f t="shared" si="48"/>
        <v>16805.226181254868</v>
      </c>
      <c r="X153" s="200">
        <f t="shared" si="54"/>
        <v>1.0752407402366</v>
      </c>
      <c r="Y153" s="201">
        <f t="shared" si="55"/>
        <v>45790</v>
      </c>
      <c r="Z153" s="202">
        <f t="shared" si="55"/>
        <v>45790</v>
      </c>
      <c r="AA153" s="18"/>
      <c r="AB153" s="244"/>
      <c r="AC153" s="247"/>
      <c r="AD153" s="142"/>
      <c r="AE153" s="18"/>
      <c r="AF153" s="18"/>
      <c r="AG153" s="203"/>
      <c r="AH153" s="203"/>
      <c r="AI153" s="18"/>
      <c r="AJ153" s="18"/>
      <c r="AK153" s="18"/>
      <c r="AL153" s="18"/>
      <c r="AM153" s="18"/>
      <c r="AN153" s="18"/>
    </row>
    <row r="154" spans="1:40" ht="20">
      <c r="A154" s="18"/>
      <c r="B154" s="151"/>
      <c r="C154" s="55">
        <v>134</v>
      </c>
      <c r="D154" s="54">
        <v>1</v>
      </c>
      <c r="E154" s="190">
        <f t="shared" si="49"/>
        <v>5</v>
      </c>
      <c r="F154" s="191">
        <f t="shared" si="50"/>
        <v>45791</v>
      </c>
      <c r="G154" s="192" t="str">
        <f t="shared" si="51"/>
        <v>Wed</v>
      </c>
      <c r="H154" s="193"/>
      <c r="I154" s="194"/>
      <c r="J154" s="307">
        <f>321990/B13</f>
        <v>2918.1620445894505</v>
      </c>
      <c r="K154" s="215"/>
      <c r="L154" s="317">
        <f t="shared" si="52"/>
        <v>3561.3170211468218</v>
      </c>
      <c r="M154" s="318">
        <f t="shared" si="46"/>
        <v>-643.15497655737136</v>
      </c>
      <c r="N154" s="41">
        <f t="shared" si="8"/>
        <v>0.81940530069680195</v>
      </c>
      <c r="O154" s="56"/>
      <c r="P154" s="317">
        <v>25499</v>
      </c>
      <c r="Q154" s="317">
        <f>IF(D154=0,0,SUM($J$141:J154))</f>
        <v>25344.942903752039</v>
      </c>
      <c r="R154" s="321">
        <f t="shared" si="47"/>
        <v>-154.05709624796145</v>
      </c>
      <c r="S154" s="198">
        <f t="shared" si="53"/>
        <v>0.99395830831609233</v>
      </c>
      <c r="T154" s="207"/>
      <c r="U154" s="317">
        <f>IF(D154=0,0,SUM($L$21:L154))</f>
        <v>226914.06618881342</v>
      </c>
      <c r="V154" s="317">
        <f>IF(D154=0,0,SUM($J$21:J154))</f>
        <v>243076.1373935109</v>
      </c>
      <c r="W154" s="331">
        <f t="shared" si="48"/>
        <v>16162.07120469748</v>
      </c>
      <c r="X154" s="200">
        <f t="shared" si="54"/>
        <v>1.0712255149103411</v>
      </c>
      <c r="Y154" s="201">
        <f t="shared" si="55"/>
        <v>45791</v>
      </c>
      <c r="Z154" s="202">
        <f t="shared" si="55"/>
        <v>45791</v>
      </c>
      <c r="AA154" s="18"/>
      <c r="AB154" s="244"/>
      <c r="AC154" s="247"/>
      <c r="AD154" s="142"/>
      <c r="AE154" s="18"/>
      <c r="AF154" s="18"/>
      <c r="AG154" s="203"/>
      <c r="AH154" s="203"/>
      <c r="AI154" s="18"/>
      <c r="AJ154" s="18"/>
      <c r="AK154" s="18"/>
      <c r="AL154" s="18"/>
      <c r="AM154" s="18"/>
      <c r="AN154" s="18"/>
    </row>
    <row r="155" spans="1:40" ht="20">
      <c r="A155" s="18"/>
      <c r="B155" s="151"/>
      <c r="C155" s="55">
        <v>135</v>
      </c>
      <c r="D155" s="54">
        <v>1</v>
      </c>
      <c r="E155" s="190">
        <f t="shared" si="49"/>
        <v>5</v>
      </c>
      <c r="F155" s="191">
        <f t="shared" si="50"/>
        <v>45792</v>
      </c>
      <c r="G155" s="192" t="str">
        <f t="shared" si="51"/>
        <v>Thu</v>
      </c>
      <c r="H155" s="193"/>
      <c r="I155" s="194"/>
      <c r="J155" s="307">
        <f>289765/B13</f>
        <v>2626.1102048214607</v>
      </c>
      <c r="K155" s="215"/>
      <c r="L155" s="317">
        <f t="shared" si="52"/>
        <v>1957.7534476230787</v>
      </c>
      <c r="M155" s="318">
        <f t="shared" si="46"/>
        <v>668.35675719838196</v>
      </c>
      <c r="N155" s="41">
        <f t="shared" si="8"/>
        <v>1.3413896463877197</v>
      </c>
      <c r="O155" s="56"/>
      <c r="P155" s="317">
        <v>32399</v>
      </c>
      <c r="Q155" s="317">
        <f>IF(D155=0,0,SUM($J$141:J155))</f>
        <v>27971.053108573498</v>
      </c>
      <c r="R155" s="321">
        <f t="shared" si="47"/>
        <v>-4427.9468914265017</v>
      </c>
      <c r="S155" s="198">
        <f t="shared" si="53"/>
        <v>0.86333075430024064</v>
      </c>
      <c r="T155" s="207"/>
      <c r="U155" s="317">
        <f>IF(D155=0,0,SUM($L$21:L155))</f>
        <v>228871.8196364365</v>
      </c>
      <c r="V155" s="317">
        <f>IF(D155=0,0,SUM($J$21:J155))</f>
        <v>245702.24759833235</v>
      </c>
      <c r="W155" s="331">
        <f t="shared" si="48"/>
        <v>16830.427961895854</v>
      </c>
      <c r="X155" s="200">
        <f t="shared" si="54"/>
        <v>1.0735364798891844</v>
      </c>
      <c r="Y155" s="201">
        <f t="shared" si="55"/>
        <v>45792</v>
      </c>
      <c r="Z155" s="202">
        <f t="shared" si="55"/>
        <v>45792</v>
      </c>
      <c r="AA155" s="18"/>
      <c r="AB155" s="244"/>
      <c r="AC155" s="247"/>
      <c r="AD155" s="142"/>
      <c r="AE155" s="18"/>
      <c r="AF155" s="18"/>
      <c r="AG155" s="203"/>
      <c r="AH155" s="203"/>
      <c r="AI155" s="18"/>
      <c r="AJ155" s="18"/>
      <c r="AK155" s="18"/>
      <c r="AL155" s="18"/>
      <c r="AM155" s="18"/>
      <c r="AN155" s="18"/>
    </row>
    <row r="156" spans="1:40" ht="20">
      <c r="A156" s="18"/>
      <c r="B156" s="151"/>
      <c r="C156" s="55">
        <v>136</v>
      </c>
      <c r="D156" s="54">
        <v>1</v>
      </c>
      <c r="E156" s="190">
        <f t="shared" si="49"/>
        <v>5</v>
      </c>
      <c r="F156" s="191">
        <f t="shared" si="50"/>
        <v>45793</v>
      </c>
      <c r="G156" s="192" t="str">
        <f t="shared" si="51"/>
        <v>Fri</v>
      </c>
      <c r="H156" s="193"/>
      <c r="I156" s="194"/>
      <c r="J156" s="307">
        <f>287990/B13</f>
        <v>2610.0235635309045</v>
      </c>
      <c r="K156" s="215"/>
      <c r="L156" s="317">
        <f t="shared" si="52"/>
        <v>2487.0498002383574</v>
      </c>
      <c r="M156" s="318">
        <f t="shared" si="46"/>
        <v>122.97376329254712</v>
      </c>
      <c r="N156" s="41">
        <f t="shared" si="8"/>
        <v>1.0494456376710919</v>
      </c>
      <c r="O156" s="56"/>
      <c r="P156" s="317">
        <v>17486</v>
      </c>
      <c r="Q156" s="317">
        <f>IF(D156=0,0,SUM($J$141:J156))</f>
        <v>30581.076672104402</v>
      </c>
      <c r="R156" s="321">
        <f t="shared" si="47"/>
        <v>13095.076672104402</v>
      </c>
      <c r="S156" s="198">
        <f t="shared" si="53"/>
        <v>1.7488892069143545</v>
      </c>
      <c r="T156" s="207"/>
      <c r="U156" s="317">
        <f>IF(D156=0,0,SUM($L$21:L156))</f>
        <v>231358.86943667487</v>
      </c>
      <c r="V156" s="317">
        <f>IF(D156=0,0,SUM($J$21:J156))</f>
        <v>248312.27116186326</v>
      </c>
      <c r="W156" s="331">
        <f t="shared" si="48"/>
        <v>16953.401725188392</v>
      </c>
      <c r="X156" s="200">
        <f t="shared" si="54"/>
        <v>1.0732775093795517</v>
      </c>
      <c r="Y156" s="201">
        <f t="shared" si="55"/>
        <v>45793</v>
      </c>
      <c r="Z156" s="202">
        <f t="shared" si="55"/>
        <v>45793</v>
      </c>
      <c r="AA156" s="18"/>
      <c r="AB156" s="244"/>
      <c r="AC156" s="247"/>
      <c r="AD156" s="142"/>
      <c r="AE156" s="18"/>
      <c r="AF156" s="18"/>
      <c r="AG156" s="203"/>
      <c r="AH156" s="203"/>
      <c r="AI156" s="18"/>
      <c r="AJ156" s="18"/>
      <c r="AK156" s="18"/>
      <c r="AL156" s="18"/>
      <c r="AM156" s="18"/>
      <c r="AN156" s="18"/>
    </row>
    <row r="157" spans="1:40" ht="20">
      <c r="A157" s="18"/>
      <c r="B157" s="151"/>
      <c r="C157" s="55">
        <v>137</v>
      </c>
      <c r="D157" s="54">
        <v>1</v>
      </c>
      <c r="E157" s="190">
        <f t="shared" si="49"/>
        <v>5</v>
      </c>
      <c r="F157" s="191">
        <f t="shared" si="50"/>
        <v>45794</v>
      </c>
      <c r="G157" s="192" t="str">
        <f t="shared" si="51"/>
        <v>Sat</v>
      </c>
      <c r="H157" s="193"/>
      <c r="I157" s="194"/>
      <c r="J157" s="307">
        <f>456990/B13</f>
        <v>4141.6530723219139</v>
      </c>
      <c r="K157" s="215"/>
      <c r="L157" s="317">
        <f t="shared" si="52"/>
        <v>921.86314334037752</v>
      </c>
      <c r="M157" s="318">
        <f t="shared" si="46"/>
        <v>3219.7899289815364</v>
      </c>
      <c r="N157" s="41">
        <f t="shared" si="8"/>
        <v>4.4926984034903548</v>
      </c>
      <c r="O157" s="56"/>
      <c r="P157" s="317">
        <v>2760</v>
      </c>
      <c r="Q157" s="317">
        <f>IF(D157=0,0,SUM($J$141:J157))</f>
        <v>34722.729744426317</v>
      </c>
      <c r="R157" s="321">
        <f t="shared" si="47"/>
        <v>31962.729744426317</v>
      </c>
      <c r="S157" s="198">
        <f t="shared" si="53"/>
        <v>12.580699182763158</v>
      </c>
      <c r="T157" s="207"/>
      <c r="U157" s="317">
        <f>IF(D157=0,0,SUM($L$21:L157))</f>
        <v>232280.73258001523</v>
      </c>
      <c r="V157" s="317">
        <f>IF(D157=0,0,SUM($J$21:J157))</f>
        <v>252453.92423418516</v>
      </c>
      <c r="W157" s="331">
        <f t="shared" si="48"/>
        <v>20173.191654169932</v>
      </c>
      <c r="X157" s="200">
        <f t="shared" si="54"/>
        <v>1.0868483211246147</v>
      </c>
      <c r="Y157" s="201">
        <f t="shared" si="55"/>
        <v>45794</v>
      </c>
      <c r="Z157" s="202">
        <f t="shared" si="55"/>
        <v>45794</v>
      </c>
      <c r="AA157" s="18"/>
      <c r="AB157" s="244"/>
      <c r="AC157" s="247"/>
      <c r="AD157" s="142"/>
      <c r="AE157" s="18"/>
      <c r="AF157" s="18"/>
      <c r="AG157" s="203"/>
      <c r="AH157" s="203"/>
      <c r="AI157" s="18"/>
      <c r="AJ157" s="18"/>
      <c r="AK157" s="18"/>
      <c r="AL157" s="18"/>
      <c r="AM157" s="18"/>
      <c r="AN157" s="18"/>
    </row>
    <row r="158" spans="1:40" ht="20">
      <c r="A158" s="18"/>
      <c r="B158" s="151"/>
      <c r="C158" s="55">
        <v>138</v>
      </c>
      <c r="D158" s="54">
        <v>0</v>
      </c>
      <c r="E158" s="190">
        <f t="shared" si="49"/>
        <v>5</v>
      </c>
      <c r="F158" s="191">
        <f t="shared" si="50"/>
        <v>45795</v>
      </c>
      <c r="G158" s="192" t="str">
        <f t="shared" si="51"/>
        <v>Sun</v>
      </c>
      <c r="H158" s="193"/>
      <c r="I158" s="194"/>
      <c r="J158" s="307"/>
      <c r="K158" s="215"/>
      <c r="L158" s="317">
        <f t="shared" si="52"/>
        <v>0</v>
      </c>
      <c r="M158" s="318">
        <f t="shared" si="46"/>
        <v>0</v>
      </c>
      <c r="N158" s="41" t="str">
        <f t="shared" si="8"/>
        <v>¥0</v>
      </c>
      <c r="O158" s="44"/>
      <c r="P158" s="317">
        <v>0</v>
      </c>
      <c r="Q158" s="317">
        <f>IF(D158=0,0,SUM($J$141:J158))</f>
        <v>0</v>
      </c>
      <c r="R158" s="321">
        <f t="shared" si="47"/>
        <v>0</v>
      </c>
      <c r="S158" s="198">
        <f t="shared" si="53"/>
        <v>0</v>
      </c>
      <c r="T158" s="212"/>
      <c r="U158" s="317">
        <f>IF(D158=0,0,SUM($L$21:L158))</f>
        <v>0</v>
      </c>
      <c r="V158" s="317">
        <f>IF(D158=0,0,SUM($J$21:J158))</f>
        <v>0</v>
      </c>
      <c r="W158" s="331">
        <f t="shared" si="48"/>
        <v>0</v>
      </c>
      <c r="X158" s="200">
        <f t="shared" si="54"/>
        <v>0</v>
      </c>
      <c r="Y158" s="201">
        <f t="shared" si="55"/>
        <v>45795</v>
      </c>
      <c r="Z158" s="202">
        <f t="shared" si="55"/>
        <v>45795</v>
      </c>
      <c r="AA158" s="18"/>
      <c r="AB158" s="244"/>
      <c r="AC158" s="247"/>
      <c r="AD158" s="142"/>
      <c r="AE158" s="18"/>
      <c r="AF158" s="18"/>
      <c r="AG158" s="203"/>
      <c r="AH158" s="203"/>
      <c r="AI158" s="18"/>
      <c r="AJ158" s="18"/>
      <c r="AK158" s="18"/>
      <c r="AL158" s="18"/>
      <c r="AM158" s="18"/>
      <c r="AN158" s="18"/>
    </row>
    <row r="159" spans="1:40" ht="20">
      <c r="A159" s="18"/>
      <c r="B159" s="151"/>
      <c r="C159" s="55">
        <v>139</v>
      </c>
      <c r="D159" s="54">
        <v>1</v>
      </c>
      <c r="E159" s="190">
        <f t="shared" si="49"/>
        <v>5</v>
      </c>
      <c r="F159" s="191">
        <f t="shared" si="50"/>
        <v>45796</v>
      </c>
      <c r="G159" s="192" t="str">
        <f t="shared" si="51"/>
        <v>Mon</v>
      </c>
      <c r="H159" s="193"/>
      <c r="I159" s="194"/>
      <c r="J159" s="307">
        <f>345778/B13</f>
        <v>3133.7502265724124</v>
      </c>
      <c r="K159" s="215"/>
      <c r="L159" s="317">
        <f t="shared" si="52"/>
        <v>2119.334855308291</v>
      </c>
      <c r="M159" s="318">
        <f t="shared" si="46"/>
        <v>1014.4153712641214</v>
      </c>
      <c r="N159" s="41">
        <f t="shared" si="8"/>
        <v>1.4786479912427801</v>
      </c>
      <c r="O159" s="56"/>
      <c r="P159" s="317">
        <v>429</v>
      </c>
      <c r="Q159" s="317">
        <f>IF(D159=0,0,SUM($J$141:J159))</f>
        <v>37856.479970998727</v>
      </c>
      <c r="R159" s="321">
        <f t="shared" si="47"/>
        <v>37427.479970998727</v>
      </c>
      <c r="S159" s="198">
        <f t="shared" si="53"/>
        <v>88.243543055941089</v>
      </c>
      <c r="T159" s="207"/>
      <c r="U159" s="317">
        <f>IF(D159=0,0,SUM($L$21:L159))</f>
        <v>234400.06743532352</v>
      </c>
      <c r="V159" s="317">
        <f>IF(D159=0,0,SUM($J$21:J159))</f>
        <v>255587.67446075758</v>
      </c>
      <c r="W159" s="331">
        <f t="shared" si="48"/>
        <v>21187.607025434059</v>
      </c>
      <c r="X159" s="200">
        <f t="shared" si="54"/>
        <v>1.0903907889500937</v>
      </c>
      <c r="Y159" s="201">
        <f t="shared" si="55"/>
        <v>45796</v>
      </c>
      <c r="Z159" s="202">
        <f t="shared" si="55"/>
        <v>45796</v>
      </c>
      <c r="AA159" s="18"/>
      <c r="AB159" s="244"/>
      <c r="AC159" s="247"/>
      <c r="AD159" s="142"/>
      <c r="AE159" s="18"/>
      <c r="AF159" s="18"/>
      <c r="AG159" s="203"/>
      <c r="AH159" s="203"/>
      <c r="AI159" s="18"/>
      <c r="AJ159" s="18"/>
      <c r="AK159" s="18"/>
      <c r="AL159" s="18"/>
      <c r="AM159" s="18"/>
      <c r="AN159" s="18"/>
    </row>
    <row r="160" spans="1:40" ht="20">
      <c r="A160" s="18"/>
      <c r="B160" s="151"/>
      <c r="C160" s="55">
        <v>140</v>
      </c>
      <c r="D160" s="54">
        <v>1</v>
      </c>
      <c r="E160" s="190">
        <f t="shared" si="49"/>
        <v>5</v>
      </c>
      <c r="F160" s="191">
        <f t="shared" si="50"/>
        <v>45797</v>
      </c>
      <c r="G160" s="192" t="str">
        <f t="shared" si="51"/>
        <v>Tue</v>
      </c>
      <c r="H160" s="193"/>
      <c r="I160" s="194"/>
      <c r="J160" s="307">
        <f>321789/B13</f>
        <v>2916.3404023926046</v>
      </c>
      <c r="K160" s="215"/>
      <c r="L160" s="317">
        <f t="shared" si="52"/>
        <v>2747.6329796104983</v>
      </c>
      <c r="M160" s="318">
        <f t="shared" si="46"/>
        <v>168.70742278210628</v>
      </c>
      <c r="N160" s="41">
        <f t="shared" si="8"/>
        <v>1.0614010037126655</v>
      </c>
      <c r="O160" s="56"/>
      <c r="P160" s="317">
        <v>0</v>
      </c>
      <c r="Q160" s="317">
        <f>IF(D160=0,0,SUM($J$141:J160))</f>
        <v>40772.820373391332</v>
      </c>
      <c r="R160" s="321">
        <f t="shared" si="47"/>
        <v>40772.820373391332</v>
      </c>
      <c r="S160" s="198" t="e">
        <f t="shared" si="53"/>
        <v>#DIV/0!</v>
      </c>
      <c r="T160" s="207"/>
      <c r="U160" s="317">
        <f>IF(D160=0,0,SUM($L$21:L160))</f>
        <v>237147.70041493402</v>
      </c>
      <c r="V160" s="317">
        <f>IF(D160=0,0,SUM($J$21:J160))</f>
        <v>258504.01486315019</v>
      </c>
      <c r="W160" s="331">
        <f t="shared" si="48"/>
        <v>21356.314448216173</v>
      </c>
      <c r="X160" s="200">
        <f t="shared" si="54"/>
        <v>1.0900549084424995</v>
      </c>
      <c r="Y160" s="201">
        <f t="shared" si="55"/>
        <v>45797</v>
      </c>
      <c r="Z160" s="202">
        <f t="shared" si="55"/>
        <v>45797</v>
      </c>
      <c r="AA160" s="18"/>
      <c r="AB160" s="244"/>
      <c r="AC160" s="247"/>
      <c r="AD160" s="142"/>
      <c r="AE160" s="18"/>
      <c r="AF160" s="18"/>
      <c r="AG160" s="203"/>
      <c r="AH160" s="203"/>
      <c r="AI160" s="18"/>
      <c r="AJ160" s="18"/>
      <c r="AK160" s="18"/>
      <c r="AL160" s="18"/>
      <c r="AM160" s="18"/>
      <c r="AN160" s="18"/>
    </row>
    <row r="161" spans="1:40" ht="20">
      <c r="A161" s="18"/>
      <c r="B161" s="151"/>
      <c r="C161" s="55">
        <v>141</v>
      </c>
      <c r="D161" s="54">
        <v>1</v>
      </c>
      <c r="E161" s="190">
        <f t="shared" si="49"/>
        <v>5</v>
      </c>
      <c r="F161" s="191">
        <f t="shared" si="50"/>
        <v>45798</v>
      </c>
      <c r="G161" s="192" t="str">
        <f t="shared" si="51"/>
        <v>Wed</v>
      </c>
      <c r="H161" s="193"/>
      <c r="I161" s="194"/>
      <c r="J161" s="307">
        <f>221998/B13</f>
        <v>2011.9448975892694</v>
      </c>
      <c r="K161" s="215"/>
      <c r="L161" s="317">
        <f t="shared" si="52"/>
        <v>3561.3170211468218</v>
      </c>
      <c r="M161" s="318">
        <f t="shared" si="46"/>
        <v>-1549.3721235575524</v>
      </c>
      <c r="N161" s="41">
        <f t="shared" si="8"/>
        <v>0.56494406020090271</v>
      </c>
      <c r="O161" s="56"/>
      <c r="P161" s="317">
        <v>598</v>
      </c>
      <c r="Q161" s="317">
        <f>IF(D161=0,0,SUM($J$141:J161))</f>
        <v>42784.765270980599</v>
      </c>
      <c r="R161" s="321">
        <f t="shared" si="47"/>
        <v>42186.765270980599</v>
      </c>
      <c r="S161" s="198">
        <f t="shared" si="53"/>
        <v>71.546430219031109</v>
      </c>
      <c r="T161" s="207"/>
      <c r="U161" s="317">
        <f>IF(D161=0,0,SUM($L$21:L161))</f>
        <v>240709.01743608085</v>
      </c>
      <c r="V161" s="317">
        <f>IF(D161=0,0,SUM($J$21:J161))</f>
        <v>260515.95976073947</v>
      </c>
      <c r="W161" s="331">
        <f t="shared" si="48"/>
        <v>19806.942324658623</v>
      </c>
      <c r="X161" s="200">
        <f t="shared" si="54"/>
        <v>1.0822858343058057</v>
      </c>
      <c r="Y161" s="201">
        <f t="shared" si="55"/>
        <v>45798</v>
      </c>
      <c r="Z161" s="202">
        <f t="shared" si="55"/>
        <v>45798</v>
      </c>
      <c r="AA161" s="18"/>
      <c r="AB161" s="244"/>
      <c r="AC161" s="247"/>
      <c r="AD161" s="142"/>
      <c r="AE161" s="18"/>
      <c r="AF161" s="18"/>
      <c r="AG161" s="203"/>
      <c r="AH161" s="203"/>
      <c r="AI161" s="18"/>
      <c r="AJ161" s="18"/>
      <c r="AK161" s="18"/>
      <c r="AL161" s="18"/>
      <c r="AM161" s="18"/>
      <c r="AN161" s="18"/>
    </row>
    <row r="162" spans="1:40" ht="20">
      <c r="A162" s="18"/>
      <c r="B162" s="151"/>
      <c r="C162" s="55">
        <v>142</v>
      </c>
      <c r="D162" s="54">
        <v>1</v>
      </c>
      <c r="E162" s="190">
        <f t="shared" si="49"/>
        <v>5</v>
      </c>
      <c r="F162" s="191">
        <f t="shared" si="50"/>
        <v>45799</v>
      </c>
      <c r="G162" s="192" t="str">
        <f t="shared" si="51"/>
        <v>Thu</v>
      </c>
      <c r="H162" s="193"/>
      <c r="I162" s="194"/>
      <c r="J162" s="307">
        <f>276889/B13</f>
        <v>2509.4163494652889</v>
      </c>
      <c r="K162" s="215"/>
      <c r="L162" s="317">
        <f t="shared" si="52"/>
        <v>1957.7534476230787</v>
      </c>
      <c r="M162" s="318">
        <f t="shared" si="46"/>
        <v>551.6629018422102</v>
      </c>
      <c r="N162" s="41">
        <f t="shared" si="8"/>
        <v>1.2817836446729223</v>
      </c>
      <c r="O162" s="56"/>
      <c r="P162" s="317">
        <v>0</v>
      </c>
      <c r="Q162" s="317">
        <f>IF(D162=0,0,SUM($J$141:J162))</f>
        <v>45294.181620445888</v>
      </c>
      <c r="R162" s="321">
        <f t="shared" si="47"/>
        <v>45294.181620445888</v>
      </c>
      <c r="S162" s="198" t="e">
        <f t="shared" si="53"/>
        <v>#DIV/0!</v>
      </c>
      <c r="T162" s="207"/>
      <c r="U162" s="317">
        <f>IF(D162=0,0,SUM($L$21:L162))</f>
        <v>242666.77088370392</v>
      </c>
      <c r="V162" s="317">
        <f>IF(D162=0,0,SUM($J$21:J162))</f>
        <v>263025.37611020473</v>
      </c>
      <c r="W162" s="331">
        <f t="shared" si="48"/>
        <v>20358.605226500804</v>
      </c>
      <c r="X162" s="200">
        <f t="shared" si="54"/>
        <v>1.083895315177938</v>
      </c>
      <c r="Y162" s="201">
        <f t="shared" si="55"/>
        <v>45799</v>
      </c>
      <c r="Z162" s="202">
        <f t="shared" si="55"/>
        <v>45799</v>
      </c>
      <c r="AA162" s="18"/>
      <c r="AB162" s="244"/>
      <c r="AC162" s="247"/>
      <c r="AD162" s="142"/>
      <c r="AE162" s="18"/>
      <c r="AF162" s="18"/>
      <c r="AG162" s="203"/>
      <c r="AH162" s="203"/>
      <c r="AI162" s="18"/>
      <c r="AJ162" s="18"/>
      <c r="AK162" s="18"/>
      <c r="AL162" s="18"/>
      <c r="AM162" s="18"/>
      <c r="AN162" s="18"/>
    </row>
    <row r="163" spans="1:40" ht="20">
      <c r="A163" s="18"/>
      <c r="B163" s="151"/>
      <c r="C163" s="55">
        <v>143</v>
      </c>
      <c r="D163" s="54">
        <v>1</v>
      </c>
      <c r="E163" s="190">
        <f t="shared" si="49"/>
        <v>5</v>
      </c>
      <c r="F163" s="191">
        <f t="shared" si="50"/>
        <v>45800</v>
      </c>
      <c r="G163" s="192" t="str">
        <f t="shared" si="51"/>
        <v>Fri</v>
      </c>
      <c r="H163" s="193"/>
      <c r="I163" s="194"/>
      <c r="J163" s="307">
        <f>430990/B13</f>
        <v>3906.0177632771433</v>
      </c>
      <c r="K163" s="215"/>
      <c r="L163" s="317">
        <f t="shared" si="52"/>
        <v>2487.0498002383574</v>
      </c>
      <c r="M163" s="318">
        <f t="shared" si="46"/>
        <v>1418.9679630387859</v>
      </c>
      <c r="N163" s="41">
        <f t="shared" si="8"/>
        <v>1.5705426416884747</v>
      </c>
      <c r="O163" s="56"/>
      <c r="P163" s="317">
        <v>0</v>
      </c>
      <c r="Q163" s="317">
        <f>IF(D163=0,0,SUM($J$141:J163))</f>
        <v>49200.199383723033</v>
      </c>
      <c r="R163" s="321">
        <f t="shared" si="47"/>
        <v>49200.199383723033</v>
      </c>
      <c r="S163" s="198" t="e">
        <f t="shared" si="53"/>
        <v>#DIV/0!</v>
      </c>
      <c r="T163" s="207"/>
      <c r="U163" s="317">
        <f>IF(D163=0,0,SUM($L$21:L163))</f>
        <v>245153.82068394229</v>
      </c>
      <c r="V163" s="317">
        <f>IF(D163=0,0,SUM($J$21:J163))</f>
        <v>266931.39387348189</v>
      </c>
      <c r="W163" s="331">
        <f t="shared" si="48"/>
        <v>21777.573189539602</v>
      </c>
      <c r="X163" s="200">
        <f t="shared" si="54"/>
        <v>1.0888322814173708</v>
      </c>
      <c r="Y163" s="201">
        <f t="shared" si="55"/>
        <v>45800</v>
      </c>
      <c r="Z163" s="202">
        <f t="shared" si="55"/>
        <v>45800</v>
      </c>
      <c r="AA163" s="18"/>
      <c r="AB163" s="244"/>
      <c r="AC163" s="247"/>
      <c r="AD163" s="142"/>
      <c r="AE163" s="18"/>
      <c r="AF163" s="18"/>
      <c r="AG163" s="203"/>
      <c r="AH163" s="203"/>
      <c r="AI163" s="18"/>
      <c r="AJ163" s="18"/>
      <c r="AK163" s="18"/>
      <c r="AL163" s="18"/>
      <c r="AM163" s="18"/>
      <c r="AN163" s="18"/>
    </row>
    <row r="164" spans="1:40" ht="20">
      <c r="A164" s="18"/>
      <c r="B164" s="151"/>
      <c r="C164" s="55">
        <v>144</v>
      </c>
      <c r="D164" s="54">
        <v>1</v>
      </c>
      <c r="E164" s="190">
        <f t="shared" si="49"/>
        <v>5</v>
      </c>
      <c r="F164" s="191">
        <f t="shared" si="50"/>
        <v>45801</v>
      </c>
      <c r="G164" s="192" t="str">
        <f t="shared" si="51"/>
        <v>Sat</v>
      </c>
      <c r="H164" s="193"/>
      <c r="I164" s="194"/>
      <c r="J164" s="307">
        <f>190889/B13</f>
        <v>1730.0072503172014</v>
      </c>
      <c r="K164" s="215"/>
      <c r="L164" s="317">
        <f t="shared" si="52"/>
        <v>921.86314334037752</v>
      </c>
      <c r="M164" s="318">
        <f t="shared" si="46"/>
        <v>808.14410697682388</v>
      </c>
      <c r="N164" s="41">
        <f t="shared" si="8"/>
        <v>1.8766421706030116</v>
      </c>
      <c r="O164" s="56"/>
      <c r="P164" s="317">
        <v>0</v>
      </c>
      <c r="Q164" s="317">
        <f>IF(D164=0,0,SUM($J$141:J164))</f>
        <v>50930.206634040238</v>
      </c>
      <c r="R164" s="321">
        <f t="shared" si="47"/>
        <v>50930.206634040238</v>
      </c>
      <c r="S164" s="198" t="e">
        <f t="shared" si="53"/>
        <v>#DIV/0!</v>
      </c>
      <c r="T164" s="207"/>
      <c r="U164" s="317">
        <f>IF(D164=0,0,SUM($L$21:L164))</f>
        <v>246075.68382728266</v>
      </c>
      <c r="V164" s="317">
        <f>IF(D164=0,0,SUM($J$21:J164))</f>
        <v>268661.40112379909</v>
      </c>
      <c r="W164" s="331">
        <f t="shared" si="48"/>
        <v>22585.717296516435</v>
      </c>
      <c r="X164" s="200">
        <f t="shared" si="54"/>
        <v>1.0917836209788574</v>
      </c>
      <c r="Y164" s="201">
        <f t="shared" si="55"/>
        <v>45801</v>
      </c>
      <c r="Z164" s="202">
        <f t="shared" si="55"/>
        <v>45801</v>
      </c>
      <c r="AA164" s="18"/>
      <c r="AB164" s="244"/>
      <c r="AC164" s="247"/>
      <c r="AD164" s="142"/>
      <c r="AE164" s="18"/>
      <c r="AF164" s="18"/>
      <c r="AG164" s="203"/>
      <c r="AH164" s="203"/>
      <c r="AI164" s="18"/>
      <c r="AJ164" s="18"/>
      <c r="AK164" s="18"/>
      <c r="AL164" s="18"/>
      <c r="AM164" s="18"/>
      <c r="AN164" s="18"/>
    </row>
    <row r="165" spans="1:40" ht="20">
      <c r="A165" s="18"/>
      <c r="B165" s="151"/>
      <c r="C165" s="55">
        <v>145</v>
      </c>
      <c r="D165" s="54">
        <v>0</v>
      </c>
      <c r="E165" s="190">
        <f t="shared" si="49"/>
        <v>5</v>
      </c>
      <c r="F165" s="191">
        <f t="shared" si="50"/>
        <v>45802</v>
      </c>
      <c r="G165" s="192" t="str">
        <f t="shared" si="51"/>
        <v>Sun</v>
      </c>
      <c r="H165" s="193"/>
      <c r="I165" s="194"/>
      <c r="J165" s="307"/>
      <c r="K165" s="215"/>
      <c r="L165" s="317">
        <f t="shared" si="52"/>
        <v>0</v>
      </c>
      <c r="M165" s="318">
        <f t="shared" si="46"/>
        <v>0</v>
      </c>
      <c r="N165" s="41" t="str">
        <f t="shared" si="8"/>
        <v>¥0</v>
      </c>
      <c r="O165" s="44"/>
      <c r="P165" s="317">
        <v>0</v>
      </c>
      <c r="Q165" s="317">
        <f>IF(D165=0,0,SUM($J$141:J165))</f>
        <v>0</v>
      </c>
      <c r="R165" s="321">
        <f t="shared" si="47"/>
        <v>0</v>
      </c>
      <c r="S165" s="198">
        <f t="shared" si="53"/>
        <v>0</v>
      </c>
      <c r="T165" s="212"/>
      <c r="U165" s="317">
        <f>IF(D165=0,0,SUM($L$21:L165))</f>
        <v>0</v>
      </c>
      <c r="V165" s="317">
        <f>IF(D165=0,0,SUM($J$21:J165))</f>
        <v>0</v>
      </c>
      <c r="W165" s="331">
        <f t="shared" si="48"/>
        <v>0</v>
      </c>
      <c r="X165" s="200">
        <f t="shared" si="54"/>
        <v>0</v>
      </c>
      <c r="Y165" s="201">
        <f t="shared" si="55"/>
        <v>45802</v>
      </c>
      <c r="Z165" s="202">
        <f t="shared" si="55"/>
        <v>45802</v>
      </c>
      <c r="AA165" s="18"/>
      <c r="AB165" s="244"/>
      <c r="AC165" s="247"/>
      <c r="AD165" s="142"/>
      <c r="AE165" s="18"/>
      <c r="AF165" s="18"/>
      <c r="AG165" s="203"/>
      <c r="AH165" s="203"/>
      <c r="AI165" s="18"/>
      <c r="AJ165" s="18"/>
      <c r="AK165" s="18"/>
      <c r="AL165" s="18"/>
      <c r="AM165" s="18"/>
      <c r="AN165" s="18"/>
    </row>
    <row r="166" spans="1:40" ht="20">
      <c r="A166" s="18"/>
      <c r="B166" s="151"/>
      <c r="C166" s="55">
        <v>146</v>
      </c>
      <c r="D166" s="54">
        <v>1</v>
      </c>
      <c r="E166" s="190">
        <f t="shared" si="49"/>
        <v>5</v>
      </c>
      <c r="F166" s="191">
        <f t="shared" si="50"/>
        <v>45803</v>
      </c>
      <c r="G166" s="192" t="str">
        <f t="shared" si="51"/>
        <v>Mon</v>
      </c>
      <c r="H166" s="193"/>
      <c r="I166" s="194"/>
      <c r="J166" s="313">
        <f>300900/B13</f>
        <v>2727.0255573681347</v>
      </c>
      <c r="K166" s="215"/>
      <c r="L166" s="317">
        <f t="shared" si="52"/>
        <v>2119.334855308291</v>
      </c>
      <c r="M166" s="318">
        <f t="shared" si="46"/>
        <v>607.69070205984372</v>
      </c>
      <c r="N166" s="41">
        <f t="shared" si="8"/>
        <v>1.2867365204407235</v>
      </c>
      <c r="O166" s="56"/>
      <c r="P166" s="317">
        <v>0</v>
      </c>
      <c r="Q166" s="317">
        <f>IF(D166=0,0,SUM($J$141:J166))</f>
        <v>53657.232191408373</v>
      </c>
      <c r="R166" s="321">
        <f t="shared" si="47"/>
        <v>53657.232191408373</v>
      </c>
      <c r="S166" s="198" t="e">
        <f t="shared" si="53"/>
        <v>#DIV/0!</v>
      </c>
      <c r="T166" s="207"/>
      <c r="U166" s="317">
        <f>IF(D166=0,0,SUM($L$21:L166))</f>
        <v>248195.01868259095</v>
      </c>
      <c r="V166" s="317">
        <f>IF(D166=0,0,SUM($J$21:J166))</f>
        <v>271388.42668116721</v>
      </c>
      <c r="W166" s="331">
        <f t="shared" si="48"/>
        <v>23193.407998576266</v>
      </c>
      <c r="X166" s="200">
        <f t="shared" si="54"/>
        <v>1.0934483218949596</v>
      </c>
      <c r="Y166" s="201">
        <f t="shared" si="55"/>
        <v>45803</v>
      </c>
      <c r="Z166" s="202">
        <f t="shared" si="55"/>
        <v>45803</v>
      </c>
      <c r="AA166" s="18"/>
      <c r="AB166" s="244"/>
      <c r="AC166" s="247"/>
      <c r="AD166" s="142"/>
      <c r="AE166" s="18"/>
      <c r="AF166" s="18"/>
      <c r="AG166" s="203"/>
      <c r="AH166" s="203"/>
      <c r="AI166" s="18"/>
      <c r="AJ166" s="18"/>
      <c r="AK166" s="18"/>
      <c r="AL166" s="18"/>
      <c r="AM166" s="18"/>
      <c r="AN166" s="18"/>
    </row>
    <row r="167" spans="1:40" ht="20">
      <c r="A167" s="18"/>
      <c r="B167" s="151"/>
      <c r="C167" s="55">
        <v>147</v>
      </c>
      <c r="D167" s="54">
        <v>1</v>
      </c>
      <c r="E167" s="190">
        <f t="shared" si="49"/>
        <v>5</v>
      </c>
      <c r="F167" s="191">
        <f t="shared" si="50"/>
        <v>45804</v>
      </c>
      <c r="G167" s="192" t="str">
        <f t="shared" si="51"/>
        <v>Tue</v>
      </c>
      <c r="H167" s="193"/>
      <c r="I167" s="194"/>
      <c r="J167" s="314">
        <f>278965/B13</f>
        <v>2528.2309226028638</v>
      </c>
      <c r="K167" s="215"/>
      <c r="L167" s="317">
        <f t="shared" si="52"/>
        <v>2747.6329796104983</v>
      </c>
      <c r="M167" s="318">
        <f t="shared" si="46"/>
        <v>-219.40205700763454</v>
      </c>
      <c r="N167" s="41">
        <f t="shared" si="8"/>
        <v>0.92014870303429797</v>
      </c>
      <c r="O167" s="56"/>
      <c r="P167" s="317">
        <f>IF(D167=0,0,SUM($L$141:L167))</f>
        <v>45829.656989663708</v>
      </c>
      <c r="Q167" s="317">
        <f>IF(D167=0,0,SUM($J$141:J167))</f>
        <v>56185.46311401124</v>
      </c>
      <c r="R167" s="321">
        <f t="shared" si="47"/>
        <v>10355.806124347531</v>
      </c>
      <c r="S167" s="198">
        <f t="shared" si="53"/>
        <v>1.2259629856423135</v>
      </c>
      <c r="T167" s="207"/>
      <c r="U167" s="317">
        <f>IF(D167=0,0,SUM($L$21:L167))</f>
        <v>250942.65166220145</v>
      </c>
      <c r="V167" s="317">
        <f>IF(D167=0,0,SUM($J$21:J167))</f>
        <v>273916.65760377009</v>
      </c>
      <c r="W167" s="331">
        <f t="shared" si="48"/>
        <v>22974.005941568641</v>
      </c>
      <c r="X167" s="200">
        <f t="shared" si="54"/>
        <v>1.0915508216295347</v>
      </c>
      <c r="Y167" s="201">
        <f t="shared" ref="Y167:Z182" si="56">Y166+1</f>
        <v>45804</v>
      </c>
      <c r="Z167" s="202">
        <f t="shared" si="56"/>
        <v>45804</v>
      </c>
      <c r="AA167" s="18"/>
      <c r="AB167" s="244"/>
      <c r="AC167" s="247"/>
      <c r="AD167" s="142"/>
      <c r="AE167" s="18"/>
      <c r="AF167" s="18"/>
      <c r="AG167" s="203"/>
      <c r="AH167" s="203"/>
      <c r="AI167" s="18"/>
      <c r="AJ167" s="18"/>
      <c r="AK167" s="18"/>
      <c r="AL167" s="18"/>
      <c r="AM167" s="18"/>
      <c r="AN167" s="18"/>
    </row>
    <row r="168" spans="1:40" ht="20">
      <c r="A168" s="18"/>
      <c r="B168" s="151"/>
      <c r="C168" s="55">
        <v>148</v>
      </c>
      <c r="D168" s="54">
        <v>1</v>
      </c>
      <c r="E168" s="190">
        <f t="shared" si="49"/>
        <v>5</v>
      </c>
      <c r="F168" s="191">
        <f t="shared" si="50"/>
        <v>45805</v>
      </c>
      <c r="G168" s="192" t="str">
        <f t="shared" si="51"/>
        <v>Wed</v>
      </c>
      <c r="H168" s="193"/>
      <c r="I168" s="194"/>
      <c r="J168" s="314">
        <f>218789/B13</f>
        <v>1982.8620627152438</v>
      </c>
      <c r="K168" s="215"/>
      <c r="L168" s="317">
        <f t="shared" si="52"/>
        <v>3561.3170211468218</v>
      </c>
      <c r="M168" s="318">
        <f t="shared" si="46"/>
        <v>-1578.454958431578</v>
      </c>
      <c r="N168" s="41">
        <f t="shared" si="8"/>
        <v>0.55677774568822824</v>
      </c>
      <c r="O168" s="56"/>
      <c r="P168" s="317">
        <f>IF(D168=0,0,SUM($L$141:L168))</f>
        <v>49390.974010810532</v>
      </c>
      <c r="Q168" s="317">
        <f>IF(D168=0,0,SUM($J$141:J168))</f>
        <v>58168.325176726481</v>
      </c>
      <c r="R168" s="321">
        <f t="shared" si="47"/>
        <v>8777.3511659159485</v>
      </c>
      <c r="S168" s="198">
        <f t="shared" si="53"/>
        <v>1.1777116435078763</v>
      </c>
      <c r="T168" s="207"/>
      <c r="U168" s="317">
        <f>IF(D168=0,0,SUM($L$21:L168))</f>
        <v>254503.96868334827</v>
      </c>
      <c r="V168" s="317">
        <f>IF(D168=0,0,SUM($J$21:J168))</f>
        <v>275899.51966648531</v>
      </c>
      <c r="W168" s="331">
        <f t="shared" si="48"/>
        <v>21395.550983137044</v>
      </c>
      <c r="X168" s="200">
        <f t="shared" si="54"/>
        <v>1.0840676516512684</v>
      </c>
      <c r="Y168" s="201">
        <f t="shared" si="56"/>
        <v>45805</v>
      </c>
      <c r="Z168" s="202">
        <f t="shared" si="56"/>
        <v>45805</v>
      </c>
      <c r="AA168" s="18"/>
      <c r="AB168" s="244"/>
      <c r="AC168" s="247"/>
      <c r="AD168" s="142"/>
      <c r="AE168" s="18"/>
      <c r="AF168" s="18"/>
      <c r="AG168" s="203"/>
      <c r="AH168" s="203"/>
      <c r="AI168" s="18"/>
      <c r="AJ168" s="18"/>
      <c r="AK168" s="18"/>
      <c r="AL168" s="18"/>
      <c r="AM168" s="18"/>
      <c r="AN168" s="18"/>
    </row>
    <row r="169" spans="1:40" ht="20">
      <c r="A169" s="18"/>
      <c r="B169" s="151"/>
      <c r="C169" s="55">
        <v>149</v>
      </c>
      <c r="D169" s="54">
        <v>1</v>
      </c>
      <c r="E169" s="190">
        <f t="shared" si="49"/>
        <v>5</v>
      </c>
      <c r="F169" s="191">
        <f t="shared" si="50"/>
        <v>45806</v>
      </c>
      <c r="G169" s="192" t="str">
        <f t="shared" si="51"/>
        <v>Thu</v>
      </c>
      <c r="H169" s="193"/>
      <c r="I169" s="194"/>
      <c r="J169" s="314">
        <f>245689/B13</f>
        <v>2226.6539786115641</v>
      </c>
      <c r="K169" s="215"/>
      <c r="L169" s="317">
        <f t="shared" si="52"/>
        <v>1957.7534476230787</v>
      </c>
      <c r="M169" s="318">
        <f t="shared" si="46"/>
        <v>268.90053098848534</v>
      </c>
      <c r="N169" s="41">
        <f t="shared" si="8"/>
        <v>1.1373515808719219</v>
      </c>
      <c r="O169" s="56"/>
      <c r="P169" s="317">
        <f>IF(D169=0,0,SUM($L$141:L169))</f>
        <v>51348.727458433612</v>
      </c>
      <c r="Q169" s="317">
        <f>IF(D169=0,0,SUM($J$141:J169))</f>
        <v>60394.979155338042</v>
      </c>
      <c r="R169" s="321">
        <f t="shared" si="47"/>
        <v>9046.25169690443</v>
      </c>
      <c r="S169" s="198">
        <f t="shared" si="53"/>
        <v>1.1761728507143103</v>
      </c>
      <c r="T169" s="207"/>
      <c r="U169" s="317">
        <f>IF(D169=0,0,SUM($L$21:L169))</f>
        <v>256461.72213097135</v>
      </c>
      <c r="V169" s="317">
        <f>IF(D169=0,0,SUM($J$21:J169))</f>
        <v>278126.17364509689</v>
      </c>
      <c r="W169" s="331">
        <f t="shared" si="48"/>
        <v>21664.45151412554</v>
      </c>
      <c r="X169" s="200">
        <f t="shared" si="54"/>
        <v>1.0844744055140587</v>
      </c>
      <c r="Y169" s="201">
        <f t="shared" si="56"/>
        <v>45806</v>
      </c>
      <c r="Z169" s="202">
        <f t="shared" si="56"/>
        <v>45806</v>
      </c>
      <c r="AA169" s="18"/>
      <c r="AB169" s="244"/>
      <c r="AC169" s="247"/>
      <c r="AD169" s="142"/>
      <c r="AE169" s="18"/>
      <c r="AF169" s="18"/>
      <c r="AG169" s="203"/>
      <c r="AH169" s="203"/>
      <c r="AI169" s="18"/>
      <c r="AJ169" s="18"/>
      <c r="AK169" s="18"/>
      <c r="AL169" s="18"/>
      <c r="AM169" s="18"/>
      <c r="AN169" s="18"/>
    </row>
    <row r="170" spans="1:40" ht="20">
      <c r="A170" s="18"/>
      <c r="B170" s="151"/>
      <c r="C170" s="55">
        <v>150</v>
      </c>
      <c r="D170" s="54">
        <v>1</v>
      </c>
      <c r="E170" s="190">
        <f t="shared" si="49"/>
        <v>5</v>
      </c>
      <c r="F170" s="191">
        <f t="shared" si="50"/>
        <v>45807</v>
      </c>
      <c r="G170" s="192" t="str">
        <f t="shared" si="51"/>
        <v>Fri</v>
      </c>
      <c r="H170" s="193"/>
      <c r="I170" s="194"/>
      <c r="J170" s="314">
        <f>298799/B13</f>
        <v>2707.9844118180172</v>
      </c>
      <c r="K170" s="215"/>
      <c r="L170" s="317">
        <f t="shared" si="52"/>
        <v>2487.0498002383574</v>
      </c>
      <c r="M170" s="318">
        <f t="shared" si="46"/>
        <v>220.93461157965976</v>
      </c>
      <c r="N170" s="41">
        <f t="shared" si="8"/>
        <v>1.0888340119118183</v>
      </c>
      <c r="O170" s="56"/>
      <c r="P170" s="317">
        <f>IF(D170=0,0,SUM($L$141:L170))</f>
        <v>53835.777258671966</v>
      </c>
      <c r="Q170" s="317">
        <f>IF(D170=0,0,SUM($J$141:J170))</f>
        <v>63102.963567156061</v>
      </c>
      <c r="R170" s="321">
        <f t="shared" si="47"/>
        <v>9267.1863084840952</v>
      </c>
      <c r="S170" s="198">
        <f t="shared" si="53"/>
        <v>1.1721380609767516</v>
      </c>
      <c r="T170" s="207"/>
      <c r="U170" s="317">
        <f>IF(D170=0,0,SUM($L$21:L170))</f>
        <v>258948.77193120972</v>
      </c>
      <c r="V170" s="317">
        <f>IF(D170=0,0,SUM($J$21:J170))</f>
        <v>280834.15805691492</v>
      </c>
      <c r="W170" s="331">
        <f t="shared" si="48"/>
        <v>21885.386125705205</v>
      </c>
      <c r="X170" s="200">
        <f t="shared" si="54"/>
        <v>1.0845162769550385</v>
      </c>
      <c r="Y170" s="201">
        <f t="shared" si="56"/>
        <v>45807</v>
      </c>
      <c r="Z170" s="202">
        <f t="shared" si="56"/>
        <v>45807</v>
      </c>
      <c r="AA170" s="18"/>
      <c r="AB170" s="244"/>
      <c r="AC170" s="247"/>
      <c r="AD170" s="142"/>
      <c r="AE170" s="18"/>
      <c r="AF170" s="18"/>
      <c r="AG170" s="203"/>
      <c r="AH170" s="203"/>
      <c r="AI170" s="18"/>
      <c r="AJ170" s="18"/>
      <c r="AK170" s="18"/>
      <c r="AL170" s="18"/>
      <c r="AM170" s="18"/>
      <c r="AN170" s="18"/>
    </row>
    <row r="171" spans="1:40" ht="21" thickBot="1">
      <c r="A171" s="18"/>
      <c r="B171" s="151"/>
      <c r="C171" s="216">
        <v>151</v>
      </c>
      <c r="D171" s="38">
        <v>1</v>
      </c>
      <c r="E171" s="217">
        <f t="shared" si="49"/>
        <v>5</v>
      </c>
      <c r="F171" s="218">
        <f t="shared" si="50"/>
        <v>45808</v>
      </c>
      <c r="G171" s="219" t="str">
        <f t="shared" si="51"/>
        <v>Sat</v>
      </c>
      <c r="H171" s="233"/>
      <c r="I171" s="221"/>
      <c r="J171" s="315">
        <f>244300/B13</f>
        <v>2214.0656153706723</v>
      </c>
      <c r="K171" s="223"/>
      <c r="L171" s="317">
        <f t="shared" si="52"/>
        <v>921.86314334037752</v>
      </c>
      <c r="M171" s="320">
        <f t="shared" si="46"/>
        <v>1292.2024720302948</v>
      </c>
      <c r="N171" s="225">
        <f t="shared" si="8"/>
        <v>2.4017291843862965</v>
      </c>
      <c r="O171" s="226"/>
      <c r="P171" s="322">
        <f>IF(D171=0,0,SUM($L$141:L171))</f>
        <v>54757.640402012345</v>
      </c>
      <c r="Q171" s="323">
        <f>IF(D171=0,0,SUM($J$141:J171))</f>
        <v>65317.029182526734</v>
      </c>
      <c r="R171" s="320">
        <f t="shared" si="47"/>
        <v>10559.38878051439</v>
      </c>
      <c r="S171" s="228">
        <f t="shared" si="53"/>
        <v>1.1928386377314815</v>
      </c>
      <c r="T171" s="229"/>
      <c r="U171" s="332">
        <f>IF(D171=0,0,SUM($L$21:L171))</f>
        <v>259870.63507455008</v>
      </c>
      <c r="V171" s="323">
        <f>IF(D171=0,0,SUM($J$21:J171))</f>
        <v>283048.22367228562</v>
      </c>
      <c r="W171" s="333">
        <f t="shared" si="48"/>
        <v>23177.588597735536</v>
      </c>
      <c r="X171" s="230">
        <f t="shared" si="54"/>
        <v>1.0891889481514003</v>
      </c>
      <c r="Y171" s="201">
        <f t="shared" si="56"/>
        <v>45808</v>
      </c>
      <c r="Z171" s="202">
        <f t="shared" si="56"/>
        <v>45808</v>
      </c>
      <c r="AA171" s="18"/>
      <c r="AB171" s="244"/>
      <c r="AC171" s="247"/>
      <c r="AD171" s="142"/>
      <c r="AE171" s="18"/>
      <c r="AF171" s="18"/>
      <c r="AG171" s="203"/>
      <c r="AH171" s="203"/>
      <c r="AI171" s="18"/>
      <c r="AJ171" s="18"/>
      <c r="AK171" s="18"/>
      <c r="AL171" s="18"/>
      <c r="AM171" s="18"/>
      <c r="AN171" s="18"/>
    </row>
    <row r="172" spans="1:40" ht="21" thickTop="1">
      <c r="A172" s="18"/>
      <c r="B172" s="151"/>
      <c r="C172" s="55">
        <v>152</v>
      </c>
      <c r="D172" s="62">
        <v>0</v>
      </c>
      <c r="E172" s="190">
        <f t="shared" si="49"/>
        <v>6</v>
      </c>
      <c r="F172" s="191">
        <f t="shared" si="50"/>
        <v>45809</v>
      </c>
      <c r="G172" s="192" t="str">
        <f t="shared" si="51"/>
        <v>Sun</v>
      </c>
      <c r="H172" s="193"/>
      <c r="I172" s="194"/>
      <c r="J172" s="307"/>
      <c r="K172" s="215"/>
      <c r="L172" s="317">
        <f t="shared" si="52"/>
        <v>0</v>
      </c>
      <c r="M172" s="321">
        <f t="shared" si="46"/>
        <v>0</v>
      </c>
      <c r="N172" s="60" t="str">
        <f t="shared" si="8"/>
        <v>¥0</v>
      </c>
      <c r="O172" s="44"/>
      <c r="P172" s="317">
        <f>IF(D172=0,0,$L$172)</f>
        <v>0</v>
      </c>
      <c r="Q172" s="317">
        <f>IF(D172=0,0,$J$172)</f>
        <v>0</v>
      </c>
      <c r="R172" s="321">
        <f t="shared" si="47"/>
        <v>0</v>
      </c>
      <c r="S172" s="231">
        <f t="shared" si="53"/>
        <v>0</v>
      </c>
      <c r="T172" s="212"/>
      <c r="U172" s="317">
        <f>IF(D172=0,0,SUM($L$21:L172))</f>
        <v>0</v>
      </c>
      <c r="V172" s="317">
        <f>IF(D172=0,0,SUM($J$21:J172))</f>
        <v>0</v>
      </c>
      <c r="W172" s="331">
        <f t="shared" si="48"/>
        <v>0</v>
      </c>
      <c r="X172" s="232">
        <f t="shared" si="54"/>
        <v>0</v>
      </c>
      <c r="Y172" s="201">
        <f t="shared" si="56"/>
        <v>45809</v>
      </c>
      <c r="Z172" s="202">
        <f t="shared" si="56"/>
        <v>45809</v>
      </c>
      <c r="AA172" s="18"/>
      <c r="AB172" s="244"/>
      <c r="AC172" s="247"/>
      <c r="AD172" s="142"/>
      <c r="AE172" s="18"/>
      <c r="AF172" s="18"/>
      <c r="AG172" s="203"/>
      <c r="AH172" s="203"/>
      <c r="AI172" s="18"/>
      <c r="AJ172" s="18"/>
      <c r="AK172" s="18"/>
      <c r="AL172" s="18"/>
      <c r="AM172" s="18"/>
      <c r="AN172" s="18"/>
    </row>
    <row r="173" spans="1:40" ht="20">
      <c r="A173" s="18"/>
      <c r="B173" s="151"/>
      <c r="C173" s="55">
        <v>153</v>
      </c>
      <c r="D173" s="54">
        <v>1</v>
      </c>
      <c r="E173" s="190">
        <f t="shared" si="49"/>
        <v>6</v>
      </c>
      <c r="F173" s="191">
        <f t="shared" si="50"/>
        <v>45810</v>
      </c>
      <c r="G173" s="192" t="str">
        <f t="shared" si="51"/>
        <v>Mon</v>
      </c>
      <c r="H173" s="193"/>
      <c r="I173" s="194"/>
      <c r="J173" s="307">
        <f>201400/B13</f>
        <v>1825.2673554468008</v>
      </c>
      <c r="K173" s="215"/>
      <c r="L173" s="317">
        <f t="shared" si="52"/>
        <v>1262.1856470469945</v>
      </c>
      <c r="M173" s="318">
        <f t="shared" si="46"/>
        <v>563.0817083998063</v>
      </c>
      <c r="N173" s="41">
        <f t="shared" si="8"/>
        <v>1.4461163931923886</v>
      </c>
      <c r="O173" s="56"/>
      <c r="P173" s="317">
        <f>IF(D173=0,0,SUM($L$172:L173))</f>
        <v>1262.1856470469945</v>
      </c>
      <c r="Q173" s="317">
        <f>IF(D173=0,0,SUM($J$172:J173))</f>
        <v>1825.2673554468008</v>
      </c>
      <c r="R173" s="321">
        <f t="shared" si="47"/>
        <v>563.0817083998063</v>
      </c>
      <c r="S173" s="198">
        <f t="shared" si="53"/>
        <v>1.4461163931923886</v>
      </c>
      <c r="T173" s="207"/>
      <c r="U173" s="317">
        <f>IF(D173=0,0,SUM($L$21:L173))</f>
        <v>261132.82072159709</v>
      </c>
      <c r="V173" s="317">
        <f>IF(D173=0,0,SUM($J$21:J173))</f>
        <v>284873.49102773244</v>
      </c>
      <c r="W173" s="331">
        <f t="shared" si="48"/>
        <v>23740.670306135347</v>
      </c>
      <c r="X173" s="200">
        <f t="shared" si="54"/>
        <v>1.0909141571730889</v>
      </c>
      <c r="Y173" s="201">
        <f t="shared" si="56"/>
        <v>45810</v>
      </c>
      <c r="Z173" s="202">
        <f t="shared" si="56"/>
        <v>45810</v>
      </c>
      <c r="AA173" s="18"/>
      <c r="AB173" s="244"/>
      <c r="AC173" s="247"/>
      <c r="AD173" s="142"/>
      <c r="AE173" s="18"/>
      <c r="AF173" s="18"/>
      <c r="AG173" s="203"/>
      <c r="AH173" s="203"/>
      <c r="AI173" s="18"/>
      <c r="AJ173" s="18"/>
      <c r="AK173" s="18"/>
      <c r="AL173" s="18"/>
      <c r="AM173" s="18"/>
      <c r="AN173" s="18"/>
    </row>
    <row r="174" spans="1:40" ht="20">
      <c r="A174" s="18"/>
      <c r="B174" s="151"/>
      <c r="C174" s="55">
        <v>154</v>
      </c>
      <c r="D174" s="54">
        <v>1</v>
      </c>
      <c r="E174" s="190">
        <f t="shared" si="49"/>
        <v>6</v>
      </c>
      <c r="F174" s="191">
        <f t="shared" si="50"/>
        <v>45811</v>
      </c>
      <c r="G174" s="192" t="str">
        <f t="shared" si="51"/>
        <v>Tue</v>
      </c>
      <c r="H174" s="193"/>
      <c r="I174" s="194"/>
      <c r="J174" s="307">
        <f>221790/B13</f>
        <v>2010.0598151169113</v>
      </c>
      <c r="K174" s="215"/>
      <c r="L174" s="317">
        <f t="shared" si="52"/>
        <v>1679.9639753914585</v>
      </c>
      <c r="M174" s="318">
        <f t="shared" si="46"/>
        <v>330.09583972545283</v>
      </c>
      <c r="N174" s="41">
        <f t="shared" si="8"/>
        <v>1.1964898322587751</v>
      </c>
      <c r="O174" s="56"/>
      <c r="P174" s="317">
        <f>IF(D174=0,0,SUM($L$172:L174))</f>
        <v>2942.1496224384528</v>
      </c>
      <c r="Q174" s="317">
        <f>IF(D174=0,0,SUM($J$172:J174))</f>
        <v>3835.3271705637121</v>
      </c>
      <c r="R174" s="321">
        <f t="shared" si="47"/>
        <v>893.17754812525936</v>
      </c>
      <c r="S174" s="198">
        <f t="shared" si="53"/>
        <v>1.303579920379778</v>
      </c>
      <c r="T174" s="207"/>
      <c r="U174" s="317">
        <f>IF(D174=0,0,SUM($L$21:L174))</f>
        <v>262812.78469698853</v>
      </c>
      <c r="V174" s="317">
        <f>IF(D174=0,0,SUM($J$21:J174))</f>
        <v>286883.55084284936</v>
      </c>
      <c r="W174" s="331">
        <f t="shared" si="48"/>
        <v>24070.766145860835</v>
      </c>
      <c r="X174" s="200">
        <f t="shared" si="54"/>
        <v>1.0915890228613245</v>
      </c>
      <c r="Y174" s="201">
        <f t="shared" si="56"/>
        <v>45811</v>
      </c>
      <c r="Z174" s="202">
        <f t="shared" si="56"/>
        <v>45811</v>
      </c>
      <c r="AA174" s="18"/>
      <c r="AB174" s="244"/>
      <c r="AC174" s="247"/>
      <c r="AD174" s="142"/>
      <c r="AE174" s="18"/>
      <c r="AF174" s="18"/>
      <c r="AG174" s="203"/>
      <c r="AH174" s="203"/>
      <c r="AI174" s="18"/>
      <c r="AJ174" s="18"/>
      <c r="AK174" s="18"/>
      <c r="AL174" s="18"/>
      <c r="AM174" s="18"/>
      <c r="AN174" s="18"/>
    </row>
    <row r="175" spans="1:40" ht="20">
      <c r="A175" s="18"/>
      <c r="B175" s="151"/>
      <c r="C175" s="55">
        <v>155</v>
      </c>
      <c r="D175" s="54">
        <v>1</v>
      </c>
      <c r="E175" s="190">
        <f t="shared" si="49"/>
        <v>6</v>
      </c>
      <c r="F175" s="191">
        <f t="shared" si="50"/>
        <v>45812</v>
      </c>
      <c r="G175" s="192" t="str">
        <f t="shared" si="51"/>
        <v>Wed</v>
      </c>
      <c r="H175" s="193"/>
      <c r="I175" s="194"/>
      <c r="J175" s="307">
        <f>354790/B13</f>
        <v>3215.4250498459305</v>
      </c>
      <c r="K175" s="215"/>
      <c r="L175" s="317">
        <f t="shared" si="52"/>
        <v>2530.9323550859926</v>
      </c>
      <c r="M175" s="318">
        <f t="shared" si="46"/>
        <v>684.49269475993788</v>
      </c>
      <c r="N175" s="41">
        <f t="shared" si="8"/>
        <v>1.2704508057611366</v>
      </c>
      <c r="O175" s="56"/>
      <c r="P175" s="317">
        <f>IF(D175=0,0,SUM($L$172:L175))</f>
        <v>5473.0819775244454</v>
      </c>
      <c r="Q175" s="317">
        <f>IF(D175=0,0,SUM($J$172:J175))</f>
        <v>7050.7522204096422</v>
      </c>
      <c r="R175" s="321">
        <f t="shared" si="47"/>
        <v>1577.6702428851968</v>
      </c>
      <c r="S175" s="198">
        <f t="shared" si="53"/>
        <v>1.2882599327698723</v>
      </c>
      <c r="T175" s="207"/>
      <c r="U175" s="317">
        <f>IF(D175=0,0,SUM($L$21:L175))</f>
        <v>265343.7170520745</v>
      </c>
      <c r="V175" s="317">
        <f>IF(D175=0,0,SUM($J$21:J175))</f>
        <v>290098.97589269531</v>
      </c>
      <c r="W175" s="331">
        <f t="shared" si="48"/>
        <v>24755.258840620809</v>
      </c>
      <c r="X175" s="200">
        <f t="shared" si="54"/>
        <v>1.0932950631567526</v>
      </c>
      <c r="Y175" s="201">
        <f t="shared" si="56"/>
        <v>45812</v>
      </c>
      <c r="Z175" s="202">
        <f t="shared" si="56"/>
        <v>45812</v>
      </c>
      <c r="AA175" s="18"/>
      <c r="AB175" s="244"/>
      <c r="AC175" s="247"/>
      <c r="AD175" s="142"/>
      <c r="AE175" s="18"/>
      <c r="AF175" s="18"/>
      <c r="AG175" s="203"/>
      <c r="AH175" s="203"/>
      <c r="AI175" s="18"/>
      <c r="AJ175" s="18"/>
      <c r="AK175" s="18"/>
      <c r="AL175" s="18"/>
      <c r="AM175" s="18"/>
      <c r="AN175" s="18"/>
    </row>
    <row r="176" spans="1:40" ht="20">
      <c r="A176" s="18"/>
      <c r="B176" s="151"/>
      <c r="C176" s="55">
        <v>156</v>
      </c>
      <c r="D176" s="54">
        <v>1</v>
      </c>
      <c r="E176" s="190">
        <f t="shared" si="49"/>
        <v>6</v>
      </c>
      <c r="F176" s="191">
        <f t="shared" si="50"/>
        <v>45813</v>
      </c>
      <c r="G176" s="192" t="str">
        <f t="shared" si="51"/>
        <v>Thu</v>
      </c>
      <c r="H176" s="193"/>
      <c r="I176" s="194"/>
      <c r="J176" s="307">
        <f>200350/B13</f>
        <v>1815.7513141199927</v>
      </c>
      <c r="K176" s="215"/>
      <c r="L176" s="317">
        <f t="shared" si="52"/>
        <v>2293.458055578682</v>
      </c>
      <c r="M176" s="318">
        <f t="shared" si="46"/>
        <v>-477.70674145868929</v>
      </c>
      <c r="N176" s="41">
        <f t="shared" si="8"/>
        <v>0.79170896965100368</v>
      </c>
      <c r="O176" s="56"/>
      <c r="P176" s="317">
        <f>IF(D176=0,0,SUM($L$172:L176))</f>
        <v>7766.5400331031269</v>
      </c>
      <c r="Q176" s="317">
        <f>IF(D176=0,0,SUM($J$172:J176))</f>
        <v>8866.5035345296346</v>
      </c>
      <c r="R176" s="321">
        <f t="shared" si="47"/>
        <v>1099.9635014265077</v>
      </c>
      <c r="S176" s="198">
        <f t="shared" si="53"/>
        <v>1.1416285111179703</v>
      </c>
      <c r="T176" s="207"/>
      <c r="U176" s="317">
        <f>IF(D176=0,0,SUM($L$21:L176))</f>
        <v>267637.17510765319</v>
      </c>
      <c r="V176" s="317">
        <f>IF(D176=0,0,SUM($J$21:J176))</f>
        <v>291914.72720681533</v>
      </c>
      <c r="W176" s="331">
        <f t="shared" si="48"/>
        <v>24277.552099162131</v>
      </c>
      <c r="X176" s="200">
        <f t="shared" si="54"/>
        <v>1.0907106872929624</v>
      </c>
      <c r="Y176" s="201">
        <f t="shared" si="56"/>
        <v>45813</v>
      </c>
      <c r="Z176" s="202">
        <f t="shared" si="56"/>
        <v>45813</v>
      </c>
      <c r="AA176" s="18"/>
      <c r="AB176" s="244"/>
      <c r="AC176" s="247"/>
      <c r="AD176" s="142"/>
      <c r="AE176" s="18"/>
      <c r="AF176" s="18"/>
      <c r="AG176" s="203"/>
      <c r="AH176" s="203"/>
      <c r="AI176" s="18"/>
      <c r="AJ176" s="18"/>
      <c r="AK176" s="18"/>
      <c r="AL176" s="18"/>
      <c r="AM176" s="18"/>
      <c r="AN176" s="18"/>
    </row>
    <row r="177" spans="1:40" ht="20">
      <c r="A177" s="18"/>
      <c r="B177" s="151"/>
      <c r="C177" s="55">
        <v>157</v>
      </c>
      <c r="D177" s="54">
        <v>1</v>
      </c>
      <c r="E177" s="190">
        <f t="shared" si="49"/>
        <v>6</v>
      </c>
      <c r="F177" s="191">
        <f t="shared" si="50"/>
        <v>45814</v>
      </c>
      <c r="G177" s="192" t="str">
        <f t="shared" si="51"/>
        <v>Fri</v>
      </c>
      <c r="H177" s="193"/>
      <c r="I177" s="194"/>
      <c r="J177" s="307">
        <f>380170/B13</f>
        <v>3445.4413630596337</v>
      </c>
      <c r="K177" s="215"/>
      <c r="L177" s="317">
        <f t="shared" si="52"/>
        <v>2648.6129237230493</v>
      </c>
      <c r="M177" s="318">
        <f t="shared" si="46"/>
        <v>796.82843933658432</v>
      </c>
      <c r="N177" s="41">
        <f t="shared" si="8"/>
        <v>1.3008474481867718</v>
      </c>
      <c r="O177" s="56"/>
      <c r="P177" s="317">
        <f>IF(D177=0,0,SUM($L$172:L177))</f>
        <v>10415.152956826176</v>
      </c>
      <c r="Q177" s="317">
        <f>IF(D177=0,0,SUM($J$172:J177))</f>
        <v>12311.944897589268</v>
      </c>
      <c r="R177" s="321">
        <f t="shared" si="47"/>
        <v>1896.7919407630925</v>
      </c>
      <c r="S177" s="198">
        <f t="shared" si="53"/>
        <v>1.1821184910702554</v>
      </c>
      <c r="T177" s="207"/>
      <c r="U177" s="317">
        <f>IF(D177=0,0,SUM($L$21:L177))</f>
        <v>270285.78803137626</v>
      </c>
      <c r="V177" s="317">
        <f>IF(D177=0,0,SUM($J$21:J177))</f>
        <v>295360.16856987495</v>
      </c>
      <c r="W177" s="331">
        <f t="shared" si="48"/>
        <v>25074.380538498692</v>
      </c>
      <c r="X177" s="200">
        <f t="shared" si="54"/>
        <v>1.0927698815432645</v>
      </c>
      <c r="Y177" s="201">
        <f t="shared" si="56"/>
        <v>45814</v>
      </c>
      <c r="Z177" s="202">
        <f t="shared" si="56"/>
        <v>45814</v>
      </c>
      <c r="AA177" s="18"/>
      <c r="AB177" s="244"/>
      <c r="AC177" s="247"/>
      <c r="AD177" s="142"/>
      <c r="AE177" s="18"/>
      <c r="AF177" s="18"/>
      <c r="AG177" s="203"/>
      <c r="AH177" s="203"/>
      <c r="AI177" s="18"/>
      <c r="AJ177" s="18"/>
      <c r="AK177" s="18"/>
      <c r="AL177" s="18"/>
      <c r="AM177" s="18"/>
      <c r="AN177" s="18"/>
    </row>
    <row r="178" spans="1:40" ht="20">
      <c r="A178" s="18"/>
      <c r="B178" s="151"/>
      <c r="C178" s="55">
        <v>158</v>
      </c>
      <c r="D178" s="54">
        <v>1</v>
      </c>
      <c r="E178" s="190">
        <f t="shared" si="49"/>
        <v>6</v>
      </c>
      <c r="F178" s="191">
        <f t="shared" si="50"/>
        <v>45815</v>
      </c>
      <c r="G178" s="192" t="str">
        <f t="shared" si="51"/>
        <v>Sat</v>
      </c>
      <c r="H178" s="193"/>
      <c r="I178" s="194"/>
      <c r="J178" s="307">
        <f>96230/B13</f>
        <v>872.12253036070331</v>
      </c>
      <c r="K178" s="215"/>
      <c r="L178" s="317">
        <f t="shared" si="52"/>
        <v>1390.1324912325144</v>
      </c>
      <c r="M178" s="318">
        <f t="shared" si="46"/>
        <v>-518.00996087181113</v>
      </c>
      <c r="N178" s="41">
        <f t="shared" si="8"/>
        <v>0.62736648187214517</v>
      </c>
      <c r="O178" s="56"/>
      <c r="P178" s="317">
        <f>IF(D178=0,0,SUM($L$172:L178))</f>
        <v>11805.28544805869</v>
      </c>
      <c r="Q178" s="317">
        <f>IF(D178=0,0,SUM($J$172:J178))</f>
        <v>13184.067427949971</v>
      </c>
      <c r="R178" s="321">
        <f t="shared" si="47"/>
        <v>1378.7819798912806</v>
      </c>
      <c r="S178" s="198">
        <f t="shared" si="53"/>
        <v>1.1167936163812129</v>
      </c>
      <c r="T178" s="207"/>
      <c r="U178" s="317">
        <f>IF(D178=0,0,SUM($L$21:L178))</f>
        <v>271675.92052260879</v>
      </c>
      <c r="V178" s="317">
        <f>IF(D178=0,0,SUM($J$21:J178))</f>
        <v>296232.29110023566</v>
      </c>
      <c r="W178" s="331">
        <f t="shared" si="48"/>
        <v>24556.370577626862</v>
      </c>
      <c r="X178" s="200">
        <f t="shared" si="54"/>
        <v>1.0903884692113643</v>
      </c>
      <c r="Y178" s="201">
        <f t="shared" si="56"/>
        <v>45815</v>
      </c>
      <c r="Z178" s="202">
        <f t="shared" si="56"/>
        <v>45815</v>
      </c>
      <c r="AA178" s="18"/>
      <c r="AB178" s="244"/>
      <c r="AC178" s="247"/>
      <c r="AD178" s="142"/>
      <c r="AE178" s="18"/>
      <c r="AF178" s="18"/>
      <c r="AG178" s="203"/>
      <c r="AH178" s="203"/>
      <c r="AI178" s="18"/>
      <c r="AJ178" s="18"/>
      <c r="AK178" s="18"/>
      <c r="AL178" s="18"/>
      <c r="AM178" s="18"/>
      <c r="AN178" s="18"/>
    </row>
    <row r="179" spans="1:40" ht="20">
      <c r="A179" s="18"/>
      <c r="B179" s="151"/>
      <c r="C179" s="55">
        <v>159</v>
      </c>
      <c r="D179" s="54">
        <v>0</v>
      </c>
      <c r="E179" s="190">
        <f t="shared" si="49"/>
        <v>6</v>
      </c>
      <c r="F179" s="191">
        <f t="shared" si="50"/>
        <v>45816</v>
      </c>
      <c r="G179" s="192" t="str">
        <f t="shared" si="51"/>
        <v>Sun</v>
      </c>
      <c r="H179" s="193"/>
      <c r="I179" s="194"/>
      <c r="J179" s="307"/>
      <c r="K179" s="215"/>
      <c r="L179" s="317">
        <f t="shared" si="52"/>
        <v>0</v>
      </c>
      <c r="M179" s="318">
        <f t="shared" si="46"/>
        <v>0</v>
      </c>
      <c r="N179" s="41" t="str">
        <f t="shared" si="8"/>
        <v>¥0</v>
      </c>
      <c r="O179" s="44"/>
      <c r="P179" s="317">
        <f>IF(D179=0,0,SUM($L$172:L179))</f>
        <v>0</v>
      </c>
      <c r="Q179" s="317">
        <f>IF(D179=0,0,SUM($J$172:J179))</f>
        <v>0</v>
      </c>
      <c r="R179" s="321">
        <f t="shared" si="47"/>
        <v>0</v>
      </c>
      <c r="S179" s="198">
        <f t="shared" si="53"/>
        <v>0</v>
      </c>
      <c r="T179" s="212"/>
      <c r="U179" s="317">
        <f>IF(D179=0,0,SUM($L$21:L179))</f>
        <v>0</v>
      </c>
      <c r="V179" s="317">
        <f>IF(D179=0,0,SUM($J$21:J179))</f>
        <v>0</v>
      </c>
      <c r="W179" s="331">
        <f t="shared" si="48"/>
        <v>0</v>
      </c>
      <c r="X179" s="200">
        <f t="shared" si="54"/>
        <v>0</v>
      </c>
      <c r="Y179" s="201">
        <f t="shared" si="56"/>
        <v>45816</v>
      </c>
      <c r="Z179" s="202">
        <f t="shared" si="56"/>
        <v>45816</v>
      </c>
      <c r="AA179" s="18"/>
      <c r="AB179" s="244"/>
      <c r="AC179" s="247"/>
      <c r="AD179" s="142"/>
      <c r="AE179" s="18"/>
      <c r="AF179" s="18"/>
      <c r="AG179" s="203"/>
      <c r="AH179" s="203"/>
      <c r="AI179" s="18"/>
      <c r="AJ179" s="18"/>
      <c r="AK179" s="18"/>
      <c r="AL179" s="18"/>
      <c r="AM179" s="18"/>
      <c r="AN179" s="18"/>
    </row>
    <row r="180" spans="1:40" ht="20">
      <c r="A180" s="18"/>
      <c r="B180" s="151"/>
      <c r="C180" s="55">
        <v>160</v>
      </c>
      <c r="D180" s="54">
        <v>1</v>
      </c>
      <c r="E180" s="190">
        <f t="shared" si="49"/>
        <v>6</v>
      </c>
      <c r="F180" s="191">
        <f t="shared" si="50"/>
        <v>45817</v>
      </c>
      <c r="G180" s="192" t="str">
        <f t="shared" si="51"/>
        <v>Mon</v>
      </c>
      <c r="H180" s="193"/>
      <c r="I180" s="194"/>
      <c r="J180" s="307">
        <f>297970/B13</f>
        <v>2700.4712706180894</v>
      </c>
      <c r="K180" s="215"/>
      <c r="L180" s="317">
        <f t="shared" si="52"/>
        <v>1262.1856470469945</v>
      </c>
      <c r="M180" s="318">
        <f t="shared" si="46"/>
        <v>1438.2856235710949</v>
      </c>
      <c r="N180" s="41">
        <f t="shared" si="8"/>
        <v>2.1395198693124926</v>
      </c>
      <c r="O180" s="56"/>
      <c r="P180" s="317">
        <f>IF(D180=0,0,SUM($L$172:L180))</f>
        <v>13067.471095105684</v>
      </c>
      <c r="Q180" s="317">
        <f>IF(D180=0,0,SUM($J$172:J180))</f>
        <v>15884.53869856806</v>
      </c>
      <c r="R180" s="321">
        <f t="shared" si="47"/>
        <v>2817.0676034623757</v>
      </c>
      <c r="S180" s="198">
        <f t="shared" si="53"/>
        <v>1.2155786366741983</v>
      </c>
      <c r="T180" s="207"/>
      <c r="U180" s="317">
        <f>IF(D180=0,0,SUM($L$21:L180))</f>
        <v>272938.1061696558</v>
      </c>
      <c r="V180" s="317">
        <f>IF(D180=0,0,SUM($J$21:J180))</f>
        <v>298932.76237085374</v>
      </c>
      <c r="W180" s="331">
        <f t="shared" si="48"/>
        <v>25994.65620119794</v>
      </c>
      <c r="X180" s="200">
        <f t="shared" si="54"/>
        <v>1.095240113467483</v>
      </c>
      <c r="Y180" s="201">
        <f t="shared" si="56"/>
        <v>45817</v>
      </c>
      <c r="Z180" s="202">
        <f t="shared" si="56"/>
        <v>45817</v>
      </c>
      <c r="AA180" s="18"/>
      <c r="AB180" s="244"/>
      <c r="AC180" s="247"/>
      <c r="AD180" s="142"/>
      <c r="AE180" s="18"/>
      <c r="AF180" s="18"/>
      <c r="AG180" s="203"/>
      <c r="AH180" s="203"/>
      <c r="AI180" s="18"/>
      <c r="AJ180" s="18"/>
      <c r="AK180" s="18"/>
      <c r="AL180" s="18"/>
      <c r="AM180" s="18"/>
      <c r="AN180" s="18"/>
    </row>
    <row r="181" spans="1:40" ht="20">
      <c r="A181" s="18"/>
      <c r="B181" s="151"/>
      <c r="C181" s="55">
        <v>161</v>
      </c>
      <c r="D181" s="54">
        <v>1</v>
      </c>
      <c r="E181" s="190">
        <f t="shared" si="49"/>
        <v>6</v>
      </c>
      <c r="F181" s="191">
        <f t="shared" si="50"/>
        <v>45818</v>
      </c>
      <c r="G181" s="192" t="str">
        <f t="shared" si="51"/>
        <v>Tue</v>
      </c>
      <c r="H181" s="193"/>
      <c r="I181" s="194"/>
      <c r="J181" s="307">
        <f>265260/B13</f>
        <v>2404.0239260467642</v>
      </c>
      <c r="K181" s="215"/>
      <c r="L181" s="317">
        <f t="shared" si="52"/>
        <v>1679.9639753914585</v>
      </c>
      <c r="M181" s="318">
        <f t="shared" si="46"/>
        <v>724.05995065530578</v>
      </c>
      <c r="N181" s="41">
        <f t="shared" si="8"/>
        <v>1.4309973078360732</v>
      </c>
      <c r="O181" s="56"/>
      <c r="P181" s="317">
        <f>IF(D181=0,0,SUM($L$172:L181))</f>
        <v>14747.435070497142</v>
      </c>
      <c r="Q181" s="317">
        <f>IF(D181=0,0,SUM($J$172:J181))</f>
        <v>18288.562624614824</v>
      </c>
      <c r="R181" s="321">
        <f t="shared" si="47"/>
        <v>3541.1275541176819</v>
      </c>
      <c r="S181" s="198">
        <f t="shared" si="53"/>
        <v>1.2401181993472108</v>
      </c>
      <c r="T181" s="207"/>
      <c r="U181" s="317">
        <f>IF(D181=0,0,SUM($L$21:L181))</f>
        <v>274618.07014504727</v>
      </c>
      <c r="V181" s="317">
        <f>IF(D181=0,0,SUM($J$21:J181))</f>
        <v>301336.78629690048</v>
      </c>
      <c r="W181" s="331">
        <f t="shared" si="48"/>
        <v>26718.716151853208</v>
      </c>
      <c r="X181" s="200">
        <f t="shared" si="54"/>
        <v>1.0972940933484128</v>
      </c>
      <c r="Y181" s="201">
        <f t="shared" si="56"/>
        <v>45818</v>
      </c>
      <c r="Z181" s="202">
        <f t="shared" si="56"/>
        <v>45818</v>
      </c>
      <c r="AA181" s="18"/>
      <c r="AB181" s="244"/>
      <c r="AC181" s="247"/>
      <c r="AD181" s="142"/>
      <c r="AE181" s="18"/>
      <c r="AF181" s="18"/>
      <c r="AG181" s="203"/>
      <c r="AH181" s="203"/>
      <c r="AI181" s="18"/>
      <c r="AJ181" s="18"/>
      <c r="AK181" s="18"/>
      <c r="AL181" s="18"/>
      <c r="AM181" s="18"/>
      <c r="AN181" s="18"/>
    </row>
    <row r="182" spans="1:40" ht="20">
      <c r="A182" s="18"/>
      <c r="B182" s="151"/>
      <c r="C182" s="55">
        <v>162</v>
      </c>
      <c r="D182" s="54">
        <v>1</v>
      </c>
      <c r="E182" s="190">
        <f t="shared" si="49"/>
        <v>6</v>
      </c>
      <c r="F182" s="191">
        <f t="shared" si="50"/>
        <v>45819</v>
      </c>
      <c r="G182" s="192" t="str">
        <f t="shared" si="51"/>
        <v>Wed</v>
      </c>
      <c r="H182" s="193"/>
      <c r="I182" s="194"/>
      <c r="J182" s="307">
        <f>295230/B13</f>
        <v>2675.6389342033713</v>
      </c>
      <c r="K182" s="215"/>
      <c r="L182" s="317">
        <f t="shared" si="52"/>
        <v>2530.9323550859926</v>
      </c>
      <c r="M182" s="318">
        <f t="shared" si="46"/>
        <v>144.70657911737862</v>
      </c>
      <c r="N182" s="41">
        <f t="shared" si="8"/>
        <v>1.0571752061356305</v>
      </c>
      <c r="O182" s="56"/>
      <c r="P182" s="317">
        <f>IF(D182=0,0,SUM($L$172:L182))</f>
        <v>17278.367425583136</v>
      </c>
      <c r="Q182" s="317">
        <f>IF(D182=0,0,SUM($J$172:J182))</f>
        <v>20964.201558818197</v>
      </c>
      <c r="R182" s="321">
        <f t="shared" si="47"/>
        <v>3685.834133235061</v>
      </c>
      <c r="S182" s="198">
        <f t="shared" si="53"/>
        <v>1.2133207404640352</v>
      </c>
      <c r="T182" s="207"/>
      <c r="U182" s="317">
        <f>IF(D182=0,0,SUM($L$21:L182))</f>
        <v>277149.00250013324</v>
      </c>
      <c r="V182" s="317">
        <f>IF(D182=0,0,SUM($J$21:J182))</f>
        <v>304012.42523110384</v>
      </c>
      <c r="W182" s="331">
        <f t="shared" si="48"/>
        <v>26863.422730970604</v>
      </c>
      <c r="X182" s="200">
        <f t="shared" si="54"/>
        <v>1.0969277265609414</v>
      </c>
      <c r="Y182" s="201">
        <f t="shared" si="56"/>
        <v>45819</v>
      </c>
      <c r="Z182" s="202">
        <f t="shared" si="56"/>
        <v>45819</v>
      </c>
      <c r="AA182" s="18"/>
      <c r="AB182" s="244"/>
      <c r="AC182" s="247"/>
      <c r="AD182" s="142"/>
      <c r="AE182" s="18"/>
      <c r="AF182" s="18"/>
      <c r="AG182" s="203"/>
      <c r="AH182" s="203"/>
      <c r="AI182" s="18"/>
      <c r="AJ182" s="18"/>
      <c r="AK182" s="18"/>
      <c r="AL182" s="18"/>
      <c r="AM182" s="18"/>
      <c r="AN182" s="18"/>
    </row>
    <row r="183" spans="1:40" ht="20">
      <c r="A183" s="18"/>
      <c r="B183" s="151"/>
      <c r="C183" s="55">
        <v>163</v>
      </c>
      <c r="D183" s="54">
        <v>1</v>
      </c>
      <c r="E183" s="190">
        <f t="shared" si="49"/>
        <v>6</v>
      </c>
      <c r="F183" s="191">
        <f t="shared" si="50"/>
        <v>45820</v>
      </c>
      <c r="G183" s="192" t="str">
        <f t="shared" si="51"/>
        <v>Thu</v>
      </c>
      <c r="H183" s="193"/>
      <c r="I183" s="194"/>
      <c r="J183" s="307">
        <f>167200/B13</f>
        <v>1515.31629508791</v>
      </c>
      <c r="K183" s="215"/>
      <c r="L183" s="317">
        <f t="shared" si="52"/>
        <v>2293.458055578682</v>
      </c>
      <c r="M183" s="318">
        <f t="shared" si="46"/>
        <v>-778.14176049077196</v>
      </c>
      <c r="N183" s="41">
        <f t="shared" si="8"/>
        <v>0.66071245183752336</v>
      </c>
      <c r="O183" s="56"/>
      <c r="P183" s="317">
        <f>IF(D183=0,0,SUM($L$172:L183))</f>
        <v>19571.825481161817</v>
      </c>
      <c r="Q183" s="317">
        <f>IF(D183=0,0,SUM($J$172:J183))</f>
        <v>22479.517853906105</v>
      </c>
      <c r="R183" s="321">
        <f t="shared" si="47"/>
        <v>2907.6923727442881</v>
      </c>
      <c r="S183" s="198">
        <f t="shared" si="53"/>
        <v>1.1485652105136022</v>
      </c>
      <c r="T183" s="207"/>
      <c r="U183" s="317">
        <f>IF(D183=0,0,SUM($L$21:L183))</f>
        <v>279442.46055571194</v>
      </c>
      <c r="V183" s="317">
        <f>IF(D183=0,0,SUM($J$21:J183))</f>
        <v>305527.74152619176</v>
      </c>
      <c r="W183" s="331">
        <f t="shared" si="48"/>
        <v>26085.280970479827</v>
      </c>
      <c r="X183" s="200">
        <f t="shared" si="54"/>
        <v>1.0933475926264229</v>
      </c>
      <c r="Y183" s="201">
        <f t="shared" ref="Y183:Z198" si="57">Y182+1</f>
        <v>45820</v>
      </c>
      <c r="Z183" s="202">
        <f t="shared" si="57"/>
        <v>45820</v>
      </c>
      <c r="AA183" s="18"/>
      <c r="AB183" s="244"/>
      <c r="AC183" s="247"/>
      <c r="AD183" s="142"/>
      <c r="AE183" s="18"/>
      <c r="AF183" s="18"/>
      <c r="AG183" s="203"/>
      <c r="AH183" s="203"/>
      <c r="AI183" s="18"/>
      <c r="AJ183" s="18"/>
      <c r="AK183" s="18"/>
      <c r="AL183" s="18"/>
      <c r="AM183" s="18"/>
      <c r="AN183" s="18"/>
    </row>
    <row r="184" spans="1:40" ht="20">
      <c r="A184" s="18"/>
      <c r="B184" s="151"/>
      <c r="C184" s="55">
        <v>164</v>
      </c>
      <c r="D184" s="54">
        <v>1</v>
      </c>
      <c r="E184" s="190">
        <f t="shared" si="49"/>
        <v>6</v>
      </c>
      <c r="F184" s="191">
        <f t="shared" si="50"/>
        <v>45821</v>
      </c>
      <c r="G184" s="192" t="str">
        <f t="shared" si="51"/>
        <v>Fri</v>
      </c>
      <c r="H184" s="193"/>
      <c r="I184" s="194"/>
      <c r="J184" s="307">
        <f>284950/B13</f>
        <v>2582.4723581656694</v>
      </c>
      <c r="K184" s="215"/>
      <c r="L184" s="317">
        <f t="shared" si="52"/>
        <v>2648.6129237230493</v>
      </c>
      <c r="M184" s="318">
        <f t="shared" si="46"/>
        <v>-66.140565557379887</v>
      </c>
      <c r="N184" s="41">
        <f t="shared" si="8"/>
        <v>0.97502822516458587</v>
      </c>
      <c r="O184" s="56"/>
      <c r="P184" s="317">
        <f>IF(D184=0,0,SUM($L$172:L184))</f>
        <v>22220.438404884866</v>
      </c>
      <c r="Q184" s="317">
        <f>IF(D184=0,0,SUM($J$172:J184))</f>
        <v>25061.990212071774</v>
      </c>
      <c r="R184" s="321">
        <f t="shared" si="47"/>
        <v>2841.5518071869083</v>
      </c>
      <c r="S184" s="198">
        <f t="shared" si="53"/>
        <v>1.1278800964864055</v>
      </c>
      <c r="T184" s="207"/>
      <c r="U184" s="317">
        <f>IF(D184=0,0,SUM($L$21:L184))</f>
        <v>282091.073479435</v>
      </c>
      <c r="V184" s="317">
        <f>IF(D184=0,0,SUM($J$21:J184))</f>
        <v>308110.21388435742</v>
      </c>
      <c r="W184" s="331">
        <f t="shared" si="48"/>
        <v>26019.140404922422</v>
      </c>
      <c r="X184" s="200">
        <f t="shared" si="54"/>
        <v>1.0922366669883983</v>
      </c>
      <c r="Y184" s="201">
        <f t="shared" si="57"/>
        <v>45821</v>
      </c>
      <c r="Z184" s="202">
        <f t="shared" si="57"/>
        <v>45821</v>
      </c>
      <c r="AA184" s="18"/>
      <c r="AB184" s="244"/>
      <c r="AC184" s="247"/>
      <c r="AD184" s="142"/>
      <c r="AE184" s="18"/>
      <c r="AF184" s="18"/>
      <c r="AG184" s="203"/>
      <c r="AH184" s="203"/>
      <c r="AI184" s="18"/>
      <c r="AJ184" s="18"/>
      <c r="AK184" s="18"/>
      <c r="AL184" s="18"/>
      <c r="AM184" s="18"/>
      <c r="AN184" s="18"/>
    </row>
    <row r="185" spans="1:40" ht="20">
      <c r="A185" s="18"/>
      <c r="B185" s="151"/>
      <c r="C185" s="55">
        <v>165</v>
      </c>
      <c r="D185" s="54">
        <v>1</v>
      </c>
      <c r="E185" s="190">
        <f t="shared" si="49"/>
        <v>6</v>
      </c>
      <c r="F185" s="191">
        <f t="shared" si="50"/>
        <v>45822</v>
      </c>
      <c r="G185" s="192" t="str">
        <f t="shared" si="51"/>
        <v>Sat</v>
      </c>
      <c r="H185" s="193"/>
      <c r="I185" s="194"/>
      <c r="J185" s="307">
        <f>61200/B13</f>
        <v>554.64926590538334</v>
      </c>
      <c r="K185" s="215"/>
      <c r="L185" s="317">
        <f t="shared" si="52"/>
        <v>1390.1324912325144</v>
      </c>
      <c r="M185" s="318">
        <f t="shared" si="46"/>
        <v>-835.48322532713109</v>
      </c>
      <c r="N185" s="41">
        <f t="shared" si="8"/>
        <v>0.39899021812922458</v>
      </c>
      <c r="O185" s="56"/>
      <c r="P185" s="317">
        <f>IF(D185=0,0,SUM($L$172:L185))</f>
        <v>23610.57089611738</v>
      </c>
      <c r="Q185" s="317">
        <f>IF(D185=0,0,SUM($J$172:J185))</f>
        <v>25616.639477977158</v>
      </c>
      <c r="R185" s="321">
        <f t="shared" si="47"/>
        <v>2006.0685818597776</v>
      </c>
      <c r="S185" s="198">
        <f t="shared" si="53"/>
        <v>1.0849648486131973</v>
      </c>
      <c r="T185" s="207"/>
      <c r="U185" s="317">
        <f>IF(D185=0,0,SUM($L$21:L185))</f>
        <v>283481.20597066754</v>
      </c>
      <c r="V185" s="317">
        <f>IF(D185=0,0,SUM($J$21:J185))</f>
        <v>308664.8631502628</v>
      </c>
      <c r="W185" s="331">
        <f t="shared" si="48"/>
        <v>25183.657179595262</v>
      </c>
      <c r="X185" s="200">
        <f t="shared" si="54"/>
        <v>1.0888371315246947</v>
      </c>
      <c r="Y185" s="201">
        <f t="shared" si="57"/>
        <v>45822</v>
      </c>
      <c r="Z185" s="202">
        <f t="shared" si="57"/>
        <v>45822</v>
      </c>
      <c r="AA185" s="18"/>
      <c r="AB185" s="244"/>
      <c r="AC185" s="247"/>
      <c r="AD185" s="142"/>
      <c r="AE185" s="18"/>
      <c r="AF185" s="18"/>
      <c r="AG185" s="203"/>
      <c r="AH185" s="203"/>
      <c r="AI185" s="18"/>
      <c r="AJ185" s="18"/>
      <c r="AK185" s="18"/>
      <c r="AL185" s="18"/>
      <c r="AM185" s="18"/>
      <c r="AN185" s="18"/>
    </row>
    <row r="186" spans="1:40" ht="20">
      <c r="A186" s="18"/>
      <c r="B186" s="151"/>
      <c r="C186" s="55">
        <v>166</v>
      </c>
      <c r="D186" s="54">
        <v>0</v>
      </c>
      <c r="E186" s="190">
        <f t="shared" si="49"/>
        <v>6</v>
      </c>
      <c r="F186" s="191">
        <f t="shared" si="50"/>
        <v>45823</v>
      </c>
      <c r="G186" s="192" t="str">
        <f t="shared" si="51"/>
        <v>Sun</v>
      </c>
      <c r="H186" s="193"/>
      <c r="I186" s="194"/>
      <c r="J186" s="307"/>
      <c r="K186" s="215"/>
      <c r="L186" s="317">
        <f t="shared" si="52"/>
        <v>0</v>
      </c>
      <c r="M186" s="318">
        <f t="shared" si="46"/>
        <v>0</v>
      </c>
      <c r="N186" s="41" t="str">
        <f t="shared" si="8"/>
        <v>¥0</v>
      </c>
      <c r="O186" s="44"/>
      <c r="P186" s="317">
        <f>IF(D186=0,0,SUM($L$172:L186))</f>
        <v>0</v>
      </c>
      <c r="Q186" s="317">
        <f>IF(D186=0,0,SUM($J$172:J186))</f>
        <v>0</v>
      </c>
      <c r="R186" s="321">
        <f t="shared" si="47"/>
        <v>0</v>
      </c>
      <c r="S186" s="198">
        <f t="shared" si="53"/>
        <v>0</v>
      </c>
      <c r="T186" s="212"/>
      <c r="U186" s="317">
        <f>IF(D186=0,0,SUM($L$21:L186))</f>
        <v>0</v>
      </c>
      <c r="V186" s="317">
        <f>IF(D186=0,0,SUM($J$21:J186))</f>
        <v>0</v>
      </c>
      <c r="W186" s="331">
        <f t="shared" si="48"/>
        <v>0</v>
      </c>
      <c r="X186" s="200">
        <f t="shared" si="54"/>
        <v>0</v>
      </c>
      <c r="Y186" s="201">
        <f t="shared" si="57"/>
        <v>45823</v>
      </c>
      <c r="Z186" s="202">
        <f t="shared" si="57"/>
        <v>45823</v>
      </c>
      <c r="AA186" s="18"/>
      <c r="AB186" s="244"/>
      <c r="AC186" s="247"/>
      <c r="AD186" s="142"/>
      <c r="AE186" s="18"/>
      <c r="AF186" s="18"/>
      <c r="AG186" s="203"/>
      <c r="AH186" s="203"/>
      <c r="AI186" s="18"/>
      <c r="AJ186" s="18"/>
      <c r="AK186" s="18"/>
      <c r="AL186" s="18"/>
      <c r="AM186" s="18"/>
      <c r="AN186" s="18"/>
    </row>
    <row r="187" spans="1:40" ht="20">
      <c r="A187" s="18"/>
      <c r="B187" s="151"/>
      <c r="C187" s="55">
        <v>167</v>
      </c>
      <c r="D187" s="54">
        <v>1</v>
      </c>
      <c r="E187" s="190">
        <f t="shared" si="49"/>
        <v>6</v>
      </c>
      <c r="F187" s="191">
        <f t="shared" si="50"/>
        <v>45824</v>
      </c>
      <c r="G187" s="192" t="str">
        <f t="shared" si="51"/>
        <v>Mon</v>
      </c>
      <c r="H187" s="193"/>
      <c r="I187" s="194"/>
      <c r="J187" s="307">
        <f>351410/B13</f>
        <v>3184.7924596701105</v>
      </c>
      <c r="K187" s="215"/>
      <c r="L187" s="317">
        <f t="shared" si="52"/>
        <v>1262.1856470469945</v>
      </c>
      <c r="M187" s="318">
        <f t="shared" si="46"/>
        <v>1922.606812623116</v>
      </c>
      <c r="N187" s="41">
        <f t="shared" si="8"/>
        <v>2.5232361555696983</v>
      </c>
      <c r="O187" s="56"/>
      <c r="P187" s="317">
        <f>IF(D187=0,0,SUM($L$172:L187))</f>
        <v>24872.756543164374</v>
      </c>
      <c r="Q187" s="317">
        <f>IF(D187=0,0,SUM($J$172:J187))</f>
        <v>28801.43193764727</v>
      </c>
      <c r="R187" s="321">
        <f t="shared" si="47"/>
        <v>3928.6753944828961</v>
      </c>
      <c r="S187" s="198">
        <f t="shared" si="53"/>
        <v>1.157950944748124</v>
      </c>
      <c r="T187" s="207"/>
      <c r="U187" s="317">
        <f>IF(D187=0,0,SUM($L$21:L187))</f>
        <v>284743.39161771454</v>
      </c>
      <c r="V187" s="317">
        <f>IF(D187=0,0,SUM($J$21:J187))</f>
        <v>311849.6556099329</v>
      </c>
      <c r="W187" s="331">
        <f t="shared" si="48"/>
        <v>27106.263992218359</v>
      </c>
      <c r="X187" s="200">
        <f t="shared" si="54"/>
        <v>1.0951954102893113</v>
      </c>
      <c r="Y187" s="201">
        <f t="shared" si="57"/>
        <v>45824</v>
      </c>
      <c r="Z187" s="202">
        <f t="shared" si="57"/>
        <v>45824</v>
      </c>
      <c r="AA187" s="18"/>
      <c r="AB187" s="244"/>
      <c r="AC187" s="247"/>
      <c r="AD187" s="142"/>
      <c r="AE187" s="18"/>
      <c r="AF187" s="18"/>
      <c r="AG187" s="203"/>
      <c r="AH187" s="203"/>
      <c r="AI187" s="18"/>
      <c r="AJ187" s="18"/>
      <c r="AK187" s="18"/>
      <c r="AL187" s="18"/>
      <c r="AM187" s="18"/>
      <c r="AN187" s="18"/>
    </row>
    <row r="188" spans="1:40" ht="20">
      <c r="A188" s="18"/>
      <c r="B188" s="151"/>
      <c r="C188" s="55">
        <v>168</v>
      </c>
      <c r="D188" s="54">
        <v>1</v>
      </c>
      <c r="E188" s="190">
        <f t="shared" si="49"/>
        <v>6</v>
      </c>
      <c r="F188" s="191">
        <f t="shared" si="50"/>
        <v>45825</v>
      </c>
      <c r="G188" s="192" t="str">
        <f t="shared" si="51"/>
        <v>Tue</v>
      </c>
      <c r="H188" s="193"/>
      <c r="I188" s="194"/>
      <c r="J188" s="307">
        <f>220490/B13</f>
        <v>1998.2780496646728</v>
      </c>
      <c r="K188" s="215"/>
      <c r="L188" s="317">
        <f t="shared" si="52"/>
        <v>1679.9639753914585</v>
      </c>
      <c r="M188" s="318">
        <f t="shared" si="46"/>
        <v>318.31407427321437</v>
      </c>
      <c r="N188" s="41">
        <f t="shared" si="8"/>
        <v>1.1894767262488721</v>
      </c>
      <c r="O188" s="56"/>
      <c r="P188" s="317">
        <f>IF(D188=0,0,SUM($L$172:L188))</f>
        <v>26552.720518555834</v>
      </c>
      <c r="Q188" s="317">
        <f>IF(D188=0,0,SUM($J$172:J188))</f>
        <v>30799.709987311944</v>
      </c>
      <c r="R188" s="321">
        <f t="shared" si="47"/>
        <v>4246.98946875611</v>
      </c>
      <c r="S188" s="198">
        <f t="shared" si="53"/>
        <v>1.159945549300238</v>
      </c>
      <c r="T188" s="207"/>
      <c r="U188" s="317">
        <f>IF(D188=0,0,SUM($L$21:L188))</f>
        <v>286423.35559310601</v>
      </c>
      <c r="V188" s="317">
        <f>IF(D188=0,0,SUM($J$21:J188))</f>
        <v>313847.93365959759</v>
      </c>
      <c r="W188" s="331">
        <f t="shared" si="48"/>
        <v>27424.57806649158</v>
      </c>
      <c r="X188" s="200">
        <f t="shared" si="54"/>
        <v>1.0957484001599751</v>
      </c>
      <c r="Y188" s="201">
        <f t="shared" si="57"/>
        <v>45825</v>
      </c>
      <c r="Z188" s="202">
        <f t="shared" si="57"/>
        <v>45825</v>
      </c>
      <c r="AA188" s="18"/>
      <c r="AB188" s="244"/>
      <c r="AC188" s="247"/>
      <c r="AD188" s="142"/>
      <c r="AE188" s="18"/>
      <c r="AF188" s="18"/>
      <c r="AG188" s="203"/>
      <c r="AH188" s="203"/>
      <c r="AI188" s="18"/>
      <c r="AJ188" s="18"/>
      <c r="AK188" s="18"/>
      <c r="AL188" s="18"/>
      <c r="AM188" s="18"/>
      <c r="AN188" s="18"/>
    </row>
    <row r="189" spans="1:40" ht="20">
      <c r="A189" s="18"/>
      <c r="B189" s="151"/>
      <c r="C189" s="55">
        <v>169</v>
      </c>
      <c r="D189" s="54">
        <v>1</v>
      </c>
      <c r="E189" s="190">
        <f t="shared" si="49"/>
        <v>6</v>
      </c>
      <c r="F189" s="191">
        <f t="shared" si="50"/>
        <v>45826</v>
      </c>
      <c r="G189" s="192" t="str">
        <f t="shared" si="51"/>
        <v>Wed</v>
      </c>
      <c r="H189" s="193"/>
      <c r="I189" s="194"/>
      <c r="J189" s="307">
        <f>244790/B13</f>
        <v>2218.5064346565164</v>
      </c>
      <c r="K189" s="215"/>
      <c r="L189" s="317">
        <f t="shared" si="52"/>
        <v>2530.9323550859926</v>
      </c>
      <c r="M189" s="318">
        <f t="shared" si="46"/>
        <v>-312.42592042947626</v>
      </c>
      <c r="N189" s="41">
        <f t="shared" si="8"/>
        <v>0.87655698509616586</v>
      </c>
      <c r="O189" s="56"/>
      <c r="P189" s="317">
        <f>IF(D189=0,0,SUM($L$172:L189))</f>
        <v>29083.652873641826</v>
      </c>
      <c r="Q189" s="317">
        <f>IF(D189=0,0,SUM($J$172:J189))</f>
        <v>33018.216421968464</v>
      </c>
      <c r="R189" s="321">
        <f t="shared" si="47"/>
        <v>3934.5635483266378</v>
      </c>
      <c r="S189" s="198">
        <f t="shared" si="53"/>
        <v>1.135284366287169</v>
      </c>
      <c r="T189" s="207"/>
      <c r="U189" s="317">
        <f>IF(D189=0,0,SUM($L$21:L189))</f>
        <v>288954.28794819198</v>
      </c>
      <c r="V189" s="317">
        <f>IF(D189=0,0,SUM($J$21:J189))</f>
        <v>316066.4400942541</v>
      </c>
      <c r="W189" s="331">
        <f t="shared" si="48"/>
        <v>27112.152146062115</v>
      </c>
      <c r="X189" s="200">
        <f t="shared" si="54"/>
        <v>1.0938285164016088</v>
      </c>
      <c r="Y189" s="201">
        <f t="shared" si="57"/>
        <v>45826</v>
      </c>
      <c r="Z189" s="202">
        <f t="shared" si="57"/>
        <v>45826</v>
      </c>
      <c r="AA189" s="18"/>
      <c r="AB189" s="244"/>
      <c r="AC189" s="247"/>
      <c r="AD189" s="142"/>
      <c r="AE189" s="18"/>
      <c r="AF189" s="18"/>
      <c r="AG189" s="203"/>
      <c r="AH189" s="203"/>
      <c r="AI189" s="18"/>
      <c r="AJ189" s="18"/>
      <c r="AK189" s="18"/>
      <c r="AL189" s="18"/>
      <c r="AM189" s="18"/>
      <c r="AN189" s="18"/>
    </row>
    <row r="190" spans="1:40" ht="20">
      <c r="A190" s="18"/>
      <c r="B190" s="151"/>
      <c r="C190" s="55">
        <v>170</v>
      </c>
      <c r="D190" s="54">
        <v>1</v>
      </c>
      <c r="E190" s="190">
        <f t="shared" si="49"/>
        <v>6</v>
      </c>
      <c r="F190" s="191">
        <f t="shared" si="50"/>
        <v>45827</v>
      </c>
      <c r="G190" s="192" t="str">
        <f t="shared" si="51"/>
        <v>Thu</v>
      </c>
      <c r="H190" s="193"/>
      <c r="I190" s="194"/>
      <c r="J190" s="307">
        <f>242730/B13</f>
        <v>2199.836867862969</v>
      </c>
      <c r="K190" s="215"/>
      <c r="L190" s="317">
        <f t="shared" si="52"/>
        <v>2293.458055578682</v>
      </c>
      <c r="M190" s="318">
        <f t="shared" si="46"/>
        <v>-93.621187715712949</v>
      </c>
      <c r="N190" s="41">
        <f t="shared" si="8"/>
        <v>0.95917902771843344</v>
      </c>
      <c r="O190" s="56"/>
      <c r="P190" s="317">
        <f>IF(D190=0,0,SUM($L$172:L190))</f>
        <v>31377.110929220507</v>
      </c>
      <c r="Q190" s="317">
        <f>IF(D190=0,0,SUM($J$172:J190))</f>
        <v>35218.053289831434</v>
      </c>
      <c r="R190" s="321">
        <f t="shared" si="47"/>
        <v>3840.9423606109267</v>
      </c>
      <c r="S190" s="198">
        <f t="shared" si="53"/>
        <v>1.1224122376746286</v>
      </c>
      <c r="T190" s="207"/>
      <c r="U190" s="317">
        <f>IF(D190=0,0,SUM($L$21:L190))</f>
        <v>291247.74600377068</v>
      </c>
      <c r="V190" s="317">
        <f>IF(D190=0,0,SUM($J$21:J190))</f>
        <v>318266.27696211706</v>
      </c>
      <c r="W190" s="331">
        <f t="shared" si="48"/>
        <v>27018.530958346382</v>
      </c>
      <c r="X190" s="200">
        <f t="shared" si="54"/>
        <v>1.0927682062061232</v>
      </c>
      <c r="Y190" s="201">
        <f t="shared" si="57"/>
        <v>45827</v>
      </c>
      <c r="Z190" s="202">
        <f t="shared" si="57"/>
        <v>45827</v>
      </c>
      <c r="AA190" s="18"/>
      <c r="AB190" s="244"/>
      <c r="AC190" s="247"/>
      <c r="AD190" s="142"/>
      <c r="AE190" s="18"/>
      <c r="AF190" s="18"/>
      <c r="AG190" s="203"/>
      <c r="AH190" s="203"/>
      <c r="AI190" s="18"/>
      <c r="AJ190" s="18"/>
      <c r="AK190" s="18"/>
      <c r="AL190" s="18"/>
      <c r="AM190" s="18"/>
      <c r="AN190" s="18"/>
    </row>
    <row r="191" spans="1:40" ht="20">
      <c r="A191" s="18"/>
      <c r="B191" s="151"/>
      <c r="C191" s="55">
        <v>171</v>
      </c>
      <c r="D191" s="54">
        <v>1</v>
      </c>
      <c r="E191" s="190">
        <f t="shared" si="49"/>
        <v>6</v>
      </c>
      <c r="F191" s="191">
        <f t="shared" si="50"/>
        <v>45828</v>
      </c>
      <c r="G191" s="192" t="str">
        <f t="shared" si="51"/>
        <v>Fri</v>
      </c>
      <c r="H191" s="193"/>
      <c r="I191" s="194"/>
      <c r="J191" s="307">
        <f>336680/B13</f>
        <v>3051.295994199746</v>
      </c>
      <c r="K191" s="215"/>
      <c r="L191" s="317">
        <f t="shared" si="52"/>
        <v>2648.6129237230493</v>
      </c>
      <c r="M191" s="318">
        <f t="shared" si="46"/>
        <v>402.68307047669668</v>
      </c>
      <c r="N191" s="41">
        <f t="shared" si="8"/>
        <v>1.1520354548110643</v>
      </c>
      <c r="O191" s="56"/>
      <c r="P191" s="317">
        <f>IF(D191=0,0,SUM($L$172:L191))</f>
        <v>34025.723852943556</v>
      </c>
      <c r="Q191" s="317">
        <f>IF(D191=0,0,SUM($J$172:J191))</f>
        <v>38269.349284031181</v>
      </c>
      <c r="R191" s="321">
        <f t="shared" si="47"/>
        <v>4243.6254310876247</v>
      </c>
      <c r="S191" s="198">
        <f t="shared" si="53"/>
        <v>1.124718152931242</v>
      </c>
      <c r="T191" s="207"/>
      <c r="U191" s="317">
        <f>IF(D191=0,0,SUM($L$21:L191))</f>
        <v>293896.35892749374</v>
      </c>
      <c r="V191" s="317">
        <f>IF(D191=0,0,SUM($J$21:J191))</f>
        <v>321317.57295631681</v>
      </c>
      <c r="W191" s="331">
        <f t="shared" si="48"/>
        <v>27421.214028823073</v>
      </c>
      <c r="X191" s="200">
        <f t="shared" si="54"/>
        <v>1.0933023264694071</v>
      </c>
      <c r="Y191" s="201">
        <f t="shared" si="57"/>
        <v>45828</v>
      </c>
      <c r="Z191" s="202">
        <f t="shared" si="57"/>
        <v>45828</v>
      </c>
      <c r="AA191" s="18"/>
      <c r="AB191" s="244"/>
      <c r="AC191" s="247"/>
      <c r="AD191" s="142"/>
      <c r="AE191" s="18"/>
      <c r="AF191" s="18"/>
      <c r="AG191" s="203"/>
      <c r="AH191" s="203"/>
      <c r="AI191" s="18"/>
      <c r="AJ191" s="18"/>
      <c r="AK191" s="18"/>
      <c r="AL191" s="18"/>
      <c r="AM191" s="18"/>
      <c r="AN191" s="18"/>
    </row>
    <row r="192" spans="1:40" ht="20">
      <c r="A192" s="18"/>
      <c r="B192" s="151"/>
      <c r="C192" s="55">
        <v>172</v>
      </c>
      <c r="D192" s="54">
        <v>1</v>
      </c>
      <c r="E192" s="190">
        <f t="shared" si="49"/>
        <v>6</v>
      </c>
      <c r="F192" s="191">
        <f t="shared" si="50"/>
        <v>45829</v>
      </c>
      <c r="G192" s="192" t="str">
        <f t="shared" si="51"/>
        <v>Sat</v>
      </c>
      <c r="H192" s="193"/>
      <c r="I192" s="194"/>
      <c r="J192" s="307">
        <f>55870/B13</f>
        <v>506.34402755120533</v>
      </c>
      <c r="K192" s="215"/>
      <c r="L192" s="317">
        <f t="shared" si="52"/>
        <v>1390.1324912325144</v>
      </c>
      <c r="M192" s="318">
        <f t="shared" si="46"/>
        <v>-883.78846368130917</v>
      </c>
      <c r="N192" s="41">
        <f t="shared" si="8"/>
        <v>0.36424156024313364</v>
      </c>
      <c r="O192" s="56"/>
      <c r="P192" s="317">
        <f>IF(D192=0,0,SUM($L$172:L192))</f>
        <v>35415.856344176071</v>
      </c>
      <c r="Q192" s="317">
        <f>IF(D192=0,0,SUM($J$172:J192))</f>
        <v>38775.693311582385</v>
      </c>
      <c r="R192" s="321">
        <f t="shared" si="47"/>
        <v>3359.8369674063142</v>
      </c>
      <c r="S192" s="198">
        <f t="shared" si="53"/>
        <v>1.0948681555164153</v>
      </c>
      <c r="T192" s="207"/>
      <c r="U192" s="317">
        <f>IF(D192=0,0,SUM($L$21:L192))</f>
        <v>295286.49141872628</v>
      </c>
      <c r="V192" s="317">
        <f>IF(D192=0,0,SUM($J$21:J192))</f>
        <v>321823.916983868</v>
      </c>
      <c r="W192" s="331">
        <f t="shared" si="48"/>
        <v>26537.425565141719</v>
      </c>
      <c r="X192" s="200">
        <f t="shared" si="54"/>
        <v>1.0898700967919008</v>
      </c>
      <c r="Y192" s="201">
        <f t="shared" si="57"/>
        <v>45829</v>
      </c>
      <c r="Z192" s="202">
        <f t="shared" si="57"/>
        <v>45829</v>
      </c>
      <c r="AA192" s="18"/>
      <c r="AB192" s="244"/>
      <c r="AC192" s="247"/>
      <c r="AD192" s="142"/>
      <c r="AE192" s="18"/>
      <c r="AF192" s="18"/>
      <c r="AG192" s="203"/>
      <c r="AH192" s="203"/>
      <c r="AI192" s="18"/>
      <c r="AJ192" s="18"/>
      <c r="AK192" s="18"/>
      <c r="AL192" s="18"/>
      <c r="AM192" s="18"/>
      <c r="AN192" s="18"/>
    </row>
    <row r="193" spans="1:40" ht="20">
      <c r="A193" s="18"/>
      <c r="B193" s="151"/>
      <c r="C193" s="55">
        <v>173</v>
      </c>
      <c r="D193" s="54">
        <v>0</v>
      </c>
      <c r="E193" s="190">
        <f t="shared" si="49"/>
        <v>6</v>
      </c>
      <c r="F193" s="191">
        <f t="shared" si="50"/>
        <v>45830</v>
      </c>
      <c r="G193" s="192" t="str">
        <f t="shared" si="51"/>
        <v>Sun</v>
      </c>
      <c r="H193" s="193"/>
      <c r="I193" s="194"/>
      <c r="J193" s="307"/>
      <c r="K193" s="215"/>
      <c r="L193" s="317">
        <f t="shared" si="52"/>
        <v>0</v>
      </c>
      <c r="M193" s="318">
        <f t="shared" si="46"/>
        <v>0</v>
      </c>
      <c r="N193" s="41" t="str">
        <f t="shared" si="8"/>
        <v>¥0</v>
      </c>
      <c r="O193" s="44"/>
      <c r="P193" s="317">
        <f>IF(D193=0,0,SUM($L$172:L193))</f>
        <v>0</v>
      </c>
      <c r="Q193" s="317">
        <f>IF(D193=0,0,SUM($J$172:J193))</f>
        <v>0</v>
      </c>
      <c r="R193" s="321">
        <f t="shared" si="47"/>
        <v>0</v>
      </c>
      <c r="S193" s="198">
        <f t="shared" si="53"/>
        <v>0</v>
      </c>
      <c r="T193" s="212"/>
      <c r="U193" s="317">
        <f>IF(D193=0,0,SUM($L$21:L193))</f>
        <v>0</v>
      </c>
      <c r="V193" s="317">
        <f>IF(D193=0,0,SUM($J$21:J193))</f>
        <v>0</v>
      </c>
      <c r="W193" s="331">
        <f t="shared" si="48"/>
        <v>0</v>
      </c>
      <c r="X193" s="200">
        <f t="shared" si="54"/>
        <v>0</v>
      </c>
      <c r="Y193" s="201">
        <f t="shared" si="57"/>
        <v>45830</v>
      </c>
      <c r="Z193" s="202">
        <f t="shared" si="57"/>
        <v>45830</v>
      </c>
      <c r="AA193" s="18"/>
      <c r="AB193" s="244"/>
      <c r="AC193" s="247"/>
      <c r="AD193" s="142"/>
      <c r="AE193" s="18"/>
      <c r="AF193" s="18"/>
      <c r="AG193" s="203"/>
      <c r="AH193" s="203"/>
      <c r="AI193" s="18"/>
      <c r="AJ193" s="18"/>
      <c r="AK193" s="18"/>
      <c r="AL193" s="18"/>
      <c r="AM193" s="18"/>
      <c r="AN193" s="18"/>
    </row>
    <row r="194" spans="1:40" ht="20">
      <c r="A194" s="18"/>
      <c r="B194" s="151"/>
      <c r="C194" s="55">
        <v>174</v>
      </c>
      <c r="D194" s="54">
        <v>1</v>
      </c>
      <c r="E194" s="190">
        <f t="shared" si="49"/>
        <v>6</v>
      </c>
      <c r="F194" s="191">
        <f t="shared" si="50"/>
        <v>45831</v>
      </c>
      <c r="G194" s="192" t="str">
        <f t="shared" si="51"/>
        <v>Mon</v>
      </c>
      <c r="H194" s="193"/>
      <c r="I194" s="194"/>
      <c r="J194" s="307">
        <f>357190/B13</f>
        <v>3237.1760014500633</v>
      </c>
      <c r="K194" s="215"/>
      <c r="L194" s="317">
        <f t="shared" si="52"/>
        <v>1262.1856470469945</v>
      </c>
      <c r="M194" s="318">
        <f t="shared" si="46"/>
        <v>1974.9903544030687</v>
      </c>
      <c r="N194" s="41">
        <f t="shared" si="8"/>
        <v>2.5647384035967686</v>
      </c>
      <c r="O194" s="56"/>
      <c r="P194" s="317">
        <f>IF(D194=0,0,SUM($L$172:L194))</f>
        <v>36678.041991223065</v>
      </c>
      <c r="Q194" s="317">
        <f>IF(D194=0,0,SUM($J$172:J194))</f>
        <v>42012.869313032446</v>
      </c>
      <c r="R194" s="321">
        <f t="shared" si="47"/>
        <v>5334.8273218093818</v>
      </c>
      <c r="S194" s="198">
        <f t="shared" si="53"/>
        <v>1.1454501666988108</v>
      </c>
      <c r="T194" s="207"/>
      <c r="U194" s="317">
        <f>IF(D194=0,0,SUM($L$21:L194))</f>
        <v>296548.67706577328</v>
      </c>
      <c r="V194" s="317">
        <f>IF(D194=0,0,SUM($J$21:J194))</f>
        <v>325061.09298531804</v>
      </c>
      <c r="W194" s="331">
        <f t="shared" si="48"/>
        <v>28512.415919544757</v>
      </c>
      <c r="X194" s="200">
        <f t="shared" si="54"/>
        <v>1.0961475067151314</v>
      </c>
      <c r="Y194" s="201">
        <f t="shared" si="57"/>
        <v>45831</v>
      </c>
      <c r="Z194" s="202">
        <f t="shared" si="57"/>
        <v>45831</v>
      </c>
      <c r="AA194" s="18"/>
      <c r="AB194" s="244"/>
      <c r="AC194" s="247"/>
      <c r="AD194" s="142"/>
      <c r="AE194" s="18"/>
      <c r="AF194" s="18"/>
      <c r="AG194" s="203"/>
      <c r="AH194" s="203"/>
      <c r="AI194" s="18"/>
      <c r="AJ194" s="18"/>
      <c r="AK194" s="18"/>
      <c r="AL194" s="18"/>
      <c r="AM194" s="18"/>
      <c r="AN194" s="18"/>
    </row>
    <row r="195" spans="1:40" ht="20">
      <c r="A195" s="18"/>
      <c r="B195" s="151"/>
      <c r="C195" s="55">
        <v>175</v>
      </c>
      <c r="D195" s="54">
        <v>1</v>
      </c>
      <c r="E195" s="190">
        <f t="shared" si="49"/>
        <v>6</v>
      </c>
      <c r="F195" s="191">
        <f t="shared" si="50"/>
        <v>45832</v>
      </c>
      <c r="G195" s="192" t="str">
        <f t="shared" si="51"/>
        <v>Tue</v>
      </c>
      <c r="H195" s="193"/>
      <c r="I195" s="194"/>
      <c r="J195" s="307">
        <f>252030/B13</f>
        <v>2284.1218053289831</v>
      </c>
      <c r="K195" s="215"/>
      <c r="L195" s="317">
        <f t="shared" si="52"/>
        <v>1679.9639753914585</v>
      </c>
      <c r="M195" s="318">
        <f t="shared" si="46"/>
        <v>604.15782993752464</v>
      </c>
      <c r="N195" s="41">
        <f t="shared" si="8"/>
        <v>1.3596254674429826</v>
      </c>
      <c r="O195" s="56"/>
      <c r="P195" s="317">
        <f>IF(D195=0,0,SUM($L$172:L195))</f>
        <v>38358.005966614524</v>
      </c>
      <c r="Q195" s="317">
        <f>IF(D195=0,0,SUM($J$172:J195))</f>
        <v>44296.991118361431</v>
      </c>
      <c r="R195" s="321">
        <f t="shared" si="47"/>
        <v>5938.9851517469069</v>
      </c>
      <c r="S195" s="198">
        <f t="shared" si="53"/>
        <v>1.1548303933451596</v>
      </c>
      <c r="T195" s="207"/>
      <c r="U195" s="317">
        <f>IF(D195=0,0,SUM($L$21:L195))</f>
        <v>298228.64104116475</v>
      </c>
      <c r="V195" s="317">
        <f>IF(D195=0,0,SUM($J$21:J195))</f>
        <v>327345.21479064703</v>
      </c>
      <c r="W195" s="331">
        <f t="shared" si="48"/>
        <v>29116.573749482282</v>
      </c>
      <c r="X195" s="200">
        <f t="shared" si="54"/>
        <v>1.0976317152096176</v>
      </c>
      <c r="Y195" s="201">
        <f t="shared" si="57"/>
        <v>45832</v>
      </c>
      <c r="Z195" s="202">
        <f t="shared" si="57"/>
        <v>45832</v>
      </c>
      <c r="AA195" s="18"/>
      <c r="AB195" s="244"/>
      <c r="AC195" s="247"/>
      <c r="AD195" s="142"/>
      <c r="AE195" s="18"/>
      <c r="AF195" s="18"/>
      <c r="AG195" s="203"/>
      <c r="AH195" s="203"/>
      <c r="AI195" s="18"/>
      <c r="AJ195" s="18"/>
      <c r="AK195" s="18"/>
      <c r="AL195" s="18"/>
      <c r="AM195" s="18"/>
      <c r="AN195" s="18"/>
    </row>
    <row r="196" spans="1:40" ht="20">
      <c r="A196" s="18"/>
      <c r="B196" s="151"/>
      <c r="C196" s="55">
        <v>176</v>
      </c>
      <c r="D196" s="54">
        <v>1</v>
      </c>
      <c r="E196" s="190">
        <f t="shared" si="49"/>
        <v>6</v>
      </c>
      <c r="F196" s="191">
        <f t="shared" si="50"/>
        <v>45833</v>
      </c>
      <c r="G196" s="192" t="str">
        <f t="shared" si="51"/>
        <v>Wed</v>
      </c>
      <c r="H196" s="193"/>
      <c r="I196" s="194"/>
      <c r="J196" s="307">
        <f>191500/B13</f>
        <v>1735.5446800797533</v>
      </c>
      <c r="K196" s="215"/>
      <c r="L196" s="317">
        <f t="shared" si="52"/>
        <v>2530.9323550859926</v>
      </c>
      <c r="M196" s="318">
        <f t="shared" si="46"/>
        <v>-795.38767500623931</v>
      </c>
      <c r="N196" s="41">
        <f t="shared" si="8"/>
        <v>0.685733333248563</v>
      </c>
      <c r="O196" s="56"/>
      <c r="P196" s="317">
        <f>IF(D196=0,0,SUM($L$172:L196))</f>
        <v>40888.938321700516</v>
      </c>
      <c r="Q196" s="317">
        <f>IF(D196=0,0,SUM($J$172:J196))</f>
        <v>46032.535798441182</v>
      </c>
      <c r="R196" s="321">
        <f t="shared" si="47"/>
        <v>5143.597476740666</v>
      </c>
      <c r="S196" s="198">
        <f t="shared" si="53"/>
        <v>1.1257943514275808</v>
      </c>
      <c r="T196" s="207"/>
      <c r="U196" s="317">
        <f>IF(D196=0,0,SUM($L$21:L196))</f>
        <v>300759.57339625072</v>
      </c>
      <c r="V196" s="317">
        <f>IF(D196=0,0,SUM($J$21:J196))</f>
        <v>329080.75947072677</v>
      </c>
      <c r="W196" s="331">
        <f t="shared" si="48"/>
        <v>28321.186074476049</v>
      </c>
      <c r="X196" s="200">
        <f t="shared" si="54"/>
        <v>1.0941655347979993</v>
      </c>
      <c r="Y196" s="201">
        <f t="shared" si="57"/>
        <v>45833</v>
      </c>
      <c r="Z196" s="202">
        <f t="shared" si="57"/>
        <v>45833</v>
      </c>
      <c r="AA196" s="18"/>
      <c r="AB196" s="244"/>
      <c r="AC196" s="247"/>
      <c r="AD196" s="142"/>
      <c r="AE196" s="18"/>
      <c r="AF196" s="18"/>
      <c r="AG196" s="203"/>
      <c r="AH196" s="203"/>
      <c r="AI196" s="18"/>
      <c r="AJ196" s="18"/>
      <c r="AK196" s="18"/>
      <c r="AL196" s="18"/>
      <c r="AM196" s="18"/>
      <c r="AN196" s="18"/>
    </row>
    <row r="197" spans="1:40" ht="20">
      <c r="A197" s="18"/>
      <c r="B197" s="151"/>
      <c r="C197" s="55">
        <v>177</v>
      </c>
      <c r="D197" s="54">
        <v>1</v>
      </c>
      <c r="E197" s="190">
        <f t="shared" si="49"/>
        <v>6</v>
      </c>
      <c r="F197" s="191">
        <f t="shared" si="50"/>
        <v>45834</v>
      </c>
      <c r="G197" s="192" t="str">
        <f t="shared" si="51"/>
        <v>Thu</v>
      </c>
      <c r="H197" s="193"/>
      <c r="I197" s="194"/>
      <c r="J197" s="307">
        <f>291000/B13</f>
        <v>2637.3028820010873</v>
      </c>
      <c r="K197" s="215"/>
      <c r="L197" s="317">
        <f t="shared" si="52"/>
        <v>2293.458055578682</v>
      </c>
      <c r="M197" s="318">
        <f t="shared" si="46"/>
        <v>343.84482642240528</v>
      </c>
      <c r="N197" s="41">
        <f t="shared" si="8"/>
        <v>1.1499241835210485</v>
      </c>
      <c r="O197" s="56"/>
      <c r="P197" s="317">
        <f>IF(D197=0,0,SUM($L$172:L197))</f>
        <v>43182.396377279198</v>
      </c>
      <c r="Q197" s="317">
        <f>IF(D197=0,0,SUM($J$172:J197))</f>
        <v>48669.83868044227</v>
      </c>
      <c r="R197" s="321">
        <f t="shared" si="47"/>
        <v>5487.4423031630722</v>
      </c>
      <c r="S197" s="198">
        <f t="shared" si="53"/>
        <v>1.1270759097114476</v>
      </c>
      <c r="T197" s="207"/>
      <c r="U197" s="317">
        <f>IF(D197=0,0,SUM($L$21:L197))</f>
        <v>303053.03145182942</v>
      </c>
      <c r="V197" s="317">
        <f>IF(D197=0,0,SUM($J$21:J197))</f>
        <v>331718.06235272787</v>
      </c>
      <c r="W197" s="331">
        <f t="shared" si="48"/>
        <v>28665.030900898448</v>
      </c>
      <c r="X197" s="200">
        <f t="shared" si="54"/>
        <v>1.0945875075513138</v>
      </c>
      <c r="Y197" s="201">
        <f t="shared" si="57"/>
        <v>45834</v>
      </c>
      <c r="Z197" s="202">
        <f t="shared" si="57"/>
        <v>45834</v>
      </c>
      <c r="AA197" s="18"/>
      <c r="AB197" s="244"/>
      <c r="AC197" s="247"/>
      <c r="AD197" s="142"/>
      <c r="AE197" s="18"/>
      <c r="AF197" s="18"/>
      <c r="AG197" s="203"/>
      <c r="AH197" s="203"/>
      <c r="AI197" s="18"/>
      <c r="AJ197" s="18"/>
      <c r="AK197" s="18"/>
      <c r="AL197" s="18"/>
      <c r="AM197" s="18"/>
      <c r="AN197" s="18"/>
    </row>
    <row r="198" spans="1:40" ht="20">
      <c r="A198" s="18"/>
      <c r="B198" s="151"/>
      <c r="C198" s="55">
        <v>178</v>
      </c>
      <c r="D198" s="54">
        <v>1</v>
      </c>
      <c r="E198" s="190">
        <f t="shared" si="49"/>
        <v>6</v>
      </c>
      <c r="F198" s="191">
        <f t="shared" si="50"/>
        <v>45835</v>
      </c>
      <c r="G198" s="192" t="str">
        <f t="shared" si="51"/>
        <v>Fri</v>
      </c>
      <c r="H198" s="193"/>
      <c r="I198" s="194"/>
      <c r="J198" s="307">
        <f>353150/B13</f>
        <v>3200.5618995831069</v>
      </c>
      <c r="K198" s="215"/>
      <c r="L198" s="317">
        <f t="shared" si="52"/>
        <v>2648.6129237230493</v>
      </c>
      <c r="M198" s="318">
        <f t="shared" si="46"/>
        <v>551.94897586005754</v>
      </c>
      <c r="N198" s="41">
        <f t="shared" si="8"/>
        <v>1.2083917098328603</v>
      </c>
      <c r="O198" s="56"/>
      <c r="P198" s="317">
        <f>IF(D198=0,0,SUM($L$172:L198))</f>
        <v>45831.009301002247</v>
      </c>
      <c r="Q198" s="317">
        <f>IF(D198=0,0,SUM($J$172:J198))</f>
        <v>51870.40058002538</v>
      </c>
      <c r="R198" s="321">
        <f t="shared" si="47"/>
        <v>6039.3912790231334</v>
      </c>
      <c r="S198" s="198">
        <f t="shared" si="53"/>
        <v>1.131775218812191</v>
      </c>
      <c r="T198" s="207"/>
      <c r="U198" s="317">
        <f>IF(D198=0,0,SUM($L$21:L198))</f>
        <v>305701.64437555248</v>
      </c>
      <c r="V198" s="317">
        <f>IF(D198=0,0,SUM($J$21:J198))</f>
        <v>334918.62425231095</v>
      </c>
      <c r="W198" s="331">
        <f t="shared" si="48"/>
        <v>29216.979876758473</v>
      </c>
      <c r="X198" s="200">
        <f t="shared" si="54"/>
        <v>1.0955735123258468</v>
      </c>
      <c r="Y198" s="201">
        <f t="shared" si="57"/>
        <v>45835</v>
      </c>
      <c r="Z198" s="202">
        <f t="shared" si="57"/>
        <v>45835</v>
      </c>
      <c r="AA198" s="18"/>
      <c r="AB198" s="244"/>
      <c r="AC198" s="247"/>
      <c r="AD198" s="142"/>
      <c r="AE198" s="18"/>
      <c r="AF198" s="18"/>
      <c r="AG198" s="203"/>
      <c r="AH198" s="203"/>
      <c r="AI198" s="18"/>
      <c r="AJ198" s="18"/>
      <c r="AK198" s="18"/>
      <c r="AL198" s="18"/>
      <c r="AM198" s="18"/>
      <c r="AN198" s="18"/>
    </row>
    <row r="199" spans="1:40" ht="20">
      <c r="A199" s="18"/>
      <c r="B199" s="151"/>
      <c r="C199" s="55">
        <v>179</v>
      </c>
      <c r="D199" s="54">
        <v>1</v>
      </c>
      <c r="E199" s="190">
        <f t="shared" si="49"/>
        <v>6</v>
      </c>
      <c r="F199" s="191">
        <f t="shared" si="50"/>
        <v>45836</v>
      </c>
      <c r="G199" s="192" t="str">
        <f t="shared" si="51"/>
        <v>Sat</v>
      </c>
      <c r="H199" s="193"/>
      <c r="I199" s="194"/>
      <c r="J199" s="307">
        <f>73660/B13</f>
        <v>667.57295631683883</v>
      </c>
      <c r="K199" s="215"/>
      <c r="L199" s="317">
        <f t="shared" si="52"/>
        <v>1390.1324912325144</v>
      </c>
      <c r="M199" s="318">
        <f t="shared" si="46"/>
        <v>-722.55953491567561</v>
      </c>
      <c r="N199" s="41">
        <f t="shared" si="8"/>
        <v>0.48022254031697198</v>
      </c>
      <c r="O199" s="56"/>
      <c r="P199" s="317">
        <f>IF(D199=0,0,SUM($L$172:L199))</f>
        <v>47221.141792234761</v>
      </c>
      <c r="Q199" s="317">
        <f>IF(D199=0,0,SUM($J$172:J199))</f>
        <v>52537.973536342222</v>
      </c>
      <c r="R199" s="321">
        <f t="shared" si="47"/>
        <v>5316.8317441074614</v>
      </c>
      <c r="S199" s="198">
        <f t="shared" si="53"/>
        <v>1.1125943071749651</v>
      </c>
      <c r="T199" s="207"/>
      <c r="U199" s="317">
        <f>IF(D199=0,0,SUM($L$21:L199))</f>
        <v>307091.77686678502</v>
      </c>
      <c r="V199" s="317">
        <f>IF(D199=0,0,SUM($J$21:J199))</f>
        <v>335586.19720862777</v>
      </c>
      <c r="W199" s="331">
        <f t="shared" si="48"/>
        <v>28494.42034184275</v>
      </c>
      <c r="X199" s="200">
        <f t="shared" si="54"/>
        <v>1.0927879627144934</v>
      </c>
      <c r="Y199" s="201">
        <f t="shared" ref="Y199:Z214" si="58">Y198+1</f>
        <v>45836</v>
      </c>
      <c r="Z199" s="202">
        <f t="shared" si="58"/>
        <v>45836</v>
      </c>
      <c r="AA199" s="18"/>
      <c r="AB199" s="244"/>
      <c r="AC199" s="247"/>
      <c r="AD199" s="142"/>
      <c r="AE199" s="18"/>
      <c r="AF199" s="18"/>
      <c r="AG199" s="203"/>
      <c r="AH199" s="203"/>
      <c r="AI199" s="18"/>
      <c r="AJ199" s="18"/>
      <c r="AK199" s="18"/>
      <c r="AL199" s="18"/>
      <c r="AM199" s="18"/>
      <c r="AN199" s="18"/>
    </row>
    <row r="200" spans="1:40" ht="20">
      <c r="A200" s="18"/>
      <c r="B200" s="151"/>
      <c r="C200" s="55">
        <v>180</v>
      </c>
      <c r="D200" s="54">
        <v>0</v>
      </c>
      <c r="E200" s="190">
        <f t="shared" si="49"/>
        <v>6</v>
      </c>
      <c r="F200" s="191">
        <f t="shared" si="50"/>
        <v>45837</v>
      </c>
      <c r="G200" s="192" t="str">
        <f t="shared" si="51"/>
        <v>Sun</v>
      </c>
      <c r="H200" s="193"/>
      <c r="I200" s="194"/>
      <c r="J200" s="307"/>
      <c r="K200" s="215"/>
      <c r="L200" s="317">
        <f t="shared" si="52"/>
        <v>0</v>
      </c>
      <c r="M200" s="318">
        <f t="shared" si="46"/>
        <v>0</v>
      </c>
      <c r="N200" s="41" t="str">
        <f t="shared" si="8"/>
        <v>¥0</v>
      </c>
      <c r="O200" s="44"/>
      <c r="P200" s="317">
        <f>IF(D200=0,0,SUM($L$172:L200))</f>
        <v>0</v>
      </c>
      <c r="Q200" s="317">
        <f>IF(D200=0,0,SUM($J$172:J200))</f>
        <v>0</v>
      </c>
      <c r="R200" s="321">
        <f t="shared" si="47"/>
        <v>0</v>
      </c>
      <c r="S200" s="198">
        <f t="shared" si="53"/>
        <v>0</v>
      </c>
      <c r="T200" s="212"/>
      <c r="U200" s="317">
        <f>IF(D200=0,0,SUM($L$21:L200))</f>
        <v>0</v>
      </c>
      <c r="V200" s="317">
        <f>IF(D200=0,0,SUM($J$21:J200))</f>
        <v>0</v>
      </c>
      <c r="W200" s="331">
        <f t="shared" si="48"/>
        <v>0</v>
      </c>
      <c r="X200" s="200">
        <f t="shared" si="54"/>
        <v>0</v>
      </c>
      <c r="Y200" s="201">
        <f t="shared" si="58"/>
        <v>45837</v>
      </c>
      <c r="Z200" s="202">
        <f t="shared" si="58"/>
        <v>45837</v>
      </c>
      <c r="AA200" s="18"/>
      <c r="AB200" s="244"/>
      <c r="AC200" s="247"/>
      <c r="AD200" s="142"/>
      <c r="AE200" s="18"/>
      <c r="AF200" s="18"/>
      <c r="AG200" s="203"/>
      <c r="AH200" s="203"/>
      <c r="AI200" s="18"/>
      <c r="AJ200" s="18"/>
      <c r="AK200" s="18"/>
      <c r="AL200" s="18"/>
      <c r="AM200" s="18"/>
      <c r="AN200" s="18"/>
    </row>
    <row r="201" spans="1:40" ht="21" thickBot="1">
      <c r="A201" s="18"/>
      <c r="B201" s="151"/>
      <c r="C201" s="216">
        <v>181</v>
      </c>
      <c r="D201" s="38">
        <v>1</v>
      </c>
      <c r="E201" s="217">
        <f t="shared" si="49"/>
        <v>6</v>
      </c>
      <c r="F201" s="218">
        <f t="shared" si="50"/>
        <v>45838</v>
      </c>
      <c r="G201" s="219" t="str">
        <f t="shared" si="51"/>
        <v>Mon</v>
      </c>
      <c r="H201" s="233"/>
      <c r="I201" s="221"/>
      <c r="J201" s="312">
        <f>306040/B13</f>
        <v>2773.6088453869856</v>
      </c>
      <c r="K201" s="223"/>
      <c r="L201" s="317">
        <f t="shared" si="52"/>
        <v>1262.1856470469945</v>
      </c>
      <c r="M201" s="320">
        <f t="shared" si="46"/>
        <v>1511.4231983399911</v>
      </c>
      <c r="N201" s="225">
        <f t="shared" si="8"/>
        <v>2.1974650495163783</v>
      </c>
      <c r="O201" s="226"/>
      <c r="P201" s="324">
        <f>IF(D201=0,0,SUM($L$172:L201))</f>
        <v>48483.327439281755</v>
      </c>
      <c r="Q201" s="323">
        <f>IF(D201=0,0,SUM($J$172:J201))</f>
        <v>55311.582381729211</v>
      </c>
      <c r="R201" s="320">
        <f t="shared" si="47"/>
        <v>6828.2549424474564</v>
      </c>
      <c r="S201" s="228">
        <f t="shared" si="53"/>
        <v>1.1408371764705887</v>
      </c>
      <c r="T201" s="229"/>
      <c r="U201" s="332">
        <f>IF(D201=0,0,SUM($L$21:L201))</f>
        <v>308353.96251383203</v>
      </c>
      <c r="V201" s="323">
        <f>IF(D201=0,0,SUM($J$21:J201))</f>
        <v>338359.80605401477</v>
      </c>
      <c r="W201" s="333">
        <f t="shared" si="48"/>
        <v>30005.843540182745</v>
      </c>
      <c r="X201" s="230">
        <f t="shared" si="54"/>
        <v>1.0973097387676241</v>
      </c>
      <c r="Y201" s="201">
        <f t="shared" si="58"/>
        <v>45838</v>
      </c>
      <c r="Z201" s="202">
        <f t="shared" si="58"/>
        <v>45838</v>
      </c>
      <c r="AA201" s="18"/>
      <c r="AB201" s="244"/>
      <c r="AC201" s="247"/>
      <c r="AD201" s="142"/>
      <c r="AE201" s="18"/>
      <c r="AF201" s="18"/>
      <c r="AG201" s="203"/>
      <c r="AH201" s="203"/>
      <c r="AI201" s="18"/>
      <c r="AJ201" s="18"/>
      <c r="AK201" s="18"/>
      <c r="AL201" s="18"/>
      <c r="AM201" s="18"/>
      <c r="AN201" s="18"/>
    </row>
    <row r="202" spans="1:40" ht="21" thickTop="1">
      <c r="A202" s="18"/>
      <c r="B202" s="151"/>
      <c r="C202" s="55">
        <v>182</v>
      </c>
      <c r="D202" s="62">
        <v>1</v>
      </c>
      <c r="E202" s="190">
        <f t="shared" si="49"/>
        <v>7</v>
      </c>
      <c r="F202" s="191">
        <f t="shared" si="50"/>
        <v>45839</v>
      </c>
      <c r="G202" s="192" t="str">
        <f t="shared" si="51"/>
        <v>Tue</v>
      </c>
      <c r="H202" s="193"/>
      <c r="I202" s="194"/>
      <c r="J202" s="307">
        <f>316470/B13</f>
        <v>2868.1348558999457</v>
      </c>
      <c r="K202" s="215"/>
      <c r="L202" s="317">
        <f t="shared" si="52"/>
        <v>1693.0590003222248</v>
      </c>
      <c r="M202" s="321">
        <f t="shared" si="46"/>
        <v>1175.0758555777209</v>
      </c>
      <c r="N202" s="60">
        <f t="shared" si="8"/>
        <v>1.6940548766192314</v>
      </c>
      <c r="O202" s="56"/>
      <c r="P202" s="317">
        <f>IF(D202=0,0,$L$202)</f>
        <v>1693.0590003222248</v>
      </c>
      <c r="Q202" s="317">
        <f>IF(D202=0,0,$J$202)</f>
        <v>2868.1348558999457</v>
      </c>
      <c r="R202" s="321">
        <f t="shared" si="47"/>
        <v>1175.0758555777209</v>
      </c>
      <c r="S202" s="231">
        <f t="shared" si="53"/>
        <v>1.6940548766192314</v>
      </c>
      <c r="T202" s="207"/>
      <c r="U202" s="317">
        <f>IF(D202=0,0,SUM($L$21:L202))</f>
        <v>310047.02151415427</v>
      </c>
      <c r="V202" s="317">
        <f>IF(D202=0,0,SUM($J$21:J202))</f>
        <v>341227.94090991473</v>
      </c>
      <c r="W202" s="331">
        <f t="shared" si="48"/>
        <v>31180.919395760458</v>
      </c>
      <c r="X202" s="232">
        <f t="shared" si="54"/>
        <v>1.1005683565140683</v>
      </c>
      <c r="Y202" s="201">
        <f t="shared" si="58"/>
        <v>45839</v>
      </c>
      <c r="Z202" s="202">
        <f t="shared" si="58"/>
        <v>45839</v>
      </c>
      <c r="AA202" s="18"/>
      <c r="AB202" s="244"/>
      <c r="AC202" s="247"/>
      <c r="AD202" s="142"/>
      <c r="AE202" s="18"/>
      <c r="AF202" s="18"/>
      <c r="AG202" s="203"/>
      <c r="AH202" s="203"/>
      <c r="AI202" s="18"/>
      <c r="AJ202" s="18"/>
      <c r="AK202" s="18"/>
      <c r="AL202" s="18"/>
      <c r="AM202" s="18"/>
      <c r="AN202" s="18"/>
    </row>
    <row r="203" spans="1:40" ht="20">
      <c r="A203" s="18"/>
      <c r="B203" s="151"/>
      <c r="C203" s="55">
        <v>183</v>
      </c>
      <c r="D203" s="54">
        <v>1</v>
      </c>
      <c r="E203" s="190">
        <f t="shared" si="49"/>
        <v>7</v>
      </c>
      <c r="F203" s="191">
        <f t="shared" si="50"/>
        <v>45840</v>
      </c>
      <c r="G203" s="192" t="str">
        <f t="shared" si="51"/>
        <v>Wed</v>
      </c>
      <c r="H203" s="193"/>
      <c r="I203" s="194"/>
      <c r="J203" s="307">
        <f>347600/B13</f>
        <v>3150.2628239985497</v>
      </c>
      <c r="K203" s="215"/>
      <c r="L203" s="317">
        <f t="shared" si="52"/>
        <v>2453.638570572487</v>
      </c>
      <c r="M203" s="318">
        <f t="shared" si="46"/>
        <v>696.62425342606275</v>
      </c>
      <c r="N203" s="41">
        <f t="shared" si="8"/>
        <v>1.2839147793733636</v>
      </c>
      <c r="O203" s="56"/>
      <c r="P203" s="317">
        <f>IF(D203=0,0,SUM($L$202:L203))</f>
        <v>4146.697570894712</v>
      </c>
      <c r="Q203" s="317">
        <f>IF(D203=0,0,SUM($J$202:J203))</f>
        <v>6018.397679898495</v>
      </c>
      <c r="R203" s="321">
        <f t="shared" si="47"/>
        <v>1871.7001090037829</v>
      </c>
      <c r="S203" s="198">
        <f t="shared" si="53"/>
        <v>1.4513712603834612</v>
      </c>
      <c r="T203" s="207"/>
      <c r="U203" s="317">
        <f>IF(D203=0,0,SUM($L$21:L203))</f>
        <v>312500.66008472675</v>
      </c>
      <c r="V203" s="317">
        <f>IF(D203=0,0,SUM($J$21:J203))</f>
        <v>344378.20373391325</v>
      </c>
      <c r="W203" s="331">
        <f t="shared" si="48"/>
        <v>31877.543649186497</v>
      </c>
      <c r="X203" s="200">
        <f t="shared" si="54"/>
        <v>1.102007924209004</v>
      </c>
      <c r="Y203" s="201">
        <f t="shared" si="58"/>
        <v>45840</v>
      </c>
      <c r="Z203" s="202">
        <f t="shared" si="58"/>
        <v>45840</v>
      </c>
      <c r="AA203" s="18"/>
      <c r="AB203" s="244"/>
      <c r="AC203" s="247"/>
      <c r="AD203" s="142"/>
      <c r="AE203" s="18"/>
      <c r="AF203" s="18"/>
      <c r="AG203" s="203"/>
      <c r="AH203" s="203"/>
      <c r="AI203" s="18"/>
      <c r="AJ203" s="18"/>
      <c r="AK203" s="18"/>
      <c r="AL203" s="18"/>
      <c r="AM203" s="18"/>
      <c r="AN203" s="18"/>
    </row>
    <row r="204" spans="1:40" ht="20">
      <c r="A204" s="18"/>
      <c r="B204" s="151"/>
      <c r="C204" s="55">
        <v>184</v>
      </c>
      <c r="D204" s="54">
        <v>1</v>
      </c>
      <c r="E204" s="190">
        <f t="shared" si="49"/>
        <v>7</v>
      </c>
      <c r="F204" s="191">
        <f t="shared" si="50"/>
        <v>45841</v>
      </c>
      <c r="G204" s="192" t="str">
        <f t="shared" si="51"/>
        <v>Thu</v>
      </c>
      <c r="H204" s="193"/>
      <c r="I204" s="194"/>
      <c r="J204" s="307">
        <f>221970/B13</f>
        <v>2011.6911364872212</v>
      </c>
      <c r="K204" s="215"/>
      <c r="L204" s="317">
        <f t="shared" si="52"/>
        <v>2199.4632540340072</v>
      </c>
      <c r="M204" s="318">
        <f t="shared" si="46"/>
        <v>-187.77211754678592</v>
      </c>
      <c r="N204" s="41">
        <f t="shared" si="8"/>
        <v>0.91462820885850427</v>
      </c>
      <c r="O204" s="56"/>
      <c r="P204" s="317">
        <f>IF(D204=0,0,SUM($L$202:L204))</f>
        <v>6346.1608249287192</v>
      </c>
      <c r="Q204" s="317">
        <f>IF(D204=0,0,SUM($J$202:J204))</f>
        <v>8030.0888163857162</v>
      </c>
      <c r="R204" s="321">
        <f t="shared" si="47"/>
        <v>1683.927991456997</v>
      </c>
      <c r="S204" s="198">
        <f t="shared" si="53"/>
        <v>1.2653459371597175</v>
      </c>
      <c r="T204" s="207"/>
      <c r="U204" s="317">
        <f>IF(D204=0,0,SUM($L$21:L204))</f>
        <v>314700.12333876075</v>
      </c>
      <c r="V204" s="317">
        <f>IF(D204=0,0,SUM($J$21:J204))</f>
        <v>346389.89487040049</v>
      </c>
      <c r="W204" s="331">
        <f t="shared" si="48"/>
        <v>31689.771531639737</v>
      </c>
      <c r="X204" s="200">
        <f t="shared" si="54"/>
        <v>1.1006983130334751</v>
      </c>
      <c r="Y204" s="201">
        <f t="shared" si="58"/>
        <v>45841</v>
      </c>
      <c r="Z204" s="202">
        <f t="shared" si="58"/>
        <v>45841</v>
      </c>
      <c r="AA204" s="18"/>
      <c r="AB204" s="244"/>
      <c r="AC204" s="247"/>
      <c r="AD204" s="142"/>
      <c r="AE204" s="18"/>
      <c r="AF204" s="18"/>
      <c r="AG204" s="203"/>
      <c r="AH204" s="203"/>
      <c r="AI204" s="18"/>
      <c r="AJ204" s="18"/>
      <c r="AK204" s="18"/>
      <c r="AL204" s="18"/>
      <c r="AM204" s="18"/>
      <c r="AN204" s="18"/>
    </row>
    <row r="205" spans="1:40" ht="20">
      <c r="A205" s="18"/>
      <c r="B205" s="151"/>
      <c r="C205" s="55">
        <v>185</v>
      </c>
      <c r="D205" s="54">
        <v>1</v>
      </c>
      <c r="E205" s="190">
        <f t="shared" si="49"/>
        <v>7</v>
      </c>
      <c r="F205" s="191">
        <f t="shared" si="50"/>
        <v>45842</v>
      </c>
      <c r="G205" s="192" t="str">
        <f t="shared" si="51"/>
        <v>Fri</v>
      </c>
      <c r="H205" s="193"/>
      <c r="I205" s="194"/>
      <c r="J205" s="307">
        <f>329910/B13</f>
        <v>2989.9401848830885</v>
      </c>
      <c r="K205" s="215"/>
      <c r="L205" s="317">
        <f t="shared" si="52"/>
        <v>3299.4086189719533</v>
      </c>
      <c r="M205" s="318">
        <f t="shared" si="46"/>
        <v>-309.4684340888648</v>
      </c>
      <c r="N205" s="41">
        <f t="shared" si="8"/>
        <v>0.90620487795619242</v>
      </c>
      <c r="O205" s="56"/>
      <c r="P205" s="317">
        <f>IF(D205=0,0,SUM($L$202:L205))</f>
        <v>9645.5694439006729</v>
      </c>
      <c r="Q205" s="317">
        <f>IF(D205=0,0,SUM($J$202:J205))</f>
        <v>11020.029001268806</v>
      </c>
      <c r="R205" s="321">
        <f t="shared" si="47"/>
        <v>1374.4595573681327</v>
      </c>
      <c r="S205" s="198">
        <f t="shared" si="53"/>
        <v>1.1424964659019967</v>
      </c>
      <c r="T205" s="207"/>
      <c r="U205" s="317">
        <f>IF(D205=0,0,SUM($L$21:L205))</f>
        <v>317999.53195773269</v>
      </c>
      <c r="V205" s="317">
        <f>IF(D205=0,0,SUM($J$21:J205))</f>
        <v>349379.83505528356</v>
      </c>
      <c r="W205" s="331">
        <f t="shared" si="48"/>
        <v>31380.303097550874</v>
      </c>
      <c r="X205" s="200">
        <f t="shared" si="54"/>
        <v>1.0986803436607631</v>
      </c>
      <c r="Y205" s="201">
        <f t="shared" si="58"/>
        <v>45842</v>
      </c>
      <c r="Z205" s="202">
        <f t="shared" si="58"/>
        <v>45842</v>
      </c>
      <c r="AA205" s="18"/>
      <c r="AB205" s="244"/>
      <c r="AC205" s="247"/>
      <c r="AD205" s="142"/>
      <c r="AE205" s="18"/>
      <c r="AF205" s="18"/>
      <c r="AG205" s="203"/>
      <c r="AH205" s="203"/>
      <c r="AI205" s="18"/>
      <c r="AJ205" s="18"/>
      <c r="AK205" s="18"/>
      <c r="AL205" s="18"/>
      <c r="AM205" s="18"/>
      <c r="AN205" s="18"/>
    </row>
    <row r="206" spans="1:40" ht="20">
      <c r="A206" s="18"/>
      <c r="B206" s="151"/>
      <c r="C206" s="55">
        <v>186</v>
      </c>
      <c r="D206" s="54">
        <v>1</v>
      </c>
      <c r="E206" s="190">
        <f t="shared" si="49"/>
        <v>7</v>
      </c>
      <c r="F206" s="191">
        <f t="shared" si="50"/>
        <v>45843</v>
      </c>
      <c r="G206" s="192" t="str">
        <f t="shared" si="51"/>
        <v>Sat</v>
      </c>
      <c r="H206" s="193"/>
      <c r="I206" s="194"/>
      <c r="J206" s="307">
        <f>76330/B13</f>
        <v>691.77088997643648</v>
      </c>
      <c r="K206" s="215"/>
      <c r="L206" s="317">
        <f t="shared" si="52"/>
        <v>1351.5171716947345</v>
      </c>
      <c r="M206" s="318">
        <f t="shared" si="46"/>
        <v>-659.74628171829806</v>
      </c>
      <c r="N206" s="41">
        <f t="shared" si="8"/>
        <v>0.51184765126512644</v>
      </c>
      <c r="O206" s="56"/>
      <c r="P206" s="317">
        <f>IF(D206=0,0,SUM($L$202:L206))</f>
        <v>10997.086615595408</v>
      </c>
      <c r="Q206" s="317">
        <f>IF(D206=0,0,SUM($J$202:J206))</f>
        <v>11711.799891245242</v>
      </c>
      <c r="R206" s="321">
        <f t="shared" si="47"/>
        <v>714.71327564983403</v>
      </c>
      <c r="S206" s="198">
        <f t="shared" si="53"/>
        <v>1.0649911472586084</v>
      </c>
      <c r="T206" s="207"/>
      <c r="U206" s="317">
        <f>IF(D206=0,0,SUM($L$21:L206))</f>
        <v>319351.04912942741</v>
      </c>
      <c r="V206" s="317">
        <f>IF(D206=0,0,SUM($J$21:J206))</f>
        <v>350071.60594525997</v>
      </c>
      <c r="W206" s="331">
        <f t="shared" si="48"/>
        <v>30720.556815832562</v>
      </c>
      <c r="X206" s="200">
        <f t="shared" si="54"/>
        <v>1.0961968244650484</v>
      </c>
      <c r="Y206" s="201">
        <f t="shared" si="58"/>
        <v>45843</v>
      </c>
      <c r="Z206" s="202">
        <f t="shared" si="58"/>
        <v>45843</v>
      </c>
      <c r="AA206" s="18"/>
      <c r="AB206" s="244"/>
      <c r="AC206" s="247"/>
      <c r="AD206" s="142"/>
      <c r="AE206" s="18"/>
      <c r="AF206" s="18"/>
      <c r="AG206" s="203"/>
      <c r="AH206" s="203"/>
      <c r="AI206" s="18"/>
      <c r="AJ206" s="18"/>
      <c r="AK206" s="18"/>
      <c r="AL206" s="18"/>
      <c r="AM206" s="18"/>
      <c r="AN206" s="18"/>
    </row>
    <row r="207" spans="1:40" ht="20">
      <c r="A207" s="18"/>
      <c r="B207" s="151"/>
      <c r="C207" s="55">
        <v>187</v>
      </c>
      <c r="D207" s="54">
        <v>0</v>
      </c>
      <c r="E207" s="190">
        <f t="shared" si="49"/>
        <v>7</v>
      </c>
      <c r="F207" s="191">
        <f t="shared" si="50"/>
        <v>45844</v>
      </c>
      <c r="G207" s="192" t="str">
        <f t="shared" si="51"/>
        <v>Sun</v>
      </c>
      <c r="H207" s="193"/>
      <c r="I207" s="194"/>
      <c r="J207" s="307"/>
      <c r="K207" s="215"/>
      <c r="L207" s="317">
        <f t="shared" si="52"/>
        <v>0</v>
      </c>
      <c r="M207" s="318">
        <f t="shared" si="46"/>
        <v>0</v>
      </c>
      <c r="N207" s="41" t="str">
        <f t="shared" si="8"/>
        <v>¥0</v>
      </c>
      <c r="O207" s="44"/>
      <c r="P207" s="317">
        <f>IF(D207=0,0,SUM($L$202:L207))</f>
        <v>0</v>
      </c>
      <c r="Q207" s="317">
        <f>IF(D207=0,0,SUM($J$202:J207))</f>
        <v>0</v>
      </c>
      <c r="R207" s="321">
        <f t="shared" si="47"/>
        <v>0</v>
      </c>
      <c r="S207" s="198">
        <f t="shared" si="53"/>
        <v>0</v>
      </c>
      <c r="T207" s="212"/>
      <c r="U207" s="317">
        <f>IF(D207=0,0,SUM($L$21:L207))</f>
        <v>0</v>
      </c>
      <c r="V207" s="317">
        <f>IF(D207=0,0,SUM($J$21:J207))</f>
        <v>0</v>
      </c>
      <c r="W207" s="331">
        <f t="shared" si="48"/>
        <v>0</v>
      </c>
      <c r="X207" s="200">
        <f t="shared" si="54"/>
        <v>0</v>
      </c>
      <c r="Y207" s="201">
        <f t="shared" si="58"/>
        <v>45844</v>
      </c>
      <c r="Z207" s="202">
        <f t="shared" si="58"/>
        <v>45844</v>
      </c>
      <c r="AA207" s="18"/>
      <c r="AB207" s="244"/>
      <c r="AC207" s="247"/>
      <c r="AD207" s="142"/>
      <c r="AE207" s="18"/>
      <c r="AF207" s="18"/>
      <c r="AG207" s="203"/>
      <c r="AH207" s="203"/>
      <c r="AI207" s="18"/>
      <c r="AJ207" s="18"/>
      <c r="AK207" s="18"/>
      <c r="AL207" s="18"/>
      <c r="AM207" s="18"/>
      <c r="AN207" s="18"/>
    </row>
    <row r="208" spans="1:40" ht="20">
      <c r="A208" s="18"/>
      <c r="B208" s="151"/>
      <c r="C208" s="55">
        <v>188</v>
      </c>
      <c r="D208" s="54">
        <v>1</v>
      </c>
      <c r="E208" s="190">
        <f t="shared" si="49"/>
        <v>7</v>
      </c>
      <c r="F208" s="191">
        <f t="shared" si="50"/>
        <v>45845</v>
      </c>
      <c r="G208" s="192" t="str">
        <f t="shared" si="51"/>
        <v>Mon</v>
      </c>
      <c r="H208" s="193"/>
      <c r="I208" s="194"/>
      <c r="J208" s="307">
        <f>94600/B13</f>
        <v>857.35000906289645</v>
      </c>
      <c r="K208" s="215"/>
      <c r="L208" s="317">
        <f t="shared" si="52"/>
        <v>2995.4232716232327</v>
      </c>
      <c r="M208" s="318">
        <f t="shared" si="46"/>
        <v>-2138.0732625603364</v>
      </c>
      <c r="N208" s="41">
        <f t="shared" si="8"/>
        <v>0.2862199867327247</v>
      </c>
      <c r="O208" s="56"/>
      <c r="P208" s="317">
        <f>IF(D208=0,0,SUM($L$202:L208))</f>
        <v>13992.509887218641</v>
      </c>
      <c r="Q208" s="317">
        <f>IF(D208=0,0,SUM($J$202:J208))</f>
        <v>12569.149900308139</v>
      </c>
      <c r="R208" s="321">
        <f t="shared" si="47"/>
        <v>-1423.3599869105019</v>
      </c>
      <c r="S208" s="198">
        <f t="shared" si="53"/>
        <v>0.89827700688561529</v>
      </c>
      <c r="T208" s="207"/>
      <c r="U208" s="317">
        <f>IF(D208=0,0,SUM($L$21:L208))</f>
        <v>322346.47240105062</v>
      </c>
      <c r="V208" s="317">
        <f>IF(D208=0,0,SUM($J$21:J208))</f>
        <v>350928.95595432288</v>
      </c>
      <c r="W208" s="331">
        <f t="shared" si="48"/>
        <v>28582.483553272265</v>
      </c>
      <c r="X208" s="200">
        <f t="shared" si="54"/>
        <v>1.0886700677701573</v>
      </c>
      <c r="Y208" s="201">
        <f t="shared" si="58"/>
        <v>45845</v>
      </c>
      <c r="Z208" s="202">
        <f t="shared" si="58"/>
        <v>45845</v>
      </c>
      <c r="AA208" s="18"/>
      <c r="AB208" s="244"/>
      <c r="AC208" s="247"/>
      <c r="AD208" s="142"/>
      <c r="AE208" s="18"/>
      <c r="AF208" s="18"/>
      <c r="AG208" s="203"/>
      <c r="AH208" s="203"/>
      <c r="AI208" s="18"/>
      <c r="AJ208" s="18"/>
      <c r="AK208" s="18"/>
      <c r="AL208" s="18"/>
      <c r="AM208" s="18"/>
      <c r="AN208" s="18"/>
    </row>
    <row r="209" spans="1:40" ht="20">
      <c r="A209" s="18"/>
      <c r="B209" s="151"/>
      <c r="C209" s="55">
        <v>189</v>
      </c>
      <c r="D209" s="54">
        <v>1</v>
      </c>
      <c r="E209" s="190">
        <f t="shared" si="49"/>
        <v>7</v>
      </c>
      <c r="F209" s="191">
        <f t="shared" si="50"/>
        <v>45846</v>
      </c>
      <c r="G209" s="192" t="str">
        <f t="shared" si="51"/>
        <v>Tue</v>
      </c>
      <c r="H209" s="193"/>
      <c r="I209" s="194"/>
      <c r="J209" s="307">
        <f>283650/B13</f>
        <v>2570.6905927134312</v>
      </c>
      <c r="K209" s="215"/>
      <c r="L209" s="317">
        <f t="shared" si="52"/>
        <v>1693.0590003222248</v>
      </c>
      <c r="M209" s="318">
        <f t="shared" si="46"/>
        <v>877.63159239120637</v>
      </c>
      <c r="N209" s="41">
        <f t="shared" si="8"/>
        <v>1.5183703534396467</v>
      </c>
      <c r="O209" s="56"/>
      <c r="P209" s="317">
        <f>IF(D209=0,0,SUM($L$202:L209))</f>
        <v>15685.568887540865</v>
      </c>
      <c r="Q209" s="317">
        <f>IF(D209=0,0,SUM($J$202:J209))</f>
        <v>15139.840493021569</v>
      </c>
      <c r="R209" s="321">
        <f t="shared" si="47"/>
        <v>-545.72839451929576</v>
      </c>
      <c r="S209" s="198">
        <f t="shared" si="53"/>
        <v>0.96520824979750841</v>
      </c>
      <c r="T209" s="207"/>
      <c r="U209" s="317">
        <f>IF(D209=0,0,SUM($L$21:L209))</f>
        <v>324039.53140137286</v>
      </c>
      <c r="V209" s="317">
        <f>IF(D209=0,0,SUM($J$21:J209))</f>
        <v>353499.6465470363</v>
      </c>
      <c r="W209" s="331">
        <f t="shared" si="48"/>
        <v>29460.11514566344</v>
      </c>
      <c r="X209" s="200">
        <f t="shared" si="54"/>
        <v>1.0909151887063204</v>
      </c>
      <c r="Y209" s="201">
        <f t="shared" si="58"/>
        <v>45846</v>
      </c>
      <c r="Z209" s="202">
        <f t="shared" si="58"/>
        <v>45846</v>
      </c>
      <c r="AA209" s="18"/>
      <c r="AB209" s="244"/>
      <c r="AC209" s="247"/>
      <c r="AD209" s="142"/>
      <c r="AE209" s="18"/>
      <c r="AF209" s="18"/>
      <c r="AG209" s="203"/>
      <c r="AH209" s="203"/>
      <c r="AI209" s="18"/>
      <c r="AJ209" s="18"/>
      <c r="AK209" s="18"/>
      <c r="AL209" s="18"/>
      <c r="AM209" s="18"/>
      <c r="AN209" s="18"/>
    </row>
    <row r="210" spans="1:40" ht="20">
      <c r="A210" s="18"/>
      <c r="B210" s="151"/>
      <c r="C210" s="55">
        <v>190</v>
      </c>
      <c r="D210" s="54">
        <v>1</v>
      </c>
      <c r="E210" s="190">
        <f t="shared" si="49"/>
        <v>7</v>
      </c>
      <c r="F210" s="191">
        <f t="shared" si="50"/>
        <v>45847</v>
      </c>
      <c r="G210" s="192" t="str">
        <f t="shared" si="51"/>
        <v>Wed</v>
      </c>
      <c r="H210" s="193"/>
      <c r="I210" s="194"/>
      <c r="J210" s="307">
        <f>221610/B13</f>
        <v>2008.4284937466014</v>
      </c>
      <c r="K210" s="215"/>
      <c r="L210" s="317">
        <f t="shared" si="52"/>
        <v>2453.638570572487</v>
      </c>
      <c r="M210" s="318">
        <f t="shared" si="46"/>
        <v>-445.21007682588561</v>
      </c>
      <c r="N210" s="41">
        <f t="shared" si="8"/>
        <v>0.81855107668852445</v>
      </c>
      <c r="O210" s="56"/>
      <c r="P210" s="317">
        <f>IF(D210=0,0,SUM($L$202:L210))</f>
        <v>18139.207458113353</v>
      </c>
      <c r="Q210" s="317">
        <f>IF(D210=0,0,SUM($J$202:J210))</f>
        <v>17148.268986768169</v>
      </c>
      <c r="R210" s="321">
        <f t="shared" si="47"/>
        <v>-990.93847134518364</v>
      </c>
      <c r="S210" s="198">
        <f t="shared" si="53"/>
        <v>0.94537035459606289</v>
      </c>
      <c r="T210" s="207"/>
      <c r="U210" s="317">
        <f>IF(D210=0,0,SUM($L$21:L210))</f>
        <v>326493.16997194535</v>
      </c>
      <c r="V210" s="317">
        <f>IF(D210=0,0,SUM($J$21:J210))</f>
        <v>355508.07504078292</v>
      </c>
      <c r="W210" s="331">
        <f t="shared" si="48"/>
        <v>29014.905068837572</v>
      </c>
      <c r="X210" s="200">
        <f t="shared" si="54"/>
        <v>1.0888683370354446</v>
      </c>
      <c r="Y210" s="201">
        <f t="shared" si="58"/>
        <v>45847</v>
      </c>
      <c r="Z210" s="202">
        <f t="shared" si="58"/>
        <v>45847</v>
      </c>
      <c r="AA210" s="18"/>
      <c r="AB210" s="244"/>
      <c r="AC210" s="247"/>
      <c r="AD210" s="142"/>
      <c r="AE210" s="18"/>
      <c r="AF210" s="18"/>
      <c r="AG210" s="203"/>
      <c r="AH210" s="203"/>
      <c r="AI210" s="18"/>
      <c r="AJ210" s="18"/>
      <c r="AK210" s="18"/>
      <c r="AL210" s="18"/>
      <c r="AM210" s="18"/>
      <c r="AN210" s="18"/>
    </row>
    <row r="211" spans="1:40" ht="20">
      <c r="A211" s="18"/>
      <c r="B211" s="151"/>
      <c r="C211" s="55">
        <v>191</v>
      </c>
      <c r="D211" s="54">
        <v>1</v>
      </c>
      <c r="E211" s="190">
        <f t="shared" si="49"/>
        <v>7</v>
      </c>
      <c r="F211" s="191">
        <f t="shared" si="50"/>
        <v>45848</v>
      </c>
      <c r="G211" s="192" t="str">
        <f t="shared" si="51"/>
        <v>Thu</v>
      </c>
      <c r="H211" s="193"/>
      <c r="I211" s="194"/>
      <c r="J211" s="307">
        <f>308050/B13</f>
        <v>2791.8252673554466</v>
      </c>
      <c r="K211" s="215"/>
      <c r="L211" s="317">
        <f t="shared" si="52"/>
        <v>2199.4632540340072</v>
      </c>
      <c r="M211" s="318">
        <f t="shared" si="46"/>
        <v>592.36201332143946</v>
      </c>
      <c r="N211" s="41">
        <f t="shared" si="8"/>
        <v>1.2693211683509584</v>
      </c>
      <c r="O211" s="56"/>
      <c r="P211" s="317">
        <f>IF(D211=0,0,SUM($L$202:L211))</f>
        <v>20338.670712147359</v>
      </c>
      <c r="Q211" s="317">
        <f>IF(D211=0,0,SUM($J$202:J211))</f>
        <v>19940.094254123615</v>
      </c>
      <c r="R211" s="321">
        <f t="shared" si="47"/>
        <v>-398.57645802374464</v>
      </c>
      <c r="S211" s="198">
        <f t="shared" si="53"/>
        <v>0.98040302320319817</v>
      </c>
      <c r="T211" s="207"/>
      <c r="U211" s="317">
        <f>IF(D211=0,0,SUM($L$21:L211))</f>
        <v>328692.63322597934</v>
      </c>
      <c r="V211" s="317">
        <f>IF(D211=0,0,SUM($J$21:J211))</f>
        <v>358299.90030813834</v>
      </c>
      <c r="W211" s="331">
        <f t="shared" si="48"/>
        <v>29607.267082159</v>
      </c>
      <c r="X211" s="200">
        <f t="shared" si="54"/>
        <v>1.0900758462140638</v>
      </c>
      <c r="Y211" s="201">
        <f t="shared" si="58"/>
        <v>45848</v>
      </c>
      <c r="Z211" s="202">
        <f t="shared" si="58"/>
        <v>45848</v>
      </c>
      <c r="AA211" s="18"/>
      <c r="AB211" s="244"/>
      <c r="AC211" s="247"/>
      <c r="AD211" s="142"/>
      <c r="AE211" s="18"/>
      <c r="AF211" s="18"/>
      <c r="AG211" s="203"/>
      <c r="AH211" s="203"/>
      <c r="AI211" s="18"/>
      <c r="AJ211" s="18"/>
      <c r="AK211" s="18"/>
      <c r="AL211" s="18"/>
      <c r="AM211" s="18"/>
      <c r="AN211" s="18"/>
    </row>
    <row r="212" spans="1:40" ht="20">
      <c r="A212" s="18"/>
      <c r="B212" s="151"/>
      <c r="C212" s="55">
        <v>192</v>
      </c>
      <c r="D212" s="54">
        <v>1</v>
      </c>
      <c r="E212" s="190">
        <f t="shared" si="49"/>
        <v>7</v>
      </c>
      <c r="F212" s="191">
        <f t="shared" si="50"/>
        <v>45849</v>
      </c>
      <c r="G212" s="192" t="str">
        <f t="shared" si="51"/>
        <v>Fri</v>
      </c>
      <c r="H212" s="193"/>
      <c r="I212" s="194"/>
      <c r="J212" s="307">
        <f>370370/B13</f>
        <v>3356.6249773427585</v>
      </c>
      <c r="K212" s="215"/>
      <c r="L212" s="317">
        <f t="shared" si="52"/>
        <v>3299.4086189719533</v>
      </c>
      <c r="M212" s="318">
        <f t="shared" si="46"/>
        <v>57.21635837080521</v>
      </c>
      <c r="N212" s="41">
        <f t="shared" si="8"/>
        <v>1.0173413981044375</v>
      </c>
      <c r="O212" s="56"/>
      <c r="P212" s="317">
        <f>IF(D212=0,0,SUM($L$202:L212))</f>
        <v>23638.079331119312</v>
      </c>
      <c r="Q212" s="317">
        <f>IF(D212=0,0,SUM($J$202:J212))</f>
        <v>23296.719231466373</v>
      </c>
      <c r="R212" s="321">
        <f t="shared" si="47"/>
        <v>-341.36009965293852</v>
      </c>
      <c r="S212" s="198">
        <f t="shared" si="53"/>
        <v>0.98555889017583842</v>
      </c>
      <c r="T212" s="207"/>
      <c r="U212" s="317">
        <f>IF(D212=0,0,SUM($L$21:L212))</f>
        <v>331992.04184495128</v>
      </c>
      <c r="V212" s="317">
        <f>IF(D212=0,0,SUM($J$21:J212))</f>
        <v>361656.52528548113</v>
      </c>
      <c r="W212" s="331">
        <f t="shared" si="48"/>
        <v>29664.483440529846</v>
      </c>
      <c r="X212" s="200">
        <f t="shared" si="54"/>
        <v>1.0893529955588028</v>
      </c>
      <c r="Y212" s="201">
        <f t="shared" si="58"/>
        <v>45849</v>
      </c>
      <c r="Z212" s="202">
        <f t="shared" si="58"/>
        <v>45849</v>
      </c>
      <c r="AA212" s="18"/>
      <c r="AB212" s="244"/>
      <c r="AC212" s="247"/>
      <c r="AD212" s="142"/>
      <c r="AE212" s="18"/>
      <c r="AF212" s="18"/>
      <c r="AG212" s="203"/>
      <c r="AH212" s="203"/>
      <c r="AI212" s="18"/>
      <c r="AJ212" s="18"/>
      <c r="AK212" s="18"/>
      <c r="AL212" s="18"/>
      <c r="AM212" s="18"/>
      <c r="AN212" s="18"/>
    </row>
    <row r="213" spans="1:40" ht="20">
      <c r="A213" s="18"/>
      <c r="B213" s="151"/>
      <c r="C213" s="55">
        <v>193</v>
      </c>
      <c r="D213" s="54">
        <v>1</v>
      </c>
      <c r="E213" s="190">
        <f t="shared" si="49"/>
        <v>7</v>
      </c>
      <c r="F213" s="191">
        <f t="shared" si="50"/>
        <v>45850</v>
      </c>
      <c r="G213" s="192" t="str">
        <f t="shared" si="51"/>
        <v>Sat</v>
      </c>
      <c r="H213" s="193"/>
      <c r="I213" s="194"/>
      <c r="J213" s="307">
        <f>84100/B13</f>
        <v>762.189595794816</v>
      </c>
      <c r="K213" s="215"/>
      <c r="L213" s="317">
        <f t="shared" si="52"/>
        <v>1351.5171716947345</v>
      </c>
      <c r="M213" s="318">
        <f t="shared" ref="M213:M276" si="59">IF(D213=0,0,J213-L213)</f>
        <v>-589.32757589991854</v>
      </c>
      <c r="N213" s="41">
        <f t="shared" si="8"/>
        <v>0.56395110011001093</v>
      </c>
      <c r="O213" s="56"/>
      <c r="P213" s="317">
        <f>IF(D213=0,0,SUM($L$202:L213))</f>
        <v>24989.596502814045</v>
      </c>
      <c r="Q213" s="317">
        <f>IF(D213=0,0,SUM($J$202:J213))</f>
        <v>24058.908827261188</v>
      </c>
      <c r="R213" s="321">
        <f t="shared" ref="R213:R276" si="60">IF(D213=0,0,Q213-P213)</f>
        <v>-930.6876755528574</v>
      </c>
      <c r="S213" s="198">
        <f t="shared" si="53"/>
        <v>0.96275699467784304</v>
      </c>
      <c r="T213" s="207"/>
      <c r="U213" s="317">
        <f>IF(D213=0,0,SUM($L$21:L213))</f>
        <v>333343.559016646</v>
      </c>
      <c r="V213" s="317">
        <f>IF(D213=0,0,SUM($J$21:J213))</f>
        <v>362418.71488127596</v>
      </c>
      <c r="W213" s="331">
        <f t="shared" ref="W213:W276" si="61">IF(D213=0,0,V213-U213)</f>
        <v>29075.155864629953</v>
      </c>
      <c r="X213" s="200">
        <f t="shared" si="54"/>
        <v>1.0872227918559483</v>
      </c>
      <c r="Y213" s="201">
        <f t="shared" si="58"/>
        <v>45850</v>
      </c>
      <c r="Z213" s="202">
        <f t="shared" si="58"/>
        <v>45850</v>
      </c>
      <c r="AA213" s="18"/>
      <c r="AB213" s="244"/>
      <c r="AC213" s="247"/>
      <c r="AD213" s="142"/>
      <c r="AE213" s="18"/>
      <c r="AF213" s="18"/>
      <c r="AG213" s="203"/>
      <c r="AH213" s="203"/>
      <c r="AI213" s="18"/>
      <c r="AJ213" s="18"/>
      <c r="AK213" s="18"/>
      <c r="AL213" s="18"/>
      <c r="AM213" s="18"/>
      <c r="AN213" s="18"/>
    </row>
    <row r="214" spans="1:40" ht="20">
      <c r="A214" s="18"/>
      <c r="B214" s="151"/>
      <c r="C214" s="55">
        <v>194</v>
      </c>
      <c r="D214" s="54">
        <v>0</v>
      </c>
      <c r="E214" s="190">
        <f t="shared" ref="E214:E277" si="62">MONTH(Y214)</f>
        <v>7</v>
      </c>
      <c r="F214" s="191">
        <f t="shared" ref="F214:F277" si="63">F213+1</f>
        <v>45851</v>
      </c>
      <c r="G214" s="192" t="str">
        <f t="shared" ref="G214:G277" si="64">TEXT(Z214,"ddd")</f>
        <v>Sun</v>
      </c>
      <c r="H214" s="193"/>
      <c r="I214" s="194"/>
      <c r="J214" s="307"/>
      <c r="K214" s="215"/>
      <c r="L214" s="317">
        <f t="shared" ref="L214:L277" si="65">IF(D214=0,0,IFERROR(SUMIFS($AE$21:$AE$104,$AA$21:$AA$104,$E214,$AB$21:$AB$104,$G214),0))</f>
        <v>0</v>
      </c>
      <c r="M214" s="318">
        <f t="shared" si="59"/>
        <v>0</v>
      </c>
      <c r="N214" s="41" t="str">
        <f t="shared" si="8"/>
        <v>¥0</v>
      </c>
      <c r="O214" s="44"/>
      <c r="P214" s="317">
        <f>IF(D214=0,0,SUM($L$202:L214))</f>
        <v>0</v>
      </c>
      <c r="Q214" s="317">
        <f>IF(D214=0,0,SUM($J$202:J214))</f>
        <v>0</v>
      </c>
      <c r="R214" s="321">
        <f t="shared" si="60"/>
        <v>0</v>
      </c>
      <c r="S214" s="198">
        <f t="shared" ref="S214:S277" si="66">IF(D214=0,0,Q214/P214)</f>
        <v>0</v>
      </c>
      <c r="T214" s="212"/>
      <c r="U214" s="317">
        <f>IF(D214=0,0,SUM($L$21:L214))</f>
        <v>0</v>
      </c>
      <c r="V214" s="317">
        <f>IF(D214=0,0,SUM($J$21:J214))</f>
        <v>0</v>
      </c>
      <c r="W214" s="331">
        <f t="shared" si="61"/>
        <v>0</v>
      </c>
      <c r="X214" s="200">
        <f t="shared" ref="X214:X277" si="67">IF(D214=0,0,V214/U214)</f>
        <v>0</v>
      </c>
      <c r="Y214" s="201">
        <f t="shared" si="58"/>
        <v>45851</v>
      </c>
      <c r="Z214" s="202">
        <f t="shared" si="58"/>
        <v>45851</v>
      </c>
      <c r="AA214" s="18"/>
      <c r="AB214" s="244"/>
      <c r="AC214" s="247"/>
      <c r="AD214" s="142"/>
      <c r="AE214" s="18"/>
      <c r="AF214" s="18"/>
      <c r="AG214" s="203"/>
      <c r="AH214" s="203"/>
      <c r="AI214" s="18"/>
      <c r="AJ214" s="18"/>
      <c r="AK214" s="18"/>
      <c r="AL214" s="18"/>
      <c r="AM214" s="18"/>
      <c r="AN214" s="18"/>
    </row>
    <row r="215" spans="1:40" ht="20">
      <c r="A215" s="18"/>
      <c r="B215" s="151"/>
      <c r="C215" s="55">
        <v>195</v>
      </c>
      <c r="D215" s="54">
        <v>1</v>
      </c>
      <c r="E215" s="190">
        <f t="shared" si="62"/>
        <v>7</v>
      </c>
      <c r="F215" s="191">
        <f t="shared" si="63"/>
        <v>45852</v>
      </c>
      <c r="G215" s="192" t="str">
        <f t="shared" si="64"/>
        <v>Mon</v>
      </c>
      <c r="H215" s="193"/>
      <c r="I215" s="194"/>
      <c r="J215" s="307">
        <f>323390/B13</f>
        <v>2930.8500996918615</v>
      </c>
      <c r="K215" s="215"/>
      <c r="L215" s="317">
        <f t="shared" si="65"/>
        <v>2995.4232716232327</v>
      </c>
      <c r="M215" s="318">
        <f t="shared" si="59"/>
        <v>-64.573171931371235</v>
      </c>
      <c r="N215" s="41">
        <f t="shared" si="8"/>
        <v>0.97844272208769389</v>
      </c>
      <c r="O215" s="56"/>
      <c r="P215" s="317">
        <f>IF(D215=0,0,SUM($L$202:L215))</f>
        <v>27985.019774437278</v>
      </c>
      <c r="Q215" s="317">
        <f>IF(D215=0,0,SUM($J$202:J215))</f>
        <v>26989.758926953051</v>
      </c>
      <c r="R215" s="321">
        <f t="shared" si="60"/>
        <v>-995.26084748422727</v>
      </c>
      <c r="S215" s="198">
        <f t="shared" si="66"/>
        <v>0.96443594267554023</v>
      </c>
      <c r="T215" s="207"/>
      <c r="U215" s="317">
        <f>IF(D215=0,0,SUM($L$21:L215))</f>
        <v>336338.98228826921</v>
      </c>
      <c r="V215" s="317">
        <f>IF(D215=0,0,SUM($J$21:J215))</f>
        <v>365349.56498096784</v>
      </c>
      <c r="W215" s="331">
        <f t="shared" si="61"/>
        <v>29010.582692698634</v>
      </c>
      <c r="X215" s="200">
        <f t="shared" si="67"/>
        <v>1.0862540003401517</v>
      </c>
      <c r="Y215" s="201">
        <f t="shared" ref="Y215:Z230" si="68">Y214+1</f>
        <v>45852</v>
      </c>
      <c r="Z215" s="202">
        <f t="shared" si="68"/>
        <v>45852</v>
      </c>
      <c r="AA215" s="18"/>
      <c r="AB215" s="244"/>
      <c r="AC215" s="247"/>
      <c r="AD215" s="142"/>
      <c r="AE215" s="18"/>
      <c r="AF215" s="18"/>
      <c r="AG215" s="203"/>
      <c r="AH215" s="203"/>
      <c r="AI215" s="18"/>
      <c r="AJ215" s="18"/>
      <c r="AK215" s="18"/>
      <c r="AL215" s="18"/>
      <c r="AM215" s="18"/>
      <c r="AN215" s="18"/>
    </row>
    <row r="216" spans="1:40" ht="20">
      <c r="A216" s="18"/>
      <c r="B216" s="151"/>
      <c r="C216" s="55">
        <v>196</v>
      </c>
      <c r="D216" s="54">
        <v>1</v>
      </c>
      <c r="E216" s="190">
        <f t="shared" si="62"/>
        <v>7</v>
      </c>
      <c r="F216" s="191">
        <f t="shared" si="63"/>
        <v>45853</v>
      </c>
      <c r="G216" s="192" t="str">
        <f t="shared" si="64"/>
        <v>Tue</v>
      </c>
      <c r="H216" s="193"/>
      <c r="I216" s="194"/>
      <c r="J216" s="307">
        <f>190110/B13</f>
        <v>1722.94725394236</v>
      </c>
      <c r="K216" s="215"/>
      <c r="L216" s="317">
        <f t="shared" si="65"/>
        <v>1693.0590003222248</v>
      </c>
      <c r="M216" s="318">
        <f t="shared" si="59"/>
        <v>29.888253620135174</v>
      </c>
      <c r="N216" s="41">
        <f t="shared" si="8"/>
        <v>1.0176534034634628</v>
      </c>
      <c r="O216" s="56"/>
      <c r="P216" s="317">
        <f>IF(D216=0,0,SUM($L$202:L216))</f>
        <v>29678.078774759502</v>
      </c>
      <c r="Q216" s="317">
        <f>IF(D216=0,0,SUM($J$202:J216))</f>
        <v>28712.706180895409</v>
      </c>
      <c r="R216" s="321">
        <f t="shared" si="60"/>
        <v>-965.37259386409278</v>
      </c>
      <c r="S216" s="198">
        <f t="shared" si="66"/>
        <v>0.96747186362059534</v>
      </c>
      <c r="T216" s="207"/>
      <c r="U216" s="317">
        <f>IF(D216=0,0,SUM($L$21:L216))</f>
        <v>338032.04128859146</v>
      </c>
      <c r="V216" s="317">
        <f>IF(D216=0,0,SUM($J$21:J216))</f>
        <v>367072.51223491022</v>
      </c>
      <c r="W216" s="331">
        <f t="shared" si="61"/>
        <v>29040.470946318761</v>
      </c>
      <c r="X216" s="200">
        <f t="shared" si="67"/>
        <v>1.0859104090713274</v>
      </c>
      <c r="Y216" s="201">
        <f t="shared" si="68"/>
        <v>45853</v>
      </c>
      <c r="Z216" s="202">
        <f t="shared" si="68"/>
        <v>45853</v>
      </c>
      <c r="AA216" s="18"/>
      <c r="AB216" s="244"/>
      <c r="AC216" s="247"/>
      <c r="AD216" s="142"/>
      <c r="AE216" s="18"/>
      <c r="AF216" s="18"/>
      <c r="AG216" s="203"/>
      <c r="AH216" s="203"/>
      <c r="AI216" s="18"/>
      <c r="AJ216" s="18"/>
      <c r="AK216" s="18"/>
      <c r="AL216" s="18"/>
      <c r="AM216" s="18"/>
      <c r="AN216" s="18"/>
    </row>
    <row r="217" spans="1:40" ht="20">
      <c r="A217" s="18"/>
      <c r="B217" s="151"/>
      <c r="C217" s="55">
        <v>197</v>
      </c>
      <c r="D217" s="54">
        <v>1</v>
      </c>
      <c r="E217" s="190">
        <f t="shared" si="62"/>
        <v>7</v>
      </c>
      <c r="F217" s="191">
        <f t="shared" si="63"/>
        <v>45854</v>
      </c>
      <c r="G217" s="192" t="str">
        <f t="shared" si="64"/>
        <v>Wed</v>
      </c>
      <c r="H217" s="193"/>
      <c r="I217" s="194"/>
      <c r="J217" s="307">
        <f>243160/B13</f>
        <v>2203.7339133587093</v>
      </c>
      <c r="K217" s="215"/>
      <c r="L217" s="317">
        <f t="shared" si="65"/>
        <v>2453.638570572487</v>
      </c>
      <c r="M217" s="318">
        <f t="shared" si="59"/>
        <v>-249.90465721377768</v>
      </c>
      <c r="N217" s="41">
        <f t="shared" si="8"/>
        <v>0.89814936062263262</v>
      </c>
      <c r="O217" s="56"/>
      <c r="P217" s="317">
        <f>IF(D217=0,0,SUM($L$202:L217))</f>
        <v>32131.717345331988</v>
      </c>
      <c r="Q217" s="317">
        <f>IF(D217=0,0,SUM($J$202:J217))</f>
        <v>30916.440094254118</v>
      </c>
      <c r="R217" s="321">
        <f t="shared" si="60"/>
        <v>-1215.2772510778705</v>
      </c>
      <c r="S217" s="198">
        <f t="shared" si="66"/>
        <v>0.96217826647680182</v>
      </c>
      <c r="T217" s="207"/>
      <c r="U217" s="317">
        <f>IF(D217=0,0,SUM($L$21:L217))</f>
        <v>340485.67985916394</v>
      </c>
      <c r="V217" s="317">
        <f>IF(D217=0,0,SUM($J$21:J217))</f>
        <v>369276.24614826893</v>
      </c>
      <c r="W217" s="331">
        <f t="shared" si="61"/>
        <v>28790.566289104987</v>
      </c>
      <c r="X217" s="200">
        <f t="shared" si="67"/>
        <v>1.0845573484941091</v>
      </c>
      <c r="Y217" s="201">
        <f t="shared" si="68"/>
        <v>45854</v>
      </c>
      <c r="Z217" s="202">
        <f t="shared" si="68"/>
        <v>45854</v>
      </c>
      <c r="AA217" s="18"/>
      <c r="AB217" s="244"/>
      <c r="AC217" s="247"/>
      <c r="AD217" s="142"/>
      <c r="AE217" s="18"/>
      <c r="AF217" s="18"/>
      <c r="AG217" s="203"/>
      <c r="AH217" s="203"/>
      <c r="AI217" s="18"/>
      <c r="AJ217" s="18"/>
      <c r="AK217" s="18"/>
      <c r="AL217" s="18"/>
      <c r="AM217" s="18"/>
      <c r="AN217" s="18"/>
    </row>
    <row r="218" spans="1:40" ht="20">
      <c r="A218" s="18"/>
      <c r="B218" s="151"/>
      <c r="C218" s="55">
        <v>198</v>
      </c>
      <c r="D218" s="54">
        <v>1</v>
      </c>
      <c r="E218" s="190">
        <f t="shared" si="62"/>
        <v>7</v>
      </c>
      <c r="F218" s="191">
        <f t="shared" si="63"/>
        <v>45855</v>
      </c>
      <c r="G218" s="192" t="str">
        <f t="shared" si="64"/>
        <v>Thu</v>
      </c>
      <c r="H218" s="193"/>
      <c r="I218" s="194"/>
      <c r="J218" s="307">
        <f>326680/B13</f>
        <v>2960.6670291825267</v>
      </c>
      <c r="K218" s="215"/>
      <c r="L218" s="317">
        <f t="shared" si="65"/>
        <v>2199.4632540340072</v>
      </c>
      <c r="M218" s="318">
        <f t="shared" si="59"/>
        <v>761.20377514851953</v>
      </c>
      <c r="N218" s="41">
        <f t="shared" si="8"/>
        <v>1.3460861524976175</v>
      </c>
      <c r="O218" s="56"/>
      <c r="P218" s="317">
        <f>IF(D218=0,0,SUM($L$202:L218))</f>
        <v>34331.180599365995</v>
      </c>
      <c r="Q218" s="317">
        <f>IF(D218=0,0,SUM($J$202:J218))</f>
        <v>33877.107123436646</v>
      </c>
      <c r="R218" s="321">
        <f t="shared" si="60"/>
        <v>-454.07347592934821</v>
      </c>
      <c r="S218" s="198">
        <f t="shared" si="66"/>
        <v>0.98677372965327814</v>
      </c>
      <c r="T218" s="207"/>
      <c r="U218" s="317">
        <f>IF(D218=0,0,SUM($L$21:L218))</f>
        <v>342685.14311319793</v>
      </c>
      <c r="V218" s="317">
        <f>IF(D218=0,0,SUM($J$21:J218))</f>
        <v>372236.91317745147</v>
      </c>
      <c r="W218" s="331">
        <f t="shared" si="61"/>
        <v>29551.770064253535</v>
      </c>
      <c r="X218" s="200">
        <f t="shared" si="67"/>
        <v>1.0862359243116992</v>
      </c>
      <c r="Y218" s="201">
        <f t="shared" si="68"/>
        <v>45855</v>
      </c>
      <c r="Z218" s="202">
        <f t="shared" si="68"/>
        <v>45855</v>
      </c>
      <c r="AA218" s="18"/>
      <c r="AB218" s="244"/>
      <c r="AC218" s="247"/>
      <c r="AD218" s="142"/>
      <c r="AE218" s="18"/>
      <c r="AF218" s="18"/>
      <c r="AG218" s="203"/>
      <c r="AH218" s="203"/>
      <c r="AI218" s="18"/>
      <c r="AJ218" s="18"/>
      <c r="AK218" s="18"/>
      <c r="AL218" s="18"/>
      <c r="AM218" s="18"/>
      <c r="AN218" s="18"/>
    </row>
    <row r="219" spans="1:40" ht="20">
      <c r="A219" s="18"/>
      <c r="B219" s="151"/>
      <c r="C219" s="55">
        <v>199</v>
      </c>
      <c r="D219" s="54">
        <v>1</v>
      </c>
      <c r="E219" s="190">
        <f t="shared" si="62"/>
        <v>7</v>
      </c>
      <c r="F219" s="191">
        <f t="shared" si="63"/>
        <v>45856</v>
      </c>
      <c r="G219" s="192" t="str">
        <f t="shared" si="64"/>
        <v>Fri</v>
      </c>
      <c r="H219" s="193"/>
      <c r="I219" s="194"/>
      <c r="J219" s="307">
        <f>256310/B13</f>
        <v>2322.911002356353</v>
      </c>
      <c r="K219" s="215"/>
      <c r="L219" s="317">
        <f t="shared" si="65"/>
        <v>3299.4086189719533</v>
      </c>
      <c r="M219" s="318">
        <f t="shared" si="59"/>
        <v>-976.49761661560024</v>
      </c>
      <c r="N219" s="41">
        <f t="shared" si="8"/>
        <v>0.70403859315859385</v>
      </c>
      <c r="O219" s="56"/>
      <c r="P219" s="317">
        <f>IF(D219=0,0,SUM($L$202:L219))</f>
        <v>37630.589218337947</v>
      </c>
      <c r="Q219" s="317">
        <f>IF(D219=0,0,SUM($J$202:J219))</f>
        <v>36200.018125793002</v>
      </c>
      <c r="R219" s="321">
        <f t="shared" si="60"/>
        <v>-1430.5710925449457</v>
      </c>
      <c r="S219" s="198">
        <f t="shared" si="66"/>
        <v>0.96198382427007534</v>
      </c>
      <c r="T219" s="207"/>
      <c r="U219" s="317">
        <f>IF(D219=0,0,SUM($L$21:L219))</f>
        <v>345984.55173216987</v>
      </c>
      <c r="V219" s="317">
        <f>IF(D219=0,0,SUM($J$21:J219))</f>
        <v>374559.82417980779</v>
      </c>
      <c r="W219" s="331">
        <f t="shared" si="61"/>
        <v>28575.272447637923</v>
      </c>
      <c r="X219" s="200">
        <f t="shared" si="67"/>
        <v>1.0825911801685248</v>
      </c>
      <c r="Y219" s="201">
        <f t="shared" si="68"/>
        <v>45856</v>
      </c>
      <c r="Z219" s="202">
        <f t="shared" si="68"/>
        <v>45856</v>
      </c>
      <c r="AA219" s="18"/>
      <c r="AB219" s="244"/>
      <c r="AC219" s="247"/>
      <c r="AD219" s="142"/>
      <c r="AE219" s="18"/>
      <c r="AF219" s="18"/>
      <c r="AG219" s="203"/>
      <c r="AH219" s="203"/>
      <c r="AI219" s="18"/>
      <c r="AJ219" s="18"/>
      <c r="AK219" s="18"/>
      <c r="AL219" s="18"/>
      <c r="AM219" s="18"/>
      <c r="AN219" s="18"/>
    </row>
    <row r="220" spans="1:40" ht="20">
      <c r="A220" s="18"/>
      <c r="B220" s="151"/>
      <c r="C220" s="55">
        <v>200</v>
      </c>
      <c r="D220" s="54">
        <v>1</v>
      </c>
      <c r="E220" s="190">
        <f t="shared" si="62"/>
        <v>7</v>
      </c>
      <c r="F220" s="191">
        <f t="shared" si="63"/>
        <v>45857</v>
      </c>
      <c r="G220" s="192" t="str">
        <f t="shared" si="64"/>
        <v>Sat</v>
      </c>
      <c r="H220" s="193"/>
      <c r="I220" s="194"/>
      <c r="J220" s="307">
        <f>49340/B13</f>
        <v>447.16331339496099</v>
      </c>
      <c r="K220" s="215"/>
      <c r="L220" s="317">
        <f t="shared" si="65"/>
        <v>1351.5171716947345</v>
      </c>
      <c r="M220" s="318">
        <f t="shared" si="59"/>
        <v>-904.35385829977349</v>
      </c>
      <c r="N220" s="41">
        <f t="shared" si="8"/>
        <v>0.33086025302530242</v>
      </c>
      <c r="O220" s="56"/>
      <c r="P220" s="317">
        <f>IF(D220=0,0,SUM($L$202:L220))</f>
        <v>38982.106390032684</v>
      </c>
      <c r="Q220" s="317">
        <f>IF(D220=0,0,SUM($J$202:J220))</f>
        <v>36647.18143918796</v>
      </c>
      <c r="R220" s="321">
        <f t="shared" si="60"/>
        <v>-2334.9249508447247</v>
      </c>
      <c r="S220" s="198">
        <f t="shared" si="66"/>
        <v>0.9401026479307506</v>
      </c>
      <c r="T220" s="207"/>
      <c r="U220" s="317">
        <f>IF(D220=0,0,SUM($L$21:L220))</f>
        <v>347336.06890386459</v>
      </c>
      <c r="V220" s="317">
        <f>IF(D220=0,0,SUM($J$21:J220))</f>
        <v>375006.98749320273</v>
      </c>
      <c r="W220" s="331">
        <f t="shared" si="61"/>
        <v>27670.918589338136</v>
      </c>
      <c r="X220" s="200">
        <f t="shared" si="67"/>
        <v>1.0796661247323465</v>
      </c>
      <c r="Y220" s="201">
        <f t="shared" si="68"/>
        <v>45857</v>
      </c>
      <c r="Z220" s="202">
        <f t="shared" si="68"/>
        <v>45857</v>
      </c>
      <c r="AA220" s="18"/>
      <c r="AB220" s="244"/>
      <c r="AC220" s="247"/>
      <c r="AD220" s="142"/>
      <c r="AE220" s="18"/>
      <c r="AF220" s="18"/>
      <c r="AG220" s="203"/>
      <c r="AH220" s="203"/>
      <c r="AI220" s="18"/>
      <c r="AJ220" s="18"/>
      <c r="AK220" s="18"/>
      <c r="AL220" s="18"/>
      <c r="AM220" s="18"/>
      <c r="AN220" s="18"/>
    </row>
    <row r="221" spans="1:40" ht="20">
      <c r="A221" s="18"/>
      <c r="B221" s="151"/>
      <c r="C221" s="55">
        <v>201</v>
      </c>
      <c r="D221" s="54">
        <v>0</v>
      </c>
      <c r="E221" s="190">
        <f t="shared" si="62"/>
        <v>7</v>
      </c>
      <c r="F221" s="191">
        <f t="shared" si="63"/>
        <v>45858</v>
      </c>
      <c r="G221" s="192" t="str">
        <f t="shared" si="64"/>
        <v>Sun</v>
      </c>
      <c r="H221" s="193"/>
      <c r="I221" s="194"/>
      <c r="J221" s="307"/>
      <c r="K221" s="215"/>
      <c r="L221" s="317">
        <f t="shared" si="65"/>
        <v>0</v>
      </c>
      <c r="M221" s="318">
        <f t="shared" si="59"/>
        <v>0</v>
      </c>
      <c r="N221" s="41" t="str">
        <f t="shared" si="8"/>
        <v>¥0</v>
      </c>
      <c r="O221" s="44"/>
      <c r="P221" s="317">
        <f>IF(D221=0,0,SUM($L$202:L221))</f>
        <v>0</v>
      </c>
      <c r="Q221" s="317">
        <f>IF(D221=0,0,SUM($J$202:J221))</f>
        <v>0</v>
      </c>
      <c r="R221" s="321">
        <f t="shared" si="60"/>
        <v>0</v>
      </c>
      <c r="S221" s="198">
        <f t="shared" si="66"/>
        <v>0</v>
      </c>
      <c r="T221" s="212"/>
      <c r="U221" s="317">
        <f>IF(D221=0,0,SUM($L$21:L221))</f>
        <v>0</v>
      </c>
      <c r="V221" s="317">
        <f>IF(D221=0,0,SUM($J$21:J221))</f>
        <v>0</v>
      </c>
      <c r="W221" s="331">
        <f t="shared" si="61"/>
        <v>0</v>
      </c>
      <c r="X221" s="200">
        <f t="shared" si="67"/>
        <v>0</v>
      </c>
      <c r="Y221" s="201">
        <f t="shared" si="68"/>
        <v>45858</v>
      </c>
      <c r="Z221" s="202">
        <f t="shared" si="68"/>
        <v>45858</v>
      </c>
      <c r="AA221" s="18"/>
      <c r="AB221" s="244"/>
      <c r="AC221" s="247"/>
      <c r="AD221" s="142"/>
      <c r="AE221" s="18"/>
      <c r="AF221" s="18"/>
      <c r="AG221" s="203"/>
      <c r="AH221" s="203"/>
      <c r="AI221" s="18"/>
      <c r="AJ221" s="18"/>
      <c r="AK221" s="18"/>
      <c r="AL221" s="18"/>
      <c r="AM221" s="18"/>
      <c r="AN221" s="18"/>
    </row>
    <row r="222" spans="1:40" ht="20">
      <c r="A222" s="18"/>
      <c r="B222" s="151"/>
      <c r="C222" s="55">
        <v>202</v>
      </c>
      <c r="D222" s="54">
        <v>0</v>
      </c>
      <c r="E222" s="190">
        <f t="shared" si="62"/>
        <v>7</v>
      </c>
      <c r="F222" s="191">
        <f t="shared" si="63"/>
        <v>45859</v>
      </c>
      <c r="G222" s="192" t="str">
        <f t="shared" si="64"/>
        <v>Mon</v>
      </c>
      <c r="H222" s="193" t="s">
        <v>176</v>
      </c>
      <c r="I222" s="194"/>
      <c r="J222" s="307"/>
      <c r="K222" s="215"/>
      <c r="L222" s="317">
        <f t="shared" si="65"/>
        <v>0</v>
      </c>
      <c r="M222" s="318">
        <f t="shared" si="59"/>
        <v>0</v>
      </c>
      <c r="N222" s="41" t="str">
        <f t="shared" si="8"/>
        <v>¥0</v>
      </c>
      <c r="O222" s="44"/>
      <c r="P222" s="317">
        <f>IF(D222=0,0,SUM($L$202:L222))</f>
        <v>0</v>
      </c>
      <c r="Q222" s="317">
        <f>IF(D222=0,0,SUM($J$202:J222))</f>
        <v>0</v>
      </c>
      <c r="R222" s="321">
        <f t="shared" si="60"/>
        <v>0</v>
      </c>
      <c r="S222" s="198">
        <f t="shared" si="66"/>
        <v>0</v>
      </c>
      <c r="T222" s="212"/>
      <c r="U222" s="317">
        <f>IF(D222=0,0,SUM($L$21:L222))</f>
        <v>0</v>
      </c>
      <c r="V222" s="317">
        <f>IF(D222=0,0,SUM($J$21:J222))</f>
        <v>0</v>
      </c>
      <c r="W222" s="331">
        <f t="shared" si="61"/>
        <v>0</v>
      </c>
      <c r="X222" s="200">
        <f t="shared" si="67"/>
        <v>0</v>
      </c>
      <c r="Y222" s="201">
        <f t="shared" si="68"/>
        <v>45859</v>
      </c>
      <c r="Z222" s="202">
        <f t="shared" si="68"/>
        <v>45859</v>
      </c>
      <c r="AA222" s="18"/>
      <c r="AB222" s="244"/>
      <c r="AC222" s="247"/>
      <c r="AD222" s="142"/>
      <c r="AE222" s="18"/>
      <c r="AF222" s="18"/>
      <c r="AG222" s="203"/>
      <c r="AH222" s="203"/>
      <c r="AI222" s="18"/>
      <c r="AJ222" s="18"/>
      <c r="AK222" s="18"/>
      <c r="AL222" s="18"/>
      <c r="AM222" s="18"/>
      <c r="AN222" s="18"/>
    </row>
    <row r="223" spans="1:40" ht="20">
      <c r="A223" s="18"/>
      <c r="B223" s="151"/>
      <c r="C223" s="55">
        <v>203</v>
      </c>
      <c r="D223" s="54">
        <v>1</v>
      </c>
      <c r="E223" s="190">
        <f t="shared" si="62"/>
        <v>7</v>
      </c>
      <c r="F223" s="191">
        <f t="shared" si="63"/>
        <v>45860</v>
      </c>
      <c r="G223" s="192" t="str">
        <f t="shared" si="64"/>
        <v>Tue</v>
      </c>
      <c r="H223" s="193"/>
      <c r="I223" s="194"/>
      <c r="J223" s="307">
        <f>218650/B13</f>
        <v>1981.6023201015043</v>
      </c>
      <c r="K223" s="215"/>
      <c r="L223" s="317">
        <f t="shared" si="65"/>
        <v>1693.0590003222248</v>
      </c>
      <c r="M223" s="318">
        <f t="shared" si="59"/>
        <v>288.5433197792795</v>
      </c>
      <c r="N223" s="41">
        <f t="shared" si="8"/>
        <v>1.1704272088121936</v>
      </c>
      <c r="O223" s="56"/>
      <c r="P223" s="317">
        <f>IF(D223=0,0,SUM($L$202:L223))</f>
        <v>40675.165390354909</v>
      </c>
      <c r="Q223" s="317">
        <f>IF(D223=0,0,SUM($J$202:J223))</f>
        <v>38628.783759289465</v>
      </c>
      <c r="R223" s="321">
        <f t="shared" si="60"/>
        <v>-2046.3816310654438</v>
      </c>
      <c r="S223" s="198">
        <f t="shared" si="66"/>
        <v>0.94968965432773156</v>
      </c>
      <c r="T223" s="207"/>
      <c r="U223" s="317">
        <f>IF(D223=0,0,SUM($L$21:L223))</f>
        <v>349029.12790418684</v>
      </c>
      <c r="V223" s="317">
        <f>IF(D223=0,0,SUM($J$21:J223))</f>
        <v>376988.58981330425</v>
      </c>
      <c r="W223" s="331">
        <f t="shared" si="61"/>
        <v>27959.46190911741</v>
      </c>
      <c r="X223" s="200">
        <f t="shared" si="67"/>
        <v>1.0801063856102939</v>
      </c>
      <c r="Y223" s="201">
        <f t="shared" si="68"/>
        <v>45860</v>
      </c>
      <c r="Z223" s="202">
        <f t="shared" si="68"/>
        <v>45860</v>
      </c>
      <c r="AA223" s="18"/>
      <c r="AB223" s="244"/>
      <c r="AC223" s="247"/>
      <c r="AD223" s="142"/>
      <c r="AE223" s="18"/>
      <c r="AF223" s="18"/>
      <c r="AG223" s="203"/>
      <c r="AH223" s="203"/>
      <c r="AI223" s="18"/>
      <c r="AJ223" s="18"/>
      <c r="AK223" s="18"/>
      <c r="AL223" s="18"/>
      <c r="AM223" s="18"/>
      <c r="AN223" s="18"/>
    </row>
    <row r="224" spans="1:40" ht="20">
      <c r="A224" s="18"/>
      <c r="B224" s="151"/>
      <c r="C224" s="55">
        <v>204</v>
      </c>
      <c r="D224" s="54">
        <v>1</v>
      </c>
      <c r="E224" s="190">
        <f t="shared" si="62"/>
        <v>7</v>
      </c>
      <c r="F224" s="191">
        <f t="shared" si="63"/>
        <v>45861</v>
      </c>
      <c r="G224" s="192" t="str">
        <f t="shared" si="64"/>
        <v>Wed</v>
      </c>
      <c r="H224" s="193"/>
      <c r="I224" s="194"/>
      <c r="J224" s="307">
        <f>247120/B13</f>
        <v>2239.6229835055283</v>
      </c>
      <c r="K224" s="215"/>
      <c r="L224" s="317">
        <f t="shared" si="65"/>
        <v>2453.638570572487</v>
      </c>
      <c r="M224" s="318">
        <f t="shared" si="59"/>
        <v>-214.01558706695869</v>
      </c>
      <c r="N224" s="41">
        <f t="shared" si="8"/>
        <v>0.91277623785600004</v>
      </c>
      <c r="O224" s="56"/>
      <c r="P224" s="317">
        <f>IF(D224=0,0,SUM($L$202:L224))</f>
        <v>43128.803960927398</v>
      </c>
      <c r="Q224" s="317">
        <f>IF(D224=0,0,SUM($J$202:J224))</f>
        <v>40868.406742794992</v>
      </c>
      <c r="R224" s="321">
        <f t="shared" si="60"/>
        <v>-2260.3972181324061</v>
      </c>
      <c r="S224" s="198">
        <f t="shared" si="66"/>
        <v>0.94758961504751638</v>
      </c>
      <c r="T224" s="207"/>
      <c r="U224" s="317">
        <f>IF(D224=0,0,SUM($L$21:L224))</f>
        <v>351482.76647475932</v>
      </c>
      <c r="V224" s="317">
        <f>IF(D224=0,0,SUM($J$21:J224))</f>
        <v>379228.21279680979</v>
      </c>
      <c r="W224" s="331">
        <f t="shared" si="61"/>
        <v>27745.446322050469</v>
      </c>
      <c r="X224" s="200">
        <f t="shared" si="67"/>
        <v>1.0789382836613213</v>
      </c>
      <c r="Y224" s="201">
        <f t="shared" si="68"/>
        <v>45861</v>
      </c>
      <c r="Z224" s="202">
        <f t="shared" si="68"/>
        <v>45861</v>
      </c>
      <c r="AA224" s="18"/>
      <c r="AB224" s="244"/>
      <c r="AC224" s="247"/>
      <c r="AD224" s="142"/>
      <c r="AE224" s="18"/>
      <c r="AF224" s="18"/>
      <c r="AG224" s="203"/>
      <c r="AH224" s="203"/>
      <c r="AI224" s="18"/>
      <c r="AJ224" s="18"/>
      <c r="AK224" s="18"/>
      <c r="AL224" s="18"/>
      <c r="AM224" s="18"/>
      <c r="AN224" s="18"/>
    </row>
    <row r="225" spans="1:40" ht="20">
      <c r="A225" s="18"/>
      <c r="B225" s="151"/>
      <c r="C225" s="55">
        <v>205</v>
      </c>
      <c r="D225" s="54">
        <v>1</v>
      </c>
      <c r="E225" s="190">
        <f t="shared" si="62"/>
        <v>7</v>
      </c>
      <c r="F225" s="191">
        <f t="shared" si="63"/>
        <v>45862</v>
      </c>
      <c r="G225" s="192" t="str">
        <f t="shared" si="64"/>
        <v>Thu</v>
      </c>
      <c r="H225" s="193"/>
      <c r="I225" s="194"/>
      <c r="J225" s="307">
        <f>343680/B13</f>
        <v>3114.7362697117997</v>
      </c>
      <c r="K225" s="215"/>
      <c r="L225" s="317">
        <f t="shared" si="65"/>
        <v>2199.4632540340072</v>
      </c>
      <c r="M225" s="318">
        <f t="shared" si="59"/>
        <v>915.2730156777925</v>
      </c>
      <c r="N225" s="41">
        <f t="shared" si="8"/>
        <v>1.416134715594408</v>
      </c>
      <c r="O225" s="56"/>
      <c r="P225" s="317">
        <f>IF(D225=0,0,SUM($L$202:L225))</f>
        <v>45328.267214961408</v>
      </c>
      <c r="Q225" s="317">
        <f>IF(D225=0,0,SUM($J$202:J225))</f>
        <v>43983.143012506793</v>
      </c>
      <c r="R225" s="321">
        <f t="shared" si="60"/>
        <v>-1345.1242024546154</v>
      </c>
      <c r="S225" s="198">
        <f t="shared" si="66"/>
        <v>0.97032482631476735</v>
      </c>
      <c r="T225" s="207"/>
      <c r="U225" s="317">
        <f>IF(D225=0,0,SUM($L$21:L225))</f>
        <v>353682.22972879332</v>
      </c>
      <c r="V225" s="317">
        <f>IF(D225=0,0,SUM($J$21:J225))</f>
        <v>382342.9490665216</v>
      </c>
      <c r="W225" s="331">
        <f t="shared" si="61"/>
        <v>28660.719337728282</v>
      </c>
      <c r="X225" s="200">
        <f t="shared" si="67"/>
        <v>1.0810352257723141</v>
      </c>
      <c r="Y225" s="201">
        <f t="shared" si="68"/>
        <v>45862</v>
      </c>
      <c r="Z225" s="202">
        <f t="shared" si="68"/>
        <v>45862</v>
      </c>
      <c r="AA225" s="18"/>
      <c r="AB225" s="244"/>
      <c r="AC225" s="247"/>
      <c r="AD225" s="142"/>
      <c r="AE225" s="18"/>
      <c r="AF225" s="18"/>
      <c r="AG225" s="203"/>
      <c r="AH225" s="203"/>
      <c r="AI225" s="18"/>
      <c r="AJ225" s="18"/>
      <c r="AK225" s="18"/>
      <c r="AL225" s="18"/>
      <c r="AM225" s="18"/>
      <c r="AN225" s="18"/>
    </row>
    <row r="226" spans="1:40" ht="20">
      <c r="A226" s="18"/>
      <c r="B226" s="151"/>
      <c r="C226" s="55">
        <v>206</v>
      </c>
      <c r="D226" s="54">
        <v>1</v>
      </c>
      <c r="E226" s="190">
        <f t="shared" si="62"/>
        <v>7</v>
      </c>
      <c r="F226" s="191">
        <f t="shared" si="63"/>
        <v>45863</v>
      </c>
      <c r="G226" s="192" t="str">
        <f t="shared" si="64"/>
        <v>Fri</v>
      </c>
      <c r="H226" s="193"/>
      <c r="I226" s="194"/>
      <c r="J226" s="307">
        <f>343970/B13</f>
        <v>3117.3645096972991</v>
      </c>
      <c r="K226" s="215"/>
      <c r="L226" s="317">
        <f t="shared" si="65"/>
        <v>3299.4086189719533</v>
      </c>
      <c r="M226" s="318">
        <f t="shared" si="59"/>
        <v>-182.04410927465415</v>
      </c>
      <c r="N226" s="41">
        <f t="shared" si="8"/>
        <v>0.94482523073138591</v>
      </c>
      <c r="O226" s="56"/>
      <c r="P226" s="317">
        <f>IF(D226=0,0,SUM($L$202:L226))</f>
        <v>48627.675833933361</v>
      </c>
      <c r="Q226" s="317">
        <f>IF(D226=0,0,SUM($J$202:J226))</f>
        <v>47100.50752220409</v>
      </c>
      <c r="R226" s="321">
        <f t="shared" si="60"/>
        <v>-1527.1683117292705</v>
      </c>
      <c r="S226" s="198">
        <f t="shared" si="66"/>
        <v>0.96859466784008663</v>
      </c>
      <c r="T226" s="207"/>
      <c r="U226" s="317">
        <f>IF(D226=0,0,SUM($L$21:L226))</f>
        <v>356981.63834776526</v>
      </c>
      <c r="V226" s="317">
        <f>IF(D226=0,0,SUM($J$21:J226))</f>
        <v>385460.3135762189</v>
      </c>
      <c r="W226" s="331">
        <f t="shared" si="61"/>
        <v>28478.675228453649</v>
      </c>
      <c r="X226" s="200">
        <f t="shared" si="67"/>
        <v>1.0797763026699716</v>
      </c>
      <c r="Y226" s="201">
        <f t="shared" si="68"/>
        <v>45863</v>
      </c>
      <c r="Z226" s="202">
        <f t="shared" si="68"/>
        <v>45863</v>
      </c>
      <c r="AA226" s="18"/>
      <c r="AB226" s="244"/>
      <c r="AC226" s="247"/>
      <c r="AD226" s="142"/>
      <c r="AE226" s="18"/>
      <c r="AF226" s="18"/>
      <c r="AG226" s="203"/>
      <c r="AH226" s="203"/>
      <c r="AI226" s="18"/>
      <c r="AJ226" s="18"/>
      <c r="AK226" s="18"/>
      <c r="AL226" s="18"/>
      <c r="AM226" s="18"/>
      <c r="AN226" s="18"/>
    </row>
    <row r="227" spans="1:40" ht="20">
      <c r="A227" s="18"/>
      <c r="B227" s="151"/>
      <c r="C227" s="55">
        <v>207</v>
      </c>
      <c r="D227" s="54">
        <v>1</v>
      </c>
      <c r="E227" s="190">
        <f t="shared" si="62"/>
        <v>7</v>
      </c>
      <c r="F227" s="191">
        <f t="shared" si="63"/>
        <v>45864</v>
      </c>
      <c r="G227" s="192" t="str">
        <f t="shared" si="64"/>
        <v>Sat</v>
      </c>
      <c r="H227" s="193"/>
      <c r="I227" s="194"/>
      <c r="J227" s="307">
        <f>108950/B13</f>
        <v>987.40257386260646</v>
      </c>
      <c r="K227" s="215"/>
      <c r="L227" s="317">
        <f t="shared" si="65"/>
        <v>1351.5171716947345</v>
      </c>
      <c r="M227" s="318">
        <f t="shared" si="59"/>
        <v>-364.11459783212808</v>
      </c>
      <c r="N227" s="41">
        <f t="shared" si="8"/>
        <v>0.7305882563256324</v>
      </c>
      <c r="O227" s="56"/>
      <c r="P227" s="317">
        <f>IF(D227=0,0,SUM($L$202:L227))</f>
        <v>49979.193005628098</v>
      </c>
      <c r="Q227" s="317">
        <f>IF(D227=0,0,SUM($J$202:J227))</f>
        <v>48087.910096066698</v>
      </c>
      <c r="R227" s="321">
        <f t="shared" si="60"/>
        <v>-1891.2829095613997</v>
      </c>
      <c r="S227" s="198">
        <f t="shared" si="66"/>
        <v>0.96215859449054275</v>
      </c>
      <c r="T227" s="207"/>
      <c r="U227" s="317">
        <f>IF(D227=0,0,SUM($L$21:L227))</f>
        <v>358333.15551945998</v>
      </c>
      <c r="V227" s="317">
        <f>IF(D227=0,0,SUM($J$21:J227))</f>
        <v>386447.71615008148</v>
      </c>
      <c r="W227" s="331">
        <f t="shared" si="61"/>
        <v>28114.560630621505</v>
      </c>
      <c r="X227" s="200">
        <f t="shared" si="67"/>
        <v>1.0784592779026128</v>
      </c>
      <c r="Y227" s="201">
        <f t="shared" si="68"/>
        <v>45864</v>
      </c>
      <c r="Z227" s="202">
        <f t="shared" si="68"/>
        <v>45864</v>
      </c>
      <c r="AA227" s="18"/>
      <c r="AB227" s="244"/>
      <c r="AC227" s="247"/>
      <c r="AD227" s="142"/>
      <c r="AE227" s="18"/>
      <c r="AF227" s="18"/>
      <c r="AG227" s="203"/>
      <c r="AH227" s="203"/>
      <c r="AI227" s="18"/>
      <c r="AJ227" s="18"/>
      <c r="AK227" s="18"/>
      <c r="AL227" s="18"/>
      <c r="AM227" s="18"/>
      <c r="AN227" s="18"/>
    </row>
    <row r="228" spans="1:40" ht="20">
      <c r="A228" s="18"/>
      <c r="B228" s="151"/>
      <c r="C228" s="55">
        <v>208</v>
      </c>
      <c r="D228" s="54">
        <v>0</v>
      </c>
      <c r="E228" s="190">
        <f t="shared" si="62"/>
        <v>7</v>
      </c>
      <c r="F228" s="191">
        <f t="shared" si="63"/>
        <v>45865</v>
      </c>
      <c r="G228" s="192" t="str">
        <f t="shared" si="64"/>
        <v>Sun</v>
      </c>
      <c r="H228" s="193"/>
      <c r="I228" s="194"/>
      <c r="J228" s="307"/>
      <c r="K228" s="215"/>
      <c r="L228" s="317">
        <f t="shared" si="65"/>
        <v>0</v>
      </c>
      <c r="M228" s="318">
        <f t="shared" si="59"/>
        <v>0</v>
      </c>
      <c r="N228" s="41" t="str">
        <f t="shared" si="8"/>
        <v>¥0</v>
      </c>
      <c r="O228" s="44"/>
      <c r="P228" s="317">
        <f>IF(D228=0,0,SUM($L$202:L228))</f>
        <v>0</v>
      </c>
      <c r="Q228" s="317">
        <f>IF(D228=0,0,SUM($J$202:J228))</f>
        <v>0</v>
      </c>
      <c r="R228" s="321">
        <f t="shared" si="60"/>
        <v>0</v>
      </c>
      <c r="S228" s="198">
        <f t="shared" si="66"/>
        <v>0</v>
      </c>
      <c r="T228" s="212"/>
      <c r="U228" s="317">
        <f>IF(D228=0,0,SUM($L$21:L228))</f>
        <v>0</v>
      </c>
      <c r="V228" s="317">
        <f>IF(D228=0,0,SUM($J$21:J228))</f>
        <v>0</v>
      </c>
      <c r="W228" s="331">
        <f t="shared" si="61"/>
        <v>0</v>
      </c>
      <c r="X228" s="200">
        <f t="shared" si="67"/>
        <v>0</v>
      </c>
      <c r="Y228" s="201">
        <f t="shared" si="68"/>
        <v>45865</v>
      </c>
      <c r="Z228" s="202">
        <f t="shared" si="68"/>
        <v>45865</v>
      </c>
      <c r="AA228" s="18"/>
      <c r="AB228" s="244"/>
      <c r="AC228" s="247"/>
      <c r="AD228" s="142"/>
      <c r="AE228" s="18"/>
      <c r="AF228" s="18"/>
      <c r="AG228" s="203"/>
      <c r="AH228" s="203"/>
      <c r="AI228" s="18"/>
      <c r="AJ228" s="18"/>
      <c r="AK228" s="18"/>
      <c r="AL228" s="18"/>
      <c r="AM228" s="18"/>
      <c r="AN228" s="18"/>
    </row>
    <row r="229" spans="1:40" ht="20">
      <c r="A229" s="18"/>
      <c r="B229" s="151"/>
      <c r="C229" s="55">
        <v>209</v>
      </c>
      <c r="D229" s="54">
        <v>1</v>
      </c>
      <c r="E229" s="190">
        <f t="shared" si="62"/>
        <v>7</v>
      </c>
      <c r="F229" s="191">
        <f t="shared" si="63"/>
        <v>45866</v>
      </c>
      <c r="G229" s="192" t="str">
        <f t="shared" si="64"/>
        <v>Mon</v>
      </c>
      <c r="H229" s="193"/>
      <c r="I229" s="194"/>
      <c r="J229" s="307">
        <f>298450/B13</f>
        <v>2704.8214609389161</v>
      </c>
      <c r="K229" s="215"/>
      <c r="L229" s="317">
        <f t="shared" si="65"/>
        <v>2995.4232716232327</v>
      </c>
      <c r="M229" s="318">
        <f t="shared" si="59"/>
        <v>-290.60181068431666</v>
      </c>
      <c r="N229" s="41">
        <f t="shared" si="8"/>
        <v>0.90298472558543008</v>
      </c>
      <c r="O229" s="56"/>
      <c r="P229" s="317">
        <f>IF(D229=0,0,SUM($L$202:L229))</f>
        <v>52974.616277251334</v>
      </c>
      <c r="Q229" s="317">
        <f>IF(D229=0,0,SUM($J$202:J229))</f>
        <v>50792.731557005616</v>
      </c>
      <c r="R229" s="321">
        <f t="shared" si="60"/>
        <v>-2181.8847202457182</v>
      </c>
      <c r="S229" s="198">
        <f t="shared" si="66"/>
        <v>0.95881263756916202</v>
      </c>
      <c r="T229" s="207"/>
      <c r="U229" s="317">
        <f>IF(D229=0,0,SUM($L$21:L229))</f>
        <v>361328.57879108319</v>
      </c>
      <c r="V229" s="317">
        <f>IF(D229=0,0,SUM($J$21:J229))</f>
        <v>389152.53761102038</v>
      </c>
      <c r="W229" s="331">
        <f t="shared" si="61"/>
        <v>27823.958819937194</v>
      </c>
      <c r="X229" s="200">
        <f t="shared" si="67"/>
        <v>1.0770045893215237</v>
      </c>
      <c r="Y229" s="201">
        <f t="shared" si="68"/>
        <v>45866</v>
      </c>
      <c r="Z229" s="202">
        <f t="shared" si="68"/>
        <v>45866</v>
      </c>
      <c r="AA229" s="18"/>
      <c r="AB229" s="244"/>
      <c r="AC229" s="247"/>
      <c r="AD229" s="142"/>
      <c r="AE229" s="18"/>
      <c r="AF229" s="18"/>
      <c r="AG229" s="203"/>
      <c r="AH229" s="203"/>
      <c r="AI229" s="18"/>
      <c r="AJ229" s="18"/>
      <c r="AK229" s="18"/>
      <c r="AL229" s="18"/>
      <c r="AM229" s="18"/>
      <c r="AN229" s="18"/>
    </row>
    <row r="230" spans="1:40" ht="20">
      <c r="A230" s="18"/>
      <c r="B230" s="151"/>
      <c r="C230" s="55">
        <v>210</v>
      </c>
      <c r="D230" s="54">
        <v>1</v>
      </c>
      <c r="E230" s="190">
        <f t="shared" si="62"/>
        <v>7</v>
      </c>
      <c r="F230" s="191">
        <f t="shared" si="63"/>
        <v>45867</v>
      </c>
      <c r="G230" s="192" t="str">
        <f t="shared" si="64"/>
        <v>Tue</v>
      </c>
      <c r="H230" s="193"/>
      <c r="I230" s="194"/>
      <c r="J230" s="307">
        <f>305580/B13</f>
        <v>2769.4399129961935</v>
      </c>
      <c r="K230" s="215"/>
      <c r="L230" s="317">
        <f t="shared" si="65"/>
        <v>1693.0590003222248</v>
      </c>
      <c r="M230" s="318">
        <f t="shared" si="59"/>
        <v>1076.3809126739686</v>
      </c>
      <c r="N230" s="41">
        <f t="shared" si="8"/>
        <v>1.6357610174654933</v>
      </c>
      <c r="O230" s="56"/>
      <c r="P230" s="317">
        <f>IF(D230=0,0,SUM($L$202:L230))</f>
        <v>54667.675277573559</v>
      </c>
      <c r="Q230" s="317">
        <f>IF(D230=0,0,SUM($J$202:J230))</f>
        <v>53562.171470001813</v>
      </c>
      <c r="R230" s="321">
        <f t="shared" si="60"/>
        <v>-1105.5038075717457</v>
      </c>
      <c r="S230" s="198">
        <f t="shared" si="66"/>
        <v>0.97977774247837357</v>
      </c>
      <c r="T230" s="207"/>
      <c r="U230" s="317">
        <f>IF(D230=0,0,SUM($L$21:L230))</f>
        <v>363021.63779140543</v>
      </c>
      <c r="V230" s="317">
        <f>IF(D230=0,0,SUM($J$21:J230))</f>
        <v>391921.97752401658</v>
      </c>
      <c r="W230" s="331">
        <f t="shared" si="61"/>
        <v>28900.339732611144</v>
      </c>
      <c r="X230" s="200">
        <f t="shared" si="67"/>
        <v>1.0796105155286018</v>
      </c>
      <c r="Y230" s="201">
        <f t="shared" si="68"/>
        <v>45867</v>
      </c>
      <c r="Z230" s="202">
        <f t="shared" si="68"/>
        <v>45867</v>
      </c>
      <c r="AA230" s="18"/>
      <c r="AB230" s="244"/>
      <c r="AC230" s="247"/>
      <c r="AD230" s="142"/>
      <c r="AE230" s="18"/>
      <c r="AF230" s="18"/>
      <c r="AG230" s="203"/>
      <c r="AH230" s="203"/>
      <c r="AI230" s="18"/>
      <c r="AJ230" s="18"/>
      <c r="AK230" s="18"/>
      <c r="AL230" s="18"/>
      <c r="AM230" s="18"/>
      <c r="AN230" s="18"/>
    </row>
    <row r="231" spans="1:40" ht="20">
      <c r="A231" s="18"/>
      <c r="B231" s="151"/>
      <c r="C231" s="55">
        <v>211</v>
      </c>
      <c r="D231" s="54">
        <v>1</v>
      </c>
      <c r="E231" s="190">
        <f t="shared" si="62"/>
        <v>7</v>
      </c>
      <c r="F231" s="191">
        <f t="shared" si="63"/>
        <v>45868</v>
      </c>
      <c r="G231" s="192" t="str">
        <f t="shared" si="64"/>
        <v>Wed</v>
      </c>
      <c r="H231" s="193"/>
      <c r="I231" s="194"/>
      <c r="J231" s="307">
        <f>320020/B13</f>
        <v>2900.3081384810584</v>
      </c>
      <c r="K231" s="215"/>
      <c r="L231" s="317">
        <f t="shared" si="65"/>
        <v>2453.638570572487</v>
      </c>
      <c r="M231" s="318">
        <f t="shared" si="59"/>
        <v>446.66956790857148</v>
      </c>
      <c r="N231" s="41">
        <f t="shared" si="8"/>
        <v>1.1820437505611732</v>
      </c>
      <c r="O231" s="56"/>
      <c r="P231" s="317">
        <f>IF(D231=0,0,SUM($L$202:L231))</f>
        <v>57121.313848146048</v>
      </c>
      <c r="Q231" s="317">
        <f>IF(D231=0,0,SUM($J$202:J231))</f>
        <v>56462.47960848287</v>
      </c>
      <c r="R231" s="321">
        <f t="shared" si="60"/>
        <v>-658.83423966317787</v>
      </c>
      <c r="S231" s="198">
        <f t="shared" si="66"/>
        <v>0.98846605241933594</v>
      </c>
      <c r="T231" s="207"/>
      <c r="U231" s="317">
        <f>IF(D231=0,0,SUM($L$21:L231))</f>
        <v>365475.27636197791</v>
      </c>
      <c r="V231" s="317">
        <f>IF(D231=0,0,SUM($J$21:J231))</f>
        <v>394822.28566249763</v>
      </c>
      <c r="W231" s="331">
        <f t="shared" si="61"/>
        <v>29347.009300519712</v>
      </c>
      <c r="X231" s="200">
        <f t="shared" si="67"/>
        <v>1.0802982067423175</v>
      </c>
      <c r="Y231" s="201">
        <f t="shared" ref="Y231:Z246" si="69">Y230+1</f>
        <v>45868</v>
      </c>
      <c r="Z231" s="202">
        <f t="shared" si="69"/>
        <v>45868</v>
      </c>
      <c r="AA231" s="18"/>
      <c r="AB231" s="244"/>
      <c r="AC231" s="247"/>
      <c r="AD231" s="142"/>
      <c r="AE231" s="18"/>
      <c r="AF231" s="18"/>
      <c r="AG231" s="203"/>
      <c r="AH231" s="203"/>
      <c r="AI231" s="18"/>
      <c r="AJ231" s="18"/>
      <c r="AK231" s="18"/>
      <c r="AL231" s="18"/>
      <c r="AM231" s="18"/>
      <c r="AN231" s="18"/>
    </row>
    <row r="232" spans="1:40" ht="21" thickBot="1">
      <c r="A232" s="18"/>
      <c r="B232" s="151"/>
      <c r="C232" s="39">
        <v>212</v>
      </c>
      <c r="D232" s="38">
        <v>1</v>
      </c>
      <c r="E232" s="217">
        <f t="shared" si="62"/>
        <v>7</v>
      </c>
      <c r="F232" s="236">
        <f t="shared" si="63"/>
        <v>45869</v>
      </c>
      <c r="G232" s="219" t="str">
        <f t="shared" si="64"/>
        <v>Thu</v>
      </c>
      <c r="H232" s="233"/>
      <c r="I232" s="221"/>
      <c r="J232" s="316">
        <f>351250/B13</f>
        <v>3183.3423962298348</v>
      </c>
      <c r="K232" s="223"/>
      <c r="L232" s="317">
        <f t="shared" si="65"/>
        <v>2199.4632540340072</v>
      </c>
      <c r="M232" s="320">
        <f t="shared" si="59"/>
        <v>983.87914219582763</v>
      </c>
      <c r="N232" s="225">
        <f t="shared" si="8"/>
        <v>1.4473269286910375</v>
      </c>
      <c r="O232" s="226"/>
      <c r="P232" s="325">
        <f>IF(D232=0,0,SUM($L$202:L232))</f>
        <v>59320.777102180058</v>
      </c>
      <c r="Q232" s="326">
        <f>IF(D232=0,0,SUM($J$202:J232))</f>
        <v>59645.822004712703</v>
      </c>
      <c r="R232" s="327">
        <f t="shared" si="60"/>
        <v>325.04490253264521</v>
      </c>
      <c r="S232" s="228">
        <f t="shared" si="66"/>
        <v>1.0054794444444441</v>
      </c>
      <c r="T232" s="229"/>
      <c r="U232" s="332">
        <f>IF(D232=0,0,SUM($L$21:L232))</f>
        <v>367674.73961601191</v>
      </c>
      <c r="V232" s="323">
        <f>IF(D232=0,0,SUM($J$21:J232))</f>
        <v>398005.62805872748</v>
      </c>
      <c r="W232" s="333">
        <f t="shared" si="61"/>
        <v>30330.888442715572</v>
      </c>
      <c r="X232" s="230">
        <f t="shared" si="67"/>
        <v>1.0824938054607509</v>
      </c>
      <c r="Y232" s="201">
        <f t="shared" si="69"/>
        <v>45869</v>
      </c>
      <c r="Z232" s="202">
        <f t="shared" si="69"/>
        <v>45869</v>
      </c>
      <c r="AA232" s="18"/>
      <c r="AB232" s="244"/>
      <c r="AC232" s="247"/>
      <c r="AD232" s="142"/>
      <c r="AE232" s="18"/>
      <c r="AF232" s="18"/>
      <c r="AG232" s="203"/>
      <c r="AH232" s="203"/>
      <c r="AI232" s="18"/>
      <c r="AJ232" s="18"/>
      <c r="AK232" s="18"/>
      <c r="AL232" s="18"/>
      <c r="AM232" s="18"/>
      <c r="AN232" s="18"/>
    </row>
    <row r="233" spans="1:40" ht="21" thickTop="1">
      <c r="A233" s="18"/>
      <c r="B233" s="151"/>
      <c r="C233" s="55">
        <v>213</v>
      </c>
      <c r="D233" s="62">
        <v>1</v>
      </c>
      <c r="E233" s="190">
        <f t="shared" si="62"/>
        <v>8</v>
      </c>
      <c r="F233" s="191">
        <f t="shared" si="63"/>
        <v>45870</v>
      </c>
      <c r="G233" s="192" t="str">
        <f t="shared" si="64"/>
        <v>Fri</v>
      </c>
      <c r="H233" s="193"/>
      <c r="I233" s="194"/>
      <c r="J233" s="307">
        <f>327530/B13</f>
        <v>2968.3704912089902</v>
      </c>
      <c r="K233" s="215"/>
      <c r="L233" s="317">
        <f t="shared" si="65"/>
        <v>2907.8858905630304</v>
      </c>
      <c r="M233" s="321">
        <f t="shared" si="59"/>
        <v>60.484600645959745</v>
      </c>
      <c r="N233" s="60">
        <f t="shared" si="8"/>
        <v>1.0208001974363061</v>
      </c>
      <c r="O233" s="56"/>
      <c r="P233" s="317">
        <f>IF(D233=0,0,$L$233)</f>
        <v>2907.8858905630304</v>
      </c>
      <c r="Q233" s="317">
        <f>IF(D233=0,0,$J$233)</f>
        <v>2968.3704912089902</v>
      </c>
      <c r="R233" s="321">
        <f t="shared" si="60"/>
        <v>60.484600645959745</v>
      </c>
      <c r="S233" s="231">
        <f t="shared" si="66"/>
        <v>1.0208001974363061</v>
      </c>
      <c r="T233" s="207"/>
      <c r="U233" s="317">
        <f>IF(D233=0,0,SUM($L$21:L233))</f>
        <v>370582.62550657493</v>
      </c>
      <c r="V233" s="317">
        <f>IF(D233=0,0,SUM($J$21:J233))</f>
        <v>400973.99854993646</v>
      </c>
      <c r="W233" s="331">
        <f t="shared" si="61"/>
        <v>30391.373043361527</v>
      </c>
      <c r="X233" s="232">
        <f t="shared" si="67"/>
        <v>1.0820097083661639</v>
      </c>
      <c r="Y233" s="201">
        <f t="shared" si="69"/>
        <v>45870</v>
      </c>
      <c r="Z233" s="202">
        <f t="shared" si="69"/>
        <v>45870</v>
      </c>
      <c r="AA233" s="18"/>
      <c r="AB233" s="244"/>
      <c r="AC233" s="247"/>
      <c r="AD233" s="142"/>
      <c r="AE233" s="18"/>
      <c r="AF233" s="18"/>
      <c r="AG233" s="203"/>
      <c r="AH233" s="203"/>
      <c r="AI233" s="18"/>
      <c r="AJ233" s="18"/>
      <c r="AK233" s="18"/>
      <c r="AL233" s="18"/>
      <c r="AM233" s="18"/>
      <c r="AN233" s="18"/>
    </row>
    <row r="234" spans="1:40" ht="20">
      <c r="A234" s="18"/>
      <c r="B234" s="151"/>
      <c r="C234" s="55">
        <v>214</v>
      </c>
      <c r="D234" s="54">
        <v>1</v>
      </c>
      <c r="E234" s="190">
        <f t="shared" si="62"/>
        <v>8</v>
      </c>
      <c r="F234" s="191">
        <f t="shared" si="63"/>
        <v>45871</v>
      </c>
      <c r="G234" s="192" t="str">
        <f t="shared" si="64"/>
        <v>Sat</v>
      </c>
      <c r="H234" s="193"/>
      <c r="I234" s="194"/>
      <c r="J234" s="307">
        <f>74170/B13</f>
        <v>672.19503353271705</v>
      </c>
      <c r="K234" s="215"/>
      <c r="L234" s="317">
        <f t="shared" si="65"/>
        <v>1582.8373412583728</v>
      </c>
      <c r="M234" s="318">
        <f t="shared" si="59"/>
        <v>-910.64230772565577</v>
      </c>
      <c r="N234" s="41">
        <f t="shared" si="8"/>
        <v>0.42467726532046224</v>
      </c>
      <c r="O234" s="56"/>
      <c r="P234" s="317">
        <f>IF(D234=0,0,SUM($L$233:L234))</f>
        <v>4490.7232318214028</v>
      </c>
      <c r="Q234" s="317">
        <f>IF(D234=0,0,SUM($J$233:J234))</f>
        <v>3640.5655247417071</v>
      </c>
      <c r="R234" s="321">
        <f t="shared" si="60"/>
        <v>-850.15770707969568</v>
      </c>
      <c r="S234" s="198">
        <f t="shared" si="66"/>
        <v>0.8106857930910879</v>
      </c>
      <c r="T234" s="207"/>
      <c r="U234" s="317">
        <f>IF(D234=0,0,SUM($L$21:L234))</f>
        <v>372165.46284783329</v>
      </c>
      <c r="V234" s="317">
        <f>IF(D234=0,0,SUM($J$21:J234))</f>
        <v>401646.1935834692</v>
      </c>
      <c r="W234" s="331">
        <f t="shared" si="61"/>
        <v>29480.730735635909</v>
      </c>
      <c r="X234" s="200">
        <f t="shared" si="67"/>
        <v>1.0792140423510757</v>
      </c>
      <c r="Y234" s="201">
        <f t="shared" si="69"/>
        <v>45871</v>
      </c>
      <c r="Z234" s="202">
        <f t="shared" si="69"/>
        <v>45871</v>
      </c>
      <c r="AA234" s="18"/>
      <c r="AB234" s="244"/>
      <c r="AC234" s="247"/>
      <c r="AD234" s="142"/>
      <c r="AE234" s="18"/>
      <c r="AF234" s="18"/>
      <c r="AG234" s="203"/>
      <c r="AH234" s="203"/>
      <c r="AI234" s="18"/>
      <c r="AJ234" s="18"/>
      <c r="AK234" s="18"/>
      <c r="AL234" s="18"/>
      <c r="AM234" s="18"/>
      <c r="AN234" s="18"/>
    </row>
    <row r="235" spans="1:40" ht="20">
      <c r="A235" s="18"/>
      <c r="B235" s="151"/>
      <c r="C235" s="55">
        <v>215</v>
      </c>
      <c r="D235" s="54">
        <v>0</v>
      </c>
      <c r="E235" s="190">
        <f t="shared" si="62"/>
        <v>8</v>
      </c>
      <c r="F235" s="191">
        <f t="shared" si="63"/>
        <v>45872</v>
      </c>
      <c r="G235" s="192" t="str">
        <f t="shared" si="64"/>
        <v>Sun</v>
      </c>
      <c r="H235" s="193"/>
      <c r="I235" s="194"/>
      <c r="J235" s="307"/>
      <c r="K235" s="215"/>
      <c r="L235" s="317">
        <f t="shared" si="65"/>
        <v>0</v>
      </c>
      <c r="M235" s="318">
        <f t="shared" si="59"/>
        <v>0</v>
      </c>
      <c r="N235" s="41" t="str">
        <f t="shared" si="8"/>
        <v>¥0</v>
      </c>
      <c r="O235" s="44"/>
      <c r="P235" s="317">
        <f>IF(D235=0,0,SUM($L$233:L235))</f>
        <v>0</v>
      </c>
      <c r="Q235" s="317">
        <f>IF(D235=0,0,SUM($J$233:J235))</f>
        <v>0</v>
      </c>
      <c r="R235" s="321">
        <f t="shared" si="60"/>
        <v>0</v>
      </c>
      <c r="S235" s="198">
        <f t="shared" si="66"/>
        <v>0</v>
      </c>
      <c r="T235" s="212"/>
      <c r="U235" s="317">
        <f>IF(D235=0,0,SUM($L$21:L235))</f>
        <v>0</v>
      </c>
      <c r="V235" s="317">
        <f>IF(D235=0,0,SUM($J$21:J235))</f>
        <v>0</v>
      </c>
      <c r="W235" s="331">
        <f t="shared" si="61"/>
        <v>0</v>
      </c>
      <c r="X235" s="200">
        <f t="shared" si="67"/>
        <v>0</v>
      </c>
      <c r="Y235" s="201">
        <f t="shared" si="69"/>
        <v>45872</v>
      </c>
      <c r="Z235" s="202">
        <f t="shared" si="69"/>
        <v>45872</v>
      </c>
      <c r="AA235" s="18"/>
      <c r="AB235" s="244"/>
      <c r="AC235" s="247"/>
      <c r="AD235" s="142"/>
      <c r="AE235" s="18"/>
      <c r="AF235" s="18"/>
      <c r="AG235" s="203"/>
      <c r="AH235" s="203"/>
      <c r="AI235" s="18"/>
      <c r="AJ235" s="18"/>
      <c r="AK235" s="18"/>
      <c r="AL235" s="18"/>
      <c r="AM235" s="18"/>
      <c r="AN235" s="18"/>
    </row>
    <row r="236" spans="1:40" ht="20">
      <c r="A236" s="18"/>
      <c r="B236" s="151"/>
      <c r="C236" s="55">
        <v>216</v>
      </c>
      <c r="D236" s="54">
        <v>1</v>
      </c>
      <c r="E236" s="190">
        <f t="shared" si="62"/>
        <v>8</v>
      </c>
      <c r="F236" s="191">
        <f t="shared" si="63"/>
        <v>45873</v>
      </c>
      <c r="G236" s="192" t="str">
        <f t="shared" si="64"/>
        <v>Mon</v>
      </c>
      <c r="H236" s="193"/>
      <c r="I236" s="194"/>
      <c r="J236" s="307">
        <f>325280/B13</f>
        <v>2947.9789740801161</v>
      </c>
      <c r="K236" s="215"/>
      <c r="L236" s="317">
        <f t="shared" si="65"/>
        <v>1891.5298962368172</v>
      </c>
      <c r="M236" s="318">
        <f t="shared" si="59"/>
        <v>1056.4490778432989</v>
      </c>
      <c r="N236" s="41">
        <f t="shared" si="8"/>
        <v>1.55851566498901</v>
      </c>
      <c r="O236" s="56"/>
      <c r="P236" s="317">
        <f>IF(D236=0,0,SUM($L$233:L236))</f>
        <v>6382.2531280582198</v>
      </c>
      <c r="Q236" s="317">
        <f>IF(D236=0,0,SUM($J$233:J236))</f>
        <v>6588.5444988218233</v>
      </c>
      <c r="R236" s="321">
        <f t="shared" si="60"/>
        <v>206.29137076360348</v>
      </c>
      <c r="S236" s="198">
        <f t="shared" si="66"/>
        <v>1.0323226557493759</v>
      </c>
      <c r="T236" s="207"/>
      <c r="U236" s="317">
        <f>IF(D236=0,0,SUM($L$21:L236))</f>
        <v>374056.99274407013</v>
      </c>
      <c r="V236" s="317">
        <f>IF(D236=0,0,SUM($J$21:J236))</f>
        <v>404594.17255754932</v>
      </c>
      <c r="W236" s="331">
        <f t="shared" si="61"/>
        <v>30537.17981347919</v>
      </c>
      <c r="X236" s="200">
        <f t="shared" si="67"/>
        <v>1.0816377728684055</v>
      </c>
      <c r="Y236" s="201">
        <f t="shared" si="69"/>
        <v>45873</v>
      </c>
      <c r="Z236" s="202">
        <f t="shared" si="69"/>
        <v>45873</v>
      </c>
      <c r="AA236" s="18"/>
      <c r="AB236" s="244"/>
      <c r="AC236" s="247"/>
      <c r="AD236" s="142"/>
      <c r="AE236" s="18"/>
      <c r="AF236" s="18"/>
      <c r="AG236" s="203"/>
      <c r="AH236" s="203"/>
      <c r="AI236" s="18"/>
      <c r="AJ236" s="18"/>
      <c r="AK236" s="18"/>
      <c r="AL236" s="18"/>
      <c r="AM236" s="18"/>
      <c r="AN236" s="18"/>
    </row>
    <row r="237" spans="1:40" ht="20">
      <c r="A237" s="18"/>
      <c r="B237" s="151"/>
      <c r="C237" s="55">
        <v>217</v>
      </c>
      <c r="D237" s="54">
        <v>1</v>
      </c>
      <c r="E237" s="190">
        <f t="shared" si="62"/>
        <v>8</v>
      </c>
      <c r="F237" s="191">
        <f t="shared" si="63"/>
        <v>45874</v>
      </c>
      <c r="G237" s="192" t="str">
        <f t="shared" si="64"/>
        <v>Tue</v>
      </c>
      <c r="H237" s="193"/>
      <c r="I237" s="194"/>
      <c r="J237" s="307">
        <f>200060/B13</f>
        <v>1813.1230741344934</v>
      </c>
      <c r="K237" s="215"/>
      <c r="L237" s="317">
        <f t="shared" si="65"/>
        <v>1586.2758735951427</v>
      </c>
      <c r="M237" s="318">
        <f t="shared" si="59"/>
        <v>226.84720053935075</v>
      </c>
      <c r="N237" s="41">
        <f t="shared" si="8"/>
        <v>1.143006146859703</v>
      </c>
      <c r="O237" s="56"/>
      <c r="P237" s="317">
        <f>IF(D237=0,0,SUM($L$233:L237))</f>
        <v>7968.5290016533627</v>
      </c>
      <c r="Q237" s="317">
        <f>IF(D237=0,0,SUM($J$233:J237))</f>
        <v>8401.6675729563176</v>
      </c>
      <c r="R237" s="321">
        <f t="shared" si="60"/>
        <v>433.13857130295492</v>
      </c>
      <c r="S237" s="198">
        <f t="shared" si="66"/>
        <v>1.0543561517079356</v>
      </c>
      <c r="T237" s="207"/>
      <c r="U237" s="317">
        <f>IF(D237=0,0,SUM($L$21:L237))</f>
        <v>375643.26861766528</v>
      </c>
      <c r="V237" s="317">
        <f>IF(D237=0,0,SUM($J$21:J237))</f>
        <v>406407.29563168384</v>
      </c>
      <c r="W237" s="331">
        <f t="shared" si="61"/>
        <v>30764.02701401856</v>
      </c>
      <c r="X237" s="200">
        <f t="shared" si="67"/>
        <v>1.0818969207866482</v>
      </c>
      <c r="Y237" s="201">
        <f t="shared" si="69"/>
        <v>45874</v>
      </c>
      <c r="Z237" s="202">
        <f t="shared" si="69"/>
        <v>45874</v>
      </c>
      <c r="AA237" s="18"/>
      <c r="AB237" s="244"/>
      <c r="AC237" s="247"/>
      <c r="AD237" s="142"/>
      <c r="AE237" s="18"/>
      <c r="AF237" s="18"/>
      <c r="AG237" s="203"/>
      <c r="AH237" s="203"/>
      <c r="AI237" s="18"/>
      <c r="AJ237" s="18"/>
      <c r="AK237" s="18"/>
      <c r="AL237" s="18"/>
      <c r="AM237" s="18"/>
      <c r="AN237" s="18"/>
    </row>
    <row r="238" spans="1:40" ht="20">
      <c r="A238" s="18"/>
      <c r="B238" s="151"/>
      <c r="C238" s="55">
        <v>218</v>
      </c>
      <c r="D238" s="54">
        <v>1</v>
      </c>
      <c r="E238" s="190">
        <f t="shared" si="62"/>
        <v>8</v>
      </c>
      <c r="F238" s="191">
        <f t="shared" si="63"/>
        <v>45875</v>
      </c>
      <c r="G238" s="192" t="str">
        <f t="shared" si="64"/>
        <v>Wed</v>
      </c>
      <c r="H238" s="193"/>
      <c r="I238" s="194"/>
      <c r="J238" s="307">
        <f>294840/B13</f>
        <v>2672.1044045676999</v>
      </c>
      <c r="K238" s="215"/>
      <c r="L238" s="317">
        <f t="shared" si="65"/>
        <v>2973.585455966273</v>
      </c>
      <c r="M238" s="318">
        <f t="shared" si="59"/>
        <v>-301.48105139857307</v>
      </c>
      <c r="N238" s="41">
        <f t="shared" si="8"/>
        <v>0.89861362457444283</v>
      </c>
      <c r="O238" s="56"/>
      <c r="P238" s="317">
        <f>IF(D238=0,0,SUM($L$233:L238))</f>
        <v>10942.114457619635</v>
      </c>
      <c r="Q238" s="317">
        <f>IF(D238=0,0,SUM($J$233:J238))</f>
        <v>11073.771977524018</v>
      </c>
      <c r="R238" s="321">
        <f t="shared" si="60"/>
        <v>131.65751990438366</v>
      </c>
      <c r="S238" s="198">
        <f t="shared" si="66"/>
        <v>1.0120321826658194</v>
      </c>
      <c r="T238" s="207"/>
      <c r="U238" s="317">
        <f>IF(D238=0,0,SUM($L$21:L238))</f>
        <v>378616.85407363158</v>
      </c>
      <c r="V238" s="317">
        <f>IF(D238=0,0,SUM($J$21:J238))</f>
        <v>409079.40003625152</v>
      </c>
      <c r="W238" s="331">
        <f t="shared" si="61"/>
        <v>30462.545962619944</v>
      </c>
      <c r="X238" s="200">
        <f t="shared" si="67"/>
        <v>1.0804574483012732</v>
      </c>
      <c r="Y238" s="201">
        <f t="shared" si="69"/>
        <v>45875</v>
      </c>
      <c r="Z238" s="202">
        <f t="shared" si="69"/>
        <v>45875</v>
      </c>
      <c r="AA238" s="18"/>
      <c r="AB238" s="244"/>
      <c r="AC238" s="247"/>
      <c r="AD238" s="142"/>
      <c r="AE238" s="18"/>
      <c r="AF238" s="18"/>
      <c r="AG238" s="203"/>
      <c r="AH238" s="203"/>
      <c r="AI238" s="18"/>
      <c r="AJ238" s="18"/>
      <c r="AK238" s="18"/>
      <c r="AL238" s="18"/>
      <c r="AM238" s="18"/>
      <c r="AN238" s="18"/>
    </row>
    <row r="239" spans="1:40" ht="20">
      <c r="A239" s="18"/>
      <c r="B239" s="151"/>
      <c r="C239" s="55">
        <v>219</v>
      </c>
      <c r="D239" s="54">
        <v>1</v>
      </c>
      <c r="E239" s="190">
        <f t="shared" si="62"/>
        <v>8</v>
      </c>
      <c r="F239" s="191">
        <f t="shared" si="63"/>
        <v>45876</v>
      </c>
      <c r="G239" s="192" t="str">
        <f t="shared" si="64"/>
        <v>Thu</v>
      </c>
      <c r="H239" s="193"/>
      <c r="I239" s="194"/>
      <c r="J239" s="307">
        <f>234020/B13</f>
        <v>2120.8990393329709</v>
      </c>
      <c r="K239" s="215"/>
      <c r="L239" s="317">
        <f t="shared" si="65"/>
        <v>2771.4334656655478</v>
      </c>
      <c r="M239" s="318">
        <f t="shared" si="59"/>
        <v>-650.53442633257691</v>
      </c>
      <c r="N239" s="41">
        <f t="shared" si="8"/>
        <v>0.76527149780362713</v>
      </c>
      <c r="O239" s="56"/>
      <c r="P239" s="317">
        <f>IF(D239=0,0,SUM($L$233:L239))</f>
        <v>13713.547923285183</v>
      </c>
      <c r="Q239" s="317">
        <f>IF(D239=0,0,SUM($J$233:J239))</f>
        <v>13194.67101685699</v>
      </c>
      <c r="R239" s="321">
        <f t="shared" si="60"/>
        <v>-518.87690642819325</v>
      </c>
      <c r="S239" s="198">
        <f t="shared" si="66"/>
        <v>0.96216319005622486</v>
      </c>
      <c r="T239" s="207"/>
      <c r="U239" s="317">
        <f>IF(D239=0,0,SUM($L$21:L239))</f>
        <v>381388.28753929713</v>
      </c>
      <c r="V239" s="317">
        <f>IF(D239=0,0,SUM($J$21:J239))</f>
        <v>411200.29907558451</v>
      </c>
      <c r="W239" s="331">
        <f t="shared" si="61"/>
        <v>29812.011536287377</v>
      </c>
      <c r="X239" s="200">
        <f t="shared" si="67"/>
        <v>1.0781670872187328</v>
      </c>
      <c r="Y239" s="201">
        <f t="shared" si="69"/>
        <v>45876</v>
      </c>
      <c r="Z239" s="202">
        <f t="shared" si="69"/>
        <v>45876</v>
      </c>
      <c r="AA239" s="18"/>
      <c r="AB239" s="244"/>
      <c r="AC239" s="247"/>
      <c r="AD239" s="142"/>
      <c r="AE239" s="18"/>
      <c r="AF239" s="18"/>
      <c r="AG239" s="203"/>
      <c r="AH239" s="203"/>
      <c r="AI239" s="18"/>
      <c r="AJ239" s="18"/>
      <c r="AK239" s="18"/>
      <c r="AL239" s="18"/>
      <c r="AM239" s="18"/>
      <c r="AN239" s="18"/>
    </row>
    <row r="240" spans="1:40" ht="20">
      <c r="A240" s="18"/>
      <c r="B240" s="151"/>
      <c r="C240" s="55">
        <v>220</v>
      </c>
      <c r="D240" s="54">
        <v>1</v>
      </c>
      <c r="E240" s="190">
        <f t="shared" si="62"/>
        <v>8</v>
      </c>
      <c r="F240" s="191">
        <f t="shared" si="63"/>
        <v>45877</v>
      </c>
      <c r="G240" s="192" t="str">
        <f t="shared" si="64"/>
        <v>Fri</v>
      </c>
      <c r="H240" s="193"/>
      <c r="I240" s="194"/>
      <c r="J240" s="307">
        <f>303240/B13</f>
        <v>2748.2327351821641</v>
      </c>
      <c r="K240" s="215"/>
      <c r="L240" s="317">
        <f t="shared" si="65"/>
        <v>2907.8858905630304</v>
      </c>
      <c r="M240" s="318">
        <f t="shared" si="59"/>
        <v>-159.65315538086634</v>
      </c>
      <c r="N240" s="41">
        <f t="shared" si="8"/>
        <v>0.94509648542297031</v>
      </c>
      <c r="O240" s="56"/>
      <c r="P240" s="317">
        <f>IF(D240=0,0,SUM($L$233:L240))</f>
        <v>16621.433813848213</v>
      </c>
      <c r="Q240" s="317">
        <f>IF(D240=0,0,SUM($J$233:J240))</f>
        <v>15942.903752039154</v>
      </c>
      <c r="R240" s="321">
        <f t="shared" si="60"/>
        <v>-678.53006180905868</v>
      </c>
      <c r="S240" s="198">
        <f t="shared" si="66"/>
        <v>0.95917740494543025</v>
      </c>
      <c r="T240" s="207"/>
      <c r="U240" s="317">
        <f>IF(D240=0,0,SUM($L$21:L240))</f>
        <v>384296.17342986015</v>
      </c>
      <c r="V240" s="317">
        <f>IF(D240=0,0,SUM($J$21:J240))</f>
        <v>413948.53181076667</v>
      </c>
      <c r="W240" s="331">
        <f t="shared" si="61"/>
        <v>29652.358380906517</v>
      </c>
      <c r="X240" s="200">
        <f t="shared" si="67"/>
        <v>1.0771601708033103</v>
      </c>
      <c r="Y240" s="201">
        <f t="shared" si="69"/>
        <v>45877</v>
      </c>
      <c r="Z240" s="202">
        <f t="shared" si="69"/>
        <v>45877</v>
      </c>
      <c r="AA240" s="18"/>
      <c r="AB240" s="244"/>
      <c r="AC240" s="247"/>
      <c r="AD240" s="142"/>
      <c r="AE240" s="18"/>
      <c r="AF240" s="18"/>
      <c r="AG240" s="203"/>
      <c r="AH240" s="203"/>
      <c r="AI240" s="18"/>
      <c r="AJ240" s="18"/>
      <c r="AK240" s="18"/>
      <c r="AL240" s="18"/>
      <c r="AM240" s="18"/>
      <c r="AN240" s="18"/>
    </row>
    <row r="241" spans="1:40" ht="20">
      <c r="A241" s="18"/>
      <c r="B241" s="151"/>
      <c r="C241" s="55">
        <v>221</v>
      </c>
      <c r="D241" s="54">
        <v>1</v>
      </c>
      <c r="E241" s="190">
        <f t="shared" si="62"/>
        <v>8</v>
      </c>
      <c r="F241" s="191">
        <f t="shared" si="63"/>
        <v>45878</v>
      </c>
      <c r="G241" s="192" t="str">
        <f t="shared" si="64"/>
        <v>Sat</v>
      </c>
      <c r="H241" s="193"/>
      <c r="I241" s="194"/>
      <c r="J241" s="307">
        <f>68970/B13</f>
        <v>625.06797172376287</v>
      </c>
      <c r="K241" s="215"/>
      <c r="L241" s="317">
        <f t="shared" si="65"/>
        <v>1582.8373412583728</v>
      </c>
      <c r="M241" s="318">
        <f t="shared" si="59"/>
        <v>-957.76936953460995</v>
      </c>
      <c r="N241" s="41">
        <f t="shared" si="8"/>
        <v>0.39490347834909367</v>
      </c>
      <c r="O241" s="56"/>
      <c r="P241" s="317">
        <f>IF(D241=0,0,SUM($L$233:L241))</f>
        <v>18204.271155106584</v>
      </c>
      <c r="Q241" s="317">
        <f>IF(D241=0,0,SUM($J$233:J241))</f>
        <v>16567.971723762916</v>
      </c>
      <c r="R241" s="321">
        <f t="shared" si="60"/>
        <v>-1636.2994313436684</v>
      </c>
      <c r="S241" s="198">
        <f t="shared" si="66"/>
        <v>0.91011453205668935</v>
      </c>
      <c r="T241" s="207"/>
      <c r="U241" s="317">
        <f>IF(D241=0,0,SUM($L$21:L241))</f>
        <v>385879.01077111851</v>
      </c>
      <c r="V241" s="317">
        <f>IF(D241=0,0,SUM($J$21:J241))</f>
        <v>414573.5997824904</v>
      </c>
      <c r="W241" s="331">
        <f t="shared" si="61"/>
        <v>28694.589011371892</v>
      </c>
      <c r="X241" s="200">
        <f t="shared" si="67"/>
        <v>1.0743616216752248</v>
      </c>
      <c r="Y241" s="201">
        <f t="shared" si="69"/>
        <v>45878</v>
      </c>
      <c r="Z241" s="202">
        <f t="shared" si="69"/>
        <v>45878</v>
      </c>
      <c r="AA241" s="18"/>
      <c r="AB241" s="244"/>
      <c r="AC241" s="247"/>
      <c r="AD241" s="142"/>
      <c r="AE241" s="18"/>
      <c r="AF241" s="18"/>
      <c r="AG241" s="203"/>
      <c r="AH241" s="203"/>
      <c r="AI241" s="18"/>
      <c r="AJ241" s="18"/>
      <c r="AK241" s="18"/>
      <c r="AL241" s="18"/>
      <c r="AM241" s="18"/>
      <c r="AN241" s="18"/>
    </row>
    <row r="242" spans="1:40" ht="20">
      <c r="A242" s="18"/>
      <c r="B242" s="151"/>
      <c r="C242" s="55">
        <v>222</v>
      </c>
      <c r="D242" s="54">
        <v>0</v>
      </c>
      <c r="E242" s="190">
        <f t="shared" si="62"/>
        <v>8</v>
      </c>
      <c r="F242" s="191">
        <f t="shared" si="63"/>
        <v>45879</v>
      </c>
      <c r="G242" s="192" t="str">
        <f t="shared" si="64"/>
        <v>Sun</v>
      </c>
      <c r="H242" s="193"/>
      <c r="I242" s="194"/>
      <c r="J242" s="307"/>
      <c r="K242" s="215"/>
      <c r="L242" s="317">
        <f t="shared" si="65"/>
        <v>0</v>
      </c>
      <c r="M242" s="318">
        <f t="shared" si="59"/>
        <v>0</v>
      </c>
      <c r="N242" s="41" t="str">
        <f t="shared" si="8"/>
        <v>¥0</v>
      </c>
      <c r="O242" s="44"/>
      <c r="P242" s="317">
        <f>IF(D242=0,0,SUM($L$233:L242))</f>
        <v>0</v>
      </c>
      <c r="Q242" s="317">
        <f>IF(D242=0,0,SUM($J$233:J242))</f>
        <v>0</v>
      </c>
      <c r="R242" s="321">
        <f t="shared" si="60"/>
        <v>0</v>
      </c>
      <c r="S242" s="198">
        <f t="shared" si="66"/>
        <v>0</v>
      </c>
      <c r="T242" s="212"/>
      <c r="U242" s="317">
        <f>IF(D242=0,0,SUM($L$21:L242))</f>
        <v>0</v>
      </c>
      <c r="V242" s="317">
        <f>IF(D242=0,0,SUM($J$21:J242))</f>
        <v>0</v>
      </c>
      <c r="W242" s="331">
        <f t="shared" si="61"/>
        <v>0</v>
      </c>
      <c r="X242" s="200">
        <f t="shared" si="67"/>
        <v>0</v>
      </c>
      <c r="Y242" s="201">
        <f t="shared" si="69"/>
        <v>45879</v>
      </c>
      <c r="Z242" s="202">
        <f t="shared" si="69"/>
        <v>45879</v>
      </c>
      <c r="AA242" s="18"/>
      <c r="AB242" s="244"/>
      <c r="AC242" s="247"/>
      <c r="AD242" s="142"/>
      <c r="AE242" s="18"/>
      <c r="AF242" s="18"/>
      <c r="AG242" s="203"/>
      <c r="AH242" s="203"/>
      <c r="AI242" s="18"/>
      <c r="AJ242" s="18"/>
      <c r="AK242" s="18"/>
      <c r="AL242" s="18"/>
      <c r="AM242" s="18"/>
      <c r="AN242" s="18"/>
    </row>
    <row r="243" spans="1:40" ht="20">
      <c r="A243" s="18"/>
      <c r="B243" s="151"/>
      <c r="C243" s="55">
        <v>223</v>
      </c>
      <c r="D243" s="54">
        <v>0</v>
      </c>
      <c r="E243" s="190">
        <f t="shared" si="62"/>
        <v>8</v>
      </c>
      <c r="F243" s="191">
        <f t="shared" si="63"/>
        <v>45880</v>
      </c>
      <c r="G243" s="192" t="str">
        <f t="shared" si="64"/>
        <v>Mon</v>
      </c>
      <c r="H243" s="193" t="s">
        <v>177</v>
      </c>
      <c r="I243" s="194"/>
      <c r="J243" s="307"/>
      <c r="K243" s="215"/>
      <c r="L243" s="317">
        <f t="shared" si="65"/>
        <v>0</v>
      </c>
      <c r="M243" s="318">
        <f t="shared" si="59"/>
        <v>0</v>
      </c>
      <c r="N243" s="41" t="str">
        <f t="shared" si="8"/>
        <v>¥0</v>
      </c>
      <c r="O243" s="44"/>
      <c r="P243" s="317">
        <f>IF(D243=0,0,SUM($L$233:L243))</f>
        <v>0</v>
      </c>
      <c r="Q243" s="317">
        <f>IF(D243=0,0,SUM($J$233:J243))</f>
        <v>0</v>
      </c>
      <c r="R243" s="321">
        <f t="shared" si="60"/>
        <v>0</v>
      </c>
      <c r="S243" s="198">
        <f t="shared" si="66"/>
        <v>0</v>
      </c>
      <c r="T243" s="212"/>
      <c r="U243" s="317">
        <f>IF(D243=0,0,SUM($L$21:L243))</f>
        <v>0</v>
      </c>
      <c r="V243" s="317">
        <f>IF(D243=0,0,SUM($J$21:J243))</f>
        <v>0</v>
      </c>
      <c r="W243" s="331">
        <f t="shared" si="61"/>
        <v>0</v>
      </c>
      <c r="X243" s="200">
        <f t="shared" si="67"/>
        <v>0</v>
      </c>
      <c r="Y243" s="201">
        <f t="shared" si="69"/>
        <v>45880</v>
      </c>
      <c r="Z243" s="202">
        <f t="shared" si="69"/>
        <v>45880</v>
      </c>
      <c r="AA243" s="18"/>
      <c r="AB243" s="244"/>
      <c r="AC243" s="247"/>
      <c r="AD243" s="142"/>
      <c r="AE243" s="18"/>
      <c r="AF243" s="18"/>
      <c r="AG243" s="203"/>
      <c r="AH243" s="203"/>
      <c r="AI243" s="18"/>
      <c r="AJ243" s="18"/>
      <c r="AK243" s="18"/>
      <c r="AL243" s="18"/>
      <c r="AM243" s="18"/>
      <c r="AN243" s="18"/>
    </row>
    <row r="244" spans="1:40" ht="20">
      <c r="A244" s="18"/>
      <c r="B244" s="151"/>
      <c r="C244" s="55">
        <v>224</v>
      </c>
      <c r="D244" s="54">
        <v>0</v>
      </c>
      <c r="E244" s="190">
        <f t="shared" si="62"/>
        <v>8</v>
      </c>
      <c r="F244" s="191">
        <f t="shared" si="63"/>
        <v>45881</v>
      </c>
      <c r="G244" s="192" t="str">
        <f t="shared" si="64"/>
        <v>Tue</v>
      </c>
      <c r="H244" s="193"/>
      <c r="I244" s="194"/>
      <c r="J244" s="307"/>
      <c r="K244" s="215"/>
      <c r="L244" s="317">
        <f t="shared" si="65"/>
        <v>0</v>
      </c>
      <c r="M244" s="318">
        <f t="shared" si="59"/>
        <v>0</v>
      </c>
      <c r="N244" s="41" t="str">
        <f t="shared" si="8"/>
        <v>¥0</v>
      </c>
      <c r="O244" s="44"/>
      <c r="P244" s="317">
        <f>IF(D244=0,0,SUM($L$233:L244))</f>
        <v>0</v>
      </c>
      <c r="Q244" s="317">
        <f>IF(D244=0,0,SUM($J$233:J244))</f>
        <v>0</v>
      </c>
      <c r="R244" s="321">
        <f t="shared" si="60"/>
        <v>0</v>
      </c>
      <c r="S244" s="198">
        <f t="shared" si="66"/>
        <v>0</v>
      </c>
      <c r="T244" s="212"/>
      <c r="U244" s="317">
        <f>IF(D244=0,0,SUM($L$21:L244))</f>
        <v>0</v>
      </c>
      <c r="V244" s="317">
        <f>IF(D244=0,0,SUM($J$21:J244))</f>
        <v>0</v>
      </c>
      <c r="W244" s="331">
        <f t="shared" si="61"/>
        <v>0</v>
      </c>
      <c r="X244" s="200">
        <f t="shared" si="67"/>
        <v>0</v>
      </c>
      <c r="Y244" s="201">
        <f t="shared" si="69"/>
        <v>45881</v>
      </c>
      <c r="Z244" s="202">
        <f t="shared" si="69"/>
        <v>45881</v>
      </c>
      <c r="AA244" s="18"/>
      <c r="AB244" s="244"/>
      <c r="AC244" s="247"/>
      <c r="AD244" s="142"/>
      <c r="AE244" s="18"/>
      <c r="AF244" s="18"/>
      <c r="AG244" s="203"/>
      <c r="AH244" s="203"/>
      <c r="AI244" s="18"/>
      <c r="AJ244" s="18"/>
      <c r="AK244" s="18"/>
      <c r="AL244" s="18"/>
      <c r="AM244" s="18"/>
      <c r="AN244" s="18"/>
    </row>
    <row r="245" spans="1:40" ht="20">
      <c r="A245" s="18"/>
      <c r="B245" s="151"/>
      <c r="C245" s="55">
        <v>225</v>
      </c>
      <c r="D245" s="54">
        <v>0</v>
      </c>
      <c r="E245" s="190">
        <f t="shared" si="62"/>
        <v>8</v>
      </c>
      <c r="F245" s="191">
        <f t="shared" si="63"/>
        <v>45882</v>
      </c>
      <c r="G245" s="192" t="str">
        <f t="shared" si="64"/>
        <v>Wed</v>
      </c>
      <c r="H245" s="193"/>
      <c r="I245" s="194"/>
      <c r="J245" s="307"/>
      <c r="K245" s="215"/>
      <c r="L245" s="317">
        <f t="shared" si="65"/>
        <v>0</v>
      </c>
      <c r="M245" s="318">
        <f t="shared" si="59"/>
        <v>0</v>
      </c>
      <c r="N245" s="41" t="str">
        <f t="shared" si="8"/>
        <v>¥0</v>
      </c>
      <c r="O245" s="44"/>
      <c r="P245" s="317">
        <f>IF(D245=0,0,SUM($L$233:L245))</f>
        <v>0</v>
      </c>
      <c r="Q245" s="317">
        <f>IF(D245=0,0,SUM($J$233:J245))</f>
        <v>0</v>
      </c>
      <c r="R245" s="321">
        <f t="shared" si="60"/>
        <v>0</v>
      </c>
      <c r="S245" s="198">
        <f t="shared" si="66"/>
        <v>0</v>
      </c>
      <c r="T245" s="212"/>
      <c r="U245" s="317">
        <f>IF(D245=0,0,SUM($L$21:L245))</f>
        <v>0</v>
      </c>
      <c r="V245" s="317">
        <f>IF(D245=0,0,SUM($J$21:J245))</f>
        <v>0</v>
      </c>
      <c r="W245" s="331">
        <f t="shared" si="61"/>
        <v>0</v>
      </c>
      <c r="X245" s="200">
        <f t="shared" si="67"/>
        <v>0</v>
      </c>
      <c r="Y245" s="201">
        <f t="shared" si="69"/>
        <v>45882</v>
      </c>
      <c r="Z245" s="202">
        <f t="shared" si="69"/>
        <v>45882</v>
      </c>
      <c r="AA245" s="18"/>
      <c r="AB245" s="244"/>
      <c r="AC245" s="247"/>
      <c r="AD245" s="142"/>
      <c r="AE245" s="18"/>
      <c r="AF245" s="18"/>
      <c r="AG245" s="203"/>
      <c r="AH245" s="203"/>
      <c r="AI245" s="18"/>
      <c r="AJ245" s="18"/>
      <c r="AK245" s="18"/>
      <c r="AL245" s="18"/>
      <c r="AM245" s="18"/>
      <c r="AN245" s="18"/>
    </row>
    <row r="246" spans="1:40" ht="20">
      <c r="A246" s="18"/>
      <c r="B246" s="151"/>
      <c r="C246" s="55">
        <v>226</v>
      </c>
      <c r="D246" s="54">
        <v>0</v>
      </c>
      <c r="E246" s="190">
        <f t="shared" si="62"/>
        <v>8</v>
      </c>
      <c r="F246" s="191">
        <f t="shared" si="63"/>
        <v>45883</v>
      </c>
      <c r="G246" s="192" t="str">
        <f t="shared" si="64"/>
        <v>Thu</v>
      </c>
      <c r="H246" s="193"/>
      <c r="I246" s="194"/>
      <c r="J246" s="307"/>
      <c r="K246" s="215"/>
      <c r="L246" s="317">
        <f t="shared" si="65"/>
        <v>0</v>
      </c>
      <c r="M246" s="318">
        <f t="shared" si="59"/>
        <v>0</v>
      </c>
      <c r="N246" s="41" t="str">
        <f t="shared" si="8"/>
        <v>¥0</v>
      </c>
      <c r="O246" s="44"/>
      <c r="P246" s="317">
        <f>IF(D246=0,0,SUM($L$233:L246))</f>
        <v>0</v>
      </c>
      <c r="Q246" s="317">
        <f>IF(D246=0,0,SUM($J$233:J246))</f>
        <v>0</v>
      </c>
      <c r="R246" s="321">
        <f t="shared" si="60"/>
        <v>0</v>
      </c>
      <c r="S246" s="198">
        <f t="shared" si="66"/>
        <v>0</v>
      </c>
      <c r="T246" s="212"/>
      <c r="U246" s="317">
        <f>IF(D246=0,0,SUM($L$21:L246))</f>
        <v>0</v>
      </c>
      <c r="V246" s="317">
        <f>IF(D246=0,0,SUM($J$21:J246))</f>
        <v>0</v>
      </c>
      <c r="W246" s="331">
        <f t="shared" si="61"/>
        <v>0</v>
      </c>
      <c r="X246" s="200">
        <f t="shared" si="67"/>
        <v>0</v>
      </c>
      <c r="Y246" s="201">
        <f t="shared" si="69"/>
        <v>45883</v>
      </c>
      <c r="Z246" s="202">
        <f t="shared" si="69"/>
        <v>45883</v>
      </c>
      <c r="AA246" s="18"/>
      <c r="AB246" s="244"/>
      <c r="AC246" s="247"/>
      <c r="AD246" s="142"/>
      <c r="AE246" s="18"/>
      <c r="AF246" s="18"/>
      <c r="AG246" s="203"/>
      <c r="AH246" s="203"/>
      <c r="AI246" s="18"/>
      <c r="AJ246" s="18"/>
      <c r="AK246" s="18"/>
      <c r="AL246" s="18"/>
      <c r="AM246" s="18"/>
      <c r="AN246" s="18"/>
    </row>
    <row r="247" spans="1:40" ht="20">
      <c r="A247" s="18"/>
      <c r="B247" s="151"/>
      <c r="C247" s="55">
        <v>227</v>
      </c>
      <c r="D247" s="54">
        <v>0</v>
      </c>
      <c r="E247" s="190">
        <f t="shared" si="62"/>
        <v>8</v>
      </c>
      <c r="F247" s="191">
        <f t="shared" si="63"/>
        <v>45884</v>
      </c>
      <c r="G247" s="192" t="str">
        <f t="shared" si="64"/>
        <v>Fri</v>
      </c>
      <c r="H247" s="193"/>
      <c r="I247" s="194"/>
      <c r="J247" s="307"/>
      <c r="K247" s="215"/>
      <c r="L247" s="317">
        <f t="shared" si="65"/>
        <v>0</v>
      </c>
      <c r="M247" s="318">
        <f t="shared" si="59"/>
        <v>0</v>
      </c>
      <c r="N247" s="41" t="str">
        <f t="shared" si="8"/>
        <v>¥0</v>
      </c>
      <c r="O247" s="44"/>
      <c r="P247" s="317">
        <f>IF(D247=0,0,SUM($L$233:L247))</f>
        <v>0</v>
      </c>
      <c r="Q247" s="317">
        <f>IF(D247=0,0,SUM($J$233:J247))</f>
        <v>0</v>
      </c>
      <c r="R247" s="321">
        <f t="shared" si="60"/>
        <v>0</v>
      </c>
      <c r="S247" s="198">
        <f t="shared" si="66"/>
        <v>0</v>
      </c>
      <c r="T247" s="212"/>
      <c r="U247" s="317">
        <f>IF(D247=0,0,SUM($L$21:L247))</f>
        <v>0</v>
      </c>
      <c r="V247" s="317">
        <f>IF(D247=0,0,SUM($J$21:J247))</f>
        <v>0</v>
      </c>
      <c r="W247" s="331">
        <f t="shared" si="61"/>
        <v>0</v>
      </c>
      <c r="X247" s="200">
        <f t="shared" si="67"/>
        <v>0</v>
      </c>
      <c r="Y247" s="201">
        <f t="shared" ref="Y247:Z262" si="70">Y246+1</f>
        <v>45884</v>
      </c>
      <c r="Z247" s="202">
        <f t="shared" si="70"/>
        <v>45884</v>
      </c>
      <c r="AA247" s="18"/>
      <c r="AB247" s="244"/>
      <c r="AC247" s="247"/>
      <c r="AD247" s="142"/>
      <c r="AE247" s="18"/>
      <c r="AF247" s="18"/>
      <c r="AG247" s="203"/>
      <c r="AH247" s="203"/>
      <c r="AI247" s="18"/>
      <c r="AJ247" s="18"/>
      <c r="AK247" s="18"/>
      <c r="AL247" s="18"/>
      <c r="AM247" s="18"/>
      <c r="AN247" s="18"/>
    </row>
    <row r="248" spans="1:40" ht="20">
      <c r="A248" s="18"/>
      <c r="B248" s="151"/>
      <c r="C248" s="55">
        <v>228</v>
      </c>
      <c r="D248" s="54">
        <v>0</v>
      </c>
      <c r="E248" s="190">
        <f t="shared" si="62"/>
        <v>8</v>
      </c>
      <c r="F248" s="191">
        <f t="shared" si="63"/>
        <v>45885</v>
      </c>
      <c r="G248" s="192" t="str">
        <f t="shared" si="64"/>
        <v>Sat</v>
      </c>
      <c r="H248" s="193"/>
      <c r="I248" s="194"/>
      <c r="J248" s="307"/>
      <c r="K248" s="215"/>
      <c r="L248" s="317">
        <f t="shared" si="65"/>
        <v>0</v>
      </c>
      <c r="M248" s="318">
        <f t="shared" si="59"/>
        <v>0</v>
      </c>
      <c r="N248" s="41" t="str">
        <f t="shared" si="8"/>
        <v>¥0</v>
      </c>
      <c r="O248" s="44"/>
      <c r="P248" s="317">
        <f>IF(D248=0,0,SUM($L$233:L248))</f>
        <v>0</v>
      </c>
      <c r="Q248" s="317">
        <f>IF(D248=0,0,SUM($J$233:J248))</f>
        <v>0</v>
      </c>
      <c r="R248" s="321">
        <f t="shared" si="60"/>
        <v>0</v>
      </c>
      <c r="S248" s="198">
        <f t="shared" si="66"/>
        <v>0</v>
      </c>
      <c r="T248" s="212"/>
      <c r="U248" s="317">
        <f>IF(D248=0,0,SUM($L$21:L248))</f>
        <v>0</v>
      </c>
      <c r="V248" s="317">
        <f>IF(D248=0,0,SUM($J$21:J248))</f>
        <v>0</v>
      </c>
      <c r="W248" s="331">
        <f t="shared" si="61"/>
        <v>0</v>
      </c>
      <c r="X248" s="200">
        <f t="shared" si="67"/>
        <v>0</v>
      </c>
      <c r="Y248" s="201">
        <f t="shared" si="70"/>
        <v>45885</v>
      </c>
      <c r="Z248" s="202">
        <f t="shared" si="70"/>
        <v>45885</v>
      </c>
      <c r="AA248" s="18"/>
      <c r="AB248" s="244"/>
      <c r="AC248" s="247"/>
      <c r="AD248" s="142"/>
      <c r="AE248" s="18"/>
      <c r="AF248" s="18"/>
      <c r="AG248" s="203"/>
      <c r="AH248" s="203"/>
      <c r="AI248" s="18"/>
      <c r="AJ248" s="18"/>
      <c r="AK248" s="18"/>
      <c r="AL248" s="18"/>
      <c r="AM248" s="18"/>
      <c r="AN248" s="18"/>
    </row>
    <row r="249" spans="1:40" ht="20">
      <c r="A249" s="18"/>
      <c r="B249" s="151"/>
      <c r="C249" s="55">
        <v>229</v>
      </c>
      <c r="D249" s="54">
        <v>0</v>
      </c>
      <c r="E249" s="190">
        <f t="shared" si="62"/>
        <v>8</v>
      </c>
      <c r="F249" s="191">
        <f t="shared" si="63"/>
        <v>45886</v>
      </c>
      <c r="G249" s="192" t="str">
        <f t="shared" si="64"/>
        <v>Sun</v>
      </c>
      <c r="H249" s="193"/>
      <c r="I249" s="194"/>
      <c r="J249" s="307"/>
      <c r="K249" s="215"/>
      <c r="L249" s="317">
        <f t="shared" si="65"/>
        <v>0</v>
      </c>
      <c r="M249" s="318">
        <f t="shared" si="59"/>
        <v>0</v>
      </c>
      <c r="N249" s="41" t="str">
        <f t="shared" si="8"/>
        <v>¥0</v>
      </c>
      <c r="O249" s="44"/>
      <c r="P249" s="317">
        <f>IF(D249=0,0,SUM($L$233:L249))</f>
        <v>0</v>
      </c>
      <c r="Q249" s="317">
        <f>IF(D249=0,0,SUM($J$233:J249))</f>
        <v>0</v>
      </c>
      <c r="R249" s="321">
        <f t="shared" si="60"/>
        <v>0</v>
      </c>
      <c r="S249" s="198">
        <f t="shared" si="66"/>
        <v>0</v>
      </c>
      <c r="T249" s="212"/>
      <c r="U249" s="317">
        <f>IF(D249=0,0,SUM($L$21:L249))</f>
        <v>0</v>
      </c>
      <c r="V249" s="317">
        <f>IF(D249=0,0,SUM($J$21:J249))</f>
        <v>0</v>
      </c>
      <c r="W249" s="331">
        <f t="shared" si="61"/>
        <v>0</v>
      </c>
      <c r="X249" s="200">
        <f t="shared" si="67"/>
        <v>0</v>
      </c>
      <c r="Y249" s="201">
        <f t="shared" si="70"/>
        <v>45886</v>
      </c>
      <c r="Z249" s="202">
        <f t="shared" si="70"/>
        <v>45886</v>
      </c>
      <c r="AA249" s="18"/>
      <c r="AB249" s="244"/>
      <c r="AC249" s="247"/>
      <c r="AD249" s="142"/>
      <c r="AE249" s="18"/>
      <c r="AF249" s="18"/>
      <c r="AG249" s="203"/>
      <c r="AH249" s="203"/>
      <c r="AI249" s="18"/>
      <c r="AJ249" s="18"/>
      <c r="AK249" s="18"/>
      <c r="AL249" s="18"/>
      <c r="AM249" s="18"/>
      <c r="AN249" s="18"/>
    </row>
    <row r="250" spans="1:40" ht="20">
      <c r="A250" s="18"/>
      <c r="B250" s="151"/>
      <c r="C250" s="55">
        <v>230</v>
      </c>
      <c r="D250" s="54">
        <v>1</v>
      </c>
      <c r="E250" s="190">
        <f t="shared" si="62"/>
        <v>8</v>
      </c>
      <c r="F250" s="191">
        <f t="shared" si="63"/>
        <v>45887</v>
      </c>
      <c r="G250" s="192" t="str">
        <f t="shared" si="64"/>
        <v>Mon</v>
      </c>
      <c r="H250" s="193"/>
      <c r="I250" s="194"/>
      <c r="J250" s="307">
        <f>283000/B13</f>
        <v>2564.7997099873119</v>
      </c>
      <c r="K250" s="215"/>
      <c r="L250" s="317">
        <f t="shared" si="65"/>
        <v>1891.5298962368172</v>
      </c>
      <c r="M250" s="318">
        <f t="shared" si="59"/>
        <v>673.26981375049468</v>
      </c>
      <c r="N250" s="41">
        <f t="shared" si="8"/>
        <v>1.3559392928919385</v>
      </c>
      <c r="O250" s="56"/>
      <c r="P250" s="317">
        <f>IF(D250=0,0,SUM($L$233:L250))</f>
        <v>20095.801051343402</v>
      </c>
      <c r="Q250" s="317">
        <f>IF(D250=0,0,SUM($J$233:J250))</f>
        <v>19132.771433750226</v>
      </c>
      <c r="R250" s="321">
        <f t="shared" si="60"/>
        <v>-963.02961759317623</v>
      </c>
      <c r="S250" s="198">
        <f t="shared" si="66"/>
        <v>0.95207806769520154</v>
      </c>
      <c r="T250" s="207"/>
      <c r="U250" s="317">
        <f>IF(D250=0,0,SUM($L$21:L250))</f>
        <v>387770.54066735535</v>
      </c>
      <c r="V250" s="317">
        <f>IF(D250=0,0,SUM($J$21:J250))</f>
        <v>417138.39949247771</v>
      </c>
      <c r="W250" s="331">
        <f t="shared" si="61"/>
        <v>29367.858825122355</v>
      </c>
      <c r="X250" s="200">
        <f t="shared" si="67"/>
        <v>1.0757351468076459</v>
      </c>
      <c r="Y250" s="201">
        <f t="shared" si="70"/>
        <v>45887</v>
      </c>
      <c r="Z250" s="202">
        <f t="shared" si="70"/>
        <v>45887</v>
      </c>
      <c r="AA250" s="18"/>
      <c r="AB250" s="244"/>
      <c r="AC250" s="247"/>
      <c r="AD250" s="142"/>
      <c r="AE250" s="18"/>
      <c r="AF250" s="18"/>
      <c r="AG250" s="203"/>
      <c r="AH250" s="203"/>
      <c r="AI250" s="18"/>
      <c r="AJ250" s="18"/>
      <c r="AK250" s="18"/>
      <c r="AL250" s="18"/>
      <c r="AM250" s="18"/>
      <c r="AN250" s="18"/>
    </row>
    <row r="251" spans="1:40" ht="20">
      <c r="A251" s="18"/>
      <c r="B251" s="151"/>
      <c r="C251" s="55">
        <v>231</v>
      </c>
      <c r="D251" s="54">
        <v>1</v>
      </c>
      <c r="E251" s="190">
        <f t="shared" si="62"/>
        <v>8</v>
      </c>
      <c r="F251" s="191">
        <f t="shared" si="63"/>
        <v>45888</v>
      </c>
      <c r="G251" s="192" t="str">
        <f t="shared" si="64"/>
        <v>Tue</v>
      </c>
      <c r="H251" s="193"/>
      <c r="I251" s="194"/>
      <c r="J251" s="307">
        <f>236820/B13</f>
        <v>2146.275149537792</v>
      </c>
      <c r="K251" s="215"/>
      <c r="L251" s="317">
        <f t="shared" si="65"/>
        <v>1586.2758735951427</v>
      </c>
      <c r="M251" s="318">
        <f t="shared" si="59"/>
        <v>559.99927594264932</v>
      </c>
      <c r="N251" s="41">
        <f t="shared" si="8"/>
        <v>1.3530276701955155</v>
      </c>
      <c r="O251" s="56"/>
      <c r="P251" s="317">
        <f>IF(D251=0,0,SUM($L$233:L251))</f>
        <v>21682.076924938545</v>
      </c>
      <c r="Q251" s="317">
        <f>IF(D251=0,0,SUM($J$233:J251))</f>
        <v>21279.046583288018</v>
      </c>
      <c r="R251" s="321">
        <f t="shared" si="60"/>
        <v>-403.03034165052668</v>
      </c>
      <c r="S251" s="198">
        <f t="shared" si="66"/>
        <v>0.98141182032303531</v>
      </c>
      <c r="T251" s="207"/>
      <c r="U251" s="317">
        <f>IF(D251=0,0,SUM($L$21:L251))</f>
        <v>389356.8165409505</v>
      </c>
      <c r="V251" s="317">
        <f>IF(D251=0,0,SUM($J$21:J251))</f>
        <v>419284.67464201548</v>
      </c>
      <c r="W251" s="331">
        <f t="shared" si="61"/>
        <v>29927.85810106498</v>
      </c>
      <c r="X251" s="200">
        <f t="shared" si="67"/>
        <v>1.0768648623310215</v>
      </c>
      <c r="Y251" s="201">
        <f t="shared" si="70"/>
        <v>45888</v>
      </c>
      <c r="Z251" s="202">
        <f t="shared" si="70"/>
        <v>45888</v>
      </c>
      <c r="AA251" s="18"/>
      <c r="AB251" s="244"/>
      <c r="AC251" s="247"/>
      <c r="AD251" s="142"/>
      <c r="AE251" s="18"/>
      <c r="AF251" s="18"/>
      <c r="AG251" s="203"/>
      <c r="AH251" s="203"/>
      <c r="AI251" s="18"/>
      <c r="AJ251" s="18"/>
      <c r="AK251" s="18"/>
      <c r="AL251" s="18"/>
      <c r="AM251" s="18"/>
      <c r="AN251" s="18"/>
    </row>
    <row r="252" spans="1:40" ht="20">
      <c r="A252" s="18"/>
      <c r="B252" s="151"/>
      <c r="C252" s="55">
        <v>232</v>
      </c>
      <c r="D252" s="54">
        <v>1</v>
      </c>
      <c r="E252" s="190">
        <f t="shared" si="62"/>
        <v>8</v>
      </c>
      <c r="F252" s="191">
        <f t="shared" si="63"/>
        <v>45889</v>
      </c>
      <c r="G252" s="192" t="str">
        <f t="shared" si="64"/>
        <v>Wed</v>
      </c>
      <c r="H252" s="193"/>
      <c r="I252" s="194"/>
      <c r="J252" s="307">
        <f>190280/B13</f>
        <v>1724.4879463476527</v>
      </c>
      <c r="K252" s="215"/>
      <c r="L252" s="317">
        <f t="shared" si="65"/>
        <v>2973.585455966273</v>
      </c>
      <c r="M252" s="318">
        <f t="shared" si="59"/>
        <v>-1249.0975096186203</v>
      </c>
      <c r="N252" s="41">
        <f t="shared" si="8"/>
        <v>0.57993555991054468</v>
      </c>
      <c r="O252" s="56"/>
      <c r="P252" s="317">
        <f>IF(D252=0,0,SUM($L$233:L252))</f>
        <v>24655.662380904818</v>
      </c>
      <c r="Q252" s="317">
        <f>IF(D252=0,0,SUM($J$233:J252))</f>
        <v>23003.534529635672</v>
      </c>
      <c r="R252" s="321">
        <f t="shared" si="60"/>
        <v>-1652.127851269146</v>
      </c>
      <c r="S252" s="198">
        <f t="shared" si="66"/>
        <v>0.93299195025688386</v>
      </c>
      <c r="T252" s="207"/>
      <c r="U252" s="317">
        <f>IF(D252=0,0,SUM($L$21:L252))</f>
        <v>392330.4019969168</v>
      </c>
      <c r="V252" s="317">
        <f>IF(D252=0,0,SUM($J$21:J252))</f>
        <v>421009.16258836311</v>
      </c>
      <c r="W252" s="331">
        <f t="shared" si="61"/>
        <v>28678.760591446306</v>
      </c>
      <c r="X252" s="200">
        <f t="shared" si="67"/>
        <v>1.0730984915914614</v>
      </c>
      <c r="Y252" s="201">
        <f t="shared" si="70"/>
        <v>45889</v>
      </c>
      <c r="Z252" s="202">
        <f t="shared" si="70"/>
        <v>45889</v>
      </c>
      <c r="AA252" s="18"/>
      <c r="AB252" s="244"/>
      <c r="AC252" s="247"/>
      <c r="AD252" s="142"/>
      <c r="AE252" s="18"/>
      <c r="AF252" s="18"/>
      <c r="AG252" s="203"/>
      <c r="AH252" s="203"/>
      <c r="AI252" s="18"/>
      <c r="AJ252" s="18"/>
      <c r="AK252" s="18"/>
      <c r="AL252" s="18"/>
      <c r="AM252" s="18"/>
      <c r="AN252" s="18"/>
    </row>
    <row r="253" spans="1:40" ht="20">
      <c r="A253" s="18"/>
      <c r="B253" s="151"/>
      <c r="C253" s="55">
        <v>233</v>
      </c>
      <c r="D253" s="54">
        <v>1</v>
      </c>
      <c r="E253" s="190">
        <f t="shared" si="62"/>
        <v>8</v>
      </c>
      <c r="F253" s="191">
        <f t="shared" si="63"/>
        <v>45890</v>
      </c>
      <c r="G253" s="192" t="str">
        <f t="shared" si="64"/>
        <v>Thu</v>
      </c>
      <c r="H253" s="193"/>
      <c r="I253" s="194"/>
      <c r="J253" s="307">
        <f>279230/B13</f>
        <v>2530.63259017582</v>
      </c>
      <c r="K253" s="215"/>
      <c r="L253" s="317">
        <f t="shared" si="65"/>
        <v>2771.4334656655478</v>
      </c>
      <c r="M253" s="318">
        <f t="shared" si="59"/>
        <v>-240.80087548972779</v>
      </c>
      <c r="N253" s="41">
        <f t="shared" si="8"/>
        <v>0.9131132396021997</v>
      </c>
      <c r="O253" s="56"/>
      <c r="P253" s="317">
        <f>IF(D253=0,0,SUM($L$233:L253))</f>
        <v>27427.095846570366</v>
      </c>
      <c r="Q253" s="317">
        <f>IF(D253=0,0,SUM($J$233:J253))</f>
        <v>25534.167119811493</v>
      </c>
      <c r="R253" s="321">
        <f t="shared" si="60"/>
        <v>-1892.9287267588734</v>
      </c>
      <c r="S253" s="198">
        <f t="shared" si="66"/>
        <v>0.93098326059207703</v>
      </c>
      <c r="T253" s="207"/>
      <c r="U253" s="317">
        <f>IF(D253=0,0,SUM($L$21:L253))</f>
        <v>395101.83546258236</v>
      </c>
      <c r="V253" s="317">
        <f>IF(D253=0,0,SUM($J$21:J253))</f>
        <v>423539.79517853895</v>
      </c>
      <c r="W253" s="331">
        <f t="shared" si="61"/>
        <v>28437.959715956589</v>
      </c>
      <c r="X253" s="200">
        <f t="shared" si="67"/>
        <v>1.0719762784261977</v>
      </c>
      <c r="Y253" s="201">
        <f t="shared" si="70"/>
        <v>45890</v>
      </c>
      <c r="Z253" s="202">
        <f t="shared" si="70"/>
        <v>45890</v>
      </c>
      <c r="AA253" s="18"/>
      <c r="AB253" s="244"/>
      <c r="AC253" s="247"/>
      <c r="AD253" s="142"/>
      <c r="AE253" s="18"/>
      <c r="AF253" s="18"/>
      <c r="AG253" s="203"/>
      <c r="AH253" s="203"/>
      <c r="AI253" s="18"/>
      <c r="AJ253" s="18"/>
      <c r="AK253" s="18"/>
      <c r="AL253" s="18"/>
      <c r="AM253" s="18"/>
      <c r="AN253" s="18"/>
    </row>
    <row r="254" spans="1:40" ht="20">
      <c r="A254" s="18"/>
      <c r="B254" s="151"/>
      <c r="C254" s="55">
        <v>234</v>
      </c>
      <c r="D254" s="54">
        <v>1</v>
      </c>
      <c r="E254" s="190">
        <f t="shared" si="62"/>
        <v>8</v>
      </c>
      <c r="F254" s="191">
        <f t="shared" si="63"/>
        <v>45891</v>
      </c>
      <c r="G254" s="192" t="str">
        <f t="shared" si="64"/>
        <v>Fri</v>
      </c>
      <c r="H254" s="193"/>
      <c r="I254" s="194"/>
      <c r="J254" s="307">
        <f>316460/B13</f>
        <v>2868.0442269349282</v>
      </c>
      <c r="K254" s="215"/>
      <c r="L254" s="317">
        <f t="shared" si="65"/>
        <v>2907.8858905630304</v>
      </c>
      <c r="M254" s="318">
        <f t="shared" si="59"/>
        <v>-39.841663628102197</v>
      </c>
      <c r="N254" s="41">
        <f t="shared" si="8"/>
        <v>0.98629875272705836</v>
      </c>
      <c r="O254" s="56"/>
      <c r="P254" s="317">
        <f>IF(D254=0,0,SUM($L$233:L254))</f>
        <v>30334.981737133396</v>
      </c>
      <c r="Q254" s="317">
        <f>IF(D254=0,0,SUM($J$233:J254))</f>
        <v>28402.211346746422</v>
      </c>
      <c r="R254" s="321">
        <f t="shared" si="60"/>
        <v>-1932.7703903869733</v>
      </c>
      <c r="S254" s="198">
        <f t="shared" si="66"/>
        <v>0.93628575724438146</v>
      </c>
      <c r="T254" s="207"/>
      <c r="U254" s="317">
        <f>IF(D254=0,0,SUM($L$21:L254))</f>
        <v>398009.72135314537</v>
      </c>
      <c r="V254" s="317">
        <f>IF(D254=0,0,SUM($J$21:J254))</f>
        <v>426407.83940547385</v>
      </c>
      <c r="W254" s="331">
        <f t="shared" si="61"/>
        <v>28398.118052328471</v>
      </c>
      <c r="X254" s="200">
        <f t="shared" si="67"/>
        <v>1.0713503126400559</v>
      </c>
      <c r="Y254" s="201">
        <f t="shared" si="70"/>
        <v>45891</v>
      </c>
      <c r="Z254" s="202">
        <f t="shared" si="70"/>
        <v>45891</v>
      </c>
      <c r="AA254" s="18"/>
      <c r="AB254" s="244"/>
      <c r="AC254" s="247"/>
      <c r="AD254" s="142"/>
      <c r="AE254" s="18"/>
      <c r="AF254" s="18"/>
      <c r="AG254" s="203"/>
      <c r="AH254" s="203"/>
      <c r="AI254" s="18"/>
      <c r="AJ254" s="18"/>
      <c r="AK254" s="18"/>
      <c r="AL254" s="18"/>
      <c r="AM254" s="18"/>
      <c r="AN254" s="18"/>
    </row>
    <row r="255" spans="1:40" ht="20">
      <c r="A255" s="18"/>
      <c r="B255" s="151"/>
      <c r="C255" s="55">
        <v>235</v>
      </c>
      <c r="D255" s="54">
        <v>1</v>
      </c>
      <c r="E255" s="190">
        <f t="shared" si="62"/>
        <v>8</v>
      </c>
      <c r="F255" s="191">
        <f t="shared" si="63"/>
        <v>45892</v>
      </c>
      <c r="G255" s="192" t="str">
        <f t="shared" si="64"/>
        <v>Sat</v>
      </c>
      <c r="H255" s="193"/>
      <c r="I255" s="194"/>
      <c r="J255" s="307">
        <f>114770/B13</f>
        <v>1040.1486315026282</v>
      </c>
      <c r="K255" s="215"/>
      <c r="L255" s="317">
        <f t="shared" si="65"/>
        <v>1582.8373412583728</v>
      </c>
      <c r="M255" s="318">
        <f t="shared" si="59"/>
        <v>-542.68870975574464</v>
      </c>
      <c r="N255" s="41">
        <f t="shared" si="8"/>
        <v>0.65714183282768568</v>
      </c>
      <c r="O255" s="56"/>
      <c r="P255" s="317">
        <f>IF(D255=0,0,SUM($L$233:L255))</f>
        <v>31917.819078391767</v>
      </c>
      <c r="Q255" s="317">
        <f>IF(D255=0,0,SUM($J$233:J255))</f>
        <v>29442.359978249049</v>
      </c>
      <c r="R255" s="321">
        <f t="shared" si="60"/>
        <v>-2475.4591001427179</v>
      </c>
      <c r="S255" s="198">
        <f t="shared" si="66"/>
        <v>0.92244272410771966</v>
      </c>
      <c r="T255" s="207"/>
      <c r="U255" s="317">
        <f>IF(D255=0,0,SUM($L$21:L255))</f>
        <v>399592.55869440373</v>
      </c>
      <c r="V255" s="317">
        <f>IF(D255=0,0,SUM($J$21:J255))</f>
        <v>427447.98803697649</v>
      </c>
      <c r="W255" s="331">
        <f t="shared" si="61"/>
        <v>27855.429342572752</v>
      </c>
      <c r="X255" s="200">
        <f t="shared" si="67"/>
        <v>1.0697095797619087</v>
      </c>
      <c r="Y255" s="201">
        <f t="shared" si="70"/>
        <v>45892</v>
      </c>
      <c r="Z255" s="202">
        <f t="shared" si="70"/>
        <v>45892</v>
      </c>
      <c r="AA255" s="18"/>
      <c r="AB255" s="244"/>
      <c r="AC255" s="247"/>
      <c r="AD255" s="142"/>
      <c r="AE255" s="18"/>
      <c r="AF255" s="18"/>
      <c r="AG255" s="203"/>
      <c r="AH255" s="203"/>
      <c r="AI255" s="18"/>
      <c r="AJ255" s="18"/>
      <c r="AK255" s="18"/>
      <c r="AL255" s="18"/>
      <c r="AM255" s="18"/>
      <c r="AN255" s="18"/>
    </row>
    <row r="256" spans="1:40" ht="20">
      <c r="A256" s="18"/>
      <c r="B256" s="151"/>
      <c r="C256" s="55">
        <v>236</v>
      </c>
      <c r="D256" s="54">
        <v>0</v>
      </c>
      <c r="E256" s="190">
        <f t="shared" si="62"/>
        <v>8</v>
      </c>
      <c r="F256" s="191">
        <f t="shared" si="63"/>
        <v>45893</v>
      </c>
      <c r="G256" s="192" t="str">
        <f t="shared" si="64"/>
        <v>Sun</v>
      </c>
      <c r="H256" s="193"/>
      <c r="I256" s="194"/>
      <c r="J256" s="307"/>
      <c r="K256" s="215"/>
      <c r="L256" s="317">
        <f t="shared" si="65"/>
        <v>0</v>
      </c>
      <c r="M256" s="318">
        <f t="shared" si="59"/>
        <v>0</v>
      </c>
      <c r="N256" s="41" t="str">
        <f t="shared" si="8"/>
        <v>¥0</v>
      </c>
      <c r="O256" s="44"/>
      <c r="P256" s="317">
        <f>IF(D256=0,0,SUM($L$233:L256))</f>
        <v>0</v>
      </c>
      <c r="Q256" s="317">
        <f>IF(D256=0,0,SUM($J$233:J256))</f>
        <v>0</v>
      </c>
      <c r="R256" s="321">
        <f t="shared" si="60"/>
        <v>0</v>
      </c>
      <c r="S256" s="198">
        <f t="shared" si="66"/>
        <v>0</v>
      </c>
      <c r="T256" s="212"/>
      <c r="U256" s="317">
        <f>IF(D256=0,0,SUM($L$21:L256))</f>
        <v>0</v>
      </c>
      <c r="V256" s="317">
        <f>IF(D256=0,0,SUM($J$21:J256))</f>
        <v>0</v>
      </c>
      <c r="W256" s="331">
        <f t="shared" si="61"/>
        <v>0</v>
      </c>
      <c r="X256" s="200">
        <f t="shared" si="67"/>
        <v>0</v>
      </c>
      <c r="Y256" s="201">
        <f t="shared" si="70"/>
        <v>45893</v>
      </c>
      <c r="Z256" s="202">
        <f t="shared" si="70"/>
        <v>45893</v>
      </c>
      <c r="AA256" s="18"/>
      <c r="AB256" s="244"/>
      <c r="AC256" s="247"/>
      <c r="AD256" s="142"/>
      <c r="AE256" s="18"/>
      <c r="AF256" s="18"/>
      <c r="AG256" s="203"/>
      <c r="AH256" s="203"/>
      <c r="AI256" s="18"/>
      <c r="AJ256" s="18"/>
      <c r="AK256" s="18"/>
      <c r="AL256" s="18"/>
      <c r="AM256" s="18"/>
      <c r="AN256" s="18"/>
    </row>
    <row r="257" spans="1:40" ht="20">
      <c r="A257" s="18"/>
      <c r="B257" s="151"/>
      <c r="C257" s="55">
        <v>237</v>
      </c>
      <c r="D257" s="54">
        <v>1</v>
      </c>
      <c r="E257" s="190">
        <f t="shared" si="62"/>
        <v>8</v>
      </c>
      <c r="F257" s="191">
        <f t="shared" si="63"/>
        <v>45894</v>
      </c>
      <c r="G257" s="192" t="str">
        <f t="shared" si="64"/>
        <v>Mon</v>
      </c>
      <c r="H257" s="193"/>
      <c r="I257" s="194"/>
      <c r="J257" s="307">
        <f>245600/B13</f>
        <v>2225.847380822911</v>
      </c>
      <c r="K257" s="215"/>
      <c r="L257" s="317">
        <f t="shared" si="65"/>
        <v>1891.5298962368172</v>
      </c>
      <c r="M257" s="318">
        <f t="shared" si="59"/>
        <v>334.31748458609377</v>
      </c>
      <c r="N257" s="41">
        <f t="shared" si="8"/>
        <v>1.17674448881364</v>
      </c>
      <c r="O257" s="56"/>
      <c r="P257" s="317">
        <f>IF(D257=0,0,SUM($L$233:L257))</f>
        <v>33809.348974628585</v>
      </c>
      <c r="Q257" s="317">
        <f>IF(D257=0,0,SUM($J$233:J257))</f>
        <v>31668.207359071959</v>
      </c>
      <c r="R257" s="321">
        <f t="shared" si="60"/>
        <v>-2141.1416155566258</v>
      </c>
      <c r="S257" s="198">
        <f t="shared" si="66"/>
        <v>0.93667013176848235</v>
      </c>
      <c r="T257" s="207"/>
      <c r="U257" s="317">
        <f>IF(D257=0,0,SUM($L$21:L257))</f>
        <v>401484.08859064057</v>
      </c>
      <c r="V257" s="317">
        <f>IF(D257=0,0,SUM($J$21:J257))</f>
        <v>429673.83541779942</v>
      </c>
      <c r="W257" s="331">
        <f t="shared" si="61"/>
        <v>28189.746827158844</v>
      </c>
      <c r="X257" s="200">
        <f t="shared" si="67"/>
        <v>1.070213858103606</v>
      </c>
      <c r="Y257" s="201">
        <f t="shared" si="70"/>
        <v>45894</v>
      </c>
      <c r="Z257" s="202">
        <f t="shared" si="70"/>
        <v>45894</v>
      </c>
      <c r="AA257" s="18"/>
      <c r="AB257" s="244"/>
      <c r="AC257" s="247"/>
      <c r="AD257" s="142"/>
      <c r="AE257" s="18"/>
      <c r="AF257" s="18"/>
      <c r="AG257" s="203"/>
      <c r="AH257" s="203"/>
      <c r="AI257" s="18"/>
      <c r="AJ257" s="18"/>
      <c r="AK257" s="18"/>
      <c r="AL257" s="18"/>
      <c r="AM257" s="18"/>
      <c r="AN257" s="18"/>
    </row>
    <row r="258" spans="1:40" ht="20">
      <c r="A258" s="18"/>
      <c r="B258" s="151"/>
      <c r="C258" s="55">
        <v>238</v>
      </c>
      <c r="D258" s="54">
        <v>1</v>
      </c>
      <c r="E258" s="190">
        <f t="shared" si="62"/>
        <v>8</v>
      </c>
      <c r="F258" s="191">
        <f t="shared" si="63"/>
        <v>45895</v>
      </c>
      <c r="G258" s="192" t="str">
        <f t="shared" si="64"/>
        <v>Tue</v>
      </c>
      <c r="H258" s="193"/>
      <c r="I258" s="194"/>
      <c r="J258" s="307">
        <f>189700/B13</f>
        <v>1719.231466376654</v>
      </c>
      <c r="K258" s="215"/>
      <c r="L258" s="317">
        <f t="shared" si="65"/>
        <v>1586.2758735951427</v>
      </c>
      <c r="M258" s="318">
        <f t="shared" si="59"/>
        <v>132.95559278151131</v>
      </c>
      <c r="N258" s="41">
        <f t="shared" si="8"/>
        <v>1.0838161854407962</v>
      </c>
      <c r="O258" s="56"/>
      <c r="P258" s="317">
        <f>IF(D258=0,0,SUM($L$233:L258))</f>
        <v>35395.624848223728</v>
      </c>
      <c r="Q258" s="317">
        <f>IF(D258=0,0,SUM($J$233:J258))</f>
        <v>33387.438825448611</v>
      </c>
      <c r="R258" s="321">
        <f t="shared" si="60"/>
        <v>-2008.1860227751167</v>
      </c>
      <c r="S258" s="198">
        <f t="shared" si="66"/>
        <v>0.94326456924023216</v>
      </c>
      <c r="T258" s="207"/>
      <c r="U258" s="317">
        <f>IF(D258=0,0,SUM($L$21:L258))</f>
        <v>403070.36446423572</v>
      </c>
      <c r="V258" s="317">
        <f>IF(D258=0,0,SUM($J$21:J258))</f>
        <v>431393.06688417605</v>
      </c>
      <c r="W258" s="331">
        <f t="shared" si="61"/>
        <v>28322.702419940324</v>
      </c>
      <c r="X258" s="200">
        <f t="shared" si="67"/>
        <v>1.0702673898081967</v>
      </c>
      <c r="Y258" s="201">
        <f t="shared" si="70"/>
        <v>45895</v>
      </c>
      <c r="Z258" s="202">
        <f t="shared" si="70"/>
        <v>45895</v>
      </c>
      <c r="AA258" s="18"/>
      <c r="AB258" s="244"/>
      <c r="AC258" s="247"/>
      <c r="AD258" s="142"/>
      <c r="AE258" s="18"/>
      <c r="AF258" s="18"/>
      <c r="AG258" s="203"/>
      <c r="AH258" s="203"/>
      <c r="AI258" s="18"/>
      <c r="AJ258" s="18"/>
      <c r="AK258" s="18"/>
      <c r="AL258" s="18"/>
      <c r="AM258" s="18"/>
      <c r="AN258" s="18"/>
    </row>
    <row r="259" spans="1:40" ht="20">
      <c r="A259" s="18"/>
      <c r="B259" s="151"/>
      <c r="C259" s="55">
        <v>239</v>
      </c>
      <c r="D259" s="54">
        <v>1</v>
      </c>
      <c r="E259" s="190">
        <f t="shared" si="62"/>
        <v>8</v>
      </c>
      <c r="F259" s="191">
        <f t="shared" si="63"/>
        <v>45896</v>
      </c>
      <c r="G259" s="192" t="str">
        <f t="shared" si="64"/>
        <v>Wed</v>
      </c>
      <c r="H259" s="193"/>
      <c r="I259" s="194"/>
      <c r="J259" s="307">
        <f>345200/B13</f>
        <v>3128.511872394417</v>
      </c>
      <c r="K259" s="215"/>
      <c r="L259" s="317">
        <f t="shared" si="65"/>
        <v>2973.585455966273</v>
      </c>
      <c r="M259" s="318">
        <f t="shared" si="59"/>
        <v>154.92641642814397</v>
      </c>
      <c r="N259" s="41">
        <f t="shared" si="8"/>
        <v>1.0521008791313853</v>
      </c>
      <c r="O259" s="56"/>
      <c r="P259" s="317">
        <f>IF(D259=0,0,SUM($L$233:L259))</f>
        <v>38369.210304189997</v>
      </c>
      <c r="Q259" s="317">
        <f>IF(D259=0,0,SUM($J$233:J259))</f>
        <v>36515.950697843029</v>
      </c>
      <c r="R259" s="321">
        <f t="shared" si="60"/>
        <v>-1853.2596063469682</v>
      </c>
      <c r="S259" s="198">
        <f t="shared" si="66"/>
        <v>0.95169930286147719</v>
      </c>
      <c r="T259" s="207"/>
      <c r="U259" s="317">
        <f>IF(D259=0,0,SUM($L$21:L259))</f>
        <v>406043.94992020202</v>
      </c>
      <c r="V259" s="317">
        <f>IF(D259=0,0,SUM($J$21:J259))</f>
        <v>434521.57875657047</v>
      </c>
      <c r="W259" s="331">
        <f t="shared" si="61"/>
        <v>28477.628836368443</v>
      </c>
      <c r="X259" s="200">
        <f t="shared" si="67"/>
        <v>1.0701343508306551</v>
      </c>
      <c r="Y259" s="201">
        <f t="shared" si="70"/>
        <v>45896</v>
      </c>
      <c r="Z259" s="202">
        <f t="shared" si="70"/>
        <v>45896</v>
      </c>
      <c r="AA259" s="18"/>
      <c r="AB259" s="244"/>
      <c r="AC259" s="247"/>
      <c r="AD259" s="142"/>
      <c r="AE259" s="18"/>
      <c r="AF259" s="18"/>
      <c r="AG259" s="203"/>
      <c r="AH259" s="203"/>
      <c r="AI259" s="18"/>
      <c r="AJ259" s="18"/>
      <c r="AK259" s="18"/>
      <c r="AL259" s="18"/>
      <c r="AM259" s="18"/>
      <c r="AN259" s="18"/>
    </row>
    <row r="260" spans="1:40" ht="20">
      <c r="A260" s="18"/>
      <c r="B260" s="151"/>
      <c r="C260" s="55">
        <v>240</v>
      </c>
      <c r="D260" s="54">
        <v>1</v>
      </c>
      <c r="E260" s="190">
        <f t="shared" si="62"/>
        <v>8</v>
      </c>
      <c r="F260" s="191">
        <f t="shared" si="63"/>
        <v>45897</v>
      </c>
      <c r="G260" s="192" t="str">
        <f t="shared" si="64"/>
        <v>Thu</v>
      </c>
      <c r="H260" s="193"/>
      <c r="I260" s="194"/>
      <c r="J260" s="307">
        <f>256380/B13</f>
        <v>2323.5454051114734</v>
      </c>
      <c r="K260" s="215"/>
      <c r="L260" s="317">
        <f t="shared" si="65"/>
        <v>2771.4334656655478</v>
      </c>
      <c r="M260" s="318">
        <f t="shared" si="59"/>
        <v>-447.8880605540744</v>
      </c>
      <c r="N260" s="41">
        <f t="shared" si="8"/>
        <v>0.83839119138062512</v>
      </c>
      <c r="O260" s="56"/>
      <c r="P260" s="317">
        <f>IF(D260=0,0,SUM($L$233:L260))</f>
        <v>41140.643769855546</v>
      </c>
      <c r="Q260" s="317">
        <f>IF(D260=0,0,SUM($J$233:J260))</f>
        <v>38839.496102954501</v>
      </c>
      <c r="R260" s="321">
        <f t="shared" si="60"/>
        <v>-2301.1476669010444</v>
      </c>
      <c r="S260" s="198">
        <f t="shared" si="66"/>
        <v>0.9440663184617657</v>
      </c>
      <c r="T260" s="207"/>
      <c r="U260" s="317">
        <f>IF(D260=0,0,SUM($L$21:L260))</f>
        <v>408815.38338586758</v>
      </c>
      <c r="V260" s="317">
        <f>IF(D260=0,0,SUM($J$21:J260))</f>
        <v>436845.12416168192</v>
      </c>
      <c r="W260" s="331">
        <f t="shared" si="61"/>
        <v>28029.740775814338</v>
      </c>
      <c r="X260" s="200">
        <f t="shared" si="67"/>
        <v>1.0685633220151063</v>
      </c>
      <c r="Y260" s="201">
        <f t="shared" si="70"/>
        <v>45897</v>
      </c>
      <c r="Z260" s="202">
        <f t="shared" si="70"/>
        <v>45897</v>
      </c>
      <c r="AA260" s="18"/>
      <c r="AB260" s="244"/>
      <c r="AC260" s="247"/>
      <c r="AD260" s="142"/>
      <c r="AE260" s="18"/>
      <c r="AF260" s="18"/>
      <c r="AG260" s="203"/>
      <c r="AH260" s="203"/>
      <c r="AI260" s="18"/>
      <c r="AJ260" s="18"/>
      <c r="AK260" s="18"/>
      <c r="AL260" s="18"/>
      <c r="AM260" s="18"/>
      <c r="AN260" s="18"/>
    </row>
    <row r="261" spans="1:40" ht="20">
      <c r="A261" s="18"/>
      <c r="B261" s="151"/>
      <c r="C261" s="55">
        <v>241</v>
      </c>
      <c r="D261" s="54">
        <v>1</v>
      </c>
      <c r="E261" s="190">
        <f t="shared" si="62"/>
        <v>8</v>
      </c>
      <c r="F261" s="191">
        <f t="shared" si="63"/>
        <v>45898</v>
      </c>
      <c r="G261" s="192" t="str">
        <f t="shared" si="64"/>
        <v>Fri</v>
      </c>
      <c r="H261" s="193"/>
      <c r="I261" s="194"/>
      <c r="J261" s="307">
        <f>413400/B13</f>
        <v>3746.6014138118539</v>
      </c>
      <c r="K261" s="215"/>
      <c r="L261" s="317">
        <f t="shared" si="65"/>
        <v>2907.8858905630304</v>
      </c>
      <c r="M261" s="318">
        <f t="shared" si="59"/>
        <v>838.7155232488235</v>
      </c>
      <c r="N261" s="41">
        <f t="shared" si="8"/>
        <v>1.2884279352125574</v>
      </c>
      <c r="O261" s="56"/>
      <c r="P261" s="317">
        <f>IF(D261=0,0,SUM($L$233:L261))</f>
        <v>44048.529660418579</v>
      </c>
      <c r="Q261" s="317">
        <f>IF(D261=0,0,SUM($J$233:J261))</f>
        <v>42586.097516766356</v>
      </c>
      <c r="R261" s="321">
        <f t="shared" si="60"/>
        <v>-1462.4321436522223</v>
      </c>
      <c r="S261" s="198">
        <f t="shared" si="66"/>
        <v>0.96679952418556336</v>
      </c>
      <c r="T261" s="207"/>
      <c r="U261" s="317">
        <f>IF(D261=0,0,SUM($L$21:L261))</f>
        <v>411723.2692764306</v>
      </c>
      <c r="V261" s="317">
        <f>IF(D261=0,0,SUM($J$21:J261))</f>
        <v>440591.72557549377</v>
      </c>
      <c r="W261" s="331">
        <f t="shared" si="61"/>
        <v>28868.456299063168</v>
      </c>
      <c r="X261" s="200">
        <f t="shared" si="67"/>
        <v>1.0701161640676689</v>
      </c>
      <c r="Y261" s="201">
        <f t="shared" si="70"/>
        <v>45898</v>
      </c>
      <c r="Z261" s="202">
        <f t="shared" si="70"/>
        <v>45898</v>
      </c>
      <c r="AA261" s="18"/>
      <c r="AB261" s="244"/>
      <c r="AC261" s="247"/>
      <c r="AD261" s="142"/>
      <c r="AE261" s="18"/>
      <c r="AF261" s="18"/>
      <c r="AG261" s="203"/>
      <c r="AH261" s="203"/>
      <c r="AI261" s="18"/>
      <c r="AJ261" s="18"/>
      <c r="AK261" s="18"/>
      <c r="AL261" s="18"/>
      <c r="AM261" s="18"/>
      <c r="AN261" s="18"/>
    </row>
    <row r="262" spans="1:40" ht="20">
      <c r="A262" s="18"/>
      <c r="B262" s="151"/>
      <c r="C262" s="55">
        <v>242</v>
      </c>
      <c r="D262" s="54">
        <v>1</v>
      </c>
      <c r="E262" s="190">
        <f t="shared" si="62"/>
        <v>8</v>
      </c>
      <c r="F262" s="191">
        <f t="shared" si="63"/>
        <v>45899</v>
      </c>
      <c r="G262" s="192" t="str">
        <f t="shared" si="64"/>
        <v>Sat</v>
      </c>
      <c r="H262" s="193"/>
      <c r="I262" s="194"/>
      <c r="J262" s="307">
        <f>158300/B13</f>
        <v>1434.6565162225847</v>
      </c>
      <c r="K262" s="215"/>
      <c r="L262" s="317">
        <f t="shared" si="65"/>
        <v>1582.8373412583728</v>
      </c>
      <c r="M262" s="318">
        <f t="shared" si="59"/>
        <v>-148.18082503578808</v>
      </c>
      <c r="N262" s="41">
        <f t="shared" si="8"/>
        <v>0.90638278414762274</v>
      </c>
      <c r="O262" s="56"/>
      <c r="P262" s="317">
        <f>IF(D262=0,0,SUM($L$233:L262))</f>
        <v>45631.367001676954</v>
      </c>
      <c r="Q262" s="317">
        <f>IF(D262=0,0,SUM($J$233:J262))</f>
        <v>44020.754032988938</v>
      </c>
      <c r="R262" s="321">
        <f t="shared" si="60"/>
        <v>-1610.6129686880158</v>
      </c>
      <c r="S262" s="198">
        <f t="shared" si="66"/>
        <v>0.96470381944444428</v>
      </c>
      <c r="T262" s="207"/>
      <c r="U262" s="317">
        <f>IF(D262=0,0,SUM($L$21:L262))</f>
        <v>413306.10661768896</v>
      </c>
      <c r="V262" s="317">
        <f>IF(D262=0,0,SUM($J$21:J262))</f>
        <v>442026.38209171634</v>
      </c>
      <c r="W262" s="331">
        <f t="shared" si="61"/>
        <v>28720.275474027381</v>
      </c>
      <c r="X262" s="200">
        <f t="shared" si="67"/>
        <v>1.0694891147606338</v>
      </c>
      <c r="Y262" s="201">
        <f t="shared" si="70"/>
        <v>45899</v>
      </c>
      <c r="Z262" s="202">
        <f t="shared" si="70"/>
        <v>45899</v>
      </c>
      <c r="AA262" s="18"/>
      <c r="AB262" s="244"/>
      <c r="AC262" s="247"/>
      <c r="AD262" s="142"/>
      <c r="AE262" s="18"/>
      <c r="AF262" s="18"/>
      <c r="AG262" s="203"/>
      <c r="AH262" s="203"/>
      <c r="AI262" s="18"/>
      <c r="AJ262" s="18"/>
      <c r="AK262" s="18"/>
      <c r="AL262" s="18"/>
      <c r="AM262" s="18"/>
      <c r="AN262" s="18"/>
    </row>
    <row r="263" spans="1:40" ht="21" thickBot="1">
      <c r="A263" s="18"/>
      <c r="B263" s="151"/>
      <c r="C263" s="39">
        <v>243</v>
      </c>
      <c r="D263" s="38">
        <v>0</v>
      </c>
      <c r="E263" s="217">
        <f t="shared" si="62"/>
        <v>8</v>
      </c>
      <c r="F263" s="236">
        <f t="shared" si="63"/>
        <v>45900</v>
      </c>
      <c r="G263" s="219" t="str">
        <f t="shared" si="64"/>
        <v>Sun</v>
      </c>
      <c r="H263" s="233"/>
      <c r="I263" s="221"/>
      <c r="J263" s="316"/>
      <c r="K263" s="223"/>
      <c r="L263" s="317">
        <f t="shared" si="65"/>
        <v>0</v>
      </c>
      <c r="M263" s="320">
        <f t="shared" si="59"/>
        <v>0</v>
      </c>
      <c r="N263" s="225" t="str">
        <f t="shared" si="8"/>
        <v>¥0</v>
      </c>
      <c r="O263" s="239"/>
      <c r="P263" s="325">
        <f>IF(D263=0,0,SUM($L$233:L263))</f>
        <v>0</v>
      </c>
      <c r="Q263" s="326">
        <f>IF(D263=0,0,SUM($J$233:J263))</f>
        <v>0</v>
      </c>
      <c r="R263" s="327">
        <f t="shared" si="60"/>
        <v>0</v>
      </c>
      <c r="S263" s="228">
        <f t="shared" si="66"/>
        <v>0</v>
      </c>
      <c r="T263" s="240"/>
      <c r="U263" s="332">
        <f>IF(D263=0,0,SUM($L$21:L263))</f>
        <v>0</v>
      </c>
      <c r="V263" s="323">
        <f>IF(D263=0,0,SUM($J$21:J263))</f>
        <v>0</v>
      </c>
      <c r="W263" s="333">
        <f t="shared" si="61"/>
        <v>0</v>
      </c>
      <c r="X263" s="230">
        <f t="shared" si="67"/>
        <v>0</v>
      </c>
      <c r="Y263" s="201">
        <f t="shared" ref="Y263:Z278" si="71">Y262+1</f>
        <v>45900</v>
      </c>
      <c r="Z263" s="202">
        <f t="shared" si="71"/>
        <v>45900</v>
      </c>
      <c r="AA263" s="18"/>
      <c r="AB263" s="244"/>
      <c r="AC263" s="247"/>
      <c r="AD263" s="142"/>
      <c r="AE263" s="18"/>
      <c r="AF263" s="18"/>
      <c r="AG263" s="203"/>
      <c r="AH263" s="203"/>
      <c r="AI263" s="18"/>
      <c r="AJ263" s="18"/>
      <c r="AK263" s="18"/>
      <c r="AL263" s="18"/>
      <c r="AM263" s="18"/>
      <c r="AN263" s="18"/>
    </row>
    <row r="264" spans="1:40" ht="21" thickTop="1">
      <c r="A264" s="18"/>
      <c r="B264" s="151"/>
      <c r="C264" s="55">
        <v>244</v>
      </c>
      <c r="D264" s="62">
        <v>1</v>
      </c>
      <c r="E264" s="190">
        <f t="shared" si="62"/>
        <v>9</v>
      </c>
      <c r="F264" s="191">
        <f t="shared" si="63"/>
        <v>45901</v>
      </c>
      <c r="G264" s="192" t="str">
        <f t="shared" si="64"/>
        <v>Mon</v>
      </c>
      <c r="H264" s="193"/>
      <c r="I264" s="194"/>
      <c r="J264" s="307">
        <f>201980/B13</f>
        <v>1830.5238354177995</v>
      </c>
      <c r="K264" s="215"/>
      <c r="L264" s="317">
        <f t="shared" si="65"/>
        <v>1790.3229847157761</v>
      </c>
      <c r="M264" s="321">
        <f t="shared" si="59"/>
        <v>40.200850702023445</v>
      </c>
      <c r="N264" s="60">
        <f t="shared" si="8"/>
        <v>1.022454524153029</v>
      </c>
      <c r="O264" s="56"/>
      <c r="P264" s="317">
        <f>IF(D264=0,0,$L$264)</f>
        <v>1790.3229847157761</v>
      </c>
      <c r="Q264" s="317">
        <f>IF(D264=0,0,$J$264)</f>
        <v>1830.5238354177995</v>
      </c>
      <c r="R264" s="321">
        <f t="shared" si="60"/>
        <v>40.200850702023445</v>
      </c>
      <c r="S264" s="231">
        <f t="shared" si="66"/>
        <v>1.022454524153029</v>
      </c>
      <c r="T264" s="207"/>
      <c r="U264" s="317">
        <f>IF(D264=0,0,SUM($L$21:L264))</f>
        <v>415096.42960240471</v>
      </c>
      <c r="V264" s="317">
        <f>IF(D264=0,0,SUM($J$21:J264))</f>
        <v>443856.90592713415</v>
      </c>
      <c r="W264" s="331">
        <f t="shared" si="61"/>
        <v>28760.476324729447</v>
      </c>
      <c r="X264" s="232">
        <f t="shared" si="67"/>
        <v>1.069286253202123</v>
      </c>
      <c r="Y264" s="201">
        <f t="shared" si="71"/>
        <v>45901</v>
      </c>
      <c r="Z264" s="202">
        <f t="shared" si="71"/>
        <v>45901</v>
      </c>
      <c r="AA264" s="18"/>
      <c r="AB264" s="244"/>
      <c r="AC264" s="247"/>
      <c r="AD264" s="142"/>
      <c r="AE264" s="18"/>
      <c r="AF264" s="18"/>
      <c r="AG264" s="203"/>
      <c r="AH264" s="203"/>
      <c r="AI264" s="18"/>
      <c r="AJ264" s="18"/>
      <c r="AK264" s="18"/>
      <c r="AL264" s="18"/>
      <c r="AM264" s="18"/>
      <c r="AN264" s="18"/>
    </row>
    <row r="265" spans="1:40" ht="20">
      <c r="A265" s="18"/>
      <c r="B265" s="151"/>
      <c r="C265" s="55">
        <v>245</v>
      </c>
      <c r="D265" s="54">
        <v>1</v>
      </c>
      <c r="E265" s="190">
        <f t="shared" si="62"/>
        <v>9</v>
      </c>
      <c r="F265" s="191">
        <f t="shared" si="63"/>
        <v>45902</v>
      </c>
      <c r="G265" s="192" t="str">
        <f t="shared" si="64"/>
        <v>Tue</v>
      </c>
      <c r="H265" s="193"/>
      <c r="I265" s="194"/>
      <c r="J265" s="307">
        <f>254550/B13</f>
        <v>2306.9603045133222</v>
      </c>
      <c r="K265" s="215"/>
      <c r="L265" s="317">
        <f t="shared" si="65"/>
        <v>2960.3034711052292</v>
      </c>
      <c r="M265" s="318">
        <f t="shared" si="59"/>
        <v>-653.34316659190699</v>
      </c>
      <c r="N265" s="41">
        <f t="shared" si="8"/>
        <v>0.77929858442925737</v>
      </c>
      <c r="O265" s="56"/>
      <c r="P265" s="317">
        <f>IF(D265=0,0,SUM($L$264:L265))</f>
        <v>4750.626455821005</v>
      </c>
      <c r="Q265" s="317">
        <f>IF(D265=0,0,SUM($J$264:J265))</f>
        <v>4137.4841399311217</v>
      </c>
      <c r="R265" s="321">
        <f t="shared" si="60"/>
        <v>-613.14231588988332</v>
      </c>
      <c r="S265" s="198">
        <f t="shared" si="66"/>
        <v>0.8709344290501746</v>
      </c>
      <c r="T265" s="207"/>
      <c r="U265" s="317">
        <f>IF(D265=0,0,SUM($L$21:L265))</f>
        <v>418056.73307350994</v>
      </c>
      <c r="V265" s="317">
        <f>IF(D265=0,0,SUM($J$21:J265))</f>
        <v>446163.86623164749</v>
      </c>
      <c r="W265" s="331">
        <f t="shared" si="61"/>
        <v>28107.133158137556</v>
      </c>
      <c r="X265" s="200">
        <f t="shared" si="67"/>
        <v>1.0672328201760963</v>
      </c>
      <c r="Y265" s="201">
        <f t="shared" si="71"/>
        <v>45902</v>
      </c>
      <c r="Z265" s="202">
        <f t="shared" si="71"/>
        <v>45902</v>
      </c>
      <c r="AA265" s="18"/>
      <c r="AB265" s="244"/>
      <c r="AC265" s="247"/>
      <c r="AD265" s="142"/>
      <c r="AE265" s="18"/>
      <c r="AF265" s="18"/>
      <c r="AG265" s="203"/>
      <c r="AH265" s="203"/>
      <c r="AI265" s="18"/>
      <c r="AJ265" s="18"/>
      <c r="AK265" s="18"/>
      <c r="AL265" s="18"/>
      <c r="AM265" s="18"/>
      <c r="AN265" s="18"/>
    </row>
    <row r="266" spans="1:40" ht="20">
      <c r="A266" s="18"/>
      <c r="B266" s="151"/>
      <c r="C266" s="55">
        <v>246</v>
      </c>
      <c r="D266" s="54">
        <v>1</v>
      </c>
      <c r="E266" s="190">
        <f t="shared" si="62"/>
        <v>9</v>
      </c>
      <c r="F266" s="191">
        <f t="shared" si="63"/>
        <v>45903</v>
      </c>
      <c r="G266" s="192" t="str">
        <f t="shared" si="64"/>
        <v>Wed</v>
      </c>
      <c r="H266" s="193"/>
      <c r="I266" s="194"/>
      <c r="J266" s="307">
        <f>234700/B13</f>
        <v>2127.0618089541417</v>
      </c>
      <c r="K266" s="215"/>
      <c r="L266" s="317">
        <f t="shared" si="65"/>
        <v>1996.70849129774</v>
      </c>
      <c r="M266" s="318">
        <f t="shared" si="59"/>
        <v>130.35331765640171</v>
      </c>
      <c r="N266" s="41">
        <f t="shared" si="8"/>
        <v>1.0652841004205276</v>
      </c>
      <c r="O266" s="56"/>
      <c r="P266" s="317">
        <f>IF(D266=0,0,SUM($L$264:L266))</f>
        <v>6747.3349471187448</v>
      </c>
      <c r="Q266" s="317">
        <f>IF(D266=0,0,SUM($J$264:J266))</f>
        <v>6264.545948885263</v>
      </c>
      <c r="R266" s="321">
        <f t="shared" si="60"/>
        <v>-482.78899823348183</v>
      </c>
      <c r="S266" s="198">
        <f t="shared" si="66"/>
        <v>0.92844745339941326</v>
      </c>
      <c r="T266" s="207"/>
      <c r="U266" s="317">
        <f>IF(D266=0,0,SUM($L$21:L266))</f>
        <v>420053.44156480767</v>
      </c>
      <c r="V266" s="317">
        <f>IF(D266=0,0,SUM($J$21:J266))</f>
        <v>448290.92804060166</v>
      </c>
      <c r="W266" s="331">
        <f t="shared" si="61"/>
        <v>28237.486475793994</v>
      </c>
      <c r="X266" s="200">
        <f t="shared" si="67"/>
        <v>1.0672235570088464</v>
      </c>
      <c r="Y266" s="201">
        <f t="shared" si="71"/>
        <v>45903</v>
      </c>
      <c r="Z266" s="202">
        <f t="shared" si="71"/>
        <v>45903</v>
      </c>
      <c r="AA266" s="18"/>
      <c r="AB266" s="244"/>
      <c r="AC266" s="247"/>
      <c r="AD266" s="142"/>
      <c r="AE266" s="18"/>
      <c r="AF266" s="18"/>
      <c r="AG266" s="203"/>
      <c r="AH266" s="203"/>
      <c r="AI266" s="18"/>
      <c r="AJ266" s="18"/>
      <c r="AK266" s="18"/>
      <c r="AL266" s="18"/>
      <c r="AM266" s="18"/>
      <c r="AN266" s="18"/>
    </row>
    <row r="267" spans="1:40" ht="20">
      <c r="A267" s="18"/>
      <c r="B267" s="151"/>
      <c r="C267" s="55">
        <v>247</v>
      </c>
      <c r="D267" s="54">
        <v>1</v>
      </c>
      <c r="E267" s="190">
        <f t="shared" si="62"/>
        <v>9</v>
      </c>
      <c r="F267" s="191">
        <f t="shared" si="63"/>
        <v>45904</v>
      </c>
      <c r="G267" s="192" t="str">
        <f t="shared" si="64"/>
        <v>Thu</v>
      </c>
      <c r="H267" s="193"/>
      <c r="I267" s="194"/>
      <c r="J267" s="307">
        <f>357210/B13</f>
        <v>3237.3572593800977</v>
      </c>
      <c r="K267" s="215"/>
      <c r="L267" s="317">
        <f t="shared" si="65"/>
        <v>2250.5079075101612</v>
      </c>
      <c r="M267" s="318">
        <f t="shared" si="59"/>
        <v>986.84935186993653</v>
      </c>
      <c r="N267" s="41">
        <f t="shared" si="8"/>
        <v>1.4385007262479397</v>
      </c>
      <c r="O267" s="56"/>
      <c r="P267" s="317">
        <f>IF(D267=0,0,SUM($L$264:L267))</f>
        <v>8997.8428546289069</v>
      </c>
      <c r="Q267" s="317">
        <f>IF(D267=0,0,SUM($J$264:J267))</f>
        <v>9501.9032082653612</v>
      </c>
      <c r="R267" s="321">
        <f t="shared" si="60"/>
        <v>504.06035363645424</v>
      </c>
      <c r="S267" s="198">
        <f t="shared" si="66"/>
        <v>1.0560201330230103</v>
      </c>
      <c r="T267" s="207"/>
      <c r="U267" s="317">
        <f>IF(D267=0,0,SUM($L$21:L267))</f>
        <v>422303.94947231782</v>
      </c>
      <c r="V267" s="317">
        <f>IF(D267=0,0,SUM($J$21:J267))</f>
        <v>451528.28529998177</v>
      </c>
      <c r="W267" s="331">
        <f t="shared" si="61"/>
        <v>29224.335827663948</v>
      </c>
      <c r="X267" s="200">
        <f t="shared" si="67"/>
        <v>1.0692021371435922</v>
      </c>
      <c r="Y267" s="201">
        <f t="shared" si="71"/>
        <v>45904</v>
      </c>
      <c r="Z267" s="202">
        <f t="shared" si="71"/>
        <v>45904</v>
      </c>
      <c r="AA267" s="18"/>
      <c r="AB267" s="244"/>
      <c r="AC267" s="247"/>
      <c r="AD267" s="142"/>
      <c r="AE267" s="18"/>
      <c r="AF267" s="18"/>
      <c r="AG267" s="203"/>
      <c r="AH267" s="203"/>
      <c r="AI267" s="18"/>
      <c r="AJ267" s="18"/>
      <c r="AK267" s="18"/>
      <c r="AL267" s="18"/>
      <c r="AM267" s="18"/>
      <c r="AN267" s="18"/>
    </row>
    <row r="268" spans="1:40" ht="20">
      <c r="A268" s="18"/>
      <c r="B268" s="151"/>
      <c r="C268" s="55">
        <v>248</v>
      </c>
      <c r="D268" s="54">
        <v>1</v>
      </c>
      <c r="E268" s="190">
        <f t="shared" si="62"/>
        <v>9</v>
      </c>
      <c r="F268" s="191">
        <f t="shared" si="63"/>
        <v>45905</v>
      </c>
      <c r="G268" s="192" t="str">
        <f t="shared" si="64"/>
        <v>Fri</v>
      </c>
      <c r="H268" s="193"/>
      <c r="I268" s="194"/>
      <c r="J268" s="307">
        <f>330560/B13</f>
        <v>2995.8310676092078</v>
      </c>
      <c r="K268" s="215"/>
      <c r="L268" s="317">
        <f t="shared" si="65"/>
        <v>3343.3619357913158</v>
      </c>
      <c r="M268" s="318">
        <f t="shared" si="59"/>
        <v>-347.53086818210795</v>
      </c>
      <c r="N268" s="41">
        <f t="shared" si="8"/>
        <v>0.89605347107002542</v>
      </c>
      <c r="O268" s="56"/>
      <c r="P268" s="317">
        <f>IF(D268=0,0,SUM($L$264:L268))</f>
        <v>12341.204790420223</v>
      </c>
      <c r="Q268" s="317">
        <f>IF(D268=0,0,SUM($J$264:J268))</f>
        <v>12497.734275874569</v>
      </c>
      <c r="R268" s="321">
        <f t="shared" si="60"/>
        <v>156.52948545434629</v>
      </c>
      <c r="S268" s="198">
        <f t="shared" si="66"/>
        <v>1.0126834849686517</v>
      </c>
      <c r="T268" s="207"/>
      <c r="U268" s="317">
        <f>IF(D268=0,0,SUM($L$21:L268))</f>
        <v>425647.31140810915</v>
      </c>
      <c r="V268" s="317">
        <f>IF(D268=0,0,SUM($J$21:J268))</f>
        <v>454524.11636759096</v>
      </c>
      <c r="W268" s="331">
        <f t="shared" si="61"/>
        <v>28876.804959481815</v>
      </c>
      <c r="X268" s="200">
        <f t="shared" si="67"/>
        <v>1.0678420941129705</v>
      </c>
      <c r="Y268" s="201">
        <f t="shared" si="71"/>
        <v>45905</v>
      </c>
      <c r="Z268" s="202">
        <f t="shared" si="71"/>
        <v>45905</v>
      </c>
      <c r="AA268" s="18"/>
      <c r="AB268" s="244"/>
      <c r="AC268" s="247"/>
      <c r="AD268" s="142"/>
      <c r="AE268" s="18"/>
      <c r="AF268" s="18"/>
      <c r="AG268" s="203"/>
      <c r="AH268" s="203"/>
      <c r="AI268" s="18"/>
      <c r="AJ268" s="18"/>
      <c r="AK268" s="18"/>
      <c r="AL268" s="18"/>
      <c r="AM268" s="18"/>
      <c r="AN268" s="18"/>
    </row>
    <row r="269" spans="1:40" ht="20">
      <c r="A269" s="18"/>
      <c r="B269" s="151"/>
      <c r="C269" s="55">
        <v>249</v>
      </c>
      <c r="D269" s="54">
        <v>1</v>
      </c>
      <c r="E269" s="190">
        <f t="shared" si="62"/>
        <v>9</v>
      </c>
      <c r="F269" s="191">
        <f t="shared" si="63"/>
        <v>45906</v>
      </c>
      <c r="G269" s="192" t="str">
        <f t="shared" si="64"/>
        <v>Sat</v>
      </c>
      <c r="H269" s="193"/>
      <c r="I269" s="194"/>
      <c r="J269" s="307">
        <f>210456/B13</f>
        <v>1907.3409461663948</v>
      </c>
      <c r="K269" s="215"/>
      <c r="L269" s="317">
        <f t="shared" si="65"/>
        <v>1348.2053100828641</v>
      </c>
      <c r="M269" s="318">
        <f t="shared" si="59"/>
        <v>559.1356360835307</v>
      </c>
      <c r="N269" s="41">
        <f t="shared" si="8"/>
        <v>1.4147258818088804</v>
      </c>
      <c r="O269" s="56"/>
      <c r="P269" s="317">
        <f>IF(D269=0,0,SUM($L$264:L269))</f>
        <v>13689.410100503086</v>
      </c>
      <c r="Q269" s="317">
        <f>IF(D269=0,0,SUM($J$264:J269))</f>
        <v>14405.075222040963</v>
      </c>
      <c r="R269" s="321">
        <f t="shared" si="60"/>
        <v>715.66512153787698</v>
      </c>
      <c r="S269" s="198">
        <f t="shared" si="66"/>
        <v>1.0522787407407406</v>
      </c>
      <c r="T269" s="207"/>
      <c r="U269" s="317">
        <f>IF(D269=0,0,SUM($L$21:L269))</f>
        <v>426995.51671819203</v>
      </c>
      <c r="V269" s="317">
        <f>IF(D269=0,0,SUM($J$21:J269))</f>
        <v>456431.45731375733</v>
      </c>
      <c r="W269" s="331">
        <f t="shared" si="61"/>
        <v>29435.940595565306</v>
      </c>
      <c r="X269" s="200">
        <f t="shared" si="67"/>
        <v>1.0689373528364055</v>
      </c>
      <c r="Y269" s="201">
        <f t="shared" si="71"/>
        <v>45906</v>
      </c>
      <c r="Z269" s="202">
        <f t="shared" si="71"/>
        <v>45906</v>
      </c>
      <c r="AA269" s="18"/>
      <c r="AB269" s="244"/>
      <c r="AC269" s="247"/>
      <c r="AD269" s="142"/>
      <c r="AE269" s="18"/>
      <c r="AF269" s="18"/>
      <c r="AG269" s="203"/>
      <c r="AH269" s="203"/>
      <c r="AI269" s="18"/>
      <c r="AJ269" s="18"/>
      <c r="AK269" s="18"/>
      <c r="AL269" s="18"/>
      <c r="AM269" s="18"/>
      <c r="AN269" s="18"/>
    </row>
    <row r="270" spans="1:40" ht="20">
      <c r="A270" s="18"/>
      <c r="B270" s="151"/>
      <c r="C270" s="55">
        <v>250</v>
      </c>
      <c r="D270" s="54">
        <v>0</v>
      </c>
      <c r="E270" s="190">
        <f t="shared" si="62"/>
        <v>9</v>
      </c>
      <c r="F270" s="191">
        <f t="shared" si="63"/>
        <v>45907</v>
      </c>
      <c r="G270" s="192" t="str">
        <f t="shared" si="64"/>
        <v>Sun</v>
      </c>
      <c r="H270" s="193"/>
      <c r="I270" s="194"/>
      <c r="J270" s="307"/>
      <c r="K270" s="215"/>
      <c r="L270" s="317">
        <f t="shared" si="65"/>
        <v>0</v>
      </c>
      <c r="M270" s="318">
        <f t="shared" si="59"/>
        <v>0</v>
      </c>
      <c r="N270" s="41" t="str">
        <f t="shared" si="8"/>
        <v>¥0</v>
      </c>
      <c r="O270" s="44"/>
      <c r="P270" s="317">
        <f>IF(D270=0,0,SUM($L$264:L270))</f>
        <v>0</v>
      </c>
      <c r="Q270" s="317">
        <f>IF(D270=0,0,SUM($J$264:J270))</f>
        <v>0</v>
      </c>
      <c r="R270" s="321">
        <f t="shared" si="60"/>
        <v>0</v>
      </c>
      <c r="S270" s="198">
        <f t="shared" si="66"/>
        <v>0</v>
      </c>
      <c r="T270" s="212"/>
      <c r="U270" s="317">
        <f>IF(D270=0,0,SUM($L$21:L270))</f>
        <v>0</v>
      </c>
      <c r="V270" s="317">
        <f>IF(D270=0,0,SUM($J$21:J270))</f>
        <v>0</v>
      </c>
      <c r="W270" s="331">
        <f t="shared" si="61"/>
        <v>0</v>
      </c>
      <c r="X270" s="200">
        <f t="shared" si="67"/>
        <v>0</v>
      </c>
      <c r="Y270" s="201">
        <f t="shared" si="71"/>
        <v>45907</v>
      </c>
      <c r="Z270" s="202">
        <f t="shared" si="71"/>
        <v>45907</v>
      </c>
      <c r="AA270" s="18"/>
      <c r="AB270" s="244"/>
      <c r="AC270" s="247"/>
      <c r="AD270" s="142"/>
      <c r="AE270" s="18"/>
      <c r="AF270" s="18"/>
      <c r="AG270" s="203"/>
      <c r="AH270" s="203"/>
      <c r="AI270" s="18"/>
      <c r="AJ270" s="18"/>
      <c r="AK270" s="18"/>
      <c r="AL270" s="18"/>
      <c r="AM270" s="18"/>
      <c r="AN270" s="18"/>
    </row>
    <row r="271" spans="1:40" ht="20">
      <c r="A271" s="18"/>
      <c r="B271" s="151"/>
      <c r="C271" s="55">
        <v>251</v>
      </c>
      <c r="D271" s="54">
        <v>1</v>
      </c>
      <c r="E271" s="190">
        <f t="shared" si="62"/>
        <v>9</v>
      </c>
      <c r="F271" s="191">
        <f t="shared" si="63"/>
        <v>45908</v>
      </c>
      <c r="G271" s="192" t="str">
        <f t="shared" si="64"/>
        <v>Mon</v>
      </c>
      <c r="H271" s="193"/>
      <c r="I271" s="194"/>
      <c r="J271" s="307">
        <f>143200/B13</f>
        <v>1297.8067790465832</v>
      </c>
      <c r="K271" s="215"/>
      <c r="L271" s="317">
        <f t="shared" si="65"/>
        <v>1790.3229847157761</v>
      </c>
      <c r="M271" s="318">
        <f t="shared" si="59"/>
        <v>-492.51620566919291</v>
      </c>
      <c r="N271" s="41">
        <f t="shared" si="8"/>
        <v>0.72490092018374963</v>
      </c>
      <c r="O271" s="56"/>
      <c r="P271" s="317">
        <f>IF(D271=0,0,SUM($L$264:L271))</f>
        <v>15479.733085218862</v>
      </c>
      <c r="Q271" s="317">
        <f>IF(D271=0,0,SUM($J$264:J271))</f>
        <v>15702.882001087546</v>
      </c>
      <c r="R271" s="321">
        <f t="shared" si="60"/>
        <v>223.14891586868362</v>
      </c>
      <c r="S271" s="198">
        <f t="shared" si="66"/>
        <v>1.0144155532036765</v>
      </c>
      <c r="T271" s="207"/>
      <c r="U271" s="317">
        <f>IF(D271=0,0,SUM($L$21:L271))</f>
        <v>428785.83970290778</v>
      </c>
      <c r="V271" s="317">
        <f>IF(D271=0,0,SUM($J$21:J271))</f>
        <v>457729.26409280393</v>
      </c>
      <c r="W271" s="331">
        <f t="shared" si="61"/>
        <v>28943.424389896158</v>
      </c>
      <c r="X271" s="200">
        <f t="shared" si="67"/>
        <v>1.0675008867129339</v>
      </c>
      <c r="Y271" s="201">
        <f t="shared" si="71"/>
        <v>45908</v>
      </c>
      <c r="Z271" s="202">
        <f t="shared" si="71"/>
        <v>45908</v>
      </c>
      <c r="AA271" s="18"/>
      <c r="AB271" s="244"/>
      <c r="AC271" s="247"/>
      <c r="AD271" s="142"/>
      <c r="AE271" s="18"/>
      <c r="AF271" s="18"/>
      <c r="AG271" s="203"/>
      <c r="AH271" s="203"/>
      <c r="AI271" s="18"/>
      <c r="AJ271" s="18"/>
      <c r="AK271" s="18"/>
      <c r="AL271" s="18"/>
      <c r="AM271" s="18"/>
      <c r="AN271" s="18"/>
    </row>
    <row r="272" spans="1:40" ht="20">
      <c r="A272" s="18"/>
      <c r="B272" s="151"/>
      <c r="C272" s="55">
        <v>252</v>
      </c>
      <c r="D272" s="54">
        <v>1</v>
      </c>
      <c r="E272" s="190">
        <f t="shared" si="62"/>
        <v>9</v>
      </c>
      <c r="F272" s="191">
        <f t="shared" si="63"/>
        <v>45909</v>
      </c>
      <c r="G272" s="192" t="str">
        <f t="shared" si="64"/>
        <v>Tue</v>
      </c>
      <c r="H272" s="193"/>
      <c r="I272" s="194"/>
      <c r="J272" s="307">
        <f>239800/B13</f>
        <v>2173.2825811129237</v>
      </c>
      <c r="K272" s="215"/>
      <c r="L272" s="317">
        <f t="shared" si="65"/>
        <v>2960.3034711052292</v>
      </c>
      <c r="M272" s="318">
        <f t="shared" si="59"/>
        <v>-787.02088999230546</v>
      </c>
      <c r="N272" s="41">
        <f t="shared" si="8"/>
        <v>0.73414182104158687</v>
      </c>
      <c r="O272" s="56"/>
      <c r="P272" s="317">
        <f>IF(D272=0,0,SUM($L$264:L272))</f>
        <v>18440.036556324092</v>
      </c>
      <c r="Q272" s="317">
        <f>IF(D272=0,0,SUM($J$264:J272))</f>
        <v>17876.164582200468</v>
      </c>
      <c r="R272" s="321">
        <f t="shared" si="60"/>
        <v>-563.87197412362366</v>
      </c>
      <c r="S272" s="198">
        <f t="shared" si="66"/>
        <v>0.9694213201583789</v>
      </c>
      <c r="T272" s="207"/>
      <c r="U272" s="317">
        <f>IF(D272=0,0,SUM($L$21:L272))</f>
        <v>431746.14317401301</v>
      </c>
      <c r="V272" s="317">
        <f>IF(D272=0,0,SUM($J$21:J272))</f>
        <v>459902.54667391686</v>
      </c>
      <c r="W272" s="331">
        <f t="shared" si="61"/>
        <v>28156.403499903856</v>
      </c>
      <c r="X272" s="200">
        <f t="shared" si="67"/>
        <v>1.0652151824516833</v>
      </c>
      <c r="Y272" s="201">
        <f t="shared" si="71"/>
        <v>45909</v>
      </c>
      <c r="Z272" s="202">
        <f t="shared" si="71"/>
        <v>45909</v>
      </c>
      <c r="AA272" s="18"/>
      <c r="AB272" s="244"/>
      <c r="AC272" s="247"/>
      <c r="AD272" s="142"/>
      <c r="AE272" s="18"/>
      <c r="AF272" s="18"/>
      <c r="AG272" s="203"/>
      <c r="AH272" s="203"/>
      <c r="AI272" s="18"/>
      <c r="AJ272" s="18"/>
      <c r="AK272" s="18"/>
      <c r="AL272" s="18"/>
      <c r="AM272" s="18"/>
      <c r="AN272" s="18"/>
    </row>
    <row r="273" spans="1:40" ht="20">
      <c r="A273" s="18"/>
      <c r="B273" s="151"/>
      <c r="C273" s="55">
        <v>253</v>
      </c>
      <c r="D273" s="54">
        <v>1</v>
      </c>
      <c r="E273" s="190">
        <f t="shared" si="62"/>
        <v>9</v>
      </c>
      <c r="F273" s="191">
        <f t="shared" si="63"/>
        <v>45910</v>
      </c>
      <c r="G273" s="192" t="str">
        <f t="shared" si="64"/>
        <v>Wed</v>
      </c>
      <c r="H273" s="193"/>
      <c r="I273" s="194"/>
      <c r="J273" s="307">
        <f>356900/B13</f>
        <v>3234.5477614645638</v>
      </c>
      <c r="K273" s="215"/>
      <c r="L273" s="317">
        <f t="shared" si="65"/>
        <v>1996.70849129774</v>
      </c>
      <c r="M273" s="318">
        <f t="shared" si="59"/>
        <v>1237.8392701668238</v>
      </c>
      <c r="N273" s="41">
        <f t="shared" si="8"/>
        <v>1.6199399038776576</v>
      </c>
      <c r="O273" s="56"/>
      <c r="P273" s="317">
        <f>IF(D273=0,0,SUM($L$264:L273))</f>
        <v>20436.745047621833</v>
      </c>
      <c r="Q273" s="317">
        <f>IF(D273=0,0,SUM($J$264:J273))</f>
        <v>21110.712343665033</v>
      </c>
      <c r="R273" s="321">
        <f t="shared" si="60"/>
        <v>673.96729604319989</v>
      </c>
      <c r="S273" s="198">
        <f t="shared" si="66"/>
        <v>1.0329782112793753</v>
      </c>
      <c r="T273" s="207"/>
      <c r="U273" s="317">
        <f>IF(D273=0,0,SUM($L$21:L273))</f>
        <v>433742.85166531074</v>
      </c>
      <c r="V273" s="317">
        <f>IF(D273=0,0,SUM($J$21:J273))</f>
        <v>463137.09443538141</v>
      </c>
      <c r="W273" s="331">
        <f t="shared" si="61"/>
        <v>29394.242770070676</v>
      </c>
      <c r="X273" s="200">
        <f t="shared" si="67"/>
        <v>1.0677688235257701</v>
      </c>
      <c r="Y273" s="201">
        <f t="shared" si="71"/>
        <v>45910</v>
      </c>
      <c r="Z273" s="202">
        <f t="shared" si="71"/>
        <v>45910</v>
      </c>
      <c r="AA273" s="18"/>
      <c r="AB273" s="244"/>
      <c r="AC273" s="247"/>
      <c r="AD273" s="142"/>
      <c r="AE273" s="18"/>
      <c r="AF273" s="18"/>
      <c r="AG273" s="203"/>
      <c r="AH273" s="203"/>
      <c r="AI273" s="18"/>
      <c r="AJ273" s="18"/>
      <c r="AK273" s="18"/>
      <c r="AL273" s="18"/>
      <c r="AM273" s="18"/>
      <c r="AN273" s="18"/>
    </row>
    <row r="274" spans="1:40" ht="20">
      <c r="A274" s="18"/>
      <c r="B274" s="151"/>
      <c r="C274" s="55">
        <v>254</v>
      </c>
      <c r="D274" s="54">
        <v>1</v>
      </c>
      <c r="E274" s="190">
        <f t="shared" si="62"/>
        <v>9</v>
      </c>
      <c r="F274" s="191">
        <f t="shared" si="63"/>
        <v>45911</v>
      </c>
      <c r="G274" s="192" t="str">
        <f t="shared" si="64"/>
        <v>Thu</v>
      </c>
      <c r="H274" s="193"/>
      <c r="I274" s="194"/>
      <c r="J274" s="307">
        <f>263000/B13</f>
        <v>2383.5417799528727</v>
      </c>
      <c r="K274" s="215"/>
      <c r="L274" s="317">
        <f t="shared" si="65"/>
        <v>2250.5079075101612</v>
      </c>
      <c r="M274" s="318">
        <f t="shared" si="59"/>
        <v>133.03387244271153</v>
      </c>
      <c r="N274" s="41">
        <f t="shared" si="8"/>
        <v>1.0591128215985222</v>
      </c>
      <c r="O274" s="56"/>
      <c r="P274" s="317">
        <f>IF(D274=0,0,SUM($L$264:L274))</f>
        <v>22687.252955131993</v>
      </c>
      <c r="Q274" s="317">
        <f>IF(D274=0,0,SUM($J$264:J274))</f>
        <v>23494.254123617906</v>
      </c>
      <c r="R274" s="321">
        <f t="shared" si="60"/>
        <v>807.00116848591279</v>
      </c>
      <c r="S274" s="198">
        <f t="shared" si="66"/>
        <v>1.0355706867676708</v>
      </c>
      <c r="T274" s="207"/>
      <c r="U274" s="317">
        <f>IF(D274=0,0,SUM($L$21:L274))</f>
        <v>435993.35957282089</v>
      </c>
      <c r="V274" s="317">
        <f>IF(D274=0,0,SUM($J$21:J274))</f>
        <v>465520.63621533429</v>
      </c>
      <c r="W274" s="331">
        <f t="shared" si="61"/>
        <v>29527.276642513403</v>
      </c>
      <c r="X274" s="200">
        <f t="shared" si="67"/>
        <v>1.0677241430269575</v>
      </c>
      <c r="Y274" s="201">
        <f t="shared" si="71"/>
        <v>45911</v>
      </c>
      <c r="Z274" s="202">
        <f t="shared" si="71"/>
        <v>45911</v>
      </c>
      <c r="AA274" s="18"/>
      <c r="AB274" s="244"/>
      <c r="AC274" s="247"/>
      <c r="AD274" s="142"/>
      <c r="AE274" s="18"/>
      <c r="AF274" s="18"/>
      <c r="AG274" s="203"/>
      <c r="AH274" s="203"/>
      <c r="AI274" s="18"/>
      <c r="AJ274" s="18"/>
      <c r="AK274" s="18"/>
      <c r="AL274" s="18"/>
      <c r="AM274" s="18"/>
      <c r="AN274" s="18"/>
    </row>
    <row r="275" spans="1:40" ht="20">
      <c r="A275" s="18"/>
      <c r="B275" s="151"/>
      <c r="C275" s="55">
        <v>255</v>
      </c>
      <c r="D275" s="54">
        <v>1</v>
      </c>
      <c r="E275" s="190">
        <f t="shared" si="62"/>
        <v>9</v>
      </c>
      <c r="F275" s="191">
        <f t="shared" si="63"/>
        <v>45912</v>
      </c>
      <c r="G275" s="192" t="str">
        <f t="shared" si="64"/>
        <v>Fri</v>
      </c>
      <c r="H275" s="193"/>
      <c r="I275" s="194"/>
      <c r="J275" s="307">
        <f>353200/B13</f>
        <v>3201.0150444081928</v>
      </c>
      <c r="K275" s="215"/>
      <c r="L275" s="317">
        <f t="shared" si="65"/>
        <v>3343.3619357913158</v>
      </c>
      <c r="M275" s="318">
        <f t="shared" si="59"/>
        <v>-142.34689138312297</v>
      </c>
      <c r="N275" s="41">
        <f t="shared" si="8"/>
        <v>0.95742402584079433</v>
      </c>
      <c r="O275" s="56"/>
      <c r="P275" s="317">
        <f>IF(D275=0,0,SUM($L$264:L275))</f>
        <v>26030.614890923309</v>
      </c>
      <c r="Q275" s="317">
        <f>IF(D275=0,0,SUM($J$264:J275))</f>
        <v>26695.269168026098</v>
      </c>
      <c r="R275" s="321">
        <f t="shared" si="60"/>
        <v>664.65427710278891</v>
      </c>
      <c r="S275" s="198">
        <f t="shared" si="66"/>
        <v>1.0255335603821847</v>
      </c>
      <c r="T275" s="207"/>
      <c r="U275" s="317">
        <f>IF(D275=0,0,SUM($L$21:L275))</f>
        <v>439336.72150861222</v>
      </c>
      <c r="V275" s="317">
        <f>IF(D275=0,0,SUM($J$21:J275))</f>
        <v>468721.6512597425</v>
      </c>
      <c r="W275" s="331">
        <f t="shared" si="61"/>
        <v>29384.929751130287</v>
      </c>
      <c r="X275" s="200">
        <f t="shared" si="67"/>
        <v>1.0668847567538338</v>
      </c>
      <c r="Y275" s="201">
        <f t="shared" si="71"/>
        <v>45912</v>
      </c>
      <c r="Z275" s="202">
        <f t="shared" si="71"/>
        <v>45912</v>
      </c>
      <c r="AA275" s="18"/>
      <c r="AB275" s="244"/>
      <c r="AC275" s="247"/>
      <c r="AD275" s="142"/>
      <c r="AE275" s="18"/>
      <c r="AF275" s="18"/>
      <c r="AG275" s="203"/>
      <c r="AH275" s="203"/>
      <c r="AI275" s="18"/>
      <c r="AJ275" s="18"/>
      <c r="AK275" s="18"/>
      <c r="AL275" s="18"/>
      <c r="AM275" s="18"/>
      <c r="AN275" s="18"/>
    </row>
    <row r="276" spans="1:40" ht="20">
      <c r="A276" s="18"/>
      <c r="B276" s="151"/>
      <c r="C276" s="55">
        <v>256</v>
      </c>
      <c r="D276" s="54">
        <v>1</v>
      </c>
      <c r="E276" s="190">
        <f t="shared" si="62"/>
        <v>9</v>
      </c>
      <c r="F276" s="191">
        <f t="shared" si="63"/>
        <v>45913</v>
      </c>
      <c r="G276" s="192" t="str">
        <f t="shared" si="64"/>
        <v>Sat</v>
      </c>
      <c r="H276" s="193"/>
      <c r="I276" s="194"/>
      <c r="J276" s="307">
        <f>210980/B13</f>
        <v>1912.0899039332969</v>
      </c>
      <c r="K276" s="215"/>
      <c r="L276" s="317">
        <f t="shared" si="65"/>
        <v>1348.2053100828641</v>
      </c>
      <c r="M276" s="318">
        <f t="shared" si="59"/>
        <v>563.88459385043279</v>
      </c>
      <c r="N276" s="41">
        <f t="shared" ref="N276:N385" si="72">IFERROR(J276/L276,"¥0")</f>
        <v>1.418248311020059</v>
      </c>
      <c r="O276" s="56"/>
      <c r="P276" s="317">
        <f>IF(D276=0,0,SUM($L$264:L276))</f>
        <v>27378.820201006172</v>
      </c>
      <c r="Q276" s="317">
        <f>IF(D276=0,0,SUM($J$264:J276))</f>
        <v>28607.359071959396</v>
      </c>
      <c r="R276" s="321">
        <f t="shared" si="60"/>
        <v>1228.5388709532235</v>
      </c>
      <c r="S276" s="198">
        <f t="shared" si="66"/>
        <v>1.0448718703703703</v>
      </c>
      <c r="T276" s="207"/>
      <c r="U276" s="317">
        <f>IF(D276=0,0,SUM($L$21:L276))</f>
        <v>440684.92681869509</v>
      </c>
      <c r="V276" s="317">
        <f>IF(D276=0,0,SUM($J$21:J276))</f>
        <v>470633.74116367579</v>
      </c>
      <c r="W276" s="331">
        <f t="shared" si="61"/>
        <v>29948.814344980696</v>
      </c>
      <c r="X276" s="200">
        <f t="shared" si="67"/>
        <v>1.067959697558029</v>
      </c>
      <c r="Y276" s="201">
        <f t="shared" si="71"/>
        <v>45913</v>
      </c>
      <c r="Z276" s="202">
        <f t="shared" si="71"/>
        <v>45913</v>
      </c>
      <c r="AA276" s="18"/>
      <c r="AB276" s="244"/>
      <c r="AC276" s="247"/>
      <c r="AD276" s="142"/>
      <c r="AE276" s="18"/>
      <c r="AF276" s="18"/>
      <c r="AG276" s="203"/>
      <c r="AH276" s="203"/>
      <c r="AI276" s="18"/>
      <c r="AJ276" s="18"/>
      <c r="AK276" s="18"/>
      <c r="AL276" s="18"/>
      <c r="AM276" s="18"/>
      <c r="AN276" s="18"/>
    </row>
    <row r="277" spans="1:40" ht="20">
      <c r="A277" s="18"/>
      <c r="B277" s="151"/>
      <c r="C277" s="55">
        <v>257</v>
      </c>
      <c r="D277" s="54">
        <v>0</v>
      </c>
      <c r="E277" s="190">
        <f t="shared" si="62"/>
        <v>9</v>
      </c>
      <c r="F277" s="191">
        <f t="shared" si="63"/>
        <v>45914</v>
      </c>
      <c r="G277" s="192" t="str">
        <f t="shared" si="64"/>
        <v>Sun</v>
      </c>
      <c r="H277" s="193"/>
      <c r="I277" s="194"/>
      <c r="J277" s="307"/>
      <c r="K277" s="215"/>
      <c r="L277" s="317">
        <f t="shared" si="65"/>
        <v>0</v>
      </c>
      <c r="M277" s="318">
        <f t="shared" ref="M277:M340" si="73">IF(D277=0,0,J277-L277)</f>
        <v>0</v>
      </c>
      <c r="N277" s="41" t="str">
        <f t="shared" si="72"/>
        <v>¥0</v>
      </c>
      <c r="O277" s="44"/>
      <c r="P277" s="317">
        <f>IF(D277=0,0,SUM($L$264:L277))</f>
        <v>0</v>
      </c>
      <c r="Q277" s="317">
        <f>IF(D277=0,0,SUM($J$264:J277))</f>
        <v>0</v>
      </c>
      <c r="R277" s="321">
        <f t="shared" ref="R277:R340" si="74">IF(D277=0,0,Q277-P277)</f>
        <v>0</v>
      </c>
      <c r="S277" s="198">
        <f t="shared" si="66"/>
        <v>0</v>
      </c>
      <c r="T277" s="212"/>
      <c r="U277" s="317">
        <f>IF(D277=0,0,SUM($L$21:L277))</f>
        <v>0</v>
      </c>
      <c r="V277" s="317">
        <f>IF(D277=0,0,SUM($J$21:J277))</f>
        <v>0</v>
      </c>
      <c r="W277" s="331">
        <f t="shared" ref="W277:W340" si="75">IF(D277=0,0,V277-U277)</f>
        <v>0</v>
      </c>
      <c r="X277" s="200">
        <f t="shared" si="67"/>
        <v>0</v>
      </c>
      <c r="Y277" s="201">
        <f t="shared" si="71"/>
        <v>45914</v>
      </c>
      <c r="Z277" s="202">
        <f t="shared" si="71"/>
        <v>45914</v>
      </c>
      <c r="AA277" s="18"/>
      <c r="AB277" s="244"/>
      <c r="AC277" s="247"/>
      <c r="AD277" s="142"/>
      <c r="AE277" s="18"/>
      <c r="AF277" s="18"/>
      <c r="AG277" s="203"/>
      <c r="AH277" s="203"/>
      <c r="AI277" s="18"/>
      <c r="AJ277" s="18"/>
      <c r="AK277" s="18"/>
      <c r="AL277" s="18"/>
      <c r="AM277" s="18"/>
      <c r="AN277" s="18"/>
    </row>
    <row r="278" spans="1:40" ht="20">
      <c r="A278" s="18"/>
      <c r="B278" s="151"/>
      <c r="C278" s="55">
        <v>258</v>
      </c>
      <c r="D278" s="54">
        <v>0</v>
      </c>
      <c r="E278" s="190">
        <f t="shared" ref="E278:E341" si="76">MONTH(Y278)</f>
        <v>9</v>
      </c>
      <c r="F278" s="191">
        <f t="shared" ref="F278:F341" si="77">F277+1</f>
        <v>45915</v>
      </c>
      <c r="G278" s="192" t="str">
        <f t="shared" ref="G278:G341" si="78">TEXT(Z278,"ddd")</f>
        <v>Mon</v>
      </c>
      <c r="H278" s="193" t="s">
        <v>178</v>
      </c>
      <c r="I278" s="194"/>
      <c r="J278" s="307"/>
      <c r="K278" s="215"/>
      <c r="L278" s="317">
        <f t="shared" ref="L278:L341" si="79">IF(D278=0,0,IFERROR(SUMIFS($AE$21:$AE$104,$AA$21:$AA$104,$E278,$AB$21:$AB$104,$G278),0))</f>
        <v>0</v>
      </c>
      <c r="M278" s="318">
        <f t="shared" si="73"/>
        <v>0</v>
      </c>
      <c r="N278" s="41" t="str">
        <f t="shared" si="72"/>
        <v>¥0</v>
      </c>
      <c r="O278" s="44"/>
      <c r="P278" s="317">
        <f>IF(D278=0,0,SUM($L$264:L278))</f>
        <v>0</v>
      </c>
      <c r="Q278" s="317">
        <f>IF(D278=0,0,SUM($J$264:J278))</f>
        <v>0</v>
      </c>
      <c r="R278" s="321">
        <f t="shared" si="74"/>
        <v>0</v>
      </c>
      <c r="S278" s="198">
        <f t="shared" ref="S278:S341" si="80">IF(D278=0,0,Q278/P278)</f>
        <v>0</v>
      </c>
      <c r="T278" s="212"/>
      <c r="U278" s="317">
        <f>IF(D278=0,0,SUM($L$21:L278))</f>
        <v>0</v>
      </c>
      <c r="V278" s="317">
        <f>IF(D278=0,0,SUM($J$21:J278))</f>
        <v>0</v>
      </c>
      <c r="W278" s="331">
        <f t="shared" si="75"/>
        <v>0</v>
      </c>
      <c r="X278" s="200">
        <f t="shared" ref="X278:X341" si="81">IF(D278=0,0,V278/U278)</f>
        <v>0</v>
      </c>
      <c r="Y278" s="201">
        <f t="shared" si="71"/>
        <v>45915</v>
      </c>
      <c r="Z278" s="202">
        <f t="shared" si="71"/>
        <v>45915</v>
      </c>
      <c r="AA278" s="18"/>
      <c r="AB278" s="244"/>
      <c r="AC278" s="247"/>
      <c r="AD278" s="142"/>
      <c r="AE278" s="18"/>
      <c r="AF278" s="18"/>
      <c r="AG278" s="203"/>
      <c r="AH278" s="203"/>
      <c r="AI278" s="18"/>
      <c r="AJ278" s="18"/>
      <c r="AK278" s="18"/>
      <c r="AL278" s="18"/>
      <c r="AM278" s="18"/>
      <c r="AN278" s="18"/>
    </row>
    <row r="279" spans="1:40" ht="20">
      <c r="A279" s="18"/>
      <c r="B279" s="151"/>
      <c r="C279" s="55">
        <v>259</v>
      </c>
      <c r="D279" s="54">
        <v>1</v>
      </c>
      <c r="E279" s="190">
        <f t="shared" si="76"/>
        <v>9</v>
      </c>
      <c r="F279" s="191">
        <f t="shared" si="77"/>
        <v>45916</v>
      </c>
      <c r="G279" s="192" t="str">
        <f t="shared" si="78"/>
        <v>Tue</v>
      </c>
      <c r="H279" s="193"/>
      <c r="I279" s="194"/>
      <c r="J279" s="307">
        <f>333450/B13</f>
        <v>3022.0228384991842</v>
      </c>
      <c r="K279" s="215"/>
      <c r="L279" s="317">
        <f t="shared" si="79"/>
        <v>2960.3034711052292</v>
      </c>
      <c r="M279" s="318">
        <f t="shared" si="73"/>
        <v>61.719367393955054</v>
      </c>
      <c r="N279" s="41">
        <f t="shared" si="72"/>
        <v>1.0208490001097463</v>
      </c>
      <c r="O279" s="56"/>
      <c r="P279" s="317">
        <f>IF(D279=0,0,SUM($L$264:L279))</f>
        <v>30339.1236721114</v>
      </c>
      <c r="Q279" s="317">
        <f>IF(D279=0,0,SUM($J$264:J279))</f>
        <v>31629.381910458578</v>
      </c>
      <c r="R279" s="321">
        <f t="shared" si="74"/>
        <v>1290.2582383471781</v>
      </c>
      <c r="S279" s="198">
        <f t="shared" si="80"/>
        <v>1.0425278677226006</v>
      </c>
      <c r="T279" s="207"/>
      <c r="U279" s="317">
        <f>IF(D279=0,0,SUM($L$21:L279))</f>
        <v>443645.23028980033</v>
      </c>
      <c r="V279" s="317">
        <f>IF(D279=0,0,SUM($J$21:J279))</f>
        <v>473655.76400217495</v>
      </c>
      <c r="W279" s="331">
        <f t="shared" si="75"/>
        <v>30010.533712374629</v>
      </c>
      <c r="X279" s="200">
        <f t="shared" si="81"/>
        <v>1.0676453428627442</v>
      </c>
      <c r="Y279" s="201">
        <f t="shared" ref="Y279:Z294" si="82">Y278+1</f>
        <v>45916</v>
      </c>
      <c r="Z279" s="202">
        <f t="shared" si="82"/>
        <v>45916</v>
      </c>
      <c r="AA279" s="18"/>
      <c r="AB279" s="244"/>
      <c r="AC279" s="247"/>
      <c r="AD279" s="142"/>
      <c r="AE279" s="18"/>
      <c r="AF279" s="18"/>
      <c r="AG279" s="203"/>
      <c r="AH279" s="203"/>
      <c r="AI279" s="18"/>
      <c r="AJ279" s="18"/>
      <c r="AK279" s="18"/>
      <c r="AL279" s="18"/>
      <c r="AM279" s="18"/>
      <c r="AN279" s="18"/>
    </row>
    <row r="280" spans="1:40" ht="20">
      <c r="A280" s="18"/>
      <c r="B280" s="151"/>
      <c r="C280" s="55">
        <v>260</v>
      </c>
      <c r="D280" s="54">
        <v>1</v>
      </c>
      <c r="E280" s="190">
        <f t="shared" si="76"/>
        <v>9</v>
      </c>
      <c r="F280" s="191">
        <f t="shared" si="77"/>
        <v>45917</v>
      </c>
      <c r="G280" s="192" t="str">
        <f t="shared" si="78"/>
        <v>Wed</v>
      </c>
      <c r="H280" s="193"/>
      <c r="I280" s="194"/>
      <c r="J280" s="307">
        <f>210450/B13</f>
        <v>1907.2865687873843</v>
      </c>
      <c r="K280" s="215"/>
      <c r="L280" s="317">
        <f t="shared" si="79"/>
        <v>1996.70849129774</v>
      </c>
      <c r="M280" s="318">
        <f t="shared" si="73"/>
        <v>-89.421922510355671</v>
      </c>
      <c r="N280" s="41">
        <f t="shared" si="72"/>
        <v>0.9552153341861952</v>
      </c>
      <c r="O280" s="56"/>
      <c r="P280" s="317">
        <f>IF(D280=0,0,SUM($L$264:L280))</f>
        <v>32335.832163409141</v>
      </c>
      <c r="Q280" s="317">
        <f>IF(D280=0,0,SUM($J$264:J280))</f>
        <v>33536.668479245964</v>
      </c>
      <c r="R280" s="321">
        <f t="shared" si="74"/>
        <v>1200.8363158368229</v>
      </c>
      <c r="S280" s="198">
        <f t="shared" si="80"/>
        <v>1.0371363974728838</v>
      </c>
      <c r="T280" s="207"/>
      <c r="U280" s="317">
        <f>IF(D280=0,0,SUM($L$21:L280))</f>
        <v>445641.93878109806</v>
      </c>
      <c r="V280" s="317">
        <f>IF(D280=0,0,SUM($J$21:J280))</f>
        <v>475563.05057096231</v>
      </c>
      <c r="W280" s="331">
        <f t="shared" si="75"/>
        <v>29921.111789864255</v>
      </c>
      <c r="X280" s="200">
        <f t="shared" si="81"/>
        <v>1.0671415977403367</v>
      </c>
      <c r="Y280" s="201">
        <f t="shared" si="82"/>
        <v>45917</v>
      </c>
      <c r="Z280" s="202">
        <f t="shared" si="82"/>
        <v>45917</v>
      </c>
      <c r="AA280" s="18"/>
      <c r="AB280" s="244"/>
      <c r="AC280" s="247"/>
      <c r="AD280" s="142"/>
      <c r="AE280" s="18"/>
      <c r="AF280" s="18"/>
      <c r="AG280" s="203"/>
      <c r="AH280" s="203"/>
      <c r="AI280" s="18"/>
      <c r="AJ280" s="18"/>
      <c r="AK280" s="18"/>
      <c r="AL280" s="18"/>
      <c r="AM280" s="18"/>
      <c r="AN280" s="18"/>
    </row>
    <row r="281" spans="1:40" ht="20">
      <c r="A281" s="18"/>
      <c r="B281" s="151"/>
      <c r="C281" s="55">
        <v>261</v>
      </c>
      <c r="D281" s="54">
        <v>1</v>
      </c>
      <c r="E281" s="190">
        <f t="shared" si="76"/>
        <v>9</v>
      </c>
      <c r="F281" s="191">
        <f t="shared" si="77"/>
        <v>45918</v>
      </c>
      <c r="G281" s="192" t="str">
        <f t="shared" si="78"/>
        <v>Thu</v>
      </c>
      <c r="H281" s="193"/>
      <c r="I281" s="194"/>
      <c r="J281" s="307">
        <f>309890/B13</f>
        <v>2808.5009969186153</v>
      </c>
      <c r="K281" s="215"/>
      <c r="L281" s="317">
        <f t="shared" si="79"/>
        <v>2250.5079075101612</v>
      </c>
      <c r="M281" s="318">
        <f t="shared" si="73"/>
        <v>557.99308940845413</v>
      </c>
      <c r="N281" s="41">
        <f t="shared" si="72"/>
        <v>1.2479409592591866</v>
      </c>
      <c r="O281" s="56"/>
      <c r="P281" s="317">
        <f>IF(D281=0,0,SUM($L$264:L281))</f>
        <v>34586.340070919301</v>
      </c>
      <c r="Q281" s="317">
        <f>IF(D281=0,0,SUM($J$264:J281))</f>
        <v>36345.169476164578</v>
      </c>
      <c r="R281" s="321">
        <f t="shared" si="74"/>
        <v>1758.8294052452766</v>
      </c>
      <c r="S281" s="198">
        <f t="shared" si="80"/>
        <v>1.0508532964644075</v>
      </c>
      <c r="T281" s="207"/>
      <c r="U281" s="317">
        <f>IF(D281=0,0,SUM($L$21:L281))</f>
        <v>447892.44668860821</v>
      </c>
      <c r="V281" s="317">
        <f>IF(D281=0,0,SUM($J$21:J281))</f>
        <v>478371.5515678809</v>
      </c>
      <c r="W281" s="331">
        <f t="shared" si="75"/>
        <v>30479.104879272694</v>
      </c>
      <c r="X281" s="200">
        <f t="shared" si="81"/>
        <v>1.0680500533210888</v>
      </c>
      <c r="Y281" s="201">
        <f t="shared" si="82"/>
        <v>45918</v>
      </c>
      <c r="Z281" s="202">
        <f t="shared" si="82"/>
        <v>45918</v>
      </c>
      <c r="AA281" s="18"/>
      <c r="AB281" s="244"/>
      <c r="AC281" s="247"/>
      <c r="AD281" s="142"/>
      <c r="AE281" s="18"/>
      <c r="AF281" s="18"/>
      <c r="AG281" s="203"/>
      <c r="AH281" s="203"/>
      <c r="AI281" s="18"/>
      <c r="AJ281" s="18"/>
      <c r="AK281" s="18"/>
      <c r="AL281" s="18"/>
      <c r="AM281" s="18"/>
      <c r="AN281" s="18"/>
    </row>
    <row r="282" spans="1:40" ht="20">
      <c r="A282" s="18"/>
      <c r="B282" s="151"/>
      <c r="C282" s="55">
        <v>262</v>
      </c>
      <c r="D282" s="54">
        <v>1</v>
      </c>
      <c r="E282" s="190">
        <f t="shared" si="76"/>
        <v>9</v>
      </c>
      <c r="F282" s="191">
        <f t="shared" si="77"/>
        <v>45919</v>
      </c>
      <c r="G282" s="192" t="str">
        <f t="shared" si="78"/>
        <v>Fri</v>
      </c>
      <c r="H282" s="193"/>
      <c r="I282" s="194"/>
      <c r="J282" s="307">
        <f>415690/B13</f>
        <v>3767.3554468007974</v>
      </c>
      <c r="K282" s="215"/>
      <c r="L282" s="317">
        <f t="shared" si="79"/>
        <v>3343.3619357913158</v>
      </c>
      <c r="M282" s="318">
        <f t="shared" si="73"/>
        <v>423.99351100948161</v>
      </c>
      <c r="N282" s="41">
        <f t="shared" si="72"/>
        <v>1.1268165155768963</v>
      </c>
      <c r="O282" s="56"/>
      <c r="P282" s="317">
        <f>IF(D282=0,0,SUM($L$264:L282))</f>
        <v>37929.70200671062</v>
      </c>
      <c r="Q282" s="317">
        <f>IF(D282=0,0,SUM($J$264:J282))</f>
        <v>40112.524922965378</v>
      </c>
      <c r="R282" s="321">
        <f t="shared" si="74"/>
        <v>2182.8229162547577</v>
      </c>
      <c r="S282" s="198">
        <f t="shared" si="80"/>
        <v>1.0575491712502398</v>
      </c>
      <c r="T282" s="207"/>
      <c r="U282" s="317">
        <f>IF(D282=0,0,SUM($L$21:L282))</f>
        <v>451235.80862439953</v>
      </c>
      <c r="V282" s="317">
        <f>IF(D282=0,0,SUM($J$21:J282))</f>
        <v>482138.90701468172</v>
      </c>
      <c r="W282" s="331">
        <f t="shared" si="75"/>
        <v>30903.09839028219</v>
      </c>
      <c r="X282" s="200">
        <f t="shared" si="81"/>
        <v>1.0684854743343415</v>
      </c>
      <c r="Y282" s="201">
        <f t="shared" si="82"/>
        <v>45919</v>
      </c>
      <c r="Z282" s="202">
        <f t="shared" si="82"/>
        <v>45919</v>
      </c>
      <c r="AA282" s="18"/>
      <c r="AB282" s="244"/>
      <c r="AC282" s="247"/>
      <c r="AD282" s="142"/>
      <c r="AE282" s="18"/>
      <c r="AF282" s="18"/>
      <c r="AG282" s="203"/>
      <c r="AH282" s="203"/>
      <c r="AI282" s="18"/>
      <c r="AJ282" s="18"/>
      <c r="AK282" s="18"/>
      <c r="AL282" s="18"/>
      <c r="AM282" s="18"/>
      <c r="AN282" s="18"/>
    </row>
    <row r="283" spans="1:40" ht="20">
      <c r="A283" s="18"/>
      <c r="B283" s="151"/>
      <c r="C283" s="55">
        <v>263</v>
      </c>
      <c r="D283" s="54">
        <v>1</v>
      </c>
      <c r="E283" s="190">
        <f t="shared" si="76"/>
        <v>9</v>
      </c>
      <c r="F283" s="191">
        <f t="shared" si="77"/>
        <v>45920</v>
      </c>
      <c r="G283" s="192" t="str">
        <f t="shared" si="78"/>
        <v>Sat</v>
      </c>
      <c r="H283" s="193"/>
      <c r="I283" s="194"/>
      <c r="J283" s="307">
        <f>210910/B13</f>
        <v>1911.4555011781765</v>
      </c>
      <c r="K283" s="215"/>
      <c r="L283" s="317">
        <f t="shared" si="79"/>
        <v>1348.2053100828641</v>
      </c>
      <c r="M283" s="318">
        <f t="shared" si="73"/>
        <v>563.2501910953124</v>
      </c>
      <c r="N283" s="41">
        <f t="shared" si="72"/>
        <v>1.4177777574994817</v>
      </c>
      <c r="O283" s="56"/>
      <c r="P283" s="317">
        <f>IF(D283=0,0,SUM($L$264:L283))</f>
        <v>39277.907316793484</v>
      </c>
      <c r="Q283" s="317">
        <f>IF(D283=0,0,SUM($J$264:J283))</f>
        <v>42023.980424143556</v>
      </c>
      <c r="R283" s="321">
        <f t="shared" si="74"/>
        <v>2746.073107350072</v>
      </c>
      <c r="S283" s="198">
        <f t="shared" si="80"/>
        <v>1.0699139362288779</v>
      </c>
      <c r="T283" s="207"/>
      <c r="U283" s="317">
        <f>IF(D283=0,0,SUM($L$21:L283))</f>
        <v>452584.01393448241</v>
      </c>
      <c r="V283" s="317">
        <f>IF(D283=0,0,SUM($J$21:J283))</f>
        <v>484050.36251585989</v>
      </c>
      <c r="W283" s="331">
        <f t="shared" si="75"/>
        <v>31466.348581377475</v>
      </c>
      <c r="X283" s="200">
        <f t="shared" si="81"/>
        <v>1.0695259832706612</v>
      </c>
      <c r="Y283" s="201">
        <f t="shared" si="82"/>
        <v>45920</v>
      </c>
      <c r="Z283" s="202">
        <f t="shared" si="82"/>
        <v>45920</v>
      </c>
      <c r="AA283" s="18"/>
      <c r="AB283" s="244"/>
      <c r="AC283" s="247"/>
      <c r="AD283" s="142"/>
      <c r="AE283" s="18"/>
      <c r="AF283" s="18"/>
      <c r="AG283" s="203"/>
      <c r="AH283" s="203"/>
      <c r="AI283" s="18"/>
      <c r="AJ283" s="18"/>
      <c r="AK283" s="18"/>
      <c r="AL283" s="18"/>
      <c r="AM283" s="18"/>
      <c r="AN283" s="18"/>
    </row>
    <row r="284" spans="1:40" ht="20">
      <c r="A284" s="18"/>
      <c r="B284" s="151"/>
      <c r="C284" s="55">
        <v>264</v>
      </c>
      <c r="D284" s="54">
        <v>0</v>
      </c>
      <c r="E284" s="190">
        <f t="shared" si="76"/>
        <v>9</v>
      </c>
      <c r="F284" s="191">
        <f t="shared" si="77"/>
        <v>45921</v>
      </c>
      <c r="G284" s="192" t="str">
        <f t="shared" si="78"/>
        <v>Sun</v>
      </c>
      <c r="H284" s="193"/>
      <c r="I284" s="194"/>
      <c r="J284" s="307"/>
      <c r="K284" s="215"/>
      <c r="L284" s="317">
        <f t="shared" si="79"/>
        <v>0</v>
      </c>
      <c r="M284" s="318">
        <f t="shared" si="73"/>
        <v>0</v>
      </c>
      <c r="N284" s="41" t="str">
        <f t="shared" si="72"/>
        <v>¥0</v>
      </c>
      <c r="O284" s="44"/>
      <c r="P284" s="317">
        <f>IF(D284=0,0,SUM($L$264:L284))</f>
        <v>0</v>
      </c>
      <c r="Q284" s="317">
        <f>IF(D284=0,0,SUM($J$264:J284))</f>
        <v>0</v>
      </c>
      <c r="R284" s="321">
        <f t="shared" si="74"/>
        <v>0</v>
      </c>
      <c r="S284" s="198">
        <f t="shared" si="80"/>
        <v>0</v>
      </c>
      <c r="T284" s="212"/>
      <c r="U284" s="317">
        <f>IF(D284=0,0,SUM($L$21:L284))</f>
        <v>0</v>
      </c>
      <c r="V284" s="317">
        <f>IF(D284=0,0,SUM($J$21:J284))</f>
        <v>0</v>
      </c>
      <c r="W284" s="331">
        <f t="shared" si="75"/>
        <v>0</v>
      </c>
      <c r="X284" s="200">
        <f t="shared" si="81"/>
        <v>0</v>
      </c>
      <c r="Y284" s="201">
        <f t="shared" si="82"/>
        <v>45921</v>
      </c>
      <c r="Z284" s="202">
        <f t="shared" si="82"/>
        <v>45921</v>
      </c>
      <c r="AA284" s="18"/>
      <c r="AB284" s="244"/>
      <c r="AC284" s="247"/>
      <c r="AD284" s="142"/>
      <c r="AE284" s="18"/>
      <c r="AF284" s="18"/>
      <c r="AG284" s="203"/>
      <c r="AH284" s="203"/>
      <c r="AI284" s="18"/>
      <c r="AJ284" s="18"/>
      <c r="AK284" s="18"/>
      <c r="AL284" s="18"/>
      <c r="AM284" s="18"/>
      <c r="AN284" s="18"/>
    </row>
    <row r="285" spans="1:40" ht="20">
      <c r="A285" s="18"/>
      <c r="B285" s="151"/>
      <c r="C285" s="55">
        <v>265</v>
      </c>
      <c r="D285" s="54">
        <v>1</v>
      </c>
      <c r="E285" s="190">
        <f t="shared" si="76"/>
        <v>9</v>
      </c>
      <c r="F285" s="191">
        <f t="shared" si="77"/>
        <v>45922</v>
      </c>
      <c r="G285" s="192" t="str">
        <f t="shared" si="78"/>
        <v>Mon</v>
      </c>
      <c r="H285" s="193"/>
      <c r="I285" s="194"/>
      <c r="J285" s="307">
        <f>301300/B13</f>
        <v>2730.6507159688235</v>
      </c>
      <c r="K285" s="215"/>
      <c r="L285" s="317">
        <f t="shared" si="79"/>
        <v>1790.3229847157761</v>
      </c>
      <c r="M285" s="318">
        <f t="shared" si="73"/>
        <v>940.32773125304743</v>
      </c>
      <c r="N285" s="41">
        <f t="shared" si="72"/>
        <v>1.5252279835989089</v>
      </c>
      <c r="O285" s="56"/>
      <c r="P285" s="317">
        <f>IF(D285=0,0,SUM($L$264:L285))</f>
        <v>41068.230301509262</v>
      </c>
      <c r="Q285" s="317">
        <f>IF(D285=0,0,SUM($J$264:J285))</f>
        <v>44754.631140112382</v>
      </c>
      <c r="R285" s="321">
        <f t="shared" si="74"/>
        <v>3686.4008386031201</v>
      </c>
      <c r="S285" s="198">
        <f t="shared" si="80"/>
        <v>1.0897628364197529</v>
      </c>
      <c r="T285" s="207"/>
      <c r="U285" s="317">
        <f>IF(D285=0,0,SUM($L$21:L285))</f>
        <v>454374.33691919816</v>
      </c>
      <c r="V285" s="317">
        <f>IF(D285=0,0,SUM($J$21:J285))</f>
        <v>486781.01323182869</v>
      </c>
      <c r="W285" s="331">
        <f t="shared" si="75"/>
        <v>32406.67631263053</v>
      </c>
      <c r="X285" s="200">
        <f t="shared" si="81"/>
        <v>1.0713215375066252</v>
      </c>
      <c r="Y285" s="201">
        <f t="shared" si="82"/>
        <v>45922</v>
      </c>
      <c r="Z285" s="202">
        <f t="shared" si="82"/>
        <v>45922</v>
      </c>
      <c r="AA285" s="18"/>
      <c r="AB285" s="244"/>
      <c r="AC285" s="247"/>
      <c r="AD285" s="142"/>
      <c r="AE285" s="18"/>
      <c r="AF285" s="18"/>
      <c r="AG285" s="203"/>
      <c r="AH285" s="203"/>
      <c r="AI285" s="18"/>
      <c r="AJ285" s="18"/>
      <c r="AK285" s="18"/>
      <c r="AL285" s="18"/>
      <c r="AM285" s="18"/>
      <c r="AN285" s="18"/>
    </row>
    <row r="286" spans="1:40" ht="20">
      <c r="A286" s="18"/>
      <c r="B286" s="151"/>
      <c r="C286" s="55">
        <v>266</v>
      </c>
      <c r="D286" s="54">
        <v>0</v>
      </c>
      <c r="E286" s="190">
        <f t="shared" si="76"/>
        <v>9</v>
      </c>
      <c r="F286" s="191">
        <f t="shared" si="77"/>
        <v>45923</v>
      </c>
      <c r="G286" s="192" t="str">
        <f t="shared" si="78"/>
        <v>Tue</v>
      </c>
      <c r="H286" s="193" t="s">
        <v>179</v>
      </c>
      <c r="I286" s="194"/>
      <c r="J286" s="307"/>
      <c r="K286" s="215"/>
      <c r="L286" s="317">
        <f t="shared" si="79"/>
        <v>0</v>
      </c>
      <c r="M286" s="318">
        <f t="shared" si="73"/>
        <v>0</v>
      </c>
      <c r="N286" s="41" t="str">
        <f t="shared" si="72"/>
        <v>¥0</v>
      </c>
      <c r="O286" s="44"/>
      <c r="P286" s="317">
        <f>IF(D286=0,0,SUM($L$264:L286))</f>
        <v>0</v>
      </c>
      <c r="Q286" s="317">
        <f>IF(D286=0,0,SUM($J$264:J286))</f>
        <v>0</v>
      </c>
      <c r="R286" s="321">
        <f t="shared" si="74"/>
        <v>0</v>
      </c>
      <c r="S286" s="198">
        <f t="shared" si="80"/>
        <v>0</v>
      </c>
      <c r="T286" s="212"/>
      <c r="U286" s="317">
        <f>IF(D286=0,0,SUM($L$21:L286))</f>
        <v>0</v>
      </c>
      <c r="V286" s="317">
        <f>IF(D286=0,0,SUM($J$21:J286))</f>
        <v>0</v>
      </c>
      <c r="W286" s="331">
        <f t="shared" si="75"/>
        <v>0</v>
      </c>
      <c r="X286" s="200">
        <f t="shared" si="81"/>
        <v>0</v>
      </c>
      <c r="Y286" s="201">
        <f t="shared" si="82"/>
        <v>45923</v>
      </c>
      <c r="Z286" s="202">
        <f t="shared" si="82"/>
        <v>45923</v>
      </c>
      <c r="AA286" s="18"/>
      <c r="AB286" s="244"/>
      <c r="AC286" s="247"/>
      <c r="AD286" s="142"/>
      <c r="AE286" s="18"/>
      <c r="AF286" s="18"/>
      <c r="AG286" s="203"/>
      <c r="AH286" s="203"/>
      <c r="AI286" s="18"/>
      <c r="AJ286" s="18"/>
      <c r="AK286" s="18"/>
      <c r="AL286" s="18"/>
      <c r="AM286" s="18"/>
      <c r="AN286" s="18"/>
    </row>
    <row r="287" spans="1:40" ht="20">
      <c r="A287" s="18"/>
      <c r="B287" s="151"/>
      <c r="C287" s="55">
        <v>267</v>
      </c>
      <c r="D287" s="54">
        <v>1</v>
      </c>
      <c r="E287" s="190">
        <f t="shared" si="76"/>
        <v>9</v>
      </c>
      <c r="F287" s="191">
        <f t="shared" si="77"/>
        <v>45924</v>
      </c>
      <c r="G287" s="192" t="str">
        <f t="shared" si="78"/>
        <v>Wed</v>
      </c>
      <c r="H287" s="193"/>
      <c r="I287" s="194"/>
      <c r="J287" s="307">
        <f>168890/B13</f>
        <v>1530.63259017582</v>
      </c>
      <c r="K287" s="215"/>
      <c r="L287" s="317">
        <f t="shared" si="79"/>
        <v>1996.70849129774</v>
      </c>
      <c r="M287" s="318">
        <f t="shared" si="73"/>
        <v>-466.07590112191997</v>
      </c>
      <c r="N287" s="41">
        <f t="shared" si="72"/>
        <v>0.76657789399242815</v>
      </c>
      <c r="O287" s="56"/>
      <c r="P287" s="317">
        <f>IF(D287=0,0,SUM($L$264:L287))</f>
        <v>43064.938792806999</v>
      </c>
      <c r="Q287" s="317">
        <f>IF(D287=0,0,SUM($J$264:J287))</f>
        <v>46285.263730288199</v>
      </c>
      <c r="R287" s="321">
        <f t="shared" si="74"/>
        <v>3220.3249374812003</v>
      </c>
      <c r="S287" s="198">
        <f t="shared" si="80"/>
        <v>1.0747783470208736</v>
      </c>
      <c r="T287" s="207"/>
      <c r="U287" s="317">
        <f>IF(D287=0,0,SUM($L$21:L287))</f>
        <v>456371.04541049589</v>
      </c>
      <c r="V287" s="317">
        <f>IF(D287=0,0,SUM($J$21:J287))</f>
        <v>488311.64582200453</v>
      </c>
      <c r="W287" s="331">
        <f t="shared" si="75"/>
        <v>31940.60041150864</v>
      </c>
      <c r="X287" s="200">
        <f t="shared" si="81"/>
        <v>1.0699882271952172</v>
      </c>
      <c r="Y287" s="201">
        <f t="shared" si="82"/>
        <v>45924</v>
      </c>
      <c r="Z287" s="202">
        <f t="shared" si="82"/>
        <v>45924</v>
      </c>
      <c r="AA287" s="18"/>
      <c r="AB287" s="244"/>
      <c r="AC287" s="247"/>
      <c r="AD287" s="142"/>
      <c r="AE287" s="18"/>
      <c r="AF287" s="18"/>
      <c r="AG287" s="203"/>
      <c r="AH287" s="203"/>
      <c r="AI287" s="18"/>
      <c r="AJ287" s="18"/>
      <c r="AK287" s="18"/>
      <c r="AL287" s="18"/>
      <c r="AM287" s="18"/>
      <c r="AN287" s="18"/>
    </row>
    <row r="288" spans="1:40" ht="20">
      <c r="A288" s="18"/>
      <c r="B288" s="151"/>
      <c r="C288" s="55">
        <v>268</v>
      </c>
      <c r="D288" s="54">
        <v>1</v>
      </c>
      <c r="E288" s="190">
        <f t="shared" si="76"/>
        <v>9</v>
      </c>
      <c r="F288" s="191">
        <f t="shared" si="77"/>
        <v>45925</v>
      </c>
      <c r="G288" s="192" t="str">
        <f t="shared" si="78"/>
        <v>Thu</v>
      </c>
      <c r="H288" s="193"/>
      <c r="I288" s="194"/>
      <c r="J288" s="307">
        <f>210450/B13</f>
        <v>1907.2865687873843</v>
      </c>
      <c r="K288" s="215"/>
      <c r="L288" s="317">
        <f t="shared" si="79"/>
        <v>2250.5079075101612</v>
      </c>
      <c r="M288" s="318">
        <f t="shared" si="73"/>
        <v>-343.22133872277686</v>
      </c>
      <c r="N288" s="41">
        <f t="shared" si="72"/>
        <v>0.8474916095262699</v>
      </c>
      <c r="O288" s="56"/>
      <c r="P288" s="317">
        <f>IF(D288=0,0,SUM($L$264:L288))</f>
        <v>45315.446700317159</v>
      </c>
      <c r="Q288" s="317">
        <f>IF(D288=0,0,SUM($J$264:J288))</f>
        <v>48192.550299075585</v>
      </c>
      <c r="R288" s="321">
        <f t="shared" si="74"/>
        <v>2877.1035987584255</v>
      </c>
      <c r="S288" s="198">
        <f t="shared" si="80"/>
        <v>1.0634905712788281</v>
      </c>
      <c r="T288" s="207"/>
      <c r="U288" s="317">
        <f>IF(D288=0,0,SUM($L$21:L288))</f>
        <v>458621.55331800604</v>
      </c>
      <c r="V288" s="317">
        <f>IF(D288=0,0,SUM($J$21:J288))</f>
        <v>490218.93239079189</v>
      </c>
      <c r="W288" s="331">
        <f t="shared" si="75"/>
        <v>31597.379072785843</v>
      </c>
      <c r="X288" s="200">
        <f t="shared" si="81"/>
        <v>1.0688964110914263</v>
      </c>
      <c r="Y288" s="201">
        <f t="shared" si="82"/>
        <v>45925</v>
      </c>
      <c r="Z288" s="202">
        <f t="shared" si="82"/>
        <v>45925</v>
      </c>
      <c r="AA288" s="18"/>
      <c r="AB288" s="244"/>
      <c r="AC288" s="247"/>
      <c r="AD288" s="142"/>
      <c r="AE288" s="18"/>
      <c r="AF288" s="18"/>
      <c r="AG288" s="203"/>
      <c r="AH288" s="203"/>
      <c r="AI288" s="18"/>
      <c r="AJ288" s="18"/>
      <c r="AK288" s="18"/>
      <c r="AL288" s="18"/>
      <c r="AM288" s="18"/>
      <c r="AN288" s="18"/>
    </row>
    <row r="289" spans="1:40" ht="20">
      <c r="A289" s="18"/>
      <c r="B289" s="151"/>
      <c r="C289" s="55">
        <v>269</v>
      </c>
      <c r="D289" s="54">
        <v>1</v>
      </c>
      <c r="E289" s="190">
        <f t="shared" si="76"/>
        <v>9</v>
      </c>
      <c r="F289" s="191">
        <f t="shared" si="77"/>
        <v>45926</v>
      </c>
      <c r="G289" s="192" t="str">
        <f t="shared" si="78"/>
        <v>Fri</v>
      </c>
      <c r="H289" s="193"/>
      <c r="I289" s="194"/>
      <c r="J289" s="307">
        <f>333980/B13</f>
        <v>3026.8261736450968</v>
      </c>
      <c r="K289" s="215"/>
      <c r="L289" s="317">
        <f t="shared" si="79"/>
        <v>3343.3619357913158</v>
      </c>
      <c r="M289" s="318">
        <f t="shared" si="73"/>
        <v>-316.53576214621899</v>
      </c>
      <c r="N289" s="41">
        <f t="shared" si="72"/>
        <v>0.90532411141083935</v>
      </c>
      <c r="O289" s="56"/>
      <c r="P289" s="317">
        <f>IF(D289=0,0,SUM($L$264:L289))</f>
        <v>48658.808636108472</v>
      </c>
      <c r="Q289" s="317">
        <f>IF(D289=0,0,SUM($J$264:J289))</f>
        <v>51219.37647272068</v>
      </c>
      <c r="R289" s="321">
        <f t="shared" si="74"/>
        <v>2560.5678366122083</v>
      </c>
      <c r="S289" s="198">
        <f t="shared" si="80"/>
        <v>1.0526229044315745</v>
      </c>
      <c r="T289" s="207"/>
      <c r="U289" s="317">
        <f>IF(D289=0,0,SUM($L$21:L289))</f>
        <v>461964.91525379737</v>
      </c>
      <c r="V289" s="317">
        <f>IF(D289=0,0,SUM($J$21:J289))</f>
        <v>493245.75856443698</v>
      </c>
      <c r="W289" s="331">
        <f t="shared" si="75"/>
        <v>31280.843310639611</v>
      </c>
      <c r="X289" s="200">
        <f t="shared" si="81"/>
        <v>1.0677125952161417</v>
      </c>
      <c r="Y289" s="201">
        <f t="shared" si="82"/>
        <v>45926</v>
      </c>
      <c r="Z289" s="202">
        <f t="shared" si="82"/>
        <v>45926</v>
      </c>
      <c r="AA289" s="18"/>
      <c r="AB289" s="244"/>
      <c r="AC289" s="247"/>
      <c r="AD289" s="142"/>
      <c r="AE289" s="18"/>
      <c r="AF289" s="18"/>
      <c r="AG289" s="203"/>
      <c r="AH289" s="203"/>
      <c r="AI289" s="18"/>
      <c r="AJ289" s="18"/>
      <c r="AK289" s="18"/>
      <c r="AL289" s="18"/>
      <c r="AM289" s="18"/>
      <c r="AN289" s="18"/>
    </row>
    <row r="290" spans="1:40" ht="20">
      <c r="A290" s="18"/>
      <c r="B290" s="151"/>
      <c r="C290" s="55">
        <v>270</v>
      </c>
      <c r="D290" s="54">
        <v>1</v>
      </c>
      <c r="E290" s="190">
        <f t="shared" si="76"/>
        <v>9</v>
      </c>
      <c r="F290" s="191">
        <f t="shared" si="77"/>
        <v>45927</v>
      </c>
      <c r="G290" s="192" t="str">
        <f t="shared" si="78"/>
        <v>Sat</v>
      </c>
      <c r="H290" s="193"/>
      <c r="I290" s="194"/>
      <c r="J290" s="307">
        <f>173450/B13</f>
        <v>1571.9593982236722</v>
      </c>
      <c r="K290" s="215"/>
      <c r="L290" s="317">
        <f t="shared" si="79"/>
        <v>1348.2053100828641</v>
      </c>
      <c r="M290" s="318">
        <f t="shared" si="73"/>
        <v>223.75408814080811</v>
      </c>
      <c r="N290" s="41">
        <f t="shared" si="72"/>
        <v>1.1659644020591016</v>
      </c>
      <c r="O290" s="56"/>
      <c r="P290" s="317">
        <f>IF(D290=0,0,SUM($L$264:L290))</f>
        <v>50007.013946191335</v>
      </c>
      <c r="Q290" s="317">
        <f>IF(D290=0,0,SUM($J$264:J290))</f>
        <v>52791.335870944349</v>
      </c>
      <c r="R290" s="321">
        <f t="shared" si="74"/>
        <v>2784.3219247530142</v>
      </c>
      <c r="S290" s="198">
        <f t="shared" si="80"/>
        <v>1.0556786279570503</v>
      </c>
      <c r="T290" s="207"/>
      <c r="U290" s="317">
        <f>IF(D290=0,0,SUM($L$21:L290))</f>
        <v>463313.12056388025</v>
      </c>
      <c r="V290" s="317">
        <f>IF(D290=0,0,SUM($J$21:J290))</f>
        <v>494817.71796266065</v>
      </c>
      <c r="W290" s="331">
        <f t="shared" si="75"/>
        <v>31504.597398780403</v>
      </c>
      <c r="X290" s="200">
        <f t="shared" si="81"/>
        <v>1.0679985003671759</v>
      </c>
      <c r="Y290" s="201">
        <f t="shared" si="82"/>
        <v>45927</v>
      </c>
      <c r="Z290" s="202">
        <f t="shared" si="82"/>
        <v>45927</v>
      </c>
      <c r="AA290" s="18"/>
      <c r="AB290" s="244"/>
      <c r="AC290" s="247"/>
      <c r="AD290" s="142"/>
      <c r="AE290" s="18"/>
      <c r="AF290" s="18"/>
      <c r="AG290" s="203"/>
      <c r="AH290" s="203"/>
      <c r="AI290" s="18"/>
      <c r="AJ290" s="18"/>
      <c r="AK290" s="18"/>
      <c r="AL290" s="18"/>
      <c r="AM290" s="18"/>
      <c r="AN290" s="18"/>
    </row>
    <row r="291" spans="1:40" ht="20">
      <c r="A291" s="18"/>
      <c r="B291" s="151"/>
      <c r="C291" s="55">
        <v>271</v>
      </c>
      <c r="D291" s="54">
        <v>0</v>
      </c>
      <c r="E291" s="190">
        <f t="shared" si="76"/>
        <v>9</v>
      </c>
      <c r="F291" s="191">
        <f t="shared" si="77"/>
        <v>45928</v>
      </c>
      <c r="G291" s="192" t="str">
        <f t="shared" si="78"/>
        <v>Sun</v>
      </c>
      <c r="H291" s="193"/>
      <c r="I291" s="194"/>
      <c r="J291" s="307"/>
      <c r="K291" s="215"/>
      <c r="L291" s="317">
        <f t="shared" si="79"/>
        <v>0</v>
      </c>
      <c r="M291" s="318">
        <f t="shared" si="73"/>
        <v>0</v>
      </c>
      <c r="N291" s="41" t="str">
        <f t="shared" si="72"/>
        <v>¥0</v>
      </c>
      <c r="O291" s="44"/>
      <c r="P291" s="317">
        <f>IF(D291=0,0,SUM($L$264:L291))</f>
        <v>0</v>
      </c>
      <c r="Q291" s="317">
        <f>IF(D291=0,0,SUM($J$264:J291))</f>
        <v>0</v>
      </c>
      <c r="R291" s="321">
        <f t="shared" si="74"/>
        <v>0</v>
      </c>
      <c r="S291" s="198">
        <f t="shared" si="80"/>
        <v>0</v>
      </c>
      <c r="T291" s="212"/>
      <c r="U291" s="317">
        <f>IF(D291=0,0,SUM($L$21:L291))</f>
        <v>0</v>
      </c>
      <c r="V291" s="317">
        <f>IF(D291=0,0,SUM($J$21:J291))</f>
        <v>0</v>
      </c>
      <c r="W291" s="331">
        <f t="shared" si="75"/>
        <v>0</v>
      </c>
      <c r="X291" s="200">
        <f t="shared" si="81"/>
        <v>0</v>
      </c>
      <c r="Y291" s="201">
        <f t="shared" si="82"/>
        <v>45928</v>
      </c>
      <c r="Z291" s="202">
        <f t="shared" si="82"/>
        <v>45928</v>
      </c>
      <c r="AA291" s="18"/>
      <c r="AB291" s="244"/>
      <c r="AC291" s="247"/>
      <c r="AD291" s="142"/>
      <c r="AE291" s="18"/>
      <c r="AF291" s="18"/>
      <c r="AG291" s="203"/>
      <c r="AH291" s="203"/>
      <c r="AI291" s="18"/>
      <c r="AJ291" s="18"/>
      <c r="AK291" s="18"/>
      <c r="AL291" s="18"/>
      <c r="AM291" s="18"/>
      <c r="AN291" s="18"/>
    </row>
    <row r="292" spans="1:40" ht="20">
      <c r="A292" s="18"/>
      <c r="B292" s="151"/>
      <c r="C292" s="55">
        <v>272</v>
      </c>
      <c r="D292" s="54">
        <v>1</v>
      </c>
      <c r="E292" s="190">
        <f t="shared" si="76"/>
        <v>9</v>
      </c>
      <c r="F292" s="191">
        <f t="shared" si="77"/>
        <v>45929</v>
      </c>
      <c r="G292" s="192" t="str">
        <f t="shared" si="78"/>
        <v>Mon</v>
      </c>
      <c r="H292" s="193"/>
      <c r="I292" s="194"/>
      <c r="J292" s="307">
        <f>201090/B13</f>
        <v>1822.4578575312669</v>
      </c>
      <c r="K292" s="215"/>
      <c r="L292" s="317">
        <f t="shared" si="79"/>
        <v>1790.3229847157761</v>
      </c>
      <c r="M292" s="318">
        <f t="shared" si="73"/>
        <v>32.13487281549078</v>
      </c>
      <c r="N292" s="41">
        <f t="shared" si="72"/>
        <v>1.0179492041881999</v>
      </c>
      <c r="O292" s="56"/>
      <c r="P292" s="317">
        <f>IF(D292=0,0,SUM($L$264:L292))</f>
        <v>51797.336930907113</v>
      </c>
      <c r="Q292" s="317">
        <f>IF(D292=0,0,SUM($J$264:J292))</f>
        <v>54613.793728475619</v>
      </c>
      <c r="R292" s="321">
        <f t="shared" si="74"/>
        <v>2816.4567975685059</v>
      </c>
      <c r="S292" s="198">
        <f t="shared" si="80"/>
        <v>1.054374548276978</v>
      </c>
      <c r="T292" s="207"/>
      <c r="U292" s="317">
        <f>IF(D292=0,0,SUM($L$21:L292))</f>
        <v>465103.443548596</v>
      </c>
      <c r="V292" s="317">
        <f>IF(D292=0,0,SUM($J$21:J292))</f>
        <v>496640.17582019191</v>
      </c>
      <c r="W292" s="331">
        <f t="shared" si="75"/>
        <v>31536.732271595916</v>
      </c>
      <c r="X292" s="200">
        <f t="shared" si="81"/>
        <v>1.0678058455791692</v>
      </c>
      <c r="Y292" s="201">
        <f t="shared" si="82"/>
        <v>45929</v>
      </c>
      <c r="Z292" s="202">
        <f t="shared" si="82"/>
        <v>45929</v>
      </c>
      <c r="AA292" s="18"/>
      <c r="AB292" s="244"/>
      <c r="AC292" s="247"/>
      <c r="AD292" s="142"/>
      <c r="AE292" s="18"/>
      <c r="AF292" s="18"/>
      <c r="AG292" s="203"/>
      <c r="AH292" s="203"/>
      <c r="AI292" s="18"/>
      <c r="AJ292" s="18"/>
      <c r="AK292" s="18"/>
      <c r="AL292" s="18"/>
      <c r="AM292" s="18"/>
      <c r="AN292" s="18"/>
    </row>
    <row r="293" spans="1:40" ht="21" thickBot="1">
      <c r="A293" s="18"/>
      <c r="B293" s="151"/>
      <c r="C293" s="39">
        <v>273</v>
      </c>
      <c r="D293" s="38">
        <v>1</v>
      </c>
      <c r="E293" s="217">
        <f t="shared" si="76"/>
        <v>9</v>
      </c>
      <c r="F293" s="236">
        <f t="shared" si="77"/>
        <v>45930</v>
      </c>
      <c r="G293" s="219" t="str">
        <f t="shared" si="78"/>
        <v>Tue</v>
      </c>
      <c r="H293" s="233"/>
      <c r="I293" s="221"/>
      <c r="J293" s="316">
        <f>200980/B13</f>
        <v>1821.4609389160776</v>
      </c>
      <c r="K293" s="223"/>
      <c r="L293" s="317">
        <f t="shared" si="79"/>
        <v>2960.3034711052292</v>
      </c>
      <c r="M293" s="320">
        <f t="shared" si="73"/>
        <v>-1138.8425321891516</v>
      </c>
      <c r="N293" s="225">
        <f t="shared" si="72"/>
        <v>0.61529534275620579</v>
      </c>
      <c r="O293" s="226"/>
      <c r="P293" s="325">
        <f>IF(D293=0,0,SUM($L$264:L293))</f>
        <v>54757.640402012345</v>
      </c>
      <c r="Q293" s="326">
        <f>IF(D293=0,0,SUM($J$264:J293))</f>
        <v>56435.254667391695</v>
      </c>
      <c r="R293" s="327">
        <f t="shared" si="74"/>
        <v>1677.6142653793504</v>
      </c>
      <c r="S293" s="228">
        <f t="shared" si="80"/>
        <v>1.0306370810185184</v>
      </c>
      <c r="T293" s="229"/>
      <c r="U293" s="332">
        <f>IF(D293=0,0,SUM($L$21:L293))</f>
        <v>468063.74701970123</v>
      </c>
      <c r="V293" s="332">
        <f>IF(D293=0,0,SUM($J$21:J293))</f>
        <v>498461.63675910799</v>
      </c>
      <c r="W293" s="333">
        <f t="shared" si="75"/>
        <v>30397.889739406761</v>
      </c>
      <c r="X293" s="230">
        <f t="shared" si="81"/>
        <v>1.0649439097408397</v>
      </c>
      <c r="Y293" s="201">
        <f t="shared" si="82"/>
        <v>45930</v>
      </c>
      <c r="Z293" s="202">
        <f t="shared" si="82"/>
        <v>45930</v>
      </c>
      <c r="AA293" s="18"/>
      <c r="AB293" s="244"/>
      <c r="AC293" s="247"/>
      <c r="AD293" s="142"/>
      <c r="AE293" s="18"/>
      <c r="AF293" s="18"/>
      <c r="AG293" s="203"/>
      <c r="AH293" s="203"/>
      <c r="AI293" s="18"/>
      <c r="AJ293" s="18"/>
      <c r="AK293" s="18"/>
      <c r="AL293" s="18"/>
      <c r="AM293" s="18"/>
      <c r="AN293" s="18"/>
    </row>
    <row r="294" spans="1:40" ht="21" thickTop="1">
      <c r="A294" s="18"/>
      <c r="B294" s="151"/>
      <c r="C294" s="55">
        <v>274</v>
      </c>
      <c r="D294" s="62">
        <v>1</v>
      </c>
      <c r="E294" s="190">
        <f t="shared" si="76"/>
        <v>10</v>
      </c>
      <c r="F294" s="191">
        <f t="shared" si="77"/>
        <v>45931</v>
      </c>
      <c r="G294" s="192" t="str">
        <f t="shared" si="78"/>
        <v>Wed</v>
      </c>
      <c r="H294" s="193"/>
      <c r="I294" s="194"/>
      <c r="J294" s="307">
        <f>298790/B13</f>
        <v>2707.9028457495015</v>
      </c>
      <c r="K294" s="215"/>
      <c r="L294" s="317">
        <f t="shared" si="79"/>
        <v>2508.2190418858963</v>
      </c>
      <c r="M294" s="321">
        <f t="shared" si="73"/>
        <v>199.68380386360514</v>
      </c>
      <c r="N294" s="60">
        <f t="shared" si="72"/>
        <v>1.079611788495739</v>
      </c>
      <c r="O294" s="56"/>
      <c r="P294" s="317">
        <f>IF(D294=0,0,$L$294)</f>
        <v>2508.2190418858963</v>
      </c>
      <c r="Q294" s="317">
        <f>IF(D294=0,0,$J$294)</f>
        <v>2707.9028457495015</v>
      </c>
      <c r="R294" s="321">
        <f t="shared" si="74"/>
        <v>199.68380386360514</v>
      </c>
      <c r="S294" s="231">
        <f t="shared" si="80"/>
        <v>1.079611788495739</v>
      </c>
      <c r="T294" s="207"/>
      <c r="U294" s="317">
        <f>IF(D294=0,0,SUM($L$21:L294))</f>
        <v>470571.96606158715</v>
      </c>
      <c r="V294" s="317">
        <f>IF(D294=0,0,SUM($J$21:J294))</f>
        <v>501169.53960485751</v>
      </c>
      <c r="W294" s="331">
        <f t="shared" si="75"/>
        <v>30597.573543270351</v>
      </c>
      <c r="X294" s="232">
        <f t="shared" si="81"/>
        <v>1.0650220917309507</v>
      </c>
      <c r="Y294" s="201">
        <f t="shared" si="82"/>
        <v>45931</v>
      </c>
      <c r="Z294" s="202">
        <f t="shared" si="82"/>
        <v>45931</v>
      </c>
      <c r="AA294" s="18"/>
      <c r="AB294" s="244"/>
      <c r="AC294" s="247"/>
      <c r="AD294" s="142"/>
      <c r="AE294" s="18"/>
      <c r="AF294" s="18"/>
      <c r="AG294" s="203"/>
      <c r="AH294" s="203"/>
      <c r="AI294" s="18"/>
      <c r="AJ294" s="18"/>
      <c r="AK294" s="18"/>
      <c r="AL294" s="18"/>
      <c r="AM294" s="18"/>
      <c r="AN294" s="18"/>
    </row>
    <row r="295" spans="1:40" ht="20">
      <c r="A295" s="18"/>
      <c r="B295" s="151"/>
      <c r="C295" s="55">
        <v>275</v>
      </c>
      <c r="D295" s="54">
        <v>1</v>
      </c>
      <c r="E295" s="190">
        <f t="shared" si="76"/>
        <v>10</v>
      </c>
      <c r="F295" s="191">
        <f t="shared" si="77"/>
        <v>45932</v>
      </c>
      <c r="G295" s="192" t="str">
        <f t="shared" si="78"/>
        <v>Thu</v>
      </c>
      <c r="H295" s="193"/>
      <c r="I295" s="194"/>
      <c r="J295" s="307">
        <f>275670/B13</f>
        <v>2498.3686786296898</v>
      </c>
      <c r="K295" s="215"/>
      <c r="L295" s="317">
        <f t="shared" si="79"/>
        <v>2924.8813174230654</v>
      </c>
      <c r="M295" s="318">
        <f t="shared" si="73"/>
        <v>-426.51263879337557</v>
      </c>
      <c r="N295" s="41">
        <f t="shared" si="72"/>
        <v>0.85417779646213132</v>
      </c>
      <c r="O295" s="56"/>
      <c r="P295" s="317">
        <f>IF(D295=0,0,SUM($L$294:L295))</f>
        <v>5433.1003593089617</v>
      </c>
      <c r="Q295" s="317">
        <f>IF(D295=0,0,SUM($I$294:I295))</f>
        <v>0</v>
      </c>
      <c r="R295" s="321">
        <f t="shared" si="74"/>
        <v>-5433.1003593089617</v>
      </c>
      <c r="S295" s="198">
        <f t="shared" si="80"/>
        <v>0</v>
      </c>
      <c r="T295" s="207"/>
      <c r="U295" s="317">
        <f>IF(D295=0,0,SUM($L$21:L295))</f>
        <v>473496.84737901023</v>
      </c>
      <c r="V295" s="317">
        <f>IF(D295=0,0,SUM($J$21:J295))</f>
        <v>503667.9082834872</v>
      </c>
      <c r="W295" s="331">
        <f t="shared" si="75"/>
        <v>30171.060904476966</v>
      </c>
      <c r="X295" s="200">
        <f t="shared" si="81"/>
        <v>1.0637196658678627</v>
      </c>
      <c r="Y295" s="201">
        <f t="shared" ref="Y295:Z310" si="83">Y294+1</f>
        <v>45932</v>
      </c>
      <c r="Z295" s="202">
        <f t="shared" si="83"/>
        <v>45932</v>
      </c>
      <c r="AA295" s="18"/>
      <c r="AB295" s="244"/>
      <c r="AC295" s="247"/>
      <c r="AD295" s="142"/>
      <c r="AE295" s="18"/>
      <c r="AF295" s="18"/>
      <c r="AG295" s="203"/>
      <c r="AH295" s="203"/>
      <c r="AI295" s="18"/>
      <c r="AJ295" s="18"/>
      <c r="AK295" s="18"/>
      <c r="AL295" s="18"/>
      <c r="AM295" s="18"/>
      <c r="AN295" s="18"/>
    </row>
    <row r="296" spans="1:40" ht="20">
      <c r="A296" s="18"/>
      <c r="B296" s="151"/>
      <c r="C296" s="55">
        <v>276</v>
      </c>
      <c r="D296" s="54">
        <v>1</v>
      </c>
      <c r="E296" s="190">
        <f t="shared" si="76"/>
        <v>10</v>
      </c>
      <c r="F296" s="191">
        <f t="shared" si="77"/>
        <v>45933</v>
      </c>
      <c r="G296" s="192" t="str">
        <f t="shared" si="78"/>
        <v>Fri</v>
      </c>
      <c r="H296" s="193"/>
      <c r="I296" s="194"/>
      <c r="J296" s="307">
        <f>309890/B13</f>
        <v>2808.5009969186153</v>
      </c>
      <c r="K296" s="215"/>
      <c r="L296" s="317">
        <f t="shared" si="79"/>
        <v>2357.8757728190935</v>
      </c>
      <c r="M296" s="318">
        <f t="shared" si="73"/>
        <v>450.6252240995218</v>
      </c>
      <c r="N296" s="41">
        <f t="shared" si="72"/>
        <v>1.1911149133869554</v>
      </c>
      <c r="O296" s="56"/>
      <c r="P296" s="317">
        <f>IF(D296=0,0,SUM($L$294:L296))</f>
        <v>7790.9761321280548</v>
      </c>
      <c r="Q296" s="317">
        <f>IF(D296=0,0,SUM($I$294:I296))</f>
        <v>0</v>
      </c>
      <c r="R296" s="321">
        <f t="shared" si="74"/>
        <v>-7790.9761321280548</v>
      </c>
      <c r="S296" s="198">
        <f t="shared" si="80"/>
        <v>0</v>
      </c>
      <c r="T296" s="207"/>
      <c r="U296" s="317">
        <f>IF(D296=0,0,SUM($L$21:L296))</f>
        <v>475854.72315182933</v>
      </c>
      <c r="V296" s="317">
        <f>IF(D296=0,0,SUM($J$21:J296))</f>
        <v>506476.40928040579</v>
      </c>
      <c r="W296" s="331">
        <f t="shared" si="75"/>
        <v>30621.686128576461</v>
      </c>
      <c r="X296" s="200">
        <f t="shared" si="81"/>
        <v>1.0643509135009805</v>
      </c>
      <c r="Y296" s="201">
        <f t="shared" si="83"/>
        <v>45933</v>
      </c>
      <c r="Z296" s="202">
        <f t="shared" si="83"/>
        <v>45933</v>
      </c>
      <c r="AA296" s="18"/>
      <c r="AB296" s="244"/>
      <c r="AC296" s="247"/>
      <c r="AD296" s="142"/>
      <c r="AE296" s="18"/>
      <c r="AF296" s="18"/>
      <c r="AG296" s="203"/>
      <c r="AH296" s="203"/>
      <c r="AI296" s="18"/>
      <c r="AJ296" s="18"/>
      <c r="AK296" s="18"/>
      <c r="AL296" s="18"/>
      <c r="AM296" s="18"/>
      <c r="AN296" s="18"/>
    </row>
    <row r="297" spans="1:40" ht="20">
      <c r="A297" s="18"/>
      <c r="B297" s="151"/>
      <c r="C297" s="55">
        <v>277</v>
      </c>
      <c r="D297" s="54">
        <v>1</v>
      </c>
      <c r="E297" s="190">
        <f t="shared" si="76"/>
        <v>10</v>
      </c>
      <c r="F297" s="191">
        <f t="shared" si="77"/>
        <v>45934</v>
      </c>
      <c r="G297" s="192" t="str">
        <f t="shared" si="78"/>
        <v>Sat</v>
      </c>
      <c r="H297" s="193"/>
      <c r="I297" s="194"/>
      <c r="J297" s="307">
        <f>201450/B13</f>
        <v>1825.7205002718867</v>
      </c>
      <c r="K297" s="215"/>
      <c r="L297" s="317">
        <f t="shared" si="79"/>
        <v>1600.8328124443144</v>
      </c>
      <c r="M297" s="318">
        <f t="shared" si="73"/>
        <v>224.88768782757234</v>
      </c>
      <c r="N297" s="41">
        <f t="shared" si="72"/>
        <v>1.1404816830835638</v>
      </c>
      <c r="O297" s="56"/>
      <c r="P297" s="317">
        <f>IF(D297=0,0,SUM($L$294:L297))</f>
        <v>9391.808944572369</v>
      </c>
      <c r="Q297" s="317">
        <f>IF(D297=0,0,SUM($I$294:I297))</f>
        <v>0</v>
      </c>
      <c r="R297" s="321">
        <f t="shared" si="74"/>
        <v>-9391.808944572369</v>
      </c>
      <c r="S297" s="198">
        <f t="shared" si="80"/>
        <v>0</v>
      </c>
      <c r="T297" s="207"/>
      <c r="U297" s="317">
        <f>IF(D297=0,0,SUM($L$21:L297))</f>
        <v>477455.55596427363</v>
      </c>
      <c r="V297" s="317">
        <f>IF(D297=0,0,SUM($J$21:J297))</f>
        <v>508302.12978067767</v>
      </c>
      <c r="W297" s="331">
        <f t="shared" si="75"/>
        <v>30846.573816404038</v>
      </c>
      <c r="X297" s="200">
        <f t="shared" si="81"/>
        <v>1.0646061679062588</v>
      </c>
      <c r="Y297" s="201">
        <f t="shared" si="83"/>
        <v>45934</v>
      </c>
      <c r="Z297" s="202">
        <f t="shared" si="83"/>
        <v>45934</v>
      </c>
      <c r="AA297" s="18"/>
      <c r="AB297" s="244"/>
      <c r="AC297" s="247"/>
      <c r="AD297" s="142"/>
      <c r="AE297" s="18"/>
      <c r="AF297" s="18"/>
      <c r="AG297" s="203"/>
      <c r="AH297" s="203"/>
      <c r="AI297" s="18"/>
      <c r="AJ297" s="18"/>
      <c r="AK297" s="18"/>
      <c r="AL297" s="18"/>
      <c r="AM297" s="18"/>
      <c r="AN297" s="18"/>
    </row>
    <row r="298" spans="1:40" ht="20">
      <c r="A298" s="18"/>
      <c r="B298" s="151"/>
      <c r="C298" s="55">
        <v>278</v>
      </c>
      <c r="D298" s="54">
        <v>0</v>
      </c>
      <c r="E298" s="190">
        <f t="shared" si="76"/>
        <v>10</v>
      </c>
      <c r="F298" s="191">
        <f t="shared" si="77"/>
        <v>45935</v>
      </c>
      <c r="G298" s="192" t="str">
        <f t="shared" si="78"/>
        <v>Sun</v>
      </c>
      <c r="H298" s="193"/>
      <c r="I298" s="194"/>
      <c r="J298" s="307"/>
      <c r="K298" s="215"/>
      <c r="L298" s="317">
        <f t="shared" si="79"/>
        <v>0</v>
      </c>
      <c r="M298" s="318">
        <f t="shared" si="73"/>
        <v>0</v>
      </c>
      <c r="N298" s="41" t="str">
        <f t="shared" si="72"/>
        <v>¥0</v>
      </c>
      <c r="O298" s="44"/>
      <c r="P298" s="317">
        <f>IF(D298=0,0,SUM($L$294:L298))</f>
        <v>0</v>
      </c>
      <c r="Q298" s="317">
        <f>IF(D298=0,0,SUM($I$294:I298))</f>
        <v>0</v>
      </c>
      <c r="R298" s="321">
        <f t="shared" si="74"/>
        <v>0</v>
      </c>
      <c r="S298" s="198">
        <f t="shared" si="80"/>
        <v>0</v>
      </c>
      <c r="T298" s="212"/>
      <c r="U298" s="317">
        <f>IF(D298=0,0,SUM($L$21:L298))</f>
        <v>0</v>
      </c>
      <c r="V298" s="317">
        <f>IF(D298=0,0,SUM($J$21:J298))</f>
        <v>0</v>
      </c>
      <c r="W298" s="331">
        <f t="shared" si="75"/>
        <v>0</v>
      </c>
      <c r="X298" s="200">
        <f t="shared" si="81"/>
        <v>0</v>
      </c>
      <c r="Y298" s="201">
        <f t="shared" si="83"/>
        <v>45935</v>
      </c>
      <c r="Z298" s="202">
        <f t="shared" si="83"/>
        <v>45935</v>
      </c>
      <c r="AA298" s="18"/>
      <c r="AB298" s="244"/>
      <c r="AC298" s="247"/>
      <c r="AD298" s="142"/>
      <c r="AE298" s="18"/>
      <c r="AF298" s="18"/>
      <c r="AG298" s="203"/>
      <c r="AH298" s="203"/>
      <c r="AI298" s="18"/>
      <c r="AJ298" s="18"/>
      <c r="AK298" s="18"/>
      <c r="AL298" s="18"/>
      <c r="AM298" s="18"/>
      <c r="AN298" s="18"/>
    </row>
    <row r="299" spans="1:40" ht="20">
      <c r="A299" s="18"/>
      <c r="B299" s="151"/>
      <c r="C299" s="55">
        <v>279</v>
      </c>
      <c r="D299" s="54">
        <v>1</v>
      </c>
      <c r="E299" s="190">
        <f t="shared" si="76"/>
        <v>10</v>
      </c>
      <c r="F299" s="191">
        <f t="shared" si="77"/>
        <v>45936</v>
      </c>
      <c r="G299" s="192" t="str">
        <f t="shared" si="78"/>
        <v>Mon</v>
      </c>
      <c r="H299" s="193"/>
      <c r="I299" s="194"/>
      <c r="J299" s="307">
        <f>334090/B13</f>
        <v>3027.8230922602861</v>
      </c>
      <c r="K299" s="215"/>
      <c r="L299" s="317">
        <f t="shared" si="79"/>
        <v>2756.4890256896492</v>
      </c>
      <c r="M299" s="318">
        <f t="shared" si="73"/>
        <v>271.33406657063688</v>
      </c>
      <c r="N299" s="41">
        <f t="shared" si="72"/>
        <v>1.0984346623700965</v>
      </c>
      <c r="O299" s="56"/>
      <c r="P299" s="317">
        <f>IF(D299=0,0,SUM($L$294:L299))</f>
        <v>12148.297970262018</v>
      </c>
      <c r="Q299" s="317">
        <f>IF(D299=0,0,SUM($I$294:I299))</f>
        <v>0</v>
      </c>
      <c r="R299" s="321">
        <f t="shared" si="74"/>
        <v>-12148.297970262018</v>
      </c>
      <c r="S299" s="198">
        <f t="shared" si="80"/>
        <v>0</v>
      </c>
      <c r="T299" s="207"/>
      <c r="U299" s="317">
        <f>IF(D299=0,0,SUM($L$21:L299))</f>
        <v>480212.04498996329</v>
      </c>
      <c r="V299" s="317">
        <f>IF(D299=0,0,SUM($J$21:J299))</f>
        <v>511329.95287293795</v>
      </c>
      <c r="W299" s="331">
        <f t="shared" si="75"/>
        <v>31117.907882974658</v>
      </c>
      <c r="X299" s="200">
        <f t="shared" si="81"/>
        <v>1.064800348528586</v>
      </c>
      <c r="Y299" s="201">
        <f t="shared" si="83"/>
        <v>45936</v>
      </c>
      <c r="Z299" s="202">
        <f t="shared" si="83"/>
        <v>45936</v>
      </c>
      <c r="AA299" s="18"/>
      <c r="AB299" s="244"/>
      <c r="AC299" s="247"/>
      <c r="AD299" s="142"/>
      <c r="AE299" s="18"/>
      <c r="AF299" s="18"/>
      <c r="AG299" s="203"/>
      <c r="AH299" s="203"/>
      <c r="AI299" s="18"/>
      <c r="AJ299" s="18"/>
      <c r="AK299" s="18"/>
      <c r="AL299" s="18"/>
      <c r="AM299" s="18"/>
      <c r="AN299" s="18"/>
    </row>
    <row r="300" spans="1:40" ht="20">
      <c r="A300" s="18"/>
      <c r="B300" s="151"/>
      <c r="C300" s="55">
        <v>280</v>
      </c>
      <c r="D300" s="54">
        <v>1</v>
      </c>
      <c r="E300" s="190">
        <f t="shared" si="76"/>
        <v>10</v>
      </c>
      <c r="F300" s="191">
        <f t="shared" si="77"/>
        <v>45937</v>
      </c>
      <c r="G300" s="192" t="str">
        <f t="shared" si="78"/>
        <v>Tue</v>
      </c>
      <c r="H300" s="193"/>
      <c r="I300" s="194"/>
      <c r="J300" s="307">
        <f>410980/B13</f>
        <v>3724.6692042776872</v>
      </c>
      <c r="K300" s="215"/>
      <c r="L300" s="317">
        <f t="shared" si="79"/>
        <v>2906.2939562278925</v>
      </c>
      <c r="M300" s="318">
        <f t="shared" si="73"/>
        <v>818.37524804979466</v>
      </c>
      <c r="N300" s="41">
        <f t="shared" si="72"/>
        <v>1.2815872242709998</v>
      </c>
      <c r="O300" s="56"/>
      <c r="P300" s="317">
        <f>IF(D300=0,0,SUM($L$294:L300))</f>
        <v>15054.591926489909</v>
      </c>
      <c r="Q300" s="317">
        <f>IF(D300=0,0,SUM($I$294:I300))</f>
        <v>0</v>
      </c>
      <c r="R300" s="321">
        <f t="shared" si="74"/>
        <v>-15054.591926489909</v>
      </c>
      <c r="S300" s="198">
        <f t="shared" si="80"/>
        <v>0</v>
      </c>
      <c r="T300" s="207"/>
      <c r="U300" s="317">
        <f>IF(D300=0,0,SUM($L$21:L300))</f>
        <v>483118.33894619119</v>
      </c>
      <c r="V300" s="317">
        <f>IF(D300=0,0,SUM($J$21:J300))</f>
        <v>515054.62207721564</v>
      </c>
      <c r="W300" s="331">
        <f t="shared" si="75"/>
        <v>31936.283131024451</v>
      </c>
      <c r="X300" s="200">
        <f t="shared" si="81"/>
        <v>1.0661044728723938</v>
      </c>
      <c r="Y300" s="201">
        <f t="shared" si="83"/>
        <v>45937</v>
      </c>
      <c r="Z300" s="202">
        <f t="shared" si="83"/>
        <v>45937</v>
      </c>
      <c r="AA300" s="18"/>
      <c r="AB300" s="244"/>
      <c r="AC300" s="247"/>
      <c r="AD300" s="142"/>
      <c r="AE300" s="18"/>
      <c r="AF300" s="18"/>
      <c r="AG300" s="203"/>
      <c r="AH300" s="203"/>
      <c r="AI300" s="18"/>
      <c r="AJ300" s="18"/>
      <c r="AK300" s="18"/>
      <c r="AL300" s="18"/>
      <c r="AM300" s="18"/>
      <c r="AN300" s="18"/>
    </row>
    <row r="301" spans="1:40" ht="20">
      <c r="A301" s="18"/>
      <c r="B301" s="151"/>
      <c r="C301" s="55">
        <v>281</v>
      </c>
      <c r="D301" s="54">
        <v>1</v>
      </c>
      <c r="E301" s="190">
        <f t="shared" si="76"/>
        <v>10</v>
      </c>
      <c r="F301" s="191">
        <f t="shared" si="77"/>
        <v>45938</v>
      </c>
      <c r="G301" s="192" t="str">
        <f t="shared" si="78"/>
        <v>Wed</v>
      </c>
      <c r="H301" s="193"/>
      <c r="I301" s="194"/>
      <c r="J301" s="307">
        <f>398790/B13</f>
        <v>3614.1924959216963</v>
      </c>
      <c r="K301" s="215"/>
      <c r="L301" s="317">
        <f t="shared" si="79"/>
        <v>2508.2190418858963</v>
      </c>
      <c r="M301" s="318">
        <f t="shared" si="73"/>
        <v>1105.9734540357999</v>
      </c>
      <c r="N301" s="41">
        <f t="shared" si="72"/>
        <v>1.4409397407350171</v>
      </c>
      <c r="O301" s="56"/>
      <c r="P301" s="317">
        <f>IF(D301=0,0,SUM($L$294:L301))</f>
        <v>17562.810968375805</v>
      </c>
      <c r="Q301" s="317">
        <f>IF(D301=0,0,SUM($I$294:I301))</f>
        <v>0</v>
      </c>
      <c r="R301" s="321">
        <f t="shared" si="74"/>
        <v>-17562.810968375805</v>
      </c>
      <c r="S301" s="198">
        <f t="shared" si="80"/>
        <v>0</v>
      </c>
      <c r="T301" s="207"/>
      <c r="U301" s="317">
        <f>IF(D301=0,0,SUM($L$21:L301))</f>
        <v>485626.55798807711</v>
      </c>
      <c r="V301" s="317">
        <f>IF(D301=0,0,SUM($J$21:J301))</f>
        <v>518668.81457313732</v>
      </c>
      <c r="W301" s="331">
        <f t="shared" si="75"/>
        <v>33042.256585060211</v>
      </c>
      <c r="X301" s="200">
        <f t="shared" si="81"/>
        <v>1.0680404645123867</v>
      </c>
      <c r="Y301" s="201">
        <f t="shared" si="83"/>
        <v>45938</v>
      </c>
      <c r="Z301" s="202">
        <f t="shared" si="83"/>
        <v>45938</v>
      </c>
      <c r="AA301" s="18"/>
      <c r="AB301" s="244"/>
      <c r="AC301" s="247"/>
      <c r="AD301" s="142"/>
      <c r="AE301" s="18"/>
      <c r="AF301" s="18"/>
      <c r="AG301" s="203"/>
      <c r="AH301" s="203"/>
      <c r="AI301" s="18"/>
      <c r="AJ301" s="18"/>
      <c r="AK301" s="18"/>
      <c r="AL301" s="18"/>
      <c r="AM301" s="18"/>
      <c r="AN301" s="18"/>
    </row>
    <row r="302" spans="1:40" ht="20">
      <c r="A302" s="18"/>
      <c r="B302" s="151"/>
      <c r="C302" s="55">
        <v>282</v>
      </c>
      <c r="D302" s="54">
        <v>1</v>
      </c>
      <c r="E302" s="190">
        <f t="shared" si="76"/>
        <v>10</v>
      </c>
      <c r="F302" s="191">
        <f t="shared" si="77"/>
        <v>45939</v>
      </c>
      <c r="G302" s="192" t="str">
        <f t="shared" si="78"/>
        <v>Thu</v>
      </c>
      <c r="H302" s="193"/>
      <c r="I302" s="194"/>
      <c r="J302" s="307">
        <f>313990/B13</f>
        <v>2845.6588725756751</v>
      </c>
      <c r="K302" s="215"/>
      <c r="L302" s="317">
        <f t="shared" si="79"/>
        <v>2924.8813174230654</v>
      </c>
      <c r="M302" s="318">
        <f t="shared" si="73"/>
        <v>-79.222444847390307</v>
      </c>
      <c r="N302" s="41">
        <f t="shared" si="72"/>
        <v>0.97291430446238125</v>
      </c>
      <c r="O302" s="56"/>
      <c r="P302" s="317">
        <f>IF(D302=0,0,SUM($L$294:L302))</f>
        <v>20487.692285798868</v>
      </c>
      <c r="Q302" s="317">
        <f>IF(D302=0,0,SUM($I$294:I302))</f>
        <v>0</v>
      </c>
      <c r="R302" s="321">
        <f t="shared" si="74"/>
        <v>-20487.692285798868</v>
      </c>
      <c r="S302" s="198">
        <f t="shared" si="80"/>
        <v>0</v>
      </c>
      <c r="T302" s="207"/>
      <c r="U302" s="317">
        <f>IF(D302=0,0,SUM($L$21:L302))</f>
        <v>488551.43930550019</v>
      </c>
      <c r="V302" s="317">
        <f>IF(D302=0,0,SUM($J$21:J302))</f>
        <v>521514.473445713</v>
      </c>
      <c r="W302" s="331">
        <f t="shared" si="75"/>
        <v>32963.034140212811</v>
      </c>
      <c r="X302" s="200">
        <f t="shared" si="81"/>
        <v>1.0674709590193232</v>
      </c>
      <c r="Y302" s="201">
        <f t="shared" si="83"/>
        <v>45939</v>
      </c>
      <c r="Z302" s="202">
        <f t="shared" si="83"/>
        <v>45939</v>
      </c>
      <c r="AA302" s="18"/>
      <c r="AB302" s="244"/>
      <c r="AC302" s="247"/>
      <c r="AD302" s="142"/>
      <c r="AE302" s="18"/>
      <c r="AF302" s="18"/>
      <c r="AG302" s="203"/>
      <c r="AH302" s="203"/>
      <c r="AI302" s="18"/>
      <c r="AJ302" s="18"/>
      <c r="AK302" s="18"/>
      <c r="AL302" s="18"/>
      <c r="AM302" s="18"/>
      <c r="AN302" s="18"/>
    </row>
    <row r="303" spans="1:40" ht="20">
      <c r="A303" s="18"/>
      <c r="B303" s="151"/>
      <c r="C303" s="55">
        <v>283</v>
      </c>
      <c r="D303" s="54">
        <v>1</v>
      </c>
      <c r="E303" s="190">
        <f t="shared" si="76"/>
        <v>10</v>
      </c>
      <c r="F303" s="191">
        <f t="shared" si="77"/>
        <v>45940</v>
      </c>
      <c r="G303" s="192" t="str">
        <f t="shared" si="78"/>
        <v>Fri</v>
      </c>
      <c r="H303" s="193"/>
      <c r="I303" s="194"/>
      <c r="J303" s="307">
        <f>234560/B13</f>
        <v>2125.7930034439005</v>
      </c>
      <c r="K303" s="215"/>
      <c r="L303" s="317">
        <f t="shared" si="79"/>
        <v>2357.8757728190935</v>
      </c>
      <c r="M303" s="318">
        <f t="shared" si="73"/>
        <v>-232.08276937519304</v>
      </c>
      <c r="N303" s="41">
        <f t="shared" si="72"/>
        <v>0.90157124813335132</v>
      </c>
      <c r="O303" s="56"/>
      <c r="P303" s="317">
        <f>IF(D303=0,0,SUM($L$294:L303))</f>
        <v>22845.568058617962</v>
      </c>
      <c r="Q303" s="317">
        <f>IF(D303=0,0,SUM($I$294:I303))</f>
        <v>0</v>
      </c>
      <c r="R303" s="321">
        <f t="shared" si="74"/>
        <v>-22845.568058617962</v>
      </c>
      <c r="S303" s="198">
        <f t="shared" si="80"/>
        <v>0</v>
      </c>
      <c r="T303" s="207"/>
      <c r="U303" s="317">
        <f>IF(D303=0,0,SUM($L$21:L303))</f>
        <v>490909.31507831928</v>
      </c>
      <c r="V303" s="317">
        <f>IF(D303=0,0,SUM($J$21:J303))</f>
        <v>523640.26644915692</v>
      </c>
      <c r="W303" s="331">
        <f t="shared" si="75"/>
        <v>32730.951370837633</v>
      </c>
      <c r="X303" s="200">
        <f t="shared" si="81"/>
        <v>1.0666741297537117</v>
      </c>
      <c r="Y303" s="201">
        <f t="shared" si="83"/>
        <v>45940</v>
      </c>
      <c r="Z303" s="202">
        <f t="shared" si="83"/>
        <v>45940</v>
      </c>
      <c r="AA303" s="18"/>
      <c r="AB303" s="244"/>
      <c r="AC303" s="247"/>
      <c r="AD303" s="142"/>
      <c r="AE303" s="18"/>
      <c r="AF303" s="18"/>
      <c r="AG303" s="203"/>
      <c r="AH303" s="203"/>
      <c r="AI303" s="18"/>
      <c r="AJ303" s="18"/>
      <c r="AK303" s="18"/>
      <c r="AL303" s="18"/>
      <c r="AM303" s="18"/>
      <c r="AN303" s="18"/>
    </row>
    <row r="304" spans="1:40" ht="20">
      <c r="A304" s="18"/>
      <c r="B304" s="151"/>
      <c r="C304" s="55">
        <v>284</v>
      </c>
      <c r="D304" s="54">
        <v>1</v>
      </c>
      <c r="E304" s="190">
        <f t="shared" si="76"/>
        <v>10</v>
      </c>
      <c r="F304" s="191">
        <f t="shared" si="77"/>
        <v>45941</v>
      </c>
      <c r="G304" s="192" t="str">
        <f t="shared" si="78"/>
        <v>Sat</v>
      </c>
      <c r="H304" s="193"/>
      <c r="I304" s="194"/>
      <c r="J304" s="307">
        <f>120990/B13</f>
        <v>1096.5198477433387</v>
      </c>
      <c r="K304" s="215"/>
      <c r="L304" s="317">
        <f t="shared" si="79"/>
        <v>1600.8328124443144</v>
      </c>
      <c r="M304" s="318">
        <f t="shared" si="73"/>
        <v>-504.31296470097573</v>
      </c>
      <c r="N304" s="41">
        <f t="shared" si="72"/>
        <v>0.68496837347371753</v>
      </c>
      <c r="O304" s="56"/>
      <c r="P304" s="317">
        <f>IF(D304=0,0,SUM($L$294:L304))</f>
        <v>24446.400871062277</v>
      </c>
      <c r="Q304" s="317">
        <f>IF(D304=0,0,SUM($I$294:I304))</f>
        <v>0</v>
      </c>
      <c r="R304" s="321">
        <f t="shared" si="74"/>
        <v>-24446.400871062277</v>
      </c>
      <c r="S304" s="198">
        <f t="shared" si="80"/>
        <v>0</v>
      </c>
      <c r="T304" s="207"/>
      <c r="U304" s="317">
        <f>IF(D304=0,0,SUM($L$21:L304))</f>
        <v>492510.14789076359</v>
      </c>
      <c r="V304" s="317">
        <f>IF(D304=0,0,SUM($J$21:J304))</f>
        <v>524736.78629690025</v>
      </c>
      <c r="W304" s="331">
        <f t="shared" si="75"/>
        <v>32226.638406136655</v>
      </c>
      <c r="X304" s="200">
        <f t="shared" si="81"/>
        <v>1.0654334505474685</v>
      </c>
      <c r="Y304" s="201">
        <f t="shared" si="83"/>
        <v>45941</v>
      </c>
      <c r="Z304" s="202">
        <f t="shared" si="83"/>
        <v>45941</v>
      </c>
      <c r="AA304" s="18"/>
      <c r="AB304" s="244"/>
      <c r="AC304" s="247"/>
      <c r="AD304" s="142"/>
      <c r="AE304" s="18"/>
      <c r="AF304" s="18"/>
      <c r="AG304" s="203"/>
      <c r="AH304" s="203"/>
      <c r="AI304" s="18"/>
      <c r="AJ304" s="18"/>
      <c r="AK304" s="18"/>
      <c r="AL304" s="18"/>
      <c r="AM304" s="18"/>
      <c r="AN304" s="18"/>
    </row>
    <row r="305" spans="1:40" ht="20">
      <c r="A305" s="18"/>
      <c r="B305" s="151"/>
      <c r="C305" s="55">
        <v>285</v>
      </c>
      <c r="D305" s="54">
        <v>0</v>
      </c>
      <c r="E305" s="190">
        <f t="shared" si="76"/>
        <v>10</v>
      </c>
      <c r="F305" s="191">
        <f t="shared" si="77"/>
        <v>45942</v>
      </c>
      <c r="G305" s="192" t="str">
        <f t="shared" si="78"/>
        <v>Sun</v>
      </c>
      <c r="H305" s="193"/>
      <c r="I305" s="194"/>
      <c r="J305" s="307"/>
      <c r="K305" s="215"/>
      <c r="L305" s="317">
        <f t="shared" si="79"/>
        <v>0</v>
      </c>
      <c r="M305" s="318">
        <f t="shared" si="73"/>
        <v>0</v>
      </c>
      <c r="N305" s="41" t="str">
        <f t="shared" si="72"/>
        <v>¥0</v>
      </c>
      <c r="O305" s="44"/>
      <c r="P305" s="317">
        <f>IF(D305=0,0,SUM($L$294:L305))</f>
        <v>0</v>
      </c>
      <c r="Q305" s="317">
        <f>IF(D305=0,0,SUM($I$294:I305))</f>
        <v>0</v>
      </c>
      <c r="R305" s="321">
        <f t="shared" si="74"/>
        <v>0</v>
      </c>
      <c r="S305" s="198">
        <f t="shared" si="80"/>
        <v>0</v>
      </c>
      <c r="T305" s="212"/>
      <c r="U305" s="317">
        <f>IF(D305=0,0,SUM($L$21:L305))</f>
        <v>0</v>
      </c>
      <c r="V305" s="317">
        <f>IF(D305=0,0,SUM($J$21:J305))</f>
        <v>0</v>
      </c>
      <c r="W305" s="331">
        <f t="shared" si="75"/>
        <v>0</v>
      </c>
      <c r="X305" s="200">
        <f t="shared" si="81"/>
        <v>0</v>
      </c>
      <c r="Y305" s="201">
        <f t="shared" si="83"/>
        <v>45942</v>
      </c>
      <c r="Z305" s="202">
        <f t="shared" si="83"/>
        <v>45942</v>
      </c>
      <c r="AA305" s="18"/>
      <c r="AB305" s="244"/>
      <c r="AC305" s="247"/>
      <c r="AD305" s="142"/>
      <c r="AE305" s="18"/>
      <c r="AF305" s="18"/>
      <c r="AG305" s="203"/>
      <c r="AH305" s="203"/>
      <c r="AI305" s="18"/>
      <c r="AJ305" s="18"/>
      <c r="AK305" s="18"/>
      <c r="AL305" s="18"/>
      <c r="AM305" s="18"/>
      <c r="AN305" s="18"/>
    </row>
    <row r="306" spans="1:40" ht="20">
      <c r="A306" s="18"/>
      <c r="B306" s="151"/>
      <c r="C306" s="55">
        <v>286</v>
      </c>
      <c r="D306" s="54">
        <v>0</v>
      </c>
      <c r="E306" s="190">
        <f t="shared" si="76"/>
        <v>10</v>
      </c>
      <c r="F306" s="191">
        <f t="shared" si="77"/>
        <v>45943</v>
      </c>
      <c r="G306" s="192" t="str">
        <f t="shared" si="78"/>
        <v>Mon</v>
      </c>
      <c r="H306" s="193" t="s">
        <v>180</v>
      </c>
      <c r="I306" s="194"/>
      <c r="J306" s="307"/>
      <c r="K306" s="215"/>
      <c r="L306" s="317">
        <f t="shared" si="79"/>
        <v>0</v>
      </c>
      <c r="M306" s="318">
        <f t="shared" si="73"/>
        <v>0</v>
      </c>
      <c r="N306" s="41" t="str">
        <f t="shared" si="72"/>
        <v>¥0</v>
      </c>
      <c r="O306" s="44"/>
      <c r="P306" s="317">
        <f>IF(D306=0,0,SUM($L$294:L306))</f>
        <v>0</v>
      </c>
      <c r="Q306" s="317">
        <f>IF(D306=0,0,SUM($I$294:I306))</f>
        <v>0</v>
      </c>
      <c r="R306" s="321">
        <f t="shared" si="74"/>
        <v>0</v>
      </c>
      <c r="S306" s="198">
        <f t="shared" si="80"/>
        <v>0</v>
      </c>
      <c r="T306" s="212"/>
      <c r="U306" s="317">
        <f>IF(D306=0,0,SUM($L$21:L306))</f>
        <v>0</v>
      </c>
      <c r="V306" s="317">
        <f>IF(D306=0,0,SUM($J$21:J306))</f>
        <v>0</v>
      </c>
      <c r="W306" s="331">
        <f t="shared" si="75"/>
        <v>0</v>
      </c>
      <c r="X306" s="200">
        <f t="shared" si="81"/>
        <v>0</v>
      </c>
      <c r="Y306" s="201">
        <f t="shared" si="83"/>
        <v>45943</v>
      </c>
      <c r="Z306" s="202">
        <f t="shared" si="83"/>
        <v>45943</v>
      </c>
      <c r="AA306" s="18"/>
      <c r="AB306" s="244"/>
      <c r="AC306" s="247"/>
      <c r="AD306" s="142"/>
      <c r="AE306" s="18"/>
      <c r="AF306" s="18"/>
      <c r="AG306" s="203"/>
      <c r="AH306" s="203"/>
      <c r="AI306" s="18"/>
      <c r="AJ306" s="18"/>
      <c r="AK306" s="18"/>
      <c r="AL306" s="18"/>
      <c r="AM306" s="18"/>
      <c r="AN306" s="18"/>
    </row>
    <row r="307" spans="1:40" ht="20">
      <c r="A307" s="18"/>
      <c r="B307" s="151"/>
      <c r="C307" s="55">
        <v>287</v>
      </c>
      <c r="D307" s="54">
        <v>1</v>
      </c>
      <c r="E307" s="190">
        <f t="shared" si="76"/>
        <v>10</v>
      </c>
      <c r="F307" s="191">
        <f t="shared" si="77"/>
        <v>45944</v>
      </c>
      <c r="G307" s="192" t="str">
        <f t="shared" si="78"/>
        <v>Tue</v>
      </c>
      <c r="H307" s="193"/>
      <c r="I307" s="194"/>
      <c r="J307" s="307">
        <f>333990/B13</f>
        <v>3026.9168026101142</v>
      </c>
      <c r="K307" s="215"/>
      <c r="L307" s="317">
        <f t="shared" si="79"/>
        <v>2906.2939562278925</v>
      </c>
      <c r="M307" s="318">
        <f t="shared" si="73"/>
        <v>120.62284638222172</v>
      </c>
      <c r="N307" s="41">
        <f t="shared" si="72"/>
        <v>1.0415040075776709</v>
      </c>
      <c r="O307" s="56"/>
      <c r="P307" s="317">
        <f>IF(D307=0,0,SUM($L$294:L307))</f>
        <v>27352.694827290168</v>
      </c>
      <c r="Q307" s="317">
        <f>IF(D307=0,0,SUM($I$294:I307))</f>
        <v>0</v>
      </c>
      <c r="R307" s="321">
        <f t="shared" si="74"/>
        <v>-27352.694827290168</v>
      </c>
      <c r="S307" s="198">
        <f t="shared" si="80"/>
        <v>0</v>
      </c>
      <c r="T307" s="207"/>
      <c r="U307" s="317">
        <f>IF(D307=0,0,SUM($L$21:L307))</f>
        <v>495416.44184699148</v>
      </c>
      <c r="V307" s="317">
        <f>IF(D307=0,0,SUM($J$21:J307))</f>
        <v>527763.7030995104</v>
      </c>
      <c r="W307" s="331">
        <f t="shared" si="75"/>
        <v>32347.261252518918</v>
      </c>
      <c r="X307" s="200">
        <f t="shared" si="81"/>
        <v>1.0652930716871711</v>
      </c>
      <c r="Y307" s="201">
        <f t="shared" si="83"/>
        <v>45944</v>
      </c>
      <c r="Z307" s="202">
        <f t="shared" si="83"/>
        <v>45944</v>
      </c>
      <c r="AA307" s="18"/>
      <c r="AB307" s="244"/>
      <c r="AC307" s="247"/>
      <c r="AD307" s="142"/>
      <c r="AE307" s="18"/>
      <c r="AF307" s="18"/>
      <c r="AG307" s="203"/>
      <c r="AH307" s="203"/>
      <c r="AI307" s="18"/>
      <c r="AJ307" s="18"/>
      <c r="AK307" s="18"/>
      <c r="AL307" s="18"/>
      <c r="AM307" s="18"/>
      <c r="AN307" s="18"/>
    </row>
    <row r="308" spans="1:40" ht="20">
      <c r="A308" s="18"/>
      <c r="B308" s="151"/>
      <c r="C308" s="55">
        <v>288</v>
      </c>
      <c r="D308" s="54">
        <v>1</v>
      </c>
      <c r="E308" s="190">
        <f t="shared" si="76"/>
        <v>10</v>
      </c>
      <c r="F308" s="191">
        <f t="shared" si="77"/>
        <v>45945</v>
      </c>
      <c r="G308" s="192" t="str">
        <f t="shared" si="78"/>
        <v>Wed</v>
      </c>
      <c r="H308" s="193"/>
      <c r="I308" s="194"/>
      <c r="J308" s="307">
        <f>350090/B13</f>
        <v>3172.8294362878373</v>
      </c>
      <c r="K308" s="215"/>
      <c r="L308" s="317">
        <f t="shared" si="79"/>
        <v>2508.2190418858963</v>
      </c>
      <c r="M308" s="318">
        <f t="shared" si="73"/>
        <v>664.61039440194099</v>
      </c>
      <c r="N308" s="41">
        <f t="shared" si="72"/>
        <v>1.2649730279944886</v>
      </c>
      <c r="O308" s="56"/>
      <c r="P308" s="317">
        <f>IF(D308=0,0,SUM($L$294:L308))</f>
        <v>29860.913869176064</v>
      </c>
      <c r="Q308" s="317">
        <f>IF(D308=0,0,SUM($I$294:I308))</f>
        <v>0</v>
      </c>
      <c r="R308" s="321">
        <f t="shared" si="74"/>
        <v>-29860.913869176064</v>
      </c>
      <c r="S308" s="198">
        <f t="shared" si="80"/>
        <v>0</v>
      </c>
      <c r="T308" s="207"/>
      <c r="U308" s="317">
        <f>IF(D308=0,0,SUM($L$21:L308))</f>
        <v>497924.66088887741</v>
      </c>
      <c r="V308" s="317">
        <f>IF(D308=0,0,SUM($J$21:J308))</f>
        <v>530936.53253579827</v>
      </c>
      <c r="W308" s="331">
        <f t="shared" si="75"/>
        <v>33011.871646920859</v>
      </c>
      <c r="X308" s="200">
        <f t="shared" si="81"/>
        <v>1.0662989288138274</v>
      </c>
      <c r="Y308" s="201">
        <f t="shared" si="83"/>
        <v>45945</v>
      </c>
      <c r="Z308" s="202">
        <f t="shared" si="83"/>
        <v>45945</v>
      </c>
      <c r="AA308" s="18"/>
      <c r="AB308" s="244"/>
      <c r="AC308" s="247"/>
      <c r="AD308" s="142"/>
      <c r="AE308" s="18"/>
      <c r="AF308" s="18"/>
      <c r="AG308" s="203"/>
      <c r="AH308" s="203"/>
      <c r="AI308" s="18"/>
      <c r="AJ308" s="18"/>
      <c r="AK308" s="18"/>
      <c r="AL308" s="18"/>
      <c r="AM308" s="18"/>
      <c r="AN308" s="18"/>
    </row>
    <row r="309" spans="1:40" ht="20">
      <c r="A309" s="18"/>
      <c r="B309" s="151"/>
      <c r="C309" s="55">
        <v>289</v>
      </c>
      <c r="D309" s="54">
        <v>1</v>
      </c>
      <c r="E309" s="190">
        <f t="shared" si="76"/>
        <v>10</v>
      </c>
      <c r="F309" s="191">
        <f t="shared" si="77"/>
        <v>45946</v>
      </c>
      <c r="G309" s="192" t="str">
        <f t="shared" si="78"/>
        <v>Thu</v>
      </c>
      <c r="H309" s="193"/>
      <c r="I309" s="194"/>
      <c r="J309" s="307">
        <f>409090/B13</f>
        <v>3707.5403298894325</v>
      </c>
      <c r="K309" s="215"/>
      <c r="L309" s="317">
        <f t="shared" si="79"/>
        <v>2924.8813174230654</v>
      </c>
      <c r="M309" s="318">
        <f t="shared" si="73"/>
        <v>782.65901246636713</v>
      </c>
      <c r="N309" s="41">
        <f t="shared" si="72"/>
        <v>1.2675865881477613</v>
      </c>
      <c r="O309" s="56"/>
      <c r="P309" s="317">
        <f>IF(D309=0,0,SUM($L$294:L309))</f>
        <v>32785.795186599127</v>
      </c>
      <c r="Q309" s="317">
        <f>IF(D309=0,0,SUM($I$294:I309))</f>
        <v>0</v>
      </c>
      <c r="R309" s="321">
        <f t="shared" si="74"/>
        <v>-32785.795186599127</v>
      </c>
      <c r="S309" s="198">
        <f t="shared" si="80"/>
        <v>0</v>
      </c>
      <c r="T309" s="207"/>
      <c r="U309" s="317">
        <f>IF(D309=0,0,SUM($L$21:L309))</f>
        <v>500849.54220630048</v>
      </c>
      <c r="V309" s="317">
        <f>IF(D309=0,0,SUM($J$21:J309))</f>
        <v>534644.07286568766</v>
      </c>
      <c r="W309" s="331">
        <f t="shared" si="75"/>
        <v>33794.530659387179</v>
      </c>
      <c r="X309" s="200">
        <f t="shared" si="81"/>
        <v>1.0674744165892982</v>
      </c>
      <c r="Y309" s="201">
        <f t="shared" si="83"/>
        <v>45946</v>
      </c>
      <c r="Z309" s="202">
        <f t="shared" si="83"/>
        <v>45946</v>
      </c>
      <c r="AA309" s="18"/>
      <c r="AB309" s="244"/>
      <c r="AC309" s="247"/>
      <c r="AD309" s="142"/>
      <c r="AE309" s="18"/>
      <c r="AF309" s="18"/>
      <c r="AG309" s="203"/>
      <c r="AH309" s="203"/>
      <c r="AI309" s="18"/>
      <c r="AJ309" s="18"/>
      <c r="AK309" s="18"/>
      <c r="AL309" s="18"/>
      <c r="AM309" s="18"/>
      <c r="AN309" s="18"/>
    </row>
    <row r="310" spans="1:40" ht="20">
      <c r="A310" s="18"/>
      <c r="B310" s="151"/>
      <c r="C310" s="55">
        <v>290</v>
      </c>
      <c r="D310" s="54">
        <v>1</v>
      </c>
      <c r="E310" s="190">
        <f t="shared" si="76"/>
        <v>10</v>
      </c>
      <c r="F310" s="191">
        <f t="shared" si="77"/>
        <v>45947</v>
      </c>
      <c r="G310" s="192" t="str">
        <f t="shared" si="78"/>
        <v>Fri</v>
      </c>
      <c r="H310" s="193"/>
      <c r="I310" s="194"/>
      <c r="J310" s="307">
        <f>235050/B13</f>
        <v>2130.2338227297441</v>
      </c>
      <c r="K310" s="215"/>
      <c r="L310" s="317">
        <f t="shared" si="79"/>
        <v>2357.8757728190935</v>
      </c>
      <c r="M310" s="318">
        <f t="shared" si="73"/>
        <v>-227.64195008934939</v>
      </c>
      <c r="N310" s="41">
        <f t="shared" si="72"/>
        <v>0.90345464646036933</v>
      </c>
      <c r="O310" s="56"/>
      <c r="P310" s="317">
        <f>IF(D310=0,0,SUM($L$294:L310))</f>
        <v>35143.670959418218</v>
      </c>
      <c r="Q310" s="317">
        <f>IF(D310=0,0,SUM($I$294:I310))</f>
        <v>0</v>
      </c>
      <c r="R310" s="321">
        <f t="shared" si="74"/>
        <v>-35143.670959418218</v>
      </c>
      <c r="S310" s="198">
        <f t="shared" si="80"/>
        <v>0</v>
      </c>
      <c r="T310" s="207"/>
      <c r="U310" s="317">
        <f>IF(D310=0,0,SUM($L$21:L310))</f>
        <v>503207.41797911958</v>
      </c>
      <c r="V310" s="317">
        <f>IF(D310=0,0,SUM($J$21:J310))</f>
        <v>536774.30668841745</v>
      </c>
      <c r="W310" s="331">
        <f t="shared" si="75"/>
        <v>33566.888709297869</v>
      </c>
      <c r="X310" s="200">
        <f t="shared" si="81"/>
        <v>1.0667058702037868</v>
      </c>
      <c r="Y310" s="201">
        <f t="shared" si="83"/>
        <v>45947</v>
      </c>
      <c r="Z310" s="202">
        <f t="shared" si="83"/>
        <v>45947</v>
      </c>
      <c r="AA310" s="18"/>
      <c r="AB310" s="244"/>
      <c r="AC310" s="247"/>
      <c r="AD310" s="142"/>
      <c r="AE310" s="18"/>
      <c r="AF310" s="18"/>
      <c r="AG310" s="203"/>
      <c r="AH310" s="203"/>
      <c r="AI310" s="18"/>
      <c r="AJ310" s="18"/>
      <c r="AK310" s="18"/>
      <c r="AL310" s="18"/>
      <c r="AM310" s="18"/>
      <c r="AN310" s="18"/>
    </row>
    <row r="311" spans="1:40" ht="20">
      <c r="A311" s="18"/>
      <c r="B311" s="151"/>
      <c r="C311" s="55">
        <v>291</v>
      </c>
      <c r="D311" s="54">
        <v>1</v>
      </c>
      <c r="E311" s="190">
        <f t="shared" si="76"/>
        <v>10</v>
      </c>
      <c r="F311" s="191">
        <f t="shared" si="77"/>
        <v>45948</v>
      </c>
      <c r="G311" s="192" t="str">
        <f t="shared" si="78"/>
        <v>Sat</v>
      </c>
      <c r="H311" s="193"/>
      <c r="I311" s="194"/>
      <c r="J311" s="307">
        <f>135080/B13</f>
        <v>1224.216059452601</v>
      </c>
      <c r="K311" s="215"/>
      <c r="L311" s="317">
        <f t="shared" si="79"/>
        <v>1600.8328124443144</v>
      </c>
      <c r="M311" s="318">
        <f t="shared" si="73"/>
        <v>-376.61675299171338</v>
      </c>
      <c r="N311" s="41">
        <f t="shared" si="72"/>
        <v>0.76473698560897396</v>
      </c>
      <c r="O311" s="56"/>
      <c r="P311" s="317">
        <f>IF(D311=0,0,SUM($L$294:L311))</f>
        <v>36744.503771862532</v>
      </c>
      <c r="Q311" s="317">
        <f>IF(D311=0,0,SUM($I$294:I311))</f>
        <v>0</v>
      </c>
      <c r="R311" s="321">
        <f t="shared" si="74"/>
        <v>-36744.503771862532</v>
      </c>
      <c r="S311" s="198">
        <f t="shared" si="80"/>
        <v>0</v>
      </c>
      <c r="T311" s="207"/>
      <c r="U311" s="317">
        <f>IF(D311=0,0,SUM($L$21:L311))</f>
        <v>504808.25079156389</v>
      </c>
      <c r="V311" s="317">
        <f>IF(D311=0,0,SUM($J$21:J311))</f>
        <v>537998.52274787007</v>
      </c>
      <c r="W311" s="331">
        <f t="shared" si="75"/>
        <v>33190.271956306184</v>
      </c>
      <c r="X311" s="200">
        <f t="shared" si="81"/>
        <v>1.0657482755170151</v>
      </c>
      <c r="Y311" s="201">
        <f t="shared" ref="Y311:Z326" si="84">Y310+1</f>
        <v>45948</v>
      </c>
      <c r="Z311" s="202">
        <f t="shared" si="84"/>
        <v>45948</v>
      </c>
      <c r="AA311" s="18"/>
      <c r="AB311" s="244"/>
      <c r="AC311" s="247"/>
      <c r="AD311" s="142"/>
      <c r="AE311" s="18"/>
      <c r="AF311" s="18"/>
      <c r="AG311" s="203"/>
      <c r="AH311" s="203"/>
      <c r="AI311" s="18"/>
      <c r="AJ311" s="18"/>
      <c r="AK311" s="18"/>
      <c r="AL311" s="18"/>
      <c r="AM311" s="18"/>
      <c r="AN311" s="18"/>
    </row>
    <row r="312" spans="1:40" ht="20">
      <c r="A312" s="18"/>
      <c r="B312" s="151"/>
      <c r="C312" s="55">
        <v>292</v>
      </c>
      <c r="D312" s="54">
        <v>0</v>
      </c>
      <c r="E312" s="190">
        <f t="shared" si="76"/>
        <v>10</v>
      </c>
      <c r="F312" s="191">
        <f t="shared" si="77"/>
        <v>45949</v>
      </c>
      <c r="G312" s="192" t="str">
        <f t="shared" si="78"/>
        <v>Sun</v>
      </c>
      <c r="H312" s="193"/>
      <c r="I312" s="194"/>
      <c r="J312" s="307"/>
      <c r="K312" s="215"/>
      <c r="L312" s="317">
        <f t="shared" si="79"/>
        <v>0</v>
      </c>
      <c r="M312" s="318">
        <f t="shared" si="73"/>
        <v>0</v>
      </c>
      <c r="N312" s="41" t="str">
        <f t="shared" si="72"/>
        <v>¥0</v>
      </c>
      <c r="O312" s="44"/>
      <c r="P312" s="317">
        <f>IF(D312=0,0,SUM($L$294:L312))</f>
        <v>0</v>
      </c>
      <c r="Q312" s="317">
        <f>IF(D312=0,0,SUM($I$294:I312))</f>
        <v>0</v>
      </c>
      <c r="R312" s="321">
        <f t="shared" si="74"/>
        <v>0</v>
      </c>
      <c r="S312" s="198">
        <f t="shared" si="80"/>
        <v>0</v>
      </c>
      <c r="T312" s="212"/>
      <c r="U312" s="317">
        <f>IF(D312=0,0,SUM($L$21:L312))</f>
        <v>0</v>
      </c>
      <c r="V312" s="317">
        <f>IF(D312=0,0,SUM($J$21:J312))</f>
        <v>0</v>
      </c>
      <c r="W312" s="331">
        <f t="shared" si="75"/>
        <v>0</v>
      </c>
      <c r="X312" s="200">
        <f t="shared" si="81"/>
        <v>0</v>
      </c>
      <c r="Y312" s="201">
        <f t="shared" si="84"/>
        <v>45949</v>
      </c>
      <c r="Z312" s="202">
        <f t="shared" si="84"/>
        <v>45949</v>
      </c>
      <c r="AA312" s="18"/>
      <c r="AB312" s="244"/>
      <c r="AC312" s="247"/>
      <c r="AD312" s="142"/>
      <c r="AE312" s="18"/>
      <c r="AF312" s="18"/>
      <c r="AG312" s="203"/>
      <c r="AH312" s="203"/>
      <c r="AI312" s="18"/>
      <c r="AJ312" s="18"/>
      <c r="AK312" s="18"/>
      <c r="AL312" s="18"/>
      <c r="AM312" s="18"/>
      <c r="AN312" s="18"/>
    </row>
    <row r="313" spans="1:40" ht="20">
      <c r="A313" s="18"/>
      <c r="B313" s="151"/>
      <c r="C313" s="55">
        <v>293</v>
      </c>
      <c r="D313" s="54">
        <v>1</v>
      </c>
      <c r="E313" s="190">
        <f t="shared" si="76"/>
        <v>10</v>
      </c>
      <c r="F313" s="191">
        <f t="shared" si="77"/>
        <v>45950</v>
      </c>
      <c r="G313" s="192" t="str">
        <f t="shared" si="78"/>
        <v>Mon</v>
      </c>
      <c r="H313" s="193"/>
      <c r="I313" s="194"/>
      <c r="J313" s="307">
        <f>298990/B13</f>
        <v>2709.7154250498456</v>
      </c>
      <c r="K313" s="215"/>
      <c r="L313" s="317">
        <f t="shared" si="79"/>
        <v>2756.4890256896492</v>
      </c>
      <c r="M313" s="318">
        <f t="shared" si="73"/>
        <v>-46.77360063980359</v>
      </c>
      <c r="N313" s="41">
        <f t="shared" si="72"/>
        <v>0.98303145769713296</v>
      </c>
      <c r="O313" s="56"/>
      <c r="P313" s="317">
        <f>IF(D313=0,0,SUM($L$294:L313))</f>
        <v>39500.992797552179</v>
      </c>
      <c r="Q313" s="317">
        <f>IF(D313=0,0,SUM($I$294:I313))</f>
        <v>0</v>
      </c>
      <c r="R313" s="321">
        <f t="shared" si="74"/>
        <v>-39500.992797552179</v>
      </c>
      <c r="S313" s="198">
        <f t="shared" si="80"/>
        <v>0</v>
      </c>
      <c r="T313" s="207"/>
      <c r="U313" s="317">
        <f>IF(D313=0,0,SUM($L$21:L313))</f>
        <v>507564.73981725355</v>
      </c>
      <c r="V313" s="317">
        <f>IF(D313=0,0,SUM($J$21:J313))</f>
        <v>540708.23817291996</v>
      </c>
      <c r="W313" s="331">
        <f t="shared" si="75"/>
        <v>33143.498355666408</v>
      </c>
      <c r="X313" s="200">
        <f t="shared" si="81"/>
        <v>1.0652990559738242</v>
      </c>
      <c r="Y313" s="201">
        <f t="shared" si="84"/>
        <v>45950</v>
      </c>
      <c r="Z313" s="202">
        <f t="shared" si="84"/>
        <v>45950</v>
      </c>
      <c r="AA313" s="18"/>
      <c r="AB313" s="244"/>
      <c r="AC313" s="247"/>
      <c r="AD313" s="142"/>
      <c r="AE313" s="18"/>
      <c r="AF313" s="18"/>
      <c r="AG313" s="203"/>
      <c r="AH313" s="203"/>
      <c r="AI313" s="18"/>
      <c r="AJ313" s="18"/>
      <c r="AK313" s="18"/>
      <c r="AL313" s="18"/>
      <c r="AM313" s="18"/>
      <c r="AN313" s="18"/>
    </row>
    <row r="314" spans="1:40" ht="20">
      <c r="A314" s="18"/>
      <c r="B314" s="151"/>
      <c r="C314" s="55">
        <v>294</v>
      </c>
      <c r="D314" s="54">
        <v>1</v>
      </c>
      <c r="E314" s="190">
        <f t="shared" si="76"/>
        <v>10</v>
      </c>
      <c r="F314" s="191">
        <f t="shared" si="77"/>
        <v>45951</v>
      </c>
      <c r="G314" s="192" t="str">
        <f t="shared" si="78"/>
        <v>Tue</v>
      </c>
      <c r="H314" s="193"/>
      <c r="I314" s="194"/>
      <c r="J314" s="307">
        <f>289780/B13</f>
        <v>2626.2461482689869</v>
      </c>
      <c r="K314" s="215"/>
      <c r="L314" s="317">
        <f t="shared" si="79"/>
        <v>2906.2939562278925</v>
      </c>
      <c r="M314" s="318">
        <f t="shared" si="73"/>
        <v>-280.04780795890565</v>
      </c>
      <c r="N314" s="41">
        <f t="shared" si="72"/>
        <v>0.90364092133254736</v>
      </c>
      <c r="O314" s="56"/>
      <c r="P314" s="317">
        <f>IF(D314=0,0,SUM($L$294:L314))</f>
        <v>42407.28675378007</v>
      </c>
      <c r="Q314" s="317">
        <f>IF(D314=0,0,SUM($I$294:I314))</f>
        <v>0</v>
      </c>
      <c r="R314" s="321">
        <f t="shared" si="74"/>
        <v>-42407.28675378007</v>
      </c>
      <c r="S314" s="198">
        <f t="shared" si="80"/>
        <v>0</v>
      </c>
      <c r="T314" s="207"/>
      <c r="U314" s="317">
        <f>IF(D314=0,0,SUM($L$21:L314))</f>
        <v>510471.03377348144</v>
      </c>
      <c r="V314" s="317">
        <f>IF(D314=0,0,SUM($J$21:J314))</f>
        <v>543334.484321189</v>
      </c>
      <c r="W314" s="331">
        <f t="shared" si="75"/>
        <v>32863.450547707558</v>
      </c>
      <c r="X314" s="200">
        <f t="shared" si="81"/>
        <v>1.0643786784624698</v>
      </c>
      <c r="Y314" s="201">
        <f t="shared" si="84"/>
        <v>45951</v>
      </c>
      <c r="Z314" s="202">
        <f t="shared" si="84"/>
        <v>45951</v>
      </c>
      <c r="AA314" s="18"/>
      <c r="AB314" s="244"/>
      <c r="AC314" s="247"/>
      <c r="AD314" s="142"/>
      <c r="AE314" s="18"/>
      <c r="AF314" s="18"/>
      <c r="AG314" s="203"/>
      <c r="AH314" s="203"/>
      <c r="AI314" s="18"/>
      <c r="AJ314" s="18"/>
      <c r="AK314" s="18"/>
      <c r="AL314" s="18"/>
      <c r="AM314" s="18"/>
      <c r="AN314" s="18"/>
    </row>
    <row r="315" spans="1:40" ht="20">
      <c r="A315" s="18"/>
      <c r="B315" s="151"/>
      <c r="C315" s="55">
        <v>295</v>
      </c>
      <c r="D315" s="54">
        <v>1</v>
      </c>
      <c r="E315" s="190">
        <f t="shared" si="76"/>
        <v>10</v>
      </c>
      <c r="F315" s="191">
        <f t="shared" si="77"/>
        <v>45952</v>
      </c>
      <c r="G315" s="192" t="str">
        <f t="shared" si="78"/>
        <v>Wed</v>
      </c>
      <c r="H315" s="193"/>
      <c r="I315" s="194"/>
      <c r="J315" s="307">
        <f>224500/B13</f>
        <v>2034.6202646365778</v>
      </c>
      <c r="K315" s="215"/>
      <c r="L315" s="317">
        <f t="shared" si="79"/>
        <v>2508.2190418858963</v>
      </c>
      <c r="M315" s="318">
        <f t="shared" si="73"/>
        <v>-473.59877724931857</v>
      </c>
      <c r="N315" s="41">
        <f t="shared" si="72"/>
        <v>0.81118125277717934</v>
      </c>
      <c r="O315" s="56"/>
      <c r="P315" s="317">
        <f>IF(D315=0,0,SUM($L$294:L315))</f>
        <v>44915.505795665966</v>
      </c>
      <c r="Q315" s="317">
        <f>IF(D315=0,0,SUM($I$294:I315))</f>
        <v>0</v>
      </c>
      <c r="R315" s="321">
        <f t="shared" si="74"/>
        <v>-44915.505795665966</v>
      </c>
      <c r="S315" s="198">
        <f t="shared" si="80"/>
        <v>0</v>
      </c>
      <c r="T315" s="207"/>
      <c r="U315" s="317">
        <f>IF(D315=0,0,SUM($L$21:L315))</f>
        <v>512979.25281536736</v>
      </c>
      <c r="V315" s="317">
        <f>IF(D315=0,0,SUM($J$21:J315))</f>
        <v>545369.10458582558</v>
      </c>
      <c r="W315" s="331">
        <f t="shared" si="75"/>
        <v>32389.851770458219</v>
      </c>
      <c r="X315" s="200">
        <f t="shared" si="81"/>
        <v>1.063140666201789</v>
      </c>
      <c r="Y315" s="201">
        <f t="shared" si="84"/>
        <v>45952</v>
      </c>
      <c r="Z315" s="202">
        <f t="shared" si="84"/>
        <v>45952</v>
      </c>
      <c r="AA315" s="18"/>
      <c r="AB315" s="244"/>
      <c r="AC315" s="247"/>
      <c r="AD315" s="142"/>
      <c r="AE315" s="18"/>
      <c r="AF315" s="18"/>
      <c r="AG315" s="203"/>
      <c r="AH315" s="203"/>
      <c r="AI315" s="18"/>
      <c r="AJ315" s="18"/>
      <c r="AK315" s="18"/>
      <c r="AL315" s="18"/>
      <c r="AM315" s="18"/>
      <c r="AN315" s="18"/>
    </row>
    <row r="316" spans="1:40" ht="20">
      <c r="A316" s="18"/>
      <c r="B316" s="151"/>
      <c r="C316" s="55">
        <v>296</v>
      </c>
      <c r="D316" s="54">
        <v>1</v>
      </c>
      <c r="E316" s="190">
        <f t="shared" si="76"/>
        <v>10</v>
      </c>
      <c r="F316" s="191">
        <f t="shared" si="77"/>
        <v>45953</v>
      </c>
      <c r="G316" s="192" t="str">
        <f t="shared" si="78"/>
        <v>Thu</v>
      </c>
      <c r="H316" s="193"/>
      <c r="I316" s="194"/>
      <c r="J316" s="307">
        <f>289970/B13</f>
        <v>2627.968098604314</v>
      </c>
      <c r="K316" s="215"/>
      <c r="L316" s="317">
        <f t="shared" si="79"/>
        <v>2924.8813174230654</v>
      </c>
      <c r="M316" s="318">
        <f t="shared" si="73"/>
        <v>-296.91321881875137</v>
      </c>
      <c r="N316" s="41">
        <f t="shared" si="72"/>
        <v>0.89848708833070068</v>
      </c>
      <c r="O316" s="56"/>
      <c r="P316" s="317">
        <f>IF(D316=0,0,SUM($L$294:L316))</f>
        <v>47840.387113089033</v>
      </c>
      <c r="Q316" s="317">
        <f>IF(D316=0,0,SUM($I$294:I316))</f>
        <v>0</v>
      </c>
      <c r="R316" s="321">
        <f t="shared" si="74"/>
        <v>-47840.387113089033</v>
      </c>
      <c r="S316" s="198">
        <f t="shared" si="80"/>
        <v>0</v>
      </c>
      <c r="T316" s="207"/>
      <c r="U316" s="317">
        <f>IF(D316=0,0,SUM($L$21:L316))</f>
        <v>515904.13413279044</v>
      </c>
      <c r="V316" s="317">
        <f>IF(D316=0,0,SUM($J$21:J316))</f>
        <v>547997.07268442994</v>
      </c>
      <c r="W316" s="331">
        <f t="shared" si="75"/>
        <v>32092.938551639498</v>
      </c>
      <c r="X316" s="200">
        <f t="shared" si="81"/>
        <v>1.0622071746053869</v>
      </c>
      <c r="Y316" s="201">
        <f t="shared" si="84"/>
        <v>45953</v>
      </c>
      <c r="Z316" s="202">
        <f t="shared" si="84"/>
        <v>45953</v>
      </c>
      <c r="AA316" s="18"/>
      <c r="AB316" s="244"/>
      <c r="AC316" s="247"/>
      <c r="AD316" s="142"/>
      <c r="AE316" s="18"/>
      <c r="AF316" s="18"/>
      <c r="AG316" s="203"/>
      <c r="AH316" s="203"/>
      <c r="AI316" s="18"/>
      <c r="AJ316" s="18"/>
      <c r="AK316" s="18"/>
      <c r="AL316" s="18"/>
      <c r="AM316" s="18"/>
      <c r="AN316" s="18"/>
    </row>
    <row r="317" spans="1:40" ht="20">
      <c r="A317" s="18"/>
      <c r="B317" s="151"/>
      <c r="C317" s="55">
        <v>297</v>
      </c>
      <c r="D317" s="54">
        <v>1</v>
      </c>
      <c r="E317" s="190">
        <f t="shared" si="76"/>
        <v>10</v>
      </c>
      <c r="F317" s="191">
        <f t="shared" si="77"/>
        <v>45954</v>
      </c>
      <c r="G317" s="192" t="str">
        <f t="shared" si="78"/>
        <v>Fri</v>
      </c>
      <c r="H317" s="193"/>
      <c r="I317" s="194"/>
      <c r="J317" s="307">
        <f>418990/B13</f>
        <v>3797.26300525648</v>
      </c>
      <c r="K317" s="215"/>
      <c r="L317" s="317">
        <f t="shared" si="79"/>
        <v>2357.8757728190935</v>
      </c>
      <c r="M317" s="318">
        <f t="shared" si="73"/>
        <v>1439.3872324373865</v>
      </c>
      <c r="N317" s="41">
        <f t="shared" si="72"/>
        <v>1.610459316402596</v>
      </c>
      <c r="O317" s="56"/>
      <c r="P317" s="317">
        <f>IF(D317=0,0,SUM($L$294:L317))</f>
        <v>50198.262885908123</v>
      </c>
      <c r="Q317" s="317">
        <f>IF(D317=0,0,SUM($I$294:I317))</f>
        <v>0</v>
      </c>
      <c r="R317" s="321">
        <f t="shared" si="74"/>
        <v>-50198.262885908123</v>
      </c>
      <c r="S317" s="198">
        <f t="shared" si="80"/>
        <v>0</v>
      </c>
      <c r="T317" s="207"/>
      <c r="U317" s="317">
        <f>IF(D317=0,0,SUM($L$21:L317))</f>
        <v>518262.00990560954</v>
      </c>
      <c r="V317" s="317">
        <f>IF(D317=0,0,SUM($J$21:J317))</f>
        <v>551794.33568968647</v>
      </c>
      <c r="W317" s="331">
        <f t="shared" si="75"/>
        <v>33532.325784076937</v>
      </c>
      <c r="X317" s="200">
        <f t="shared" si="81"/>
        <v>1.0647014929575567</v>
      </c>
      <c r="Y317" s="201">
        <f t="shared" si="84"/>
        <v>45954</v>
      </c>
      <c r="Z317" s="202">
        <f t="shared" si="84"/>
        <v>45954</v>
      </c>
      <c r="AA317" s="18"/>
      <c r="AB317" s="244"/>
      <c r="AC317" s="247"/>
      <c r="AD317" s="142"/>
      <c r="AE317" s="18"/>
      <c r="AF317" s="18"/>
      <c r="AG317" s="203"/>
      <c r="AH317" s="203"/>
      <c r="AI317" s="18"/>
      <c r="AJ317" s="18"/>
      <c r="AK317" s="18"/>
      <c r="AL317" s="18"/>
      <c r="AM317" s="18"/>
      <c r="AN317" s="18"/>
    </row>
    <row r="318" spans="1:40" ht="20">
      <c r="A318" s="18"/>
      <c r="B318" s="151"/>
      <c r="C318" s="55">
        <v>298</v>
      </c>
      <c r="D318" s="54">
        <v>1</v>
      </c>
      <c r="E318" s="190">
        <f t="shared" si="76"/>
        <v>10</v>
      </c>
      <c r="F318" s="191">
        <f t="shared" si="77"/>
        <v>45955</v>
      </c>
      <c r="G318" s="192" t="str">
        <f t="shared" si="78"/>
        <v>Sat</v>
      </c>
      <c r="H318" s="193"/>
      <c r="I318" s="194"/>
      <c r="J318" s="307">
        <f>210990/B13</f>
        <v>1912.1805328983141</v>
      </c>
      <c r="K318" s="215"/>
      <c r="L318" s="317">
        <f t="shared" si="79"/>
        <v>1600.8328124443144</v>
      </c>
      <c r="M318" s="318">
        <f t="shared" si="73"/>
        <v>311.34772045399973</v>
      </c>
      <c r="N318" s="41">
        <f t="shared" si="72"/>
        <v>1.1944910911581093</v>
      </c>
      <c r="O318" s="56"/>
      <c r="P318" s="317">
        <f>IF(D318=0,0,SUM($L$294:L318))</f>
        <v>51799.095698352437</v>
      </c>
      <c r="Q318" s="317">
        <f>IF(D318=0,0,SUM($I$294:I318))</f>
        <v>0</v>
      </c>
      <c r="R318" s="321">
        <f t="shared" si="74"/>
        <v>-51799.095698352437</v>
      </c>
      <c r="S318" s="198">
        <f t="shared" si="80"/>
        <v>0</v>
      </c>
      <c r="T318" s="207"/>
      <c r="U318" s="317">
        <f>IF(D318=0,0,SUM($L$21:L318))</f>
        <v>519862.84271805384</v>
      </c>
      <c r="V318" s="317">
        <f>IF(D318=0,0,SUM($J$21:J318))</f>
        <v>553706.51622258476</v>
      </c>
      <c r="W318" s="331">
        <f t="shared" si="75"/>
        <v>33843.673504530918</v>
      </c>
      <c r="X318" s="200">
        <f t="shared" si="81"/>
        <v>1.0651011588510202</v>
      </c>
      <c r="Y318" s="201">
        <f t="shared" si="84"/>
        <v>45955</v>
      </c>
      <c r="Z318" s="202">
        <f t="shared" si="84"/>
        <v>45955</v>
      </c>
      <c r="AA318" s="18"/>
      <c r="AB318" s="244"/>
      <c r="AC318" s="247"/>
      <c r="AD318" s="142"/>
      <c r="AE318" s="18"/>
      <c r="AF318" s="18"/>
      <c r="AG318" s="203"/>
      <c r="AH318" s="203"/>
      <c r="AI318" s="18"/>
      <c r="AJ318" s="18"/>
      <c r="AK318" s="18"/>
      <c r="AL318" s="18"/>
      <c r="AM318" s="18"/>
      <c r="AN318" s="18"/>
    </row>
    <row r="319" spans="1:40" ht="20">
      <c r="A319" s="18"/>
      <c r="B319" s="151"/>
      <c r="C319" s="55">
        <v>299</v>
      </c>
      <c r="D319" s="54">
        <v>0</v>
      </c>
      <c r="E319" s="190">
        <f t="shared" si="76"/>
        <v>10</v>
      </c>
      <c r="F319" s="191">
        <f t="shared" si="77"/>
        <v>45956</v>
      </c>
      <c r="G319" s="192" t="str">
        <f t="shared" si="78"/>
        <v>Sun</v>
      </c>
      <c r="H319" s="193"/>
      <c r="I319" s="194"/>
      <c r="J319" s="307"/>
      <c r="K319" s="215"/>
      <c r="L319" s="317">
        <f t="shared" si="79"/>
        <v>0</v>
      </c>
      <c r="M319" s="318">
        <f t="shared" si="73"/>
        <v>0</v>
      </c>
      <c r="N319" s="41" t="str">
        <f t="shared" si="72"/>
        <v>¥0</v>
      </c>
      <c r="O319" s="44"/>
      <c r="P319" s="317">
        <f>IF(D319=0,0,SUM($L$294:L319))</f>
        <v>0</v>
      </c>
      <c r="Q319" s="317">
        <f>IF(D319=0,0,SUM($I$294:I319))</f>
        <v>0</v>
      </c>
      <c r="R319" s="321">
        <f t="shared" si="74"/>
        <v>0</v>
      </c>
      <c r="S319" s="198">
        <f t="shared" si="80"/>
        <v>0</v>
      </c>
      <c r="T319" s="212"/>
      <c r="U319" s="317">
        <f>IF(D319=0,0,SUM($L$21:L319))</f>
        <v>0</v>
      </c>
      <c r="V319" s="317">
        <f>IF(D319=0,0,SUM($J$21:J319))</f>
        <v>0</v>
      </c>
      <c r="W319" s="331">
        <f t="shared" si="75"/>
        <v>0</v>
      </c>
      <c r="X319" s="200">
        <f t="shared" si="81"/>
        <v>0</v>
      </c>
      <c r="Y319" s="201">
        <f t="shared" si="84"/>
        <v>45956</v>
      </c>
      <c r="Z319" s="202">
        <f t="shared" si="84"/>
        <v>45956</v>
      </c>
      <c r="AA319" s="18"/>
      <c r="AB319" s="244"/>
      <c r="AC319" s="247"/>
      <c r="AD319" s="142"/>
      <c r="AE319" s="18"/>
      <c r="AF319" s="18"/>
      <c r="AG319" s="203"/>
      <c r="AH319" s="203"/>
      <c r="AI319" s="18"/>
      <c r="AJ319" s="18"/>
      <c r="AK319" s="18"/>
      <c r="AL319" s="18"/>
      <c r="AM319" s="18"/>
      <c r="AN319" s="18"/>
    </row>
    <row r="320" spans="1:40" ht="20">
      <c r="A320" s="18"/>
      <c r="B320" s="151"/>
      <c r="C320" s="55">
        <v>300</v>
      </c>
      <c r="D320" s="54">
        <v>1</v>
      </c>
      <c r="E320" s="190">
        <f t="shared" si="76"/>
        <v>10</v>
      </c>
      <c r="F320" s="191">
        <f t="shared" si="77"/>
        <v>45957</v>
      </c>
      <c r="G320" s="192" t="str">
        <f t="shared" si="78"/>
        <v>Mon</v>
      </c>
      <c r="H320" s="193"/>
      <c r="I320" s="194"/>
      <c r="J320" s="307">
        <f>358900/B13</f>
        <v>3252.6735544680078</v>
      </c>
      <c r="K320" s="215"/>
      <c r="L320" s="317">
        <f t="shared" si="79"/>
        <v>2756.4890256896492</v>
      </c>
      <c r="M320" s="318">
        <f t="shared" si="73"/>
        <v>496.18452877835853</v>
      </c>
      <c r="N320" s="41">
        <f t="shared" si="72"/>
        <v>1.1800059873825246</v>
      </c>
      <c r="O320" s="56"/>
      <c r="P320" s="317">
        <f>IF(D320=0,0,SUM($L$294:L320))</f>
        <v>54555.584724042084</v>
      </c>
      <c r="Q320" s="317">
        <f>IF(D320=0,0,SUM($I$294:I320))</f>
        <v>0</v>
      </c>
      <c r="R320" s="321">
        <f t="shared" si="74"/>
        <v>-54555.584724042084</v>
      </c>
      <c r="S320" s="198">
        <f t="shared" si="80"/>
        <v>0</v>
      </c>
      <c r="T320" s="207"/>
      <c r="U320" s="317">
        <f>IF(D320=0,0,SUM($L$21:L320))</f>
        <v>522619.3317437435</v>
      </c>
      <c r="V320" s="317">
        <f>IF(D320=0,0,SUM($J$21:J320))</f>
        <v>556959.18977705273</v>
      </c>
      <c r="W320" s="331">
        <f t="shared" si="75"/>
        <v>34339.858033309225</v>
      </c>
      <c r="X320" s="200">
        <f t="shared" si="81"/>
        <v>1.0657072097175064</v>
      </c>
      <c r="Y320" s="201">
        <f t="shared" si="84"/>
        <v>45957</v>
      </c>
      <c r="Z320" s="202">
        <f t="shared" si="84"/>
        <v>45957</v>
      </c>
      <c r="AA320" s="18"/>
      <c r="AB320" s="244"/>
      <c r="AC320" s="247"/>
      <c r="AD320" s="142"/>
      <c r="AE320" s="18"/>
      <c r="AF320" s="18"/>
      <c r="AG320" s="203"/>
      <c r="AH320" s="203"/>
      <c r="AI320" s="18"/>
      <c r="AJ320" s="18"/>
      <c r="AK320" s="18"/>
      <c r="AL320" s="18"/>
      <c r="AM320" s="18"/>
      <c r="AN320" s="18"/>
    </row>
    <row r="321" spans="1:40" ht="20">
      <c r="A321" s="18"/>
      <c r="B321" s="151"/>
      <c r="C321" s="55">
        <v>301</v>
      </c>
      <c r="D321" s="54">
        <v>1</v>
      </c>
      <c r="E321" s="190">
        <f t="shared" si="76"/>
        <v>10</v>
      </c>
      <c r="F321" s="191">
        <f t="shared" si="77"/>
        <v>45958</v>
      </c>
      <c r="G321" s="192" t="str">
        <f t="shared" si="78"/>
        <v>Tue</v>
      </c>
      <c r="H321" s="193"/>
      <c r="I321" s="194"/>
      <c r="J321" s="307">
        <f>289780/B13</f>
        <v>2626.2461482689869</v>
      </c>
      <c r="K321" s="215"/>
      <c r="L321" s="317">
        <f t="shared" si="79"/>
        <v>2906.2939562278925</v>
      </c>
      <c r="M321" s="318">
        <f t="shared" si="73"/>
        <v>-280.04780795890565</v>
      </c>
      <c r="N321" s="41">
        <f t="shared" si="72"/>
        <v>0.90364092133254736</v>
      </c>
      <c r="O321" s="56"/>
      <c r="P321" s="317">
        <f>IF(D321=0,0,SUM($L$294:L321))</f>
        <v>57461.878680269976</v>
      </c>
      <c r="Q321" s="317">
        <f>IF(D321=0,0,SUM($I$294:I321))</f>
        <v>0</v>
      </c>
      <c r="R321" s="321">
        <f t="shared" si="74"/>
        <v>-57461.878680269976</v>
      </c>
      <c r="S321" s="198">
        <f t="shared" si="80"/>
        <v>0</v>
      </c>
      <c r="T321" s="207"/>
      <c r="U321" s="317">
        <f>IF(D321=0,0,SUM($L$21:L321))</f>
        <v>525525.62569997145</v>
      </c>
      <c r="V321" s="317">
        <f>IF(D321=0,0,SUM($J$21:J321))</f>
        <v>559585.43592532177</v>
      </c>
      <c r="W321" s="331">
        <f t="shared" si="75"/>
        <v>34059.810225350317</v>
      </c>
      <c r="X321" s="200">
        <f t="shared" si="81"/>
        <v>1.0648109408175568</v>
      </c>
      <c r="Y321" s="201">
        <f t="shared" si="84"/>
        <v>45958</v>
      </c>
      <c r="Z321" s="202">
        <f t="shared" si="84"/>
        <v>45958</v>
      </c>
      <c r="AA321" s="18"/>
      <c r="AB321" s="244"/>
      <c r="AC321" s="247"/>
      <c r="AD321" s="142"/>
      <c r="AE321" s="18"/>
      <c r="AF321" s="18"/>
      <c r="AG321" s="203"/>
      <c r="AH321" s="203"/>
      <c r="AI321" s="18"/>
      <c r="AJ321" s="18"/>
      <c r="AK321" s="18"/>
      <c r="AL321" s="18"/>
      <c r="AM321" s="18"/>
      <c r="AN321" s="18"/>
    </row>
    <row r="322" spans="1:40" ht="20">
      <c r="A322" s="18"/>
      <c r="B322" s="151"/>
      <c r="C322" s="55">
        <v>302</v>
      </c>
      <c r="D322" s="54">
        <v>1</v>
      </c>
      <c r="E322" s="190">
        <f t="shared" si="76"/>
        <v>10</v>
      </c>
      <c r="F322" s="191">
        <f t="shared" si="77"/>
        <v>45959</v>
      </c>
      <c r="G322" s="192" t="str">
        <f t="shared" si="78"/>
        <v>Wed</v>
      </c>
      <c r="H322" s="193"/>
      <c r="I322" s="194"/>
      <c r="J322" s="307">
        <f>300900/B13</f>
        <v>2727.0255573681347</v>
      </c>
      <c r="K322" s="215"/>
      <c r="L322" s="317">
        <f t="shared" si="79"/>
        <v>2508.2190418858963</v>
      </c>
      <c r="M322" s="318">
        <f t="shared" si="73"/>
        <v>218.80651548223841</v>
      </c>
      <c r="N322" s="41">
        <f t="shared" si="72"/>
        <v>1.0872358082879878</v>
      </c>
      <c r="O322" s="56"/>
      <c r="P322" s="317">
        <f>IF(D322=0,0,SUM($L$294:L322))</f>
        <v>59970.097722155871</v>
      </c>
      <c r="Q322" s="317">
        <f>IF(D322=0,0,SUM($I$294:I322))</f>
        <v>0</v>
      </c>
      <c r="R322" s="321">
        <f t="shared" si="74"/>
        <v>-59970.097722155871</v>
      </c>
      <c r="S322" s="198">
        <f t="shared" si="80"/>
        <v>0</v>
      </c>
      <c r="T322" s="207"/>
      <c r="U322" s="317">
        <f>IF(D322=0,0,SUM($L$21:L322))</f>
        <v>528033.84474185738</v>
      </c>
      <c r="V322" s="317">
        <f>IF(D322=0,0,SUM($J$21:J322))</f>
        <v>562312.46148268995</v>
      </c>
      <c r="W322" s="331">
        <f t="shared" si="75"/>
        <v>34278.616740832571</v>
      </c>
      <c r="X322" s="200">
        <f t="shared" si="81"/>
        <v>1.0649174614130852</v>
      </c>
      <c r="Y322" s="201">
        <f t="shared" si="84"/>
        <v>45959</v>
      </c>
      <c r="Z322" s="202">
        <f t="shared" si="84"/>
        <v>45959</v>
      </c>
      <c r="AA322" s="18"/>
      <c r="AB322" s="244"/>
      <c r="AC322" s="247"/>
      <c r="AD322" s="142"/>
      <c r="AE322" s="18"/>
      <c r="AF322" s="18"/>
      <c r="AG322" s="203"/>
      <c r="AH322" s="203"/>
      <c r="AI322" s="18"/>
      <c r="AJ322" s="18"/>
      <c r="AK322" s="18"/>
      <c r="AL322" s="18"/>
      <c r="AM322" s="18"/>
      <c r="AN322" s="18"/>
    </row>
    <row r="323" spans="1:40" ht="20">
      <c r="A323" s="18"/>
      <c r="B323" s="151"/>
      <c r="C323" s="55">
        <v>303</v>
      </c>
      <c r="D323" s="54">
        <v>1</v>
      </c>
      <c r="E323" s="190">
        <f t="shared" si="76"/>
        <v>10</v>
      </c>
      <c r="F323" s="191">
        <f t="shared" si="77"/>
        <v>45960</v>
      </c>
      <c r="G323" s="192" t="str">
        <f t="shared" si="78"/>
        <v>Thu</v>
      </c>
      <c r="H323" s="193"/>
      <c r="I323" s="194"/>
      <c r="J323" s="307">
        <f>319890/B13</f>
        <v>2899.1299619358347</v>
      </c>
      <c r="K323" s="215"/>
      <c r="L323" s="317">
        <f t="shared" si="79"/>
        <v>2924.8813174230654</v>
      </c>
      <c r="M323" s="318">
        <f t="shared" si="73"/>
        <v>-25.75135548723074</v>
      </c>
      <c r="N323" s="41">
        <f t="shared" si="72"/>
        <v>0.99119576054801473</v>
      </c>
      <c r="O323" s="56"/>
      <c r="P323" s="317">
        <f>IF(D323=0,0,SUM($L$294:L323))</f>
        <v>62894.979039578939</v>
      </c>
      <c r="Q323" s="317">
        <f>IF(D323=0,0,SUM($I$294:I323))</f>
        <v>0</v>
      </c>
      <c r="R323" s="321">
        <f t="shared" si="74"/>
        <v>-62894.979039578939</v>
      </c>
      <c r="S323" s="198">
        <f t="shared" si="80"/>
        <v>0</v>
      </c>
      <c r="T323" s="207"/>
      <c r="U323" s="317">
        <f>IF(D323=0,0,SUM($L$21:L323))</f>
        <v>530958.72605928045</v>
      </c>
      <c r="V323" s="317">
        <f>IF(D323=0,0,SUM($J$21:J323))</f>
        <v>565211.59144462575</v>
      </c>
      <c r="W323" s="331">
        <f t="shared" si="75"/>
        <v>34252.8653853453</v>
      </c>
      <c r="X323" s="200">
        <f t="shared" si="81"/>
        <v>1.0645113522091754</v>
      </c>
      <c r="Y323" s="201">
        <f t="shared" si="84"/>
        <v>45960</v>
      </c>
      <c r="Z323" s="202">
        <f t="shared" si="84"/>
        <v>45960</v>
      </c>
      <c r="AA323" s="18"/>
      <c r="AB323" s="244"/>
      <c r="AC323" s="247"/>
      <c r="AD323" s="142"/>
      <c r="AE323" s="18"/>
      <c r="AF323" s="18"/>
      <c r="AG323" s="203"/>
      <c r="AH323" s="203"/>
      <c r="AI323" s="18"/>
      <c r="AJ323" s="18"/>
      <c r="AK323" s="18"/>
      <c r="AL323" s="18"/>
      <c r="AM323" s="18"/>
      <c r="AN323" s="18"/>
    </row>
    <row r="324" spans="1:40" ht="21" thickBot="1">
      <c r="A324" s="18"/>
      <c r="B324" s="151"/>
      <c r="C324" s="39">
        <v>304</v>
      </c>
      <c r="D324" s="38">
        <v>1</v>
      </c>
      <c r="E324" s="217">
        <f t="shared" si="76"/>
        <v>10</v>
      </c>
      <c r="F324" s="236">
        <f t="shared" si="77"/>
        <v>45961</v>
      </c>
      <c r="G324" s="219" t="str">
        <f t="shared" si="78"/>
        <v>Fri</v>
      </c>
      <c r="H324" s="233"/>
      <c r="I324" s="221"/>
      <c r="J324" s="316">
        <f>438990/B13</f>
        <v>3978.5209352909187</v>
      </c>
      <c r="K324" s="223"/>
      <c r="L324" s="317">
        <f t="shared" si="79"/>
        <v>2357.8757728190935</v>
      </c>
      <c r="M324" s="320">
        <f t="shared" si="73"/>
        <v>1620.6451624718252</v>
      </c>
      <c r="N324" s="225">
        <f t="shared" si="72"/>
        <v>1.6873327175053714</v>
      </c>
      <c r="O324" s="226"/>
      <c r="P324" s="322">
        <f>IF(D324=0,0,SUM($L$294:L324))</f>
        <v>65252.854812398029</v>
      </c>
      <c r="Q324" s="326">
        <f>IF(D324=0,0,SUM($I$294:I324))</f>
        <v>0</v>
      </c>
      <c r="R324" s="327">
        <f t="shared" si="74"/>
        <v>-65252.854812398029</v>
      </c>
      <c r="S324" s="228">
        <f t="shared" si="80"/>
        <v>0</v>
      </c>
      <c r="T324" s="229"/>
      <c r="U324" s="332">
        <f>IF(D324=0,0,SUM($L$21:L324))</f>
        <v>533316.60183209949</v>
      </c>
      <c r="V324" s="332">
        <f>IF(D324=0,0,SUM($J$21:J324))</f>
        <v>569190.11237991671</v>
      </c>
      <c r="W324" s="333">
        <f t="shared" si="75"/>
        <v>35873.510547817219</v>
      </c>
      <c r="X324" s="230">
        <f t="shared" si="81"/>
        <v>1.06726494248366</v>
      </c>
      <c r="Y324" s="201">
        <f t="shared" si="84"/>
        <v>45961</v>
      </c>
      <c r="Z324" s="202">
        <f t="shared" si="84"/>
        <v>45961</v>
      </c>
      <c r="AA324" s="18"/>
      <c r="AB324" s="244"/>
      <c r="AC324" s="247"/>
      <c r="AD324" s="142"/>
      <c r="AE324" s="18"/>
      <c r="AF324" s="18"/>
      <c r="AG324" s="203"/>
      <c r="AH324" s="203"/>
      <c r="AI324" s="18"/>
      <c r="AJ324" s="18"/>
      <c r="AK324" s="18"/>
      <c r="AL324" s="18"/>
      <c r="AM324" s="18"/>
      <c r="AN324" s="18"/>
    </row>
    <row r="325" spans="1:40" ht="21" thickTop="1">
      <c r="A325" s="18"/>
      <c r="B325" s="151"/>
      <c r="C325" s="55">
        <v>305</v>
      </c>
      <c r="D325" s="62">
        <v>1</v>
      </c>
      <c r="E325" s="190">
        <f t="shared" si="76"/>
        <v>11</v>
      </c>
      <c r="F325" s="191">
        <f t="shared" si="77"/>
        <v>45962</v>
      </c>
      <c r="G325" s="192" t="str">
        <f t="shared" si="78"/>
        <v>Sat</v>
      </c>
      <c r="H325" s="193"/>
      <c r="I325" s="194"/>
      <c r="J325" s="307">
        <f>210980/B13</f>
        <v>1912.0899039332969</v>
      </c>
      <c r="K325" s="215"/>
      <c r="L325" s="317">
        <f t="shared" si="79"/>
        <v>1667.8069598175957</v>
      </c>
      <c r="M325" s="321">
        <f t="shared" si="73"/>
        <v>244.28294411570118</v>
      </c>
      <c r="N325" s="60">
        <f t="shared" si="72"/>
        <v>1.1464695555308257</v>
      </c>
      <c r="O325" s="56"/>
      <c r="P325" s="317">
        <f>IF(D325=0,0,$L$325)</f>
        <v>1667.8069598175957</v>
      </c>
      <c r="Q325" s="317">
        <f>IF(D325=0,0,$J$325)</f>
        <v>1912.0899039332969</v>
      </c>
      <c r="R325" s="321">
        <f t="shared" si="74"/>
        <v>244.28294411570118</v>
      </c>
      <c r="S325" s="231">
        <f t="shared" si="80"/>
        <v>1.1464695555308257</v>
      </c>
      <c r="T325" s="207"/>
      <c r="U325" s="317">
        <f>IF(D325=0,0,SUM($L$21:L325))</f>
        <v>534984.40879191714</v>
      </c>
      <c r="V325" s="317">
        <f>IF(D325=0,0,SUM($J$21:J325))</f>
        <v>571102.20228385006</v>
      </c>
      <c r="W325" s="331">
        <f t="shared" si="75"/>
        <v>36117.793491932913</v>
      </c>
      <c r="X325" s="232">
        <f t="shared" si="81"/>
        <v>1.0675118618381663</v>
      </c>
      <c r="Y325" s="201">
        <f t="shared" si="84"/>
        <v>45962</v>
      </c>
      <c r="Z325" s="202">
        <f t="shared" si="84"/>
        <v>45962</v>
      </c>
      <c r="AA325" s="18"/>
      <c r="AB325" s="244"/>
      <c r="AC325" s="247"/>
      <c r="AD325" s="142"/>
      <c r="AE325" s="18"/>
      <c r="AF325" s="18"/>
      <c r="AG325" s="203"/>
      <c r="AH325" s="203"/>
      <c r="AI325" s="18"/>
      <c r="AJ325" s="18"/>
      <c r="AK325" s="18"/>
      <c r="AL325" s="18"/>
      <c r="AM325" s="18"/>
      <c r="AN325" s="18"/>
    </row>
    <row r="326" spans="1:40" ht="20">
      <c r="A326" s="18"/>
      <c r="B326" s="151"/>
      <c r="C326" s="55">
        <v>306</v>
      </c>
      <c r="D326" s="54">
        <v>0</v>
      </c>
      <c r="E326" s="190">
        <f t="shared" si="76"/>
        <v>11</v>
      </c>
      <c r="F326" s="191">
        <f t="shared" si="77"/>
        <v>45963</v>
      </c>
      <c r="G326" s="192" t="str">
        <f t="shared" si="78"/>
        <v>Sun</v>
      </c>
      <c r="H326" s="193"/>
      <c r="I326" s="194"/>
      <c r="J326" s="307"/>
      <c r="K326" s="215"/>
      <c r="L326" s="317">
        <f t="shared" si="79"/>
        <v>0</v>
      </c>
      <c r="M326" s="318">
        <f t="shared" si="73"/>
        <v>0</v>
      </c>
      <c r="N326" s="41" t="str">
        <f t="shared" si="72"/>
        <v>¥0</v>
      </c>
      <c r="O326" s="44"/>
      <c r="P326" s="317">
        <f>IF(D326=0,0,SUM($L$325:L326))</f>
        <v>0</v>
      </c>
      <c r="Q326" s="317">
        <f>IF(D326=0,0,SUM($I$325:I326))</f>
        <v>0</v>
      </c>
      <c r="R326" s="321">
        <f t="shared" si="74"/>
        <v>0</v>
      </c>
      <c r="S326" s="198">
        <f t="shared" si="80"/>
        <v>0</v>
      </c>
      <c r="T326" s="212"/>
      <c r="U326" s="317">
        <f>IF(D326=0,0,SUM($L$21:L326))</f>
        <v>0</v>
      </c>
      <c r="V326" s="317">
        <f>IF(D326=0,0,SUM($J$21:J326))</f>
        <v>0</v>
      </c>
      <c r="W326" s="331">
        <f t="shared" si="75"/>
        <v>0</v>
      </c>
      <c r="X326" s="200">
        <f t="shared" si="81"/>
        <v>0</v>
      </c>
      <c r="Y326" s="201">
        <f t="shared" si="84"/>
        <v>45963</v>
      </c>
      <c r="Z326" s="202">
        <f t="shared" si="84"/>
        <v>45963</v>
      </c>
      <c r="AA326" s="18"/>
      <c r="AB326" s="244"/>
      <c r="AC326" s="247"/>
      <c r="AD326" s="142"/>
      <c r="AE326" s="18"/>
      <c r="AF326" s="18"/>
      <c r="AG326" s="203"/>
      <c r="AH326" s="203"/>
      <c r="AI326" s="18"/>
      <c r="AJ326" s="18"/>
      <c r="AK326" s="18"/>
      <c r="AL326" s="18"/>
      <c r="AM326" s="18"/>
      <c r="AN326" s="18"/>
    </row>
    <row r="327" spans="1:40" ht="20">
      <c r="A327" s="18"/>
      <c r="B327" s="151"/>
      <c r="C327" s="55">
        <v>307</v>
      </c>
      <c r="D327" s="54">
        <v>0</v>
      </c>
      <c r="E327" s="190">
        <f t="shared" si="76"/>
        <v>11</v>
      </c>
      <c r="F327" s="191">
        <f t="shared" si="77"/>
        <v>45964</v>
      </c>
      <c r="G327" s="192" t="str">
        <f t="shared" si="78"/>
        <v>Mon</v>
      </c>
      <c r="H327" s="193" t="s">
        <v>181</v>
      </c>
      <c r="I327" s="194"/>
      <c r="J327" s="307"/>
      <c r="K327" s="215"/>
      <c r="L327" s="317">
        <f t="shared" si="79"/>
        <v>0</v>
      </c>
      <c r="M327" s="318">
        <f t="shared" si="73"/>
        <v>0</v>
      </c>
      <c r="N327" s="41" t="str">
        <f t="shared" si="72"/>
        <v>¥0</v>
      </c>
      <c r="O327" s="44"/>
      <c r="P327" s="317">
        <f>IF(D327=0,0,SUM($L$325:L327))</f>
        <v>0</v>
      </c>
      <c r="Q327" s="317">
        <f>IF(D327=0,0,SUM($I$325:I327))</f>
        <v>0</v>
      </c>
      <c r="R327" s="321">
        <f t="shared" si="74"/>
        <v>0</v>
      </c>
      <c r="S327" s="198">
        <f t="shared" si="80"/>
        <v>0</v>
      </c>
      <c r="T327" s="212"/>
      <c r="U327" s="317">
        <f>IF(D327=0,0,SUM($L$21:L327))</f>
        <v>0</v>
      </c>
      <c r="V327" s="317">
        <f>IF(D327=0,0,SUM($J$21:J327))</f>
        <v>0</v>
      </c>
      <c r="W327" s="331">
        <f t="shared" si="75"/>
        <v>0</v>
      </c>
      <c r="X327" s="200">
        <f t="shared" si="81"/>
        <v>0</v>
      </c>
      <c r="Y327" s="201">
        <f t="shared" ref="Y327:Z342" si="85">Y326+1</f>
        <v>45964</v>
      </c>
      <c r="Z327" s="202">
        <f t="shared" si="85"/>
        <v>45964</v>
      </c>
      <c r="AA327" s="18"/>
      <c r="AB327" s="244"/>
      <c r="AC327" s="247"/>
      <c r="AD327" s="142"/>
      <c r="AE327" s="18"/>
      <c r="AF327" s="18"/>
      <c r="AG327" s="203"/>
      <c r="AH327" s="203"/>
      <c r="AI327" s="18"/>
      <c r="AJ327" s="18"/>
      <c r="AK327" s="18"/>
      <c r="AL327" s="18"/>
      <c r="AM327" s="18"/>
      <c r="AN327" s="18"/>
    </row>
    <row r="328" spans="1:40" ht="20">
      <c r="A328" s="18"/>
      <c r="B328" s="151"/>
      <c r="C328" s="55">
        <v>308</v>
      </c>
      <c r="D328" s="54">
        <v>1</v>
      </c>
      <c r="E328" s="190">
        <f t="shared" si="76"/>
        <v>11</v>
      </c>
      <c r="F328" s="191">
        <f t="shared" si="77"/>
        <v>45965</v>
      </c>
      <c r="G328" s="192" t="str">
        <f t="shared" si="78"/>
        <v>Tue</v>
      </c>
      <c r="H328" s="193"/>
      <c r="I328" s="194"/>
      <c r="J328" s="307">
        <f>333450/B13</f>
        <v>3022.0228384991842</v>
      </c>
      <c r="K328" s="215"/>
      <c r="L328" s="317">
        <f t="shared" si="79"/>
        <v>2186.9201160271436</v>
      </c>
      <c r="M328" s="318">
        <f t="shared" si="73"/>
        <v>835.10272247204057</v>
      </c>
      <c r="N328" s="41">
        <f t="shared" si="72"/>
        <v>1.381862472411258</v>
      </c>
      <c r="O328" s="56"/>
      <c r="P328" s="317">
        <f>IF(D328=0,0,SUM($L$325:L328))</f>
        <v>3854.7270758447394</v>
      </c>
      <c r="Q328" s="317">
        <f>IF(D328=0,0,SUM($I$325:I328))</f>
        <v>0</v>
      </c>
      <c r="R328" s="321">
        <f t="shared" si="74"/>
        <v>-3854.7270758447394</v>
      </c>
      <c r="S328" s="198">
        <f t="shared" si="80"/>
        <v>0</v>
      </c>
      <c r="T328" s="207"/>
      <c r="U328" s="317">
        <f>IF(D328=0,0,SUM($L$21:L328))</f>
        <v>537171.32890794426</v>
      </c>
      <c r="V328" s="317">
        <f>IF(D328=0,0,SUM($J$21:J328))</f>
        <v>574124.22512234922</v>
      </c>
      <c r="W328" s="331">
        <f t="shared" si="75"/>
        <v>36952.896214404958</v>
      </c>
      <c r="X328" s="200">
        <f t="shared" si="81"/>
        <v>1.0687916391396564</v>
      </c>
      <c r="Y328" s="201">
        <f t="shared" si="85"/>
        <v>45965</v>
      </c>
      <c r="Z328" s="202">
        <f t="shared" si="85"/>
        <v>45965</v>
      </c>
      <c r="AA328" s="18"/>
      <c r="AB328" s="244"/>
      <c r="AC328" s="247"/>
      <c r="AD328" s="142"/>
      <c r="AE328" s="18"/>
      <c r="AF328" s="18"/>
      <c r="AG328" s="203"/>
      <c r="AH328" s="203"/>
      <c r="AI328" s="18"/>
      <c r="AJ328" s="18"/>
      <c r="AK328" s="18"/>
      <c r="AL328" s="18"/>
      <c r="AM328" s="18"/>
      <c r="AN328" s="18"/>
    </row>
    <row r="329" spans="1:40" ht="20">
      <c r="A329" s="18"/>
      <c r="B329" s="151"/>
      <c r="C329" s="55">
        <v>309</v>
      </c>
      <c r="D329" s="54">
        <v>1</v>
      </c>
      <c r="E329" s="190">
        <f t="shared" si="76"/>
        <v>11</v>
      </c>
      <c r="F329" s="191">
        <f t="shared" si="77"/>
        <v>45966</v>
      </c>
      <c r="G329" s="192" t="str">
        <f t="shared" si="78"/>
        <v>Wed</v>
      </c>
      <c r="H329" s="193"/>
      <c r="I329" s="194"/>
      <c r="J329" s="307">
        <f>299890/B13</f>
        <v>2717.8720319013955</v>
      </c>
      <c r="K329" s="215"/>
      <c r="L329" s="317">
        <f t="shared" si="79"/>
        <v>2521.5949659039038</v>
      </c>
      <c r="M329" s="318">
        <f t="shared" si="73"/>
        <v>196.27706599749172</v>
      </c>
      <c r="N329" s="41">
        <f t="shared" si="72"/>
        <v>1.0778384588530194</v>
      </c>
      <c r="O329" s="56"/>
      <c r="P329" s="317">
        <f>IF(D329=0,0,SUM($L$325:L329))</f>
        <v>6376.3220417486427</v>
      </c>
      <c r="Q329" s="317">
        <f>IF(D329=0,0,SUM($I$325:I329))</f>
        <v>0</v>
      </c>
      <c r="R329" s="321">
        <f t="shared" si="74"/>
        <v>-6376.3220417486427</v>
      </c>
      <c r="S329" s="198">
        <f t="shared" si="80"/>
        <v>0</v>
      </c>
      <c r="T329" s="207"/>
      <c r="U329" s="317">
        <f>IF(D329=0,0,SUM($L$21:L329))</f>
        <v>539692.92387384817</v>
      </c>
      <c r="V329" s="317">
        <f>IF(D329=0,0,SUM($J$21:J329))</f>
        <v>576842.0971542506</v>
      </c>
      <c r="W329" s="331">
        <f t="shared" si="75"/>
        <v>37149.173280402436</v>
      </c>
      <c r="X329" s="200">
        <f t="shared" si="81"/>
        <v>1.068833908389516</v>
      </c>
      <c r="Y329" s="201">
        <f t="shared" si="85"/>
        <v>45966</v>
      </c>
      <c r="Z329" s="202">
        <f t="shared" si="85"/>
        <v>45966</v>
      </c>
      <c r="AA329" s="18"/>
      <c r="AB329" s="244"/>
      <c r="AC329" s="247"/>
      <c r="AD329" s="142"/>
      <c r="AE329" s="18"/>
      <c r="AF329" s="18"/>
      <c r="AG329" s="203"/>
      <c r="AH329" s="203"/>
      <c r="AI329" s="18"/>
      <c r="AJ329" s="18"/>
      <c r="AK329" s="18"/>
      <c r="AL329" s="18"/>
      <c r="AM329" s="18"/>
      <c r="AN329" s="18"/>
    </row>
    <row r="330" spans="1:40" ht="20">
      <c r="A330" s="18"/>
      <c r="B330" s="151"/>
      <c r="C330" s="55">
        <v>310</v>
      </c>
      <c r="D330" s="54">
        <v>1</v>
      </c>
      <c r="E330" s="190">
        <f t="shared" si="76"/>
        <v>11</v>
      </c>
      <c r="F330" s="191">
        <f t="shared" si="77"/>
        <v>45967</v>
      </c>
      <c r="G330" s="192" t="str">
        <f t="shared" si="78"/>
        <v>Thu</v>
      </c>
      <c r="H330" s="193"/>
      <c r="I330" s="194"/>
      <c r="J330" s="307">
        <f>300990/B13</f>
        <v>2727.8412180532896</v>
      </c>
      <c r="K330" s="215"/>
      <c r="L330" s="317">
        <f t="shared" si="79"/>
        <v>2456.4307623300156</v>
      </c>
      <c r="M330" s="318">
        <f t="shared" si="73"/>
        <v>271.41045572327403</v>
      </c>
      <c r="N330" s="41">
        <f t="shared" si="72"/>
        <v>1.1104897642080622</v>
      </c>
      <c r="O330" s="56"/>
      <c r="P330" s="317">
        <f>IF(D330=0,0,SUM($L$325:L330))</f>
        <v>8832.7528040786583</v>
      </c>
      <c r="Q330" s="317">
        <f>IF(D330=0,0,SUM($I$325:I330))</f>
        <v>0</v>
      </c>
      <c r="R330" s="321">
        <f t="shared" si="74"/>
        <v>-8832.7528040786583</v>
      </c>
      <c r="S330" s="198">
        <f t="shared" si="80"/>
        <v>0</v>
      </c>
      <c r="T330" s="207"/>
      <c r="U330" s="317">
        <f>IF(D330=0,0,SUM($L$21:L330))</f>
        <v>542149.35463617824</v>
      </c>
      <c r="V330" s="317">
        <f>IF(D330=0,0,SUM($J$21:J330))</f>
        <v>579569.93837230385</v>
      </c>
      <c r="W330" s="331">
        <f t="shared" si="75"/>
        <v>37420.583736125613</v>
      </c>
      <c r="X330" s="200">
        <f t="shared" si="81"/>
        <v>1.0690226473869688</v>
      </c>
      <c r="Y330" s="201">
        <f t="shared" si="85"/>
        <v>45967</v>
      </c>
      <c r="Z330" s="202">
        <f t="shared" si="85"/>
        <v>45967</v>
      </c>
      <c r="AA330" s="18"/>
      <c r="AB330" s="244"/>
      <c r="AC330" s="247"/>
      <c r="AD330" s="142"/>
      <c r="AE330" s="18"/>
      <c r="AF330" s="18"/>
      <c r="AG330" s="203"/>
      <c r="AH330" s="203"/>
      <c r="AI330" s="18"/>
      <c r="AJ330" s="18"/>
      <c r="AK330" s="18"/>
      <c r="AL330" s="18"/>
      <c r="AM330" s="18"/>
      <c r="AN330" s="18"/>
    </row>
    <row r="331" spans="1:40" ht="20">
      <c r="A331" s="18"/>
      <c r="B331" s="151"/>
      <c r="C331" s="55">
        <v>311</v>
      </c>
      <c r="D331" s="54">
        <v>1</v>
      </c>
      <c r="E331" s="190">
        <f t="shared" si="76"/>
        <v>11</v>
      </c>
      <c r="F331" s="191">
        <f t="shared" si="77"/>
        <v>45968</v>
      </c>
      <c r="G331" s="192" t="str">
        <f t="shared" si="78"/>
        <v>Fri</v>
      </c>
      <c r="H331" s="193"/>
      <c r="I331" s="194"/>
      <c r="J331" s="307">
        <f>455090/B13</f>
        <v>4124.4335689686422</v>
      </c>
      <c r="K331" s="215"/>
      <c r="L331" s="317">
        <f t="shared" si="79"/>
        <v>3932.3527528411983</v>
      </c>
      <c r="M331" s="318">
        <f t="shared" si="73"/>
        <v>192.080816127444</v>
      </c>
      <c r="N331" s="41">
        <f t="shared" si="72"/>
        <v>1.0488462831796213</v>
      </c>
      <c r="O331" s="56"/>
      <c r="P331" s="317">
        <f>IF(D331=0,0,SUM($L$325:L331))</f>
        <v>12765.105556919856</v>
      </c>
      <c r="Q331" s="317">
        <f>IF(D331=0,0,SUM($I$325:I331))</f>
        <v>0</v>
      </c>
      <c r="R331" s="321">
        <f t="shared" si="74"/>
        <v>-12765.105556919856</v>
      </c>
      <c r="S331" s="198">
        <f t="shared" si="80"/>
        <v>0</v>
      </c>
      <c r="T331" s="207"/>
      <c r="U331" s="317">
        <f>IF(D331=0,0,SUM($L$21:L331))</f>
        <v>546081.70738901943</v>
      </c>
      <c r="V331" s="317">
        <f>IF(D331=0,0,SUM($J$21:J331))</f>
        <v>583694.37194127252</v>
      </c>
      <c r="W331" s="331">
        <f t="shared" si="75"/>
        <v>37612.664552253089</v>
      </c>
      <c r="X331" s="200">
        <f t="shared" si="81"/>
        <v>1.0688773567092926</v>
      </c>
      <c r="Y331" s="201">
        <f t="shared" si="85"/>
        <v>45968</v>
      </c>
      <c r="Z331" s="202">
        <f t="shared" si="85"/>
        <v>45968</v>
      </c>
      <c r="AA331" s="18"/>
      <c r="AB331" s="244"/>
      <c r="AC331" s="247"/>
      <c r="AD331" s="142"/>
      <c r="AE331" s="18"/>
      <c r="AF331" s="18"/>
      <c r="AG331" s="203"/>
      <c r="AH331" s="203"/>
      <c r="AI331" s="18"/>
      <c r="AJ331" s="18"/>
      <c r="AK331" s="18"/>
      <c r="AL331" s="18"/>
      <c r="AM331" s="18"/>
      <c r="AN331" s="18"/>
    </row>
    <row r="332" spans="1:40" ht="20">
      <c r="A332" s="18"/>
      <c r="B332" s="151"/>
      <c r="C332" s="55">
        <v>312</v>
      </c>
      <c r="D332" s="54">
        <v>1</v>
      </c>
      <c r="E332" s="190">
        <f t="shared" si="76"/>
        <v>11</v>
      </c>
      <c r="F332" s="191">
        <f t="shared" si="77"/>
        <v>45969</v>
      </c>
      <c r="G332" s="192" t="str">
        <f t="shared" si="78"/>
        <v>Sat</v>
      </c>
      <c r="H332" s="193"/>
      <c r="I332" s="194"/>
      <c r="J332" s="307">
        <f>213450/B13</f>
        <v>1934.4752582925503</v>
      </c>
      <c r="K332" s="215"/>
      <c r="L332" s="317">
        <f t="shared" si="79"/>
        <v>1667.8069598175957</v>
      </c>
      <c r="M332" s="318">
        <f t="shared" si="73"/>
        <v>266.66829847495455</v>
      </c>
      <c r="N332" s="41">
        <f t="shared" si="72"/>
        <v>1.1598915851173324</v>
      </c>
      <c r="O332" s="56"/>
      <c r="P332" s="317">
        <f>IF(D332=0,0,SUM($L$325:L332))</f>
        <v>14432.912516737451</v>
      </c>
      <c r="Q332" s="317">
        <f>IF(D332=0,0,SUM($I$325:I332))</f>
        <v>0</v>
      </c>
      <c r="R332" s="321">
        <f t="shared" si="74"/>
        <v>-14432.912516737451</v>
      </c>
      <c r="S332" s="198">
        <f t="shared" si="80"/>
        <v>0</v>
      </c>
      <c r="T332" s="207"/>
      <c r="U332" s="317">
        <f>IF(D332=0,0,SUM($L$21:L332))</f>
        <v>547749.51434883708</v>
      </c>
      <c r="V332" s="317">
        <f>IF(D332=0,0,SUM($J$21:J332))</f>
        <v>585628.84719956503</v>
      </c>
      <c r="W332" s="331">
        <f t="shared" si="75"/>
        <v>37879.332850727951</v>
      </c>
      <c r="X332" s="200">
        <f t="shared" si="81"/>
        <v>1.069154480028629</v>
      </c>
      <c r="Y332" s="201">
        <f t="shared" si="85"/>
        <v>45969</v>
      </c>
      <c r="Z332" s="202">
        <f t="shared" si="85"/>
        <v>45969</v>
      </c>
      <c r="AA332" s="18"/>
      <c r="AB332" s="244"/>
      <c r="AC332" s="247"/>
      <c r="AD332" s="142"/>
      <c r="AE332" s="18"/>
      <c r="AF332" s="18"/>
      <c r="AG332" s="203"/>
      <c r="AH332" s="203"/>
      <c r="AI332" s="18"/>
      <c r="AJ332" s="18"/>
      <c r="AK332" s="18"/>
      <c r="AL332" s="18"/>
      <c r="AM332" s="18"/>
      <c r="AN332" s="18"/>
    </row>
    <row r="333" spans="1:40" ht="20">
      <c r="A333" s="18"/>
      <c r="B333" s="151"/>
      <c r="C333" s="55">
        <v>313</v>
      </c>
      <c r="D333" s="54">
        <v>0</v>
      </c>
      <c r="E333" s="190">
        <f t="shared" si="76"/>
        <v>11</v>
      </c>
      <c r="F333" s="191">
        <f t="shared" si="77"/>
        <v>45970</v>
      </c>
      <c r="G333" s="192" t="str">
        <f t="shared" si="78"/>
        <v>Sun</v>
      </c>
      <c r="H333" s="193"/>
      <c r="I333" s="194"/>
      <c r="J333" s="307"/>
      <c r="K333" s="215"/>
      <c r="L333" s="317">
        <f t="shared" si="79"/>
        <v>0</v>
      </c>
      <c r="M333" s="318">
        <f t="shared" si="73"/>
        <v>0</v>
      </c>
      <c r="N333" s="41" t="str">
        <f t="shared" si="72"/>
        <v>¥0</v>
      </c>
      <c r="O333" s="44"/>
      <c r="P333" s="317">
        <f>IF(D333=0,0,SUM($L$325:L333))</f>
        <v>0</v>
      </c>
      <c r="Q333" s="317">
        <f>IF(D333=0,0,SUM($I$325:I333))</f>
        <v>0</v>
      </c>
      <c r="R333" s="321">
        <f t="shared" si="74"/>
        <v>0</v>
      </c>
      <c r="S333" s="198">
        <f t="shared" si="80"/>
        <v>0</v>
      </c>
      <c r="T333" s="212"/>
      <c r="U333" s="317">
        <f>IF(D333=0,0,SUM($L$21:L333))</f>
        <v>0</v>
      </c>
      <c r="V333" s="317">
        <f>IF(D333=0,0,SUM($J$21:J333))</f>
        <v>0</v>
      </c>
      <c r="W333" s="331">
        <f t="shared" si="75"/>
        <v>0</v>
      </c>
      <c r="X333" s="200">
        <f t="shared" si="81"/>
        <v>0</v>
      </c>
      <c r="Y333" s="201">
        <f t="shared" si="85"/>
        <v>45970</v>
      </c>
      <c r="Z333" s="202">
        <f t="shared" si="85"/>
        <v>45970</v>
      </c>
      <c r="AA333" s="18"/>
      <c r="AB333" s="244"/>
      <c r="AC333" s="247"/>
      <c r="AD333" s="142"/>
      <c r="AE333" s="18"/>
      <c r="AF333" s="18"/>
      <c r="AG333" s="203"/>
      <c r="AH333" s="203"/>
      <c r="AI333" s="18"/>
      <c r="AJ333" s="18"/>
      <c r="AK333" s="18"/>
      <c r="AL333" s="18"/>
      <c r="AM333" s="18"/>
      <c r="AN333" s="18"/>
    </row>
    <row r="334" spans="1:40" ht="20">
      <c r="A334" s="18"/>
      <c r="B334" s="151"/>
      <c r="C334" s="55">
        <v>314</v>
      </c>
      <c r="D334" s="54">
        <v>1</v>
      </c>
      <c r="E334" s="190">
        <f t="shared" si="76"/>
        <v>11</v>
      </c>
      <c r="F334" s="191">
        <f t="shared" si="77"/>
        <v>45971</v>
      </c>
      <c r="G334" s="192" t="str">
        <f t="shared" si="78"/>
        <v>Mon</v>
      </c>
      <c r="H334" s="193"/>
      <c r="I334" s="194"/>
      <c r="J334" s="307">
        <f>300900/B13</f>
        <v>2727.0255573681347</v>
      </c>
      <c r="K334" s="215"/>
      <c r="L334" s="317">
        <f t="shared" si="79"/>
        <v>2497.7250348121643</v>
      </c>
      <c r="M334" s="318">
        <f t="shared" si="73"/>
        <v>229.30052255597047</v>
      </c>
      <c r="N334" s="41">
        <f t="shared" si="72"/>
        <v>1.0918037491557651</v>
      </c>
      <c r="O334" s="56"/>
      <c r="P334" s="317">
        <f>IF(D334=0,0,SUM($L$325:L334))</f>
        <v>16930.637551549615</v>
      </c>
      <c r="Q334" s="317">
        <f>IF(D334=0,0,SUM($I$325:I334))</f>
        <v>0</v>
      </c>
      <c r="R334" s="321">
        <f t="shared" si="74"/>
        <v>-16930.637551549615</v>
      </c>
      <c r="S334" s="198">
        <f t="shared" si="80"/>
        <v>0</v>
      </c>
      <c r="T334" s="207"/>
      <c r="U334" s="317">
        <f>IF(D334=0,0,SUM($L$21:L334))</f>
        <v>550247.2393836492</v>
      </c>
      <c r="V334" s="317">
        <f>IF(D334=0,0,SUM($J$21:J334))</f>
        <v>588355.87275693321</v>
      </c>
      <c r="W334" s="331">
        <f t="shared" si="75"/>
        <v>38108.633373284014</v>
      </c>
      <c r="X334" s="200">
        <f t="shared" si="81"/>
        <v>1.0692572913513765</v>
      </c>
      <c r="Y334" s="201">
        <f t="shared" si="85"/>
        <v>45971</v>
      </c>
      <c r="Z334" s="202">
        <f t="shared" si="85"/>
        <v>45971</v>
      </c>
      <c r="AA334" s="18"/>
      <c r="AB334" s="244"/>
      <c r="AC334" s="247"/>
      <c r="AD334" s="142"/>
      <c r="AE334" s="18"/>
      <c r="AF334" s="18"/>
      <c r="AG334" s="203"/>
      <c r="AH334" s="203"/>
      <c r="AI334" s="18"/>
      <c r="AJ334" s="18"/>
      <c r="AK334" s="18"/>
      <c r="AL334" s="18"/>
      <c r="AM334" s="18"/>
      <c r="AN334" s="18"/>
    </row>
    <row r="335" spans="1:40" ht="20">
      <c r="A335" s="18"/>
      <c r="B335" s="151"/>
      <c r="C335" s="55">
        <v>315</v>
      </c>
      <c r="D335" s="54">
        <v>1</v>
      </c>
      <c r="E335" s="190">
        <f t="shared" si="76"/>
        <v>11</v>
      </c>
      <c r="F335" s="191">
        <f t="shared" si="77"/>
        <v>45972</v>
      </c>
      <c r="G335" s="192" t="str">
        <f t="shared" si="78"/>
        <v>Tue</v>
      </c>
      <c r="H335" s="193"/>
      <c r="I335" s="194"/>
      <c r="J335" s="307">
        <f>310980/B13</f>
        <v>2818.3795541054919</v>
      </c>
      <c r="K335" s="215"/>
      <c r="L335" s="317">
        <f t="shared" si="79"/>
        <v>2186.9201160271436</v>
      </c>
      <c r="M335" s="318">
        <f t="shared" si="73"/>
        <v>631.45943807834828</v>
      </c>
      <c r="N335" s="41">
        <f t="shared" si="72"/>
        <v>1.2887437147112102</v>
      </c>
      <c r="O335" s="56"/>
      <c r="P335" s="317">
        <f>IF(D335=0,0,SUM($L$325:L335))</f>
        <v>19117.557667576759</v>
      </c>
      <c r="Q335" s="317">
        <f>IF(D335=0,0,SUM($I$325:I335))</f>
        <v>0</v>
      </c>
      <c r="R335" s="321">
        <f t="shared" si="74"/>
        <v>-19117.557667576759</v>
      </c>
      <c r="S335" s="198">
        <f t="shared" si="80"/>
        <v>0</v>
      </c>
      <c r="T335" s="207"/>
      <c r="U335" s="317">
        <f>IF(D335=0,0,SUM($L$21:L335))</f>
        <v>552434.15949967632</v>
      </c>
      <c r="V335" s="317">
        <f>IF(D335=0,0,SUM($J$21:J335))</f>
        <v>591174.25231103867</v>
      </c>
      <c r="W335" s="331">
        <f t="shared" si="75"/>
        <v>38740.092811362352</v>
      </c>
      <c r="X335" s="200">
        <f t="shared" si="81"/>
        <v>1.0701261718617259</v>
      </c>
      <c r="Y335" s="201">
        <f t="shared" si="85"/>
        <v>45972</v>
      </c>
      <c r="Z335" s="202">
        <f t="shared" si="85"/>
        <v>45972</v>
      </c>
      <c r="AA335" s="18"/>
      <c r="AB335" s="244"/>
      <c r="AC335" s="247"/>
      <c r="AD335" s="142"/>
      <c r="AE335" s="18"/>
      <c r="AF335" s="18"/>
      <c r="AG335" s="203"/>
      <c r="AH335" s="203"/>
      <c r="AI335" s="18"/>
      <c r="AJ335" s="18"/>
      <c r="AK335" s="18"/>
      <c r="AL335" s="18"/>
      <c r="AM335" s="18"/>
      <c r="AN335" s="18"/>
    </row>
    <row r="336" spans="1:40" ht="20">
      <c r="A336" s="18"/>
      <c r="B336" s="151"/>
      <c r="C336" s="55">
        <v>316</v>
      </c>
      <c r="D336" s="54">
        <v>1</v>
      </c>
      <c r="E336" s="190">
        <f t="shared" si="76"/>
        <v>11</v>
      </c>
      <c r="F336" s="191">
        <f t="shared" si="77"/>
        <v>45973</v>
      </c>
      <c r="G336" s="192" t="str">
        <f t="shared" si="78"/>
        <v>Wed</v>
      </c>
      <c r="H336" s="193"/>
      <c r="I336" s="194"/>
      <c r="J336" s="307">
        <f>210990/B13</f>
        <v>1912.1805328983141</v>
      </c>
      <c r="K336" s="215"/>
      <c r="L336" s="317">
        <f t="shared" si="79"/>
        <v>2521.5949659039038</v>
      </c>
      <c r="M336" s="318">
        <f t="shared" si="73"/>
        <v>-609.41443300558967</v>
      </c>
      <c r="N336" s="41">
        <f t="shared" si="72"/>
        <v>0.75832183945246101</v>
      </c>
      <c r="O336" s="56"/>
      <c r="P336" s="317">
        <f>IF(D336=0,0,SUM($L$325:L336))</f>
        <v>21639.152633480662</v>
      </c>
      <c r="Q336" s="317">
        <f>IF(D336=0,0,SUM($I$325:I336))</f>
        <v>0</v>
      </c>
      <c r="R336" s="321">
        <f t="shared" si="74"/>
        <v>-21639.152633480662</v>
      </c>
      <c r="S336" s="198">
        <f t="shared" si="80"/>
        <v>0</v>
      </c>
      <c r="T336" s="207"/>
      <c r="U336" s="317">
        <f>IF(D336=0,0,SUM($L$21:L336))</f>
        <v>554955.75446558022</v>
      </c>
      <c r="V336" s="317">
        <f>IF(D336=0,0,SUM($J$21:J336))</f>
        <v>593086.43284393696</v>
      </c>
      <c r="W336" s="331">
        <f t="shared" si="75"/>
        <v>38130.678378356737</v>
      </c>
      <c r="X336" s="200">
        <f t="shared" si="81"/>
        <v>1.0687094026353081</v>
      </c>
      <c r="Y336" s="201">
        <f t="shared" si="85"/>
        <v>45973</v>
      </c>
      <c r="Z336" s="202">
        <f t="shared" si="85"/>
        <v>45973</v>
      </c>
      <c r="AA336" s="18"/>
      <c r="AB336" s="244"/>
      <c r="AC336" s="247"/>
      <c r="AD336" s="142"/>
      <c r="AE336" s="18"/>
      <c r="AF336" s="18"/>
      <c r="AG336" s="203"/>
      <c r="AH336" s="203"/>
      <c r="AI336" s="18"/>
      <c r="AJ336" s="18"/>
      <c r="AK336" s="18"/>
      <c r="AL336" s="18"/>
      <c r="AM336" s="18"/>
      <c r="AN336" s="18"/>
    </row>
    <row r="337" spans="1:40" ht="20">
      <c r="A337" s="18"/>
      <c r="B337" s="151"/>
      <c r="C337" s="55">
        <v>317</v>
      </c>
      <c r="D337" s="54">
        <v>1</v>
      </c>
      <c r="E337" s="190">
        <f t="shared" si="76"/>
        <v>11</v>
      </c>
      <c r="F337" s="191">
        <f t="shared" si="77"/>
        <v>45974</v>
      </c>
      <c r="G337" s="192" t="str">
        <f t="shared" si="78"/>
        <v>Thu</v>
      </c>
      <c r="H337" s="193"/>
      <c r="I337" s="194"/>
      <c r="J337" s="307">
        <f>257990/B13</f>
        <v>2338.1366684792461</v>
      </c>
      <c r="K337" s="215"/>
      <c r="L337" s="317">
        <f t="shared" si="79"/>
        <v>2456.4307623300156</v>
      </c>
      <c r="M337" s="318">
        <f t="shared" si="73"/>
        <v>-118.29409385076951</v>
      </c>
      <c r="N337" s="41">
        <f t="shared" si="72"/>
        <v>0.9518430986678561</v>
      </c>
      <c r="O337" s="56"/>
      <c r="P337" s="317">
        <f>IF(D337=0,0,SUM($L$325:L337))</f>
        <v>24095.583395810678</v>
      </c>
      <c r="Q337" s="317">
        <f>IF(D337=0,0,SUM($I$325:I337))</f>
        <v>0</v>
      </c>
      <c r="R337" s="321">
        <f t="shared" si="74"/>
        <v>-24095.583395810678</v>
      </c>
      <c r="S337" s="198">
        <f t="shared" si="80"/>
        <v>0</v>
      </c>
      <c r="T337" s="207"/>
      <c r="U337" s="317">
        <f>IF(D337=0,0,SUM($L$21:L337))</f>
        <v>557412.18522791029</v>
      </c>
      <c r="V337" s="317">
        <f>IF(D337=0,0,SUM($J$21:J337))</f>
        <v>595424.56951241626</v>
      </c>
      <c r="W337" s="331">
        <f t="shared" si="75"/>
        <v>38012.38428450597</v>
      </c>
      <c r="X337" s="200">
        <f t="shared" si="81"/>
        <v>1.0681943905997746</v>
      </c>
      <c r="Y337" s="201">
        <f t="shared" si="85"/>
        <v>45974</v>
      </c>
      <c r="Z337" s="202">
        <f t="shared" si="85"/>
        <v>45974</v>
      </c>
      <c r="AA337" s="18"/>
      <c r="AB337" s="244"/>
      <c r="AC337" s="247"/>
      <c r="AD337" s="142"/>
      <c r="AE337" s="18"/>
      <c r="AF337" s="18"/>
      <c r="AG337" s="203"/>
      <c r="AH337" s="203"/>
      <c r="AI337" s="18"/>
      <c r="AJ337" s="18"/>
      <c r="AK337" s="18"/>
      <c r="AL337" s="18"/>
      <c r="AM337" s="18"/>
      <c r="AN337" s="18"/>
    </row>
    <row r="338" spans="1:40" ht="20">
      <c r="A338" s="18"/>
      <c r="B338" s="151"/>
      <c r="C338" s="55">
        <v>318</v>
      </c>
      <c r="D338" s="54">
        <v>1</v>
      </c>
      <c r="E338" s="190">
        <f t="shared" si="76"/>
        <v>11</v>
      </c>
      <c r="F338" s="191">
        <f t="shared" si="77"/>
        <v>45975</v>
      </c>
      <c r="G338" s="192" t="str">
        <f t="shared" si="78"/>
        <v>Fri</v>
      </c>
      <c r="H338" s="193"/>
      <c r="I338" s="194"/>
      <c r="J338" s="307">
        <f>441550/B13</f>
        <v>4001.7219503353272</v>
      </c>
      <c r="K338" s="215"/>
      <c r="L338" s="317">
        <f t="shared" si="79"/>
        <v>3932.3527528411983</v>
      </c>
      <c r="M338" s="318">
        <f t="shared" si="73"/>
        <v>69.369197494128912</v>
      </c>
      <c r="N338" s="41">
        <f t="shared" si="72"/>
        <v>1.0176406344634286</v>
      </c>
      <c r="O338" s="56"/>
      <c r="P338" s="317">
        <f>IF(D338=0,0,SUM($L$325:L338))</f>
        <v>28027.936148651876</v>
      </c>
      <c r="Q338" s="317">
        <f>IF(D338=0,0,SUM($I$325:I338))</f>
        <v>0</v>
      </c>
      <c r="R338" s="321">
        <f t="shared" si="74"/>
        <v>-28027.936148651876</v>
      </c>
      <c r="S338" s="198">
        <f t="shared" si="80"/>
        <v>0</v>
      </c>
      <c r="T338" s="207"/>
      <c r="U338" s="317">
        <f>IF(D338=0,0,SUM($L$21:L338))</f>
        <v>561344.53798075148</v>
      </c>
      <c r="V338" s="317">
        <f>IF(D338=0,0,SUM($J$21:J338))</f>
        <v>599426.29146275157</v>
      </c>
      <c r="W338" s="331">
        <f t="shared" si="75"/>
        <v>38081.753482000087</v>
      </c>
      <c r="X338" s="200">
        <f t="shared" si="81"/>
        <v>1.067840249446421</v>
      </c>
      <c r="Y338" s="201">
        <f t="shared" si="85"/>
        <v>45975</v>
      </c>
      <c r="Z338" s="202">
        <f t="shared" si="85"/>
        <v>45975</v>
      </c>
      <c r="AA338" s="18"/>
      <c r="AB338" s="244"/>
      <c r="AC338" s="247"/>
      <c r="AD338" s="142"/>
      <c r="AE338" s="18"/>
      <c r="AF338" s="18"/>
      <c r="AG338" s="203"/>
      <c r="AH338" s="203"/>
      <c r="AI338" s="18"/>
      <c r="AJ338" s="18"/>
      <c r="AK338" s="18"/>
      <c r="AL338" s="18"/>
      <c r="AM338" s="18"/>
      <c r="AN338" s="18"/>
    </row>
    <row r="339" spans="1:40" ht="20">
      <c r="A339" s="18"/>
      <c r="B339" s="151"/>
      <c r="C339" s="55">
        <v>319</v>
      </c>
      <c r="D339" s="54">
        <v>1</v>
      </c>
      <c r="E339" s="190">
        <f t="shared" si="76"/>
        <v>11</v>
      </c>
      <c r="F339" s="191">
        <f t="shared" si="77"/>
        <v>45976</v>
      </c>
      <c r="G339" s="192" t="str">
        <f t="shared" si="78"/>
        <v>Sat</v>
      </c>
      <c r="H339" s="193"/>
      <c r="I339" s="194"/>
      <c r="J339" s="307">
        <f>130980/B13</f>
        <v>1187.058183795541</v>
      </c>
      <c r="K339" s="215"/>
      <c r="L339" s="317">
        <f t="shared" si="79"/>
        <v>1667.8069598175957</v>
      </c>
      <c r="M339" s="318">
        <f t="shared" si="73"/>
        <v>-480.7487760220547</v>
      </c>
      <c r="N339" s="41">
        <f t="shared" si="72"/>
        <v>0.71174794949012976</v>
      </c>
      <c r="O339" s="56"/>
      <c r="P339" s="317">
        <f>IF(D339=0,0,SUM($L$325:L339))</f>
        <v>29695.743108469473</v>
      </c>
      <c r="Q339" s="317">
        <f>IF(D339=0,0,SUM($I$325:I339))</f>
        <v>0</v>
      </c>
      <c r="R339" s="321">
        <f t="shared" si="74"/>
        <v>-29695.743108469473</v>
      </c>
      <c r="S339" s="198">
        <f t="shared" si="80"/>
        <v>0</v>
      </c>
      <c r="T339" s="207"/>
      <c r="U339" s="317">
        <f>IF(D339=0,0,SUM($L$21:L339))</f>
        <v>563012.34494056914</v>
      </c>
      <c r="V339" s="317">
        <f>IF(D339=0,0,SUM($J$21:J339))</f>
        <v>600613.34964654711</v>
      </c>
      <c r="W339" s="331">
        <f t="shared" si="75"/>
        <v>37601.004705977975</v>
      </c>
      <c r="X339" s="200">
        <f t="shared" si="81"/>
        <v>1.066785400078478</v>
      </c>
      <c r="Y339" s="201">
        <f t="shared" si="85"/>
        <v>45976</v>
      </c>
      <c r="Z339" s="202">
        <f t="shared" si="85"/>
        <v>45976</v>
      </c>
      <c r="AA339" s="18"/>
      <c r="AB339" s="244"/>
      <c r="AC339" s="247"/>
      <c r="AD339" s="142"/>
      <c r="AE339" s="18"/>
      <c r="AF339" s="18"/>
      <c r="AG339" s="203"/>
      <c r="AH339" s="203"/>
      <c r="AI339" s="18"/>
      <c r="AJ339" s="18"/>
      <c r="AK339" s="18"/>
      <c r="AL339" s="18"/>
      <c r="AM339" s="18"/>
      <c r="AN339" s="18"/>
    </row>
    <row r="340" spans="1:40" ht="20">
      <c r="A340" s="18"/>
      <c r="B340" s="151"/>
      <c r="C340" s="55">
        <v>320</v>
      </c>
      <c r="D340" s="54">
        <v>0</v>
      </c>
      <c r="E340" s="190">
        <f t="shared" si="76"/>
        <v>11</v>
      </c>
      <c r="F340" s="191">
        <f t="shared" si="77"/>
        <v>45977</v>
      </c>
      <c r="G340" s="192" t="str">
        <f t="shared" si="78"/>
        <v>Sun</v>
      </c>
      <c r="H340" s="193"/>
      <c r="I340" s="194"/>
      <c r="J340" s="307"/>
      <c r="K340" s="215"/>
      <c r="L340" s="317">
        <f t="shared" si="79"/>
        <v>0</v>
      </c>
      <c r="M340" s="318">
        <f t="shared" si="73"/>
        <v>0</v>
      </c>
      <c r="N340" s="41" t="str">
        <f t="shared" si="72"/>
        <v>¥0</v>
      </c>
      <c r="O340" s="44"/>
      <c r="P340" s="317">
        <f>IF(D340=0,0,SUM($L$325:L340))</f>
        <v>0</v>
      </c>
      <c r="Q340" s="317">
        <f>IF(D340=0,0,SUM($I$325:I340))</f>
        <v>0</v>
      </c>
      <c r="R340" s="321">
        <f t="shared" si="74"/>
        <v>0</v>
      </c>
      <c r="S340" s="198">
        <f t="shared" si="80"/>
        <v>0</v>
      </c>
      <c r="T340" s="212"/>
      <c r="U340" s="317">
        <f>IF(D340=0,0,SUM($L$21:L340))</f>
        <v>0</v>
      </c>
      <c r="V340" s="317">
        <f>IF(D340=0,0,SUM($J$21:J340))</f>
        <v>0</v>
      </c>
      <c r="W340" s="331">
        <f t="shared" si="75"/>
        <v>0</v>
      </c>
      <c r="X340" s="200">
        <f t="shared" si="81"/>
        <v>0</v>
      </c>
      <c r="Y340" s="201">
        <f t="shared" si="85"/>
        <v>45977</v>
      </c>
      <c r="Z340" s="202">
        <f t="shared" si="85"/>
        <v>45977</v>
      </c>
      <c r="AA340" s="18"/>
      <c r="AB340" s="244"/>
      <c r="AC340" s="247"/>
      <c r="AD340" s="142"/>
      <c r="AE340" s="18"/>
      <c r="AF340" s="18"/>
      <c r="AG340" s="203"/>
      <c r="AH340" s="203"/>
      <c r="AI340" s="18"/>
      <c r="AJ340" s="18"/>
      <c r="AK340" s="18"/>
      <c r="AL340" s="18"/>
      <c r="AM340" s="18"/>
      <c r="AN340" s="18"/>
    </row>
    <row r="341" spans="1:40" ht="20">
      <c r="A341" s="18"/>
      <c r="B341" s="151"/>
      <c r="C341" s="55">
        <v>321</v>
      </c>
      <c r="D341" s="54">
        <v>1</v>
      </c>
      <c r="E341" s="190">
        <f t="shared" si="76"/>
        <v>11</v>
      </c>
      <c r="F341" s="191">
        <f t="shared" si="77"/>
        <v>45978</v>
      </c>
      <c r="G341" s="192" t="str">
        <f t="shared" si="78"/>
        <v>Mon</v>
      </c>
      <c r="H341" s="193"/>
      <c r="I341" s="194"/>
      <c r="J341" s="307">
        <f>300810/B13</f>
        <v>2726.2098966829799</v>
      </c>
      <c r="K341" s="215"/>
      <c r="L341" s="317">
        <f t="shared" si="79"/>
        <v>2497.7250348121643</v>
      </c>
      <c r="M341" s="318">
        <f t="shared" ref="M341:M385" si="86">IF(D341=0,0,J341-L341)</f>
        <v>228.48486187081562</v>
      </c>
      <c r="N341" s="41">
        <f t="shared" si="72"/>
        <v>1.0914771877153397</v>
      </c>
      <c r="O341" s="56"/>
      <c r="P341" s="317">
        <f>IF(D341=0,0,SUM($L$325:L341))</f>
        <v>32193.468143281636</v>
      </c>
      <c r="Q341" s="317">
        <f>IF(D341=0,0,SUM($I$325:I341))</f>
        <v>0</v>
      </c>
      <c r="R341" s="321">
        <f t="shared" ref="R341:R385" si="87">IF(D341=0,0,Q341-P341)</f>
        <v>-32193.468143281636</v>
      </c>
      <c r="S341" s="198">
        <f t="shared" si="80"/>
        <v>0</v>
      </c>
      <c r="T341" s="207"/>
      <c r="U341" s="317">
        <f>IF(D341=0,0,SUM($L$21:L341))</f>
        <v>565510.06997538125</v>
      </c>
      <c r="V341" s="317">
        <f>IF(D341=0,0,SUM($J$21:J341))</f>
        <v>603339.55954323011</v>
      </c>
      <c r="W341" s="331">
        <f t="shared" ref="W341:W385" si="88">IF(D341=0,0,V341-U341)</f>
        <v>37829.489567848854</v>
      </c>
      <c r="X341" s="200">
        <f t="shared" si="81"/>
        <v>1.066894457899743</v>
      </c>
      <c r="Y341" s="201">
        <f t="shared" si="85"/>
        <v>45978</v>
      </c>
      <c r="Z341" s="202">
        <f t="shared" si="85"/>
        <v>45978</v>
      </c>
      <c r="AA341" s="18"/>
      <c r="AB341" s="244"/>
      <c r="AC341" s="247"/>
      <c r="AD341" s="142"/>
      <c r="AE341" s="18"/>
      <c r="AF341" s="18"/>
      <c r="AG341" s="203"/>
      <c r="AH341" s="203"/>
      <c r="AI341" s="18"/>
      <c r="AJ341" s="18"/>
      <c r="AK341" s="18"/>
      <c r="AL341" s="18"/>
      <c r="AM341" s="18"/>
      <c r="AN341" s="18"/>
    </row>
    <row r="342" spans="1:40" ht="20">
      <c r="A342" s="18"/>
      <c r="B342" s="151"/>
      <c r="C342" s="55">
        <v>322</v>
      </c>
      <c r="D342" s="54">
        <v>1</v>
      </c>
      <c r="E342" s="190">
        <f t="shared" ref="E342:E385" si="89">MONTH(Y342)</f>
        <v>11</v>
      </c>
      <c r="F342" s="191">
        <f t="shared" ref="F342:F385" si="90">F341+1</f>
        <v>45979</v>
      </c>
      <c r="G342" s="192" t="str">
        <f t="shared" ref="G342:G385" si="91">TEXT(Z342,"ddd")</f>
        <v>Tue</v>
      </c>
      <c r="H342" s="193"/>
      <c r="I342" s="194"/>
      <c r="J342" s="307">
        <f>223990/B13</f>
        <v>2029.9981874206997</v>
      </c>
      <c r="K342" s="215"/>
      <c r="L342" s="317">
        <f t="shared" ref="L342:L385" si="92">IF(D342=0,0,IFERROR(SUMIFS($AE$21:$AE$104,$AA$21:$AA$104,$E342,$AB$21:$AB$104,$G342),0))</f>
        <v>2186.9201160271436</v>
      </c>
      <c r="M342" s="318">
        <f t="shared" si="86"/>
        <v>-156.921928606444</v>
      </c>
      <c r="N342" s="41">
        <f t="shared" si="72"/>
        <v>0.9282452397522799</v>
      </c>
      <c r="O342" s="56"/>
      <c r="P342" s="317">
        <f>IF(D342=0,0,SUM($L$325:L342))</f>
        <v>34380.388259308776</v>
      </c>
      <c r="Q342" s="317">
        <f>IF(D342=0,0,SUM($I$325:I342))</f>
        <v>0</v>
      </c>
      <c r="R342" s="321">
        <f t="shared" si="87"/>
        <v>-34380.388259308776</v>
      </c>
      <c r="S342" s="198">
        <f t="shared" ref="S342:S385" si="93">IF(D342=0,0,Q342/P342)</f>
        <v>0</v>
      </c>
      <c r="T342" s="207"/>
      <c r="U342" s="317">
        <f>IF(D342=0,0,SUM($L$21:L342))</f>
        <v>567696.99009140837</v>
      </c>
      <c r="V342" s="317">
        <f>IF(D342=0,0,SUM($J$21:J342))</f>
        <v>605369.55773065076</v>
      </c>
      <c r="W342" s="331">
        <f t="shared" si="88"/>
        <v>37672.567639242392</v>
      </c>
      <c r="X342" s="200">
        <f t="shared" ref="X342:X385" si="94">IF(D342=0,0,V342/U342)</f>
        <v>1.0663603441567948</v>
      </c>
      <c r="Y342" s="201">
        <f t="shared" si="85"/>
        <v>45979</v>
      </c>
      <c r="Z342" s="202">
        <f t="shared" si="85"/>
        <v>45979</v>
      </c>
      <c r="AA342" s="18"/>
      <c r="AB342" s="244"/>
      <c r="AC342" s="247"/>
      <c r="AD342" s="142"/>
      <c r="AE342" s="18"/>
      <c r="AF342" s="18"/>
      <c r="AG342" s="203"/>
      <c r="AH342" s="203"/>
      <c r="AI342" s="18"/>
      <c r="AJ342" s="18"/>
      <c r="AK342" s="18"/>
      <c r="AL342" s="18"/>
      <c r="AM342" s="18"/>
      <c r="AN342" s="18"/>
    </row>
    <row r="343" spans="1:40" ht="20">
      <c r="A343" s="18"/>
      <c r="B343" s="151"/>
      <c r="C343" s="55">
        <v>323</v>
      </c>
      <c r="D343" s="54">
        <v>1</v>
      </c>
      <c r="E343" s="190">
        <f t="shared" si="89"/>
        <v>11</v>
      </c>
      <c r="F343" s="191">
        <f t="shared" si="90"/>
        <v>45980</v>
      </c>
      <c r="G343" s="192" t="str">
        <f t="shared" si="91"/>
        <v>Wed</v>
      </c>
      <c r="H343" s="193"/>
      <c r="I343" s="194"/>
      <c r="J343" s="307">
        <f>217680/B13</f>
        <v>1972.8113104948341</v>
      </c>
      <c r="K343" s="215"/>
      <c r="L343" s="317">
        <f t="shared" si="92"/>
        <v>2521.5949659039038</v>
      </c>
      <c r="M343" s="318">
        <f t="shared" si="86"/>
        <v>-548.78365540906975</v>
      </c>
      <c r="N343" s="41">
        <f t="shared" si="72"/>
        <v>0.78236645344334677</v>
      </c>
      <c r="O343" s="56"/>
      <c r="P343" s="317">
        <f>IF(D343=0,0,SUM($L$325:L343))</f>
        <v>36901.98322521268</v>
      </c>
      <c r="Q343" s="317">
        <f>IF(D343=0,0,SUM($I$325:I343))</f>
        <v>0</v>
      </c>
      <c r="R343" s="321">
        <f t="shared" si="87"/>
        <v>-36901.98322521268</v>
      </c>
      <c r="S343" s="198">
        <f t="shared" si="93"/>
        <v>0</v>
      </c>
      <c r="T343" s="207"/>
      <c r="U343" s="317">
        <f>IF(D343=0,0,SUM($L$21:L343))</f>
        <v>570218.58505731227</v>
      </c>
      <c r="V343" s="317">
        <f>IF(D343=0,0,SUM($J$21:J343))</f>
        <v>607342.36904114555</v>
      </c>
      <c r="W343" s="331">
        <f t="shared" si="88"/>
        <v>37123.783983833273</v>
      </c>
      <c r="X343" s="200">
        <f t="shared" si="94"/>
        <v>1.0651044791535547</v>
      </c>
      <c r="Y343" s="201">
        <f t="shared" ref="Y343:Z358" si="95">Y342+1</f>
        <v>45980</v>
      </c>
      <c r="Z343" s="202">
        <f t="shared" si="95"/>
        <v>45980</v>
      </c>
      <c r="AA343" s="18"/>
      <c r="AB343" s="244"/>
      <c r="AC343" s="247"/>
      <c r="AD343" s="142"/>
      <c r="AE343" s="18"/>
      <c r="AF343" s="18"/>
      <c r="AG343" s="203"/>
      <c r="AH343" s="203"/>
      <c r="AI343" s="18"/>
      <c r="AJ343" s="18"/>
      <c r="AK343" s="18"/>
      <c r="AL343" s="18"/>
      <c r="AM343" s="18"/>
      <c r="AN343" s="18"/>
    </row>
    <row r="344" spans="1:40" ht="20">
      <c r="A344" s="18"/>
      <c r="B344" s="151"/>
      <c r="C344" s="55">
        <v>324</v>
      </c>
      <c r="D344" s="54">
        <v>1</v>
      </c>
      <c r="E344" s="190">
        <f t="shared" si="89"/>
        <v>11</v>
      </c>
      <c r="F344" s="191">
        <f t="shared" si="90"/>
        <v>45981</v>
      </c>
      <c r="G344" s="192" t="str">
        <f t="shared" si="91"/>
        <v>Thu</v>
      </c>
      <c r="H344" s="193"/>
      <c r="I344" s="194"/>
      <c r="J344" s="307">
        <f>333990/B13</f>
        <v>3026.9168026101142</v>
      </c>
      <c r="K344" s="215"/>
      <c r="L344" s="317">
        <f t="shared" si="92"/>
        <v>2456.4307623300156</v>
      </c>
      <c r="M344" s="318">
        <f t="shared" si="86"/>
        <v>570.48604028009868</v>
      </c>
      <c r="N344" s="41">
        <f t="shared" si="72"/>
        <v>1.2322418563668254</v>
      </c>
      <c r="O344" s="56"/>
      <c r="P344" s="317">
        <f>IF(D344=0,0,SUM($L$325:L344))</f>
        <v>39358.413987542692</v>
      </c>
      <c r="Q344" s="317">
        <f>IF(D344=0,0,SUM($I$325:I344))</f>
        <v>0</v>
      </c>
      <c r="R344" s="321">
        <f t="shared" si="87"/>
        <v>-39358.413987542692</v>
      </c>
      <c r="S344" s="198">
        <f t="shared" si="93"/>
        <v>0</v>
      </c>
      <c r="T344" s="207"/>
      <c r="U344" s="317">
        <f>IF(D344=0,0,SUM($L$21:L344))</f>
        <v>572675.01581964234</v>
      </c>
      <c r="V344" s="317">
        <f>IF(D344=0,0,SUM($J$21:J344))</f>
        <v>610369.2858437557</v>
      </c>
      <c r="W344" s="331">
        <f t="shared" si="88"/>
        <v>37694.270024113357</v>
      </c>
      <c r="X344" s="200">
        <f t="shared" si="94"/>
        <v>1.0658213977960316</v>
      </c>
      <c r="Y344" s="201">
        <f t="shared" si="95"/>
        <v>45981</v>
      </c>
      <c r="Z344" s="202">
        <f t="shared" si="95"/>
        <v>45981</v>
      </c>
      <c r="AA344" s="18"/>
      <c r="AB344" s="244"/>
      <c r="AC344" s="247"/>
      <c r="AD344" s="142"/>
      <c r="AE344" s="18"/>
      <c r="AF344" s="18"/>
      <c r="AG344" s="203"/>
      <c r="AH344" s="203"/>
      <c r="AI344" s="18"/>
      <c r="AJ344" s="18"/>
      <c r="AK344" s="18"/>
      <c r="AL344" s="18"/>
      <c r="AM344" s="18"/>
      <c r="AN344" s="18"/>
    </row>
    <row r="345" spans="1:40" ht="20">
      <c r="A345" s="18"/>
      <c r="B345" s="151"/>
      <c r="C345" s="55">
        <v>325</v>
      </c>
      <c r="D345" s="54">
        <v>1</v>
      </c>
      <c r="E345" s="190">
        <f t="shared" si="89"/>
        <v>11</v>
      </c>
      <c r="F345" s="191">
        <f t="shared" si="90"/>
        <v>45982</v>
      </c>
      <c r="G345" s="192" t="str">
        <f t="shared" si="91"/>
        <v>Fri</v>
      </c>
      <c r="H345" s="193"/>
      <c r="I345" s="194"/>
      <c r="J345" s="307">
        <f>449890/B13</f>
        <v>4077.306507159688</v>
      </c>
      <c r="K345" s="215"/>
      <c r="L345" s="317">
        <f t="shared" si="92"/>
        <v>3932.3527528411983</v>
      </c>
      <c r="M345" s="318">
        <f t="shared" si="86"/>
        <v>144.9537543184897</v>
      </c>
      <c r="N345" s="41">
        <f t="shared" si="72"/>
        <v>1.0368618390640967</v>
      </c>
      <c r="O345" s="56"/>
      <c r="P345" s="317">
        <f>IF(D345=0,0,SUM($L$325:L345))</f>
        <v>43290.766740383893</v>
      </c>
      <c r="Q345" s="317">
        <f>IF(D345=0,0,SUM($I$325:I345))</f>
        <v>0</v>
      </c>
      <c r="R345" s="321">
        <f t="shared" si="87"/>
        <v>-43290.766740383893</v>
      </c>
      <c r="S345" s="198">
        <f t="shared" si="93"/>
        <v>0</v>
      </c>
      <c r="T345" s="207"/>
      <c r="U345" s="317">
        <f>IF(D345=0,0,SUM($L$21:L345))</f>
        <v>576607.36857248354</v>
      </c>
      <c r="V345" s="317">
        <f>IF(D345=0,0,SUM($J$21:J345))</f>
        <v>614446.59235091542</v>
      </c>
      <c r="W345" s="331">
        <f t="shared" si="88"/>
        <v>37839.223778431886</v>
      </c>
      <c r="X345" s="200">
        <f t="shared" si="94"/>
        <v>1.0656238991050548</v>
      </c>
      <c r="Y345" s="201">
        <f t="shared" si="95"/>
        <v>45982</v>
      </c>
      <c r="Z345" s="202">
        <f t="shared" si="95"/>
        <v>45982</v>
      </c>
      <c r="AA345" s="18"/>
      <c r="AB345" s="244"/>
      <c r="AC345" s="247"/>
      <c r="AD345" s="142"/>
      <c r="AE345" s="18"/>
      <c r="AF345" s="18"/>
      <c r="AG345" s="203"/>
      <c r="AH345" s="203"/>
      <c r="AI345" s="18"/>
      <c r="AJ345" s="18"/>
      <c r="AK345" s="18"/>
      <c r="AL345" s="18"/>
      <c r="AM345" s="18"/>
      <c r="AN345" s="18"/>
    </row>
    <row r="346" spans="1:40" ht="20">
      <c r="A346" s="18"/>
      <c r="B346" s="151"/>
      <c r="C346" s="55">
        <v>326</v>
      </c>
      <c r="D346" s="54">
        <v>1</v>
      </c>
      <c r="E346" s="190">
        <f t="shared" si="89"/>
        <v>11</v>
      </c>
      <c r="F346" s="191">
        <f t="shared" si="90"/>
        <v>45983</v>
      </c>
      <c r="G346" s="192" t="str">
        <f t="shared" si="91"/>
        <v>Sat</v>
      </c>
      <c r="H346" s="193"/>
      <c r="I346" s="194"/>
      <c r="J346" s="307">
        <f>244560/B13</f>
        <v>2216.4219684611203</v>
      </c>
      <c r="K346" s="215"/>
      <c r="L346" s="317">
        <f t="shared" si="92"/>
        <v>1667.8069598175957</v>
      </c>
      <c r="M346" s="318">
        <f t="shared" si="86"/>
        <v>548.61500864352456</v>
      </c>
      <c r="N346" s="41">
        <f t="shared" si="72"/>
        <v>1.3289439496664082</v>
      </c>
      <c r="O346" s="56"/>
      <c r="P346" s="317">
        <f>IF(D346=0,0,SUM($L$325:L346))</f>
        <v>44958.573700201487</v>
      </c>
      <c r="Q346" s="317">
        <f>IF(D346=0,0,SUM($I$325:I346))</f>
        <v>0</v>
      </c>
      <c r="R346" s="321">
        <f t="shared" si="87"/>
        <v>-44958.573700201487</v>
      </c>
      <c r="S346" s="198">
        <f t="shared" si="93"/>
        <v>0</v>
      </c>
      <c r="T346" s="207"/>
      <c r="U346" s="317">
        <f>IF(D346=0,0,SUM($L$21:L346))</f>
        <v>578275.17553230119</v>
      </c>
      <c r="V346" s="317">
        <f>IF(D346=0,0,SUM($J$21:J346))</f>
        <v>616663.01431937655</v>
      </c>
      <c r="W346" s="331">
        <f t="shared" si="88"/>
        <v>38387.838787075365</v>
      </c>
      <c r="X346" s="200">
        <f t="shared" si="94"/>
        <v>1.0663833420684874</v>
      </c>
      <c r="Y346" s="201">
        <f t="shared" si="95"/>
        <v>45983</v>
      </c>
      <c r="Z346" s="202">
        <f t="shared" si="95"/>
        <v>45983</v>
      </c>
      <c r="AA346" s="18"/>
      <c r="AB346" s="244"/>
      <c r="AC346" s="247"/>
      <c r="AD346" s="142"/>
      <c r="AE346" s="18"/>
      <c r="AF346" s="18"/>
      <c r="AG346" s="203"/>
      <c r="AH346" s="203"/>
      <c r="AI346" s="18"/>
      <c r="AJ346" s="18"/>
      <c r="AK346" s="18"/>
      <c r="AL346" s="18"/>
      <c r="AM346" s="18"/>
      <c r="AN346" s="18"/>
    </row>
    <row r="347" spans="1:40" ht="20">
      <c r="A347" s="18"/>
      <c r="B347" s="151"/>
      <c r="C347" s="55">
        <v>327</v>
      </c>
      <c r="D347" s="54">
        <v>0</v>
      </c>
      <c r="E347" s="190">
        <f t="shared" si="89"/>
        <v>11</v>
      </c>
      <c r="F347" s="191">
        <f t="shared" si="90"/>
        <v>45984</v>
      </c>
      <c r="G347" s="192" t="str">
        <f t="shared" si="91"/>
        <v>Sun</v>
      </c>
      <c r="H347" s="193"/>
      <c r="I347" s="194"/>
      <c r="J347" s="307"/>
      <c r="K347" s="215"/>
      <c r="L347" s="317">
        <f t="shared" si="92"/>
        <v>0</v>
      </c>
      <c r="M347" s="318">
        <f t="shared" si="86"/>
        <v>0</v>
      </c>
      <c r="N347" s="41" t="str">
        <f t="shared" si="72"/>
        <v>¥0</v>
      </c>
      <c r="O347" s="44"/>
      <c r="P347" s="317">
        <f>IF(D347=0,0,SUM($L$325:L347))</f>
        <v>0</v>
      </c>
      <c r="Q347" s="317">
        <f>IF(D347=0,0,SUM($I$325:I347))</f>
        <v>0</v>
      </c>
      <c r="R347" s="321">
        <f t="shared" si="87"/>
        <v>0</v>
      </c>
      <c r="S347" s="198">
        <f t="shared" si="93"/>
        <v>0</v>
      </c>
      <c r="T347" s="212"/>
      <c r="U347" s="317">
        <f>IF(D347=0,0,SUM($L$21:L347))</f>
        <v>0</v>
      </c>
      <c r="V347" s="317">
        <f>IF(D347=0,0,SUM($J$21:J347))</f>
        <v>0</v>
      </c>
      <c r="W347" s="331">
        <f t="shared" si="88"/>
        <v>0</v>
      </c>
      <c r="X347" s="200">
        <f t="shared" si="94"/>
        <v>0</v>
      </c>
      <c r="Y347" s="201">
        <f t="shared" si="95"/>
        <v>45984</v>
      </c>
      <c r="Z347" s="202">
        <f t="shared" si="95"/>
        <v>45984</v>
      </c>
      <c r="AA347" s="18"/>
      <c r="AB347" s="244"/>
      <c r="AC347" s="247"/>
      <c r="AD347" s="142"/>
      <c r="AE347" s="18"/>
      <c r="AF347" s="18"/>
      <c r="AG347" s="203"/>
      <c r="AH347" s="203"/>
      <c r="AI347" s="18"/>
      <c r="AJ347" s="18"/>
      <c r="AK347" s="18"/>
      <c r="AL347" s="18"/>
      <c r="AM347" s="18"/>
      <c r="AN347" s="18"/>
    </row>
    <row r="348" spans="1:40" ht="20">
      <c r="A348" s="18"/>
      <c r="B348" s="151"/>
      <c r="C348" s="55">
        <v>328</v>
      </c>
      <c r="D348" s="54">
        <v>0</v>
      </c>
      <c r="E348" s="190">
        <f t="shared" si="89"/>
        <v>11</v>
      </c>
      <c r="F348" s="191">
        <f t="shared" si="90"/>
        <v>45985</v>
      </c>
      <c r="G348" s="192" t="str">
        <f t="shared" si="91"/>
        <v>Mon</v>
      </c>
      <c r="H348" s="193"/>
      <c r="I348" s="194"/>
      <c r="J348" s="307"/>
      <c r="K348" s="215"/>
      <c r="L348" s="317">
        <f t="shared" si="92"/>
        <v>0</v>
      </c>
      <c r="M348" s="318">
        <f t="shared" si="86"/>
        <v>0</v>
      </c>
      <c r="N348" s="41" t="str">
        <f t="shared" si="72"/>
        <v>¥0</v>
      </c>
      <c r="O348" s="44"/>
      <c r="P348" s="317">
        <f>IF(D348=0,0,SUM($L$325:L348))</f>
        <v>0</v>
      </c>
      <c r="Q348" s="317">
        <f>IF(D348=0,0,SUM($I$325:I348))</f>
        <v>0</v>
      </c>
      <c r="R348" s="321">
        <f t="shared" si="87"/>
        <v>0</v>
      </c>
      <c r="S348" s="198">
        <f t="shared" si="93"/>
        <v>0</v>
      </c>
      <c r="T348" s="212"/>
      <c r="U348" s="317">
        <f>IF(D348=0,0,SUM($L$21:L348))</f>
        <v>0</v>
      </c>
      <c r="V348" s="317">
        <f>IF(D348=0,0,SUM($J$21:J348))</f>
        <v>0</v>
      </c>
      <c r="W348" s="331">
        <f t="shared" si="88"/>
        <v>0</v>
      </c>
      <c r="X348" s="200">
        <f t="shared" si="94"/>
        <v>0</v>
      </c>
      <c r="Y348" s="201">
        <f t="shared" si="95"/>
        <v>45985</v>
      </c>
      <c r="Z348" s="202">
        <f t="shared" si="95"/>
        <v>45985</v>
      </c>
      <c r="AA348" s="18"/>
      <c r="AB348" s="244"/>
      <c r="AC348" s="247"/>
      <c r="AD348" s="142"/>
      <c r="AE348" s="18"/>
      <c r="AF348" s="18"/>
      <c r="AG348" s="203"/>
      <c r="AH348" s="203"/>
      <c r="AI348" s="18"/>
      <c r="AJ348" s="18"/>
      <c r="AK348" s="18"/>
      <c r="AL348" s="18"/>
      <c r="AM348" s="18"/>
      <c r="AN348" s="18"/>
    </row>
    <row r="349" spans="1:40" ht="20">
      <c r="A349" s="18"/>
      <c r="B349" s="151"/>
      <c r="C349" s="55">
        <v>329</v>
      </c>
      <c r="D349" s="54">
        <v>1</v>
      </c>
      <c r="E349" s="190">
        <f t="shared" si="89"/>
        <v>11</v>
      </c>
      <c r="F349" s="191">
        <f t="shared" si="90"/>
        <v>45986</v>
      </c>
      <c r="G349" s="192" t="str">
        <f t="shared" si="91"/>
        <v>Tue</v>
      </c>
      <c r="H349" s="193"/>
      <c r="I349" s="194"/>
      <c r="J349" s="307">
        <f>356890/B13</f>
        <v>3234.4571324995468</v>
      </c>
      <c r="K349" s="215"/>
      <c r="L349" s="317">
        <f t="shared" si="92"/>
        <v>2186.9201160271436</v>
      </c>
      <c r="M349" s="318">
        <f t="shared" si="86"/>
        <v>1047.5370164724031</v>
      </c>
      <c r="N349" s="41">
        <f t="shared" si="72"/>
        <v>1.4790010429715217</v>
      </c>
      <c r="O349" s="56"/>
      <c r="P349" s="317">
        <f>IF(D349=0,0,SUM($L$325:L349))</f>
        <v>47145.493816228627</v>
      </c>
      <c r="Q349" s="317">
        <f>IF(D349=0,0,SUM($I$325:I349))</f>
        <v>0</v>
      </c>
      <c r="R349" s="321">
        <f t="shared" si="87"/>
        <v>-47145.493816228627</v>
      </c>
      <c r="S349" s="198">
        <f t="shared" si="93"/>
        <v>0</v>
      </c>
      <c r="T349" s="207"/>
      <c r="U349" s="317">
        <f>IF(D349=0,0,SUM($L$21:L349))</f>
        <v>580462.09564832831</v>
      </c>
      <c r="V349" s="317">
        <f>IF(D349=0,0,SUM($J$21:J349))</f>
        <v>619897.4714518761</v>
      </c>
      <c r="W349" s="331">
        <f t="shared" si="88"/>
        <v>39435.375803547795</v>
      </c>
      <c r="X349" s="200">
        <f t="shared" si="94"/>
        <v>1.0679378999924221</v>
      </c>
      <c r="Y349" s="201">
        <f t="shared" si="95"/>
        <v>45986</v>
      </c>
      <c r="Z349" s="202">
        <f t="shared" si="95"/>
        <v>45986</v>
      </c>
      <c r="AA349" s="18"/>
      <c r="AB349" s="244"/>
      <c r="AC349" s="247"/>
      <c r="AD349" s="142"/>
      <c r="AE349" s="18"/>
      <c r="AF349" s="18"/>
      <c r="AG349" s="203"/>
      <c r="AH349" s="203"/>
      <c r="AI349" s="18"/>
      <c r="AJ349" s="18"/>
      <c r="AK349" s="18"/>
      <c r="AL349" s="18"/>
      <c r="AM349" s="18"/>
      <c r="AN349" s="18"/>
    </row>
    <row r="350" spans="1:40" ht="20">
      <c r="A350" s="18"/>
      <c r="B350" s="151"/>
      <c r="C350" s="55">
        <v>330</v>
      </c>
      <c r="D350" s="54">
        <v>1</v>
      </c>
      <c r="E350" s="190">
        <f t="shared" si="89"/>
        <v>11</v>
      </c>
      <c r="F350" s="191">
        <f t="shared" si="90"/>
        <v>45987</v>
      </c>
      <c r="G350" s="192" t="str">
        <f t="shared" si="91"/>
        <v>Wed</v>
      </c>
      <c r="H350" s="193"/>
      <c r="I350" s="194"/>
      <c r="J350" s="307">
        <f>330300/B13</f>
        <v>2993.4747145187603</v>
      </c>
      <c r="K350" s="215"/>
      <c r="L350" s="317">
        <f t="shared" si="92"/>
        <v>2521.5949659039038</v>
      </c>
      <c r="M350" s="318">
        <f t="shared" si="86"/>
        <v>471.87974861485645</v>
      </c>
      <c r="N350" s="41">
        <f t="shared" si="72"/>
        <v>1.1871354261867761</v>
      </c>
      <c r="O350" s="56"/>
      <c r="P350" s="317">
        <f>IF(D350=0,0,SUM($L$325:L350))</f>
        <v>49667.08878213253</v>
      </c>
      <c r="Q350" s="317">
        <f>IF(D350=0,0,SUM($I$325:I350))</f>
        <v>0</v>
      </c>
      <c r="R350" s="321">
        <f t="shared" si="87"/>
        <v>-49667.08878213253</v>
      </c>
      <c r="S350" s="198">
        <f t="shared" si="93"/>
        <v>0</v>
      </c>
      <c r="T350" s="207"/>
      <c r="U350" s="317">
        <f>IF(D350=0,0,SUM($L$21:L350))</f>
        <v>582983.69061423221</v>
      </c>
      <c r="V350" s="317">
        <f>IF(D350=0,0,SUM($J$21:J350))</f>
        <v>622890.94616639486</v>
      </c>
      <c r="W350" s="331">
        <f t="shared" si="88"/>
        <v>39907.255552162649</v>
      </c>
      <c r="X350" s="200">
        <f t="shared" si="94"/>
        <v>1.0684534682438822</v>
      </c>
      <c r="Y350" s="201">
        <f t="shared" si="95"/>
        <v>45987</v>
      </c>
      <c r="Z350" s="202">
        <f t="shared" si="95"/>
        <v>45987</v>
      </c>
      <c r="AA350" s="18"/>
      <c r="AB350" s="244"/>
      <c r="AC350" s="247"/>
      <c r="AD350" s="142"/>
      <c r="AE350" s="18"/>
      <c r="AF350" s="18"/>
      <c r="AG350" s="203"/>
      <c r="AH350" s="203"/>
      <c r="AI350" s="18"/>
      <c r="AJ350" s="18"/>
      <c r="AK350" s="18"/>
      <c r="AL350" s="18"/>
      <c r="AM350" s="18"/>
      <c r="AN350" s="18"/>
    </row>
    <row r="351" spans="1:40" ht="20">
      <c r="A351" s="18"/>
      <c r="B351" s="151"/>
      <c r="C351" s="55">
        <v>331</v>
      </c>
      <c r="D351" s="54">
        <v>1</v>
      </c>
      <c r="E351" s="190">
        <f t="shared" si="89"/>
        <v>11</v>
      </c>
      <c r="F351" s="191">
        <f t="shared" si="90"/>
        <v>45988</v>
      </c>
      <c r="G351" s="192" t="str">
        <f t="shared" si="91"/>
        <v>Thu</v>
      </c>
      <c r="H351" s="193"/>
      <c r="I351" s="194"/>
      <c r="J351" s="307">
        <f>289000/B13</f>
        <v>2619.1770889976438</v>
      </c>
      <c r="K351" s="215"/>
      <c r="L351" s="317">
        <f t="shared" si="92"/>
        <v>2456.4307623300156</v>
      </c>
      <c r="M351" s="318">
        <f t="shared" si="86"/>
        <v>162.74632666762818</v>
      </c>
      <c r="N351" s="41">
        <f t="shared" si="72"/>
        <v>1.066253170723712</v>
      </c>
      <c r="O351" s="56"/>
      <c r="P351" s="317">
        <f>IF(D351=0,0,SUM($L$325:L351))</f>
        <v>52123.519544462542</v>
      </c>
      <c r="Q351" s="317">
        <f>IF(D351=0,0,SUM($I$325:I351))</f>
        <v>0</v>
      </c>
      <c r="R351" s="321">
        <f t="shared" si="87"/>
        <v>-52123.519544462542</v>
      </c>
      <c r="S351" s="198">
        <f t="shared" si="93"/>
        <v>0</v>
      </c>
      <c r="T351" s="207"/>
      <c r="U351" s="317">
        <f>IF(D351=0,0,SUM($L$21:L351))</f>
        <v>585440.12137656228</v>
      </c>
      <c r="V351" s="317">
        <f>IF(D351=0,0,SUM($J$21:J351))</f>
        <v>625510.12325539254</v>
      </c>
      <c r="W351" s="331">
        <f t="shared" si="88"/>
        <v>40070.001878830255</v>
      </c>
      <c r="X351" s="200">
        <f t="shared" si="94"/>
        <v>1.0684442360810744</v>
      </c>
      <c r="Y351" s="201">
        <f t="shared" si="95"/>
        <v>45988</v>
      </c>
      <c r="Z351" s="202">
        <f t="shared" si="95"/>
        <v>45988</v>
      </c>
      <c r="AA351" s="18"/>
      <c r="AB351" s="244"/>
      <c r="AC351" s="247"/>
      <c r="AD351" s="142"/>
      <c r="AE351" s="18"/>
      <c r="AF351" s="18"/>
      <c r="AG351" s="203"/>
      <c r="AH351" s="203"/>
      <c r="AI351" s="18"/>
      <c r="AJ351" s="18"/>
      <c r="AK351" s="18"/>
      <c r="AL351" s="18"/>
      <c r="AM351" s="18"/>
      <c r="AN351" s="18"/>
    </row>
    <row r="352" spans="1:40" ht="20">
      <c r="A352" s="18"/>
      <c r="B352" s="151"/>
      <c r="C352" s="55">
        <v>332</v>
      </c>
      <c r="D352" s="54">
        <v>1</v>
      </c>
      <c r="E352" s="190">
        <f t="shared" si="89"/>
        <v>11</v>
      </c>
      <c r="F352" s="191">
        <f t="shared" si="90"/>
        <v>45989</v>
      </c>
      <c r="G352" s="192" t="str">
        <f t="shared" si="91"/>
        <v>Fri</v>
      </c>
      <c r="H352" s="193"/>
      <c r="I352" s="194"/>
      <c r="J352" s="307">
        <f>455890/B13</f>
        <v>4131.6838861700198</v>
      </c>
      <c r="K352" s="215"/>
      <c r="L352" s="317">
        <f t="shared" si="92"/>
        <v>3932.3527528411983</v>
      </c>
      <c r="M352" s="318">
        <f t="shared" si="86"/>
        <v>199.33113332882158</v>
      </c>
      <c r="N352" s="41">
        <f t="shared" si="72"/>
        <v>1.0506900438127789</v>
      </c>
      <c r="O352" s="56"/>
      <c r="P352" s="317">
        <f>IF(D352=0,0,SUM($L$325:L352))</f>
        <v>56055.872297303744</v>
      </c>
      <c r="Q352" s="317">
        <f>IF(D352=0,0,SUM($I$325:I352))</f>
        <v>0</v>
      </c>
      <c r="R352" s="321">
        <f t="shared" si="87"/>
        <v>-56055.872297303744</v>
      </c>
      <c r="S352" s="198">
        <f t="shared" si="93"/>
        <v>0</v>
      </c>
      <c r="T352" s="207"/>
      <c r="U352" s="317">
        <f>IF(D352=0,0,SUM($L$21:L352))</f>
        <v>589372.47412940348</v>
      </c>
      <c r="V352" s="317">
        <f>IF(D352=0,0,SUM($J$21:J352))</f>
        <v>629641.80714156257</v>
      </c>
      <c r="W352" s="331">
        <f t="shared" si="88"/>
        <v>40269.333012159099</v>
      </c>
      <c r="X352" s="200">
        <f t="shared" si="94"/>
        <v>1.0683257783147122</v>
      </c>
      <c r="Y352" s="201">
        <f t="shared" si="95"/>
        <v>45989</v>
      </c>
      <c r="Z352" s="202">
        <f t="shared" si="95"/>
        <v>45989</v>
      </c>
      <c r="AA352" s="18"/>
      <c r="AB352" s="244"/>
      <c r="AC352" s="247"/>
      <c r="AD352" s="142"/>
      <c r="AE352" s="18"/>
      <c r="AF352" s="18"/>
      <c r="AG352" s="203"/>
      <c r="AH352" s="203"/>
      <c r="AI352" s="18"/>
      <c r="AJ352" s="18"/>
      <c r="AK352" s="18"/>
      <c r="AL352" s="18"/>
      <c r="AM352" s="18"/>
      <c r="AN352" s="18"/>
    </row>
    <row r="353" spans="1:40" ht="20">
      <c r="A353" s="18"/>
      <c r="B353" s="151"/>
      <c r="C353" s="55">
        <v>333</v>
      </c>
      <c r="D353" s="54">
        <v>1</v>
      </c>
      <c r="E353" s="190">
        <f t="shared" si="89"/>
        <v>11</v>
      </c>
      <c r="F353" s="191">
        <f t="shared" si="90"/>
        <v>45990</v>
      </c>
      <c r="G353" s="192" t="str">
        <f t="shared" si="91"/>
        <v>Sat</v>
      </c>
      <c r="H353" s="193"/>
      <c r="I353" s="194"/>
      <c r="J353" s="307">
        <f>200890/B13</f>
        <v>1820.6452782309225</v>
      </c>
      <c r="K353" s="215"/>
      <c r="L353" s="317">
        <f t="shared" si="92"/>
        <v>1667.8069598175957</v>
      </c>
      <c r="M353" s="318">
        <f t="shared" si="86"/>
        <v>152.83831841332676</v>
      </c>
      <c r="N353" s="41">
        <f t="shared" si="72"/>
        <v>1.091640292968943</v>
      </c>
      <c r="O353" s="56"/>
      <c r="P353" s="317">
        <f>IF(D353=0,0,SUM($L$325:L353))</f>
        <v>57723.679257121337</v>
      </c>
      <c r="Q353" s="317">
        <f>IF(D353=0,0,SUM($I$325:I353))</f>
        <v>0</v>
      </c>
      <c r="R353" s="321">
        <f t="shared" si="87"/>
        <v>-57723.679257121337</v>
      </c>
      <c r="S353" s="198">
        <f t="shared" si="93"/>
        <v>0</v>
      </c>
      <c r="T353" s="207"/>
      <c r="U353" s="317">
        <f>IF(D353=0,0,SUM($L$21:L353))</f>
        <v>591040.28108922113</v>
      </c>
      <c r="V353" s="317">
        <f>IF(D353=0,0,SUM($J$21:J353))</f>
        <v>631462.45241979347</v>
      </c>
      <c r="W353" s="331">
        <f t="shared" si="88"/>
        <v>40422.171330572339</v>
      </c>
      <c r="X353" s="200">
        <f t="shared" si="94"/>
        <v>1.0683915675866944</v>
      </c>
      <c r="Y353" s="201">
        <f t="shared" si="95"/>
        <v>45990</v>
      </c>
      <c r="Z353" s="202">
        <f t="shared" si="95"/>
        <v>45990</v>
      </c>
      <c r="AA353" s="18"/>
      <c r="AB353" s="244"/>
      <c r="AC353" s="247"/>
      <c r="AD353" s="142"/>
      <c r="AE353" s="18"/>
      <c r="AF353" s="18"/>
      <c r="AG353" s="203"/>
      <c r="AH353" s="203"/>
      <c r="AI353" s="18"/>
      <c r="AJ353" s="18"/>
      <c r="AK353" s="18"/>
      <c r="AL353" s="18"/>
      <c r="AM353" s="18"/>
      <c r="AN353" s="18"/>
    </row>
    <row r="354" spans="1:40" ht="21" thickBot="1">
      <c r="A354" s="18"/>
      <c r="B354" s="151"/>
      <c r="C354" s="39">
        <v>334</v>
      </c>
      <c r="D354" s="38">
        <v>0</v>
      </c>
      <c r="E354" s="217">
        <f t="shared" si="89"/>
        <v>11</v>
      </c>
      <c r="F354" s="236">
        <f t="shared" si="90"/>
        <v>45991</v>
      </c>
      <c r="G354" s="219" t="str">
        <f t="shared" si="91"/>
        <v>Sun</v>
      </c>
      <c r="H354" s="233"/>
      <c r="I354" s="221"/>
      <c r="J354" s="316"/>
      <c r="K354" s="223"/>
      <c r="L354" s="317">
        <f t="shared" si="92"/>
        <v>0</v>
      </c>
      <c r="M354" s="320">
        <f t="shared" si="86"/>
        <v>0</v>
      </c>
      <c r="N354" s="225" t="str">
        <f t="shared" si="72"/>
        <v>¥0</v>
      </c>
      <c r="O354" s="239"/>
      <c r="P354" s="322">
        <f>IF(D354=0,0,SUM($L$325:L354))</f>
        <v>0</v>
      </c>
      <c r="Q354" s="326">
        <f>IF(D354=0,0,SUM($I$325:I354))</f>
        <v>0</v>
      </c>
      <c r="R354" s="327">
        <f t="shared" si="87"/>
        <v>0</v>
      </c>
      <c r="S354" s="228">
        <f t="shared" si="93"/>
        <v>0</v>
      </c>
      <c r="T354" s="240"/>
      <c r="U354" s="332">
        <f>IF(D354=0,0,SUM($L$21:L354))</f>
        <v>0</v>
      </c>
      <c r="V354" s="332">
        <f>IF(D354=0,0,SUM($J$21:J354))</f>
        <v>0</v>
      </c>
      <c r="W354" s="333">
        <f t="shared" si="88"/>
        <v>0</v>
      </c>
      <c r="X354" s="230">
        <f t="shared" si="94"/>
        <v>0</v>
      </c>
      <c r="Y354" s="201">
        <f t="shared" si="95"/>
        <v>45991</v>
      </c>
      <c r="Z354" s="202">
        <f t="shared" si="95"/>
        <v>45991</v>
      </c>
      <c r="AA354" s="18"/>
      <c r="AB354" s="244"/>
      <c r="AC354" s="247"/>
      <c r="AD354" s="142"/>
      <c r="AE354" s="18"/>
      <c r="AF354" s="18"/>
      <c r="AG354" s="203"/>
      <c r="AH354" s="203"/>
      <c r="AI354" s="18"/>
      <c r="AJ354" s="18"/>
      <c r="AK354" s="18"/>
      <c r="AL354" s="18"/>
      <c r="AM354" s="18"/>
      <c r="AN354" s="18"/>
    </row>
    <row r="355" spans="1:40" ht="21" thickTop="1">
      <c r="A355" s="18"/>
      <c r="B355" s="151"/>
      <c r="C355" s="55">
        <v>335</v>
      </c>
      <c r="D355" s="62">
        <v>1</v>
      </c>
      <c r="E355" s="190">
        <f t="shared" si="89"/>
        <v>12</v>
      </c>
      <c r="F355" s="191">
        <f t="shared" si="90"/>
        <v>45992</v>
      </c>
      <c r="G355" s="192" t="str">
        <f t="shared" si="91"/>
        <v>Mon</v>
      </c>
      <c r="H355" s="193"/>
      <c r="I355" s="194"/>
      <c r="J355" s="307">
        <f>259890/B13</f>
        <v>2355.3561718325177</v>
      </c>
      <c r="K355" s="215"/>
      <c r="L355" s="317">
        <f t="shared" si="92"/>
        <v>2262.6201941946529</v>
      </c>
      <c r="M355" s="321">
        <f t="shared" si="86"/>
        <v>92.735977637864835</v>
      </c>
      <c r="N355" s="60">
        <f t="shared" si="72"/>
        <v>1.0409861000426865</v>
      </c>
      <c r="O355" s="56"/>
      <c r="P355" s="317">
        <f>IF(D355=0,0,$L$355)</f>
        <v>2262.6201941946529</v>
      </c>
      <c r="Q355" s="317">
        <f>IF(D355=0,0,$J$355)</f>
        <v>2355.3561718325177</v>
      </c>
      <c r="R355" s="321">
        <f t="shared" si="87"/>
        <v>92.735977637864835</v>
      </c>
      <c r="S355" s="231">
        <f t="shared" si="93"/>
        <v>1.0409861000426865</v>
      </c>
      <c r="T355" s="207"/>
      <c r="U355" s="317">
        <f>IF(D355=0,0,SUM($L$21:L355))</f>
        <v>593302.90128341573</v>
      </c>
      <c r="V355" s="317">
        <f>IF(D355=0,0,SUM($J$21:J355))</f>
        <v>633817.808591626</v>
      </c>
      <c r="W355" s="331">
        <f t="shared" si="88"/>
        <v>40514.90730821027</v>
      </c>
      <c r="X355" s="232">
        <f t="shared" si="94"/>
        <v>1.0682870540841274</v>
      </c>
      <c r="Y355" s="201">
        <f t="shared" si="95"/>
        <v>45992</v>
      </c>
      <c r="Z355" s="202">
        <f t="shared" si="95"/>
        <v>45992</v>
      </c>
      <c r="AA355" s="18"/>
      <c r="AB355" s="244"/>
      <c r="AC355" s="247"/>
      <c r="AD355" s="142"/>
      <c r="AE355" s="18"/>
      <c r="AF355" s="18"/>
      <c r="AG355" s="203"/>
      <c r="AH355" s="203"/>
      <c r="AI355" s="18"/>
      <c r="AJ355" s="18"/>
      <c r="AK355" s="18"/>
      <c r="AL355" s="18"/>
      <c r="AM355" s="18"/>
      <c r="AN355" s="18"/>
    </row>
    <row r="356" spans="1:40" ht="20">
      <c r="A356" s="18"/>
      <c r="B356" s="151"/>
      <c r="C356" s="55">
        <v>336</v>
      </c>
      <c r="D356" s="54">
        <v>1</v>
      </c>
      <c r="E356" s="190">
        <f t="shared" si="89"/>
        <v>12</v>
      </c>
      <c r="F356" s="191">
        <f t="shared" si="90"/>
        <v>45993</v>
      </c>
      <c r="G356" s="192" t="str">
        <f t="shared" si="91"/>
        <v>Tue</v>
      </c>
      <c r="H356" s="193"/>
      <c r="I356" s="194"/>
      <c r="J356" s="307">
        <f>218789/B13</f>
        <v>1982.8620627152438</v>
      </c>
      <c r="K356" s="215"/>
      <c r="L356" s="317">
        <f t="shared" si="92"/>
        <v>2490.0899116056289</v>
      </c>
      <c r="M356" s="318">
        <f t="shared" si="86"/>
        <v>-507.22784889038508</v>
      </c>
      <c r="N356" s="41">
        <f t="shared" si="72"/>
        <v>0.79630139195924832</v>
      </c>
      <c r="O356" s="56"/>
      <c r="P356" s="328">
        <f>IF(D356=0,0,SUM($L$355:L356))</f>
        <v>4752.7101058002818</v>
      </c>
      <c r="Q356" s="317">
        <f>IF(D356=0,0,SUM($I$355:I356))</f>
        <v>0</v>
      </c>
      <c r="R356" s="321">
        <f t="shared" si="87"/>
        <v>-4752.7101058002818</v>
      </c>
      <c r="S356" s="198">
        <f t="shared" si="93"/>
        <v>0</v>
      </c>
      <c r="T356" s="207"/>
      <c r="U356" s="317">
        <f>IF(D356=0,0,SUM($L$21:L356))</f>
        <v>595792.99119502131</v>
      </c>
      <c r="V356" s="317">
        <f>IF(D356=0,0,SUM($J$21:J356))</f>
        <v>635800.67065434123</v>
      </c>
      <c r="W356" s="331">
        <f t="shared" si="88"/>
        <v>40007.679459319916</v>
      </c>
      <c r="X356" s="200">
        <f t="shared" si="94"/>
        <v>1.0671503022871649</v>
      </c>
      <c r="Y356" s="201">
        <f t="shared" si="95"/>
        <v>45993</v>
      </c>
      <c r="Z356" s="202">
        <f t="shared" si="95"/>
        <v>45993</v>
      </c>
      <c r="AA356" s="18"/>
      <c r="AB356" s="244"/>
      <c r="AC356" s="247"/>
      <c r="AD356" s="142"/>
      <c r="AE356" s="18"/>
      <c r="AF356" s="18"/>
      <c r="AG356" s="203"/>
      <c r="AH356" s="203"/>
      <c r="AI356" s="18"/>
      <c r="AJ356" s="18"/>
      <c r="AK356" s="18"/>
      <c r="AL356" s="18"/>
      <c r="AM356" s="18"/>
      <c r="AN356" s="18"/>
    </row>
    <row r="357" spans="1:40" ht="20">
      <c r="A357" s="18"/>
      <c r="B357" s="151"/>
      <c r="C357" s="55">
        <v>337</v>
      </c>
      <c r="D357" s="54">
        <v>1</v>
      </c>
      <c r="E357" s="190">
        <f t="shared" si="89"/>
        <v>12</v>
      </c>
      <c r="F357" s="191">
        <f t="shared" si="90"/>
        <v>45994</v>
      </c>
      <c r="G357" s="192" t="str">
        <f t="shared" si="91"/>
        <v>Wed</v>
      </c>
      <c r="H357" s="193"/>
      <c r="I357" s="194"/>
      <c r="J357" s="307">
        <f>321456/B13</f>
        <v>2913.3224578575314</v>
      </c>
      <c r="K357" s="215"/>
      <c r="L357" s="317">
        <f t="shared" si="92"/>
        <v>3095.4335830931354</v>
      </c>
      <c r="M357" s="318">
        <f t="shared" si="86"/>
        <v>-182.11112523560405</v>
      </c>
      <c r="N357" s="41">
        <f t="shared" si="72"/>
        <v>0.94116781370135938</v>
      </c>
      <c r="O357" s="56"/>
      <c r="P357" s="329">
        <f>IF(D357=0,0,SUM($L$355:L357))</f>
        <v>7848.1436888934168</v>
      </c>
      <c r="Q357" s="317">
        <f>IF(D357=0,0,SUM($I$355:I357))</f>
        <v>0</v>
      </c>
      <c r="R357" s="321">
        <f t="shared" si="87"/>
        <v>-7848.1436888934168</v>
      </c>
      <c r="S357" s="198">
        <f t="shared" si="93"/>
        <v>0</v>
      </c>
      <c r="T357" s="207"/>
      <c r="U357" s="317">
        <f>IF(D357=0,0,SUM($L$21:L357))</f>
        <v>598888.42477811442</v>
      </c>
      <c r="V357" s="317">
        <f>IF(D357=0,0,SUM($J$21:J357))</f>
        <v>638713.99311219878</v>
      </c>
      <c r="W357" s="331">
        <f t="shared" si="88"/>
        <v>39825.568334084353</v>
      </c>
      <c r="X357" s="200">
        <f t="shared" si="94"/>
        <v>1.0664991452269921</v>
      </c>
      <c r="Y357" s="201">
        <f t="shared" si="95"/>
        <v>45994</v>
      </c>
      <c r="Z357" s="202">
        <f t="shared" si="95"/>
        <v>45994</v>
      </c>
      <c r="AA357" s="18"/>
      <c r="AB357" s="244"/>
      <c r="AC357" s="247"/>
      <c r="AD357" s="142"/>
      <c r="AE357" s="18"/>
      <c r="AF357" s="18"/>
      <c r="AG357" s="203"/>
      <c r="AH357" s="203"/>
      <c r="AI357" s="18"/>
      <c r="AJ357" s="18"/>
      <c r="AK357" s="18"/>
      <c r="AL357" s="18"/>
      <c r="AM357" s="18"/>
      <c r="AN357" s="18"/>
    </row>
    <row r="358" spans="1:40" ht="20">
      <c r="A358" s="18"/>
      <c r="B358" s="151"/>
      <c r="C358" s="55">
        <v>338</v>
      </c>
      <c r="D358" s="54">
        <v>1</v>
      </c>
      <c r="E358" s="190">
        <f t="shared" si="89"/>
        <v>12</v>
      </c>
      <c r="F358" s="191">
        <f t="shared" si="90"/>
        <v>45995</v>
      </c>
      <c r="G358" s="192" t="str">
        <f t="shared" si="91"/>
        <v>Thu</v>
      </c>
      <c r="H358" s="193"/>
      <c r="I358" s="194"/>
      <c r="J358" s="307">
        <f>333090/B13</f>
        <v>3018.7601957585644</v>
      </c>
      <c r="K358" s="215"/>
      <c r="L358" s="317">
        <f t="shared" si="92"/>
        <v>2679.7144394806455</v>
      </c>
      <c r="M358" s="318">
        <f t="shared" si="86"/>
        <v>339.04575627791883</v>
      </c>
      <c r="N358" s="41">
        <f t="shared" si="72"/>
        <v>1.1265230918946831</v>
      </c>
      <c r="O358" s="56"/>
      <c r="P358" s="329">
        <f>IF(D358=0,0,SUM($L$355:L358))</f>
        <v>10527.858128374062</v>
      </c>
      <c r="Q358" s="317">
        <f>IF(D358=0,0,SUM($I$355:I358))</f>
        <v>0</v>
      </c>
      <c r="R358" s="321">
        <f t="shared" si="87"/>
        <v>-10527.858128374062</v>
      </c>
      <c r="S358" s="198">
        <f t="shared" si="93"/>
        <v>0</v>
      </c>
      <c r="T358" s="207"/>
      <c r="U358" s="317">
        <f>IF(D358=0,0,SUM($L$21:L358))</f>
        <v>601568.1392175951</v>
      </c>
      <c r="V358" s="317">
        <f>IF(D358=0,0,SUM($J$21:J358))</f>
        <v>641732.75330795732</v>
      </c>
      <c r="W358" s="331">
        <f t="shared" si="88"/>
        <v>40164.614090362214</v>
      </c>
      <c r="X358" s="200">
        <f t="shared" si="94"/>
        <v>1.0667665248073155</v>
      </c>
      <c r="Y358" s="201">
        <f t="shared" si="95"/>
        <v>45995</v>
      </c>
      <c r="Z358" s="202">
        <f t="shared" si="95"/>
        <v>45995</v>
      </c>
      <c r="AA358" s="18"/>
      <c r="AB358" s="244"/>
      <c r="AC358" s="247"/>
      <c r="AD358" s="142"/>
      <c r="AE358" s="18"/>
      <c r="AF358" s="18"/>
      <c r="AG358" s="203"/>
      <c r="AH358" s="203"/>
      <c r="AI358" s="18"/>
      <c r="AJ358" s="18"/>
      <c r="AK358" s="18"/>
      <c r="AL358" s="18"/>
      <c r="AM358" s="18"/>
      <c r="AN358" s="18"/>
    </row>
    <row r="359" spans="1:40" ht="20">
      <c r="A359" s="18"/>
      <c r="B359" s="151"/>
      <c r="C359" s="55">
        <v>339</v>
      </c>
      <c r="D359" s="54">
        <v>1</v>
      </c>
      <c r="E359" s="190">
        <f t="shared" si="89"/>
        <v>12</v>
      </c>
      <c r="F359" s="191">
        <f t="shared" si="90"/>
        <v>45996</v>
      </c>
      <c r="G359" s="192" t="str">
        <f t="shared" si="91"/>
        <v>Fri</v>
      </c>
      <c r="H359" s="193"/>
      <c r="I359" s="194"/>
      <c r="J359" s="307">
        <f>356900/B13</f>
        <v>3234.5477614645638</v>
      </c>
      <c r="K359" s="215"/>
      <c r="L359" s="317">
        <f t="shared" si="92"/>
        <v>3336.3553820927227</v>
      </c>
      <c r="M359" s="318">
        <f t="shared" si="86"/>
        <v>-101.80762062815893</v>
      </c>
      <c r="N359" s="41">
        <f t="shared" si="72"/>
        <v>0.96948537881348229</v>
      </c>
      <c r="O359" s="56"/>
      <c r="P359" s="329">
        <f>IF(D359=0,0,SUM($L$355:L359))</f>
        <v>13864.213510466785</v>
      </c>
      <c r="Q359" s="317">
        <f>IF(D359=0,0,SUM($I$355:I359))</f>
        <v>0</v>
      </c>
      <c r="R359" s="321">
        <f t="shared" si="87"/>
        <v>-13864.213510466785</v>
      </c>
      <c r="S359" s="198">
        <f t="shared" si="93"/>
        <v>0</v>
      </c>
      <c r="T359" s="207"/>
      <c r="U359" s="317">
        <f>IF(D359=0,0,SUM($L$21:L359))</f>
        <v>604904.49459968787</v>
      </c>
      <c r="V359" s="317">
        <f>IF(D359=0,0,SUM($J$21:J359))</f>
        <v>644967.30106942193</v>
      </c>
      <c r="W359" s="331">
        <f t="shared" si="88"/>
        <v>40062.80646973406</v>
      </c>
      <c r="X359" s="200">
        <f t="shared" si="94"/>
        <v>1.0662299699000364</v>
      </c>
      <c r="Y359" s="201">
        <f t="shared" ref="Y359:Z374" si="96">Y358+1</f>
        <v>45996</v>
      </c>
      <c r="Z359" s="202">
        <f t="shared" si="96"/>
        <v>45996</v>
      </c>
      <c r="AA359" s="18"/>
      <c r="AB359" s="244"/>
      <c r="AC359" s="247"/>
      <c r="AD359" s="142"/>
      <c r="AE359" s="18"/>
      <c r="AF359" s="18"/>
      <c r="AG359" s="203"/>
      <c r="AH359" s="203"/>
      <c r="AI359" s="18"/>
      <c r="AJ359" s="18"/>
      <c r="AK359" s="18"/>
      <c r="AL359" s="18"/>
      <c r="AM359" s="18"/>
      <c r="AN359" s="18"/>
    </row>
    <row r="360" spans="1:40" ht="20">
      <c r="A360" s="18"/>
      <c r="B360" s="151"/>
      <c r="C360" s="55">
        <v>340</v>
      </c>
      <c r="D360" s="54">
        <v>1</v>
      </c>
      <c r="E360" s="190">
        <f t="shared" si="89"/>
        <v>12</v>
      </c>
      <c r="F360" s="191">
        <f t="shared" si="90"/>
        <v>45997</v>
      </c>
      <c r="G360" s="192" t="str">
        <f t="shared" si="91"/>
        <v>Sat</v>
      </c>
      <c r="H360" s="193"/>
      <c r="I360" s="194"/>
      <c r="J360" s="307">
        <f>222990/B13</f>
        <v>2020.9352909189777</v>
      </c>
      <c r="K360" s="215"/>
      <c r="L360" s="317">
        <f t="shared" si="92"/>
        <v>1878.6081051117633</v>
      </c>
      <c r="M360" s="318">
        <f t="shared" si="86"/>
        <v>142.32718580721439</v>
      </c>
      <c r="N360" s="41">
        <f t="shared" si="72"/>
        <v>1.0757620418116673</v>
      </c>
      <c r="O360" s="56"/>
      <c r="P360" s="329">
        <f>IF(D360=0,0,SUM($L$355:L360))</f>
        <v>15742.821615578549</v>
      </c>
      <c r="Q360" s="317">
        <f>IF(D360=0,0,SUM($I$355:I360))</f>
        <v>0</v>
      </c>
      <c r="R360" s="321">
        <f t="shared" si="87"/>
        <v>-15742.821615578549</v>
      </c>
      <c r="S360" s="198">
        <f t="shared" si="93"/>
        <v>0</v>
      </c>
      <c r="T360" s="207"/>
      <c r="U360" s="317">
        <f>IF(D360=0,0,SUM($L$21:L360))</f>
        <v>606783.10270479962</v>
      </c>
      <c r="V360" s="317">
        <f>IF(D360=0,0,SUM($J$21:J360))</f>
        <v>646988.23636034096</v>
      </c>
      <c r="W360" s="331">
        <f t="shared" si="88"/>
        <v>40205.133655541344</v>
      </c>
      <c r="X360" s="200">
        <f t="shared" si="94"/>
        <v>1.0662594813143653</v>
      </c>
      <c r="Y360" s="201">
        <f t="shared" si="96"/>
        <v>45997</v>
      </c>
      <c r="Z360" s="202">
        <f t="shared" si="96"/>
        <v>45997</v>
      </c>
      <c r="AA360" s="18"/>
      <c r="AB360" s="244"/>
      <c r="AC360" s="247"/>
      <c r="AD360" s="142"/>
      <c r="AE360" s="18"/>
      <c r="AF360" s="18"/>
      <c r="AG360" s="203"/>
      <c r="AH360" s="203"/>
      <c r="AI360" s="18"/>
      <c r="AJ360" s="18"/>
      <c r="AK360" s="18"/>
      <c r="AL360" s="18"/>
      <c r="AM360" s="18"/>
      <c r="AN360" s="18"/>
    </row>
    <row r="361" spans="1:40" ht="20">
      <c r="A361" s="18"/>
      <c r="B361" s="151"/>
      <c r="C361" s="55">
        <v>341</v>
      </c>
      <c r="D361" s="54">
        <v>0</v>
      </c>
      <c r="E361" s="190">
        <f t="shared" si="89"/>
        <v>12</v>
      </c>
      <c r="F361" s="191">
        <f t="shared" si="90"/>
        <v>45998</v>
      </c>
      <c r="G361" s="192" t="str">
        <f t="shared" si="91"/>
        <v>Sun</v>
      </c>
      <c r="H361" s="193"/>
      <c r="I361" s="194"/>
      <c r="J361" s="307"/>
      <c r="K361" s="215"/>
      <c r="L361" s="317">
        <f t="shared" si="92"/>
        <v>0</v>
      </c>
      <c r="M361" s="318">
        <f t="shared" si="86"/>
        <v>0</v>
      </c>
      <c r="N361" s="41" t="str">
        <f t="shared" si="72"/>
        <v>¥0</v>
      </c>
      <c r="O361" s="44"/>
      <c r="P361" s="329">
        <f>IF(D361=0,0,SUM($L$355:L361))</f>
        <v>0</v>
      </c>
      <c r="Q361" s="317">
        <f>IF(D361=0,0,SUM($I$355:I361))</f>
        <v>0</v>
      </c>
      <c r="R361" s="321">
        <f t="shared" si="87"/>
        <v>0</v>
      </c>
      <c r="S361" s="198">
        <f t="shared" si="93"/>
        <v>0</v>
      </c>
      <c r="T361" s="212"/>
      <c r="U361" s="317">
        <f>IF(D361=0,0,SUM($L$21:L361))</f>
        <v>0</v>
      </c>
      <c r="V361" s="317">
        <f>IF(D361=0,0,SUM($J$21:J361))</f>
        <v>0</v>
      </c>
      <c r="W361" s="331">
        <f t="shared" si="88"/>
        <v>0</v>
      </c>
      <c r="X361" s="200">
        <f t="shared" si="94"/>
        <v>0</v>
      </c>
      <c r="Y361" s="201">
        <f t="shared" si="96"/>
        <v>45998</v>
      </c>
      <c r="Z361" s="202">
        <f t="shared" si="96"/>
        <v>45998</v>
      </c>
      <c r="AA361" s="18"/>
      <c r="AB361" s="244"/>
      <c r="AC361" s="247"/>
      <c r="AD361" s="142"/>
      <c r="AE361" s="18"/>
      <c r="AF361" s="18"/>
      <c r="AG361" s="203"/>
      <c r="AH361" s="203"/>
      <c r="AI361" s="18"/>
      <c r="AJ361" s="18"/>
      <c r="AK361" s="18"/>
      <c r="AL361" s="18"/>
      <c r="AM361" s="18"/>
      <c r="AN361" s="18"/>
    </row>
    <row r="362" spans="1:40" ht="20">
      <c r="A362" s="18"/>
      <c r="B362" s="151"/>
      <c r="C362" s="55">
        <v>342</v>
      </c>
      <c r="D362" s="54">
        <v>1</v>
      </c>
      <c r="E362" s="190">
        <f t="shared" si="89"/>
        <v>12</v>
      </c>
      <c r="F362" s="191">
        <f t="shared" si="90"/>
        <v>45999</v>
      </c>
      <c r="G362" s="192" t="str">
        <f t="shared" si="91"/>
        <v>Mon</v>
      </c>
      <c r="H362" s="193"/>
      <c r="I362" s="194"/>
      <c r="J362" s="307">
        <f>321980/B13</f>
        <v>2918.0714156244335</v>
      </c>
      <c r="K362" s="215"/>
      <c r="L362" s="317">
        <f t="shared" si="92"/>
        <v>2262.6201941946529</v>
      </c>
      <c r="M362" s="318">
        <f t="shared" si="86"/>
        <v>655.45122142978062</v>
      </c>
      <c r="N362" s="41">
        <f t="shared" si="72"/>
        <v>1.2896868078484904</v>
      </c>
      <c r="O362" s="56"/>
      <c r="P362" s="329">
        <f>IF(D362=0,0,SUM($L$355:L362))</f>
        <v>18005.441809773201</v>
      </c>
      <c r="Q362" s="317">
        <f>IF(D362=0,0,SUM($I$355:I362))</f>
        <v>0</v>
      </c>
      <c r="R362" s="321">
        <f t="shared" si="87"/>
        <v>-18005.441809773201</v>
      </c>
      <c r="S362" s="198">
        <f t="shared" si="93"/>
        <v>0</v>
      </c>
      <c r="T362" s="207"/>
      <c r="U362" s="317">
        <f>IF(D362=0,0,SUM($L$21:L362))</f>
        <v>609045.72289899422</v>
      </c>
      <c r="V362" s="317">
        <f>IF(D362=0,0,SUM($J$21:J362))</f>
        <v>649906.30777596543</v>
      </c>
      <c r="W362" s="331">
        <f t="shared" si="88"/>
        <v>40860.584876971203</v>
      </c>
      <c r="X362" s="200">
        <f t="shared" si="94"/>
        <v>1.0670895194575525</v>
      </c>
      <c r="Y362" s="201">
        <f t="shared" si="96"/>
        <v>45999</v>
      </c>
      <c r="Z362" s="202">
        <f t="shared" si="96"/>
        <v>45999</v>
      </c>
      <c r="AA362" s="18"/>
      <c r="AB362" s="244"/>
      <c r="AC362" s="247"/>
      <c r="AD362" s="142"/>
      <c r="AE362" s="18"/>
      <c r="AF362" s="18"/>
      <c r="AG362" s="203"/>
      <c r="AH362" s="203"/>
      <c r="AI362" s="18"/>
      <c r="AJ362" s="18"/>
      <c r="AK362" s="18"/>
      <c r="AL362" s="18"/>
      <c r="AM362" s="18"/>
      <c r="AN362" s="18"/>
    </row>
    <row r="363" spans="1:40" ht="20">
      <c r="A363" s="18"/>
      <c r="B363" s="151"/>
      <c r="C363" s="55">
        <v>343</v>
      </c>
      <c r="D363" s="54">
        <v>1</v>
      </c>
      <c r="E363" s="190">
        <f t="shared" si="89"/>
        <v>12</v>
      </c>
      <c r="F363" s="191">
        <f t="shared" si="90"/>
        <v>46000</v>
      </c>
      <c r="G363" s="192" t="str">
        <f t="shared" si="91"/>
        <v>Tue</v>
      </c>
      <c r="H363" s="193"/>
      <c r="I363" s="194"/>
      <c r="J363" s="307">
        <f>298990/B13</f>
        <v>2709.7154250498456</v>
      </c>
      <c r="K363" s="215"/>
      <c r="L363" s="317">
        <f t="shared" si="92"/>
        <v>2490.0899116056289</v>
      </c>
      <c r="M363" s="318">
        <f t="shared" si="86"/>
        <v>219.62551344421672</v>
      </c>
      <c r="N363" s="41">
        <f t="shared" si="72"/>
        <v>1.0881998326327906</v>
      </c>
      <c r="O363" s="56"/>
      <c r="P363" s="329">
        <f>IF(D363=0,0,SUM($L$355:L363))</f>
        <v>20495.531721378829</v>
      </c>
      <c r="Q363" s="317">
        <f>IF(D363=0,0,SUM($I$355:I363))</f>
        <v>0</v>
      </c>
      <c r="R363" s="321">
        <f t="shared" si="87"/>
        <v>-20495.531721378829</v>
      </c>
      <c r="S363" s="198">
        <f t="shared" si="93"/>
        <v>0</v>
      </c>
      <c r="T363" s="207"/>
      <c r="U363" s="317">
        <f>IF(D363=0,0,SUM($L$21:L363))</f>
        <v>611535.8128105998</v>
      </c>
      <c r="V363" s="317">
        <f>IF(D363=0,0,SUM($J$21:J363))</f>
        <v>652616.02320101531</v>
      </c>
      <c r="W363" s="331">
        <f t="shared" si="88"/>
        <v>41080.210390415508</v>
      </c>
      <c r="X363" s="200">
        <f t="shared" si="94"/>
        <v>1.0671754777559341</v>
      </c>
      <c r="Y363" s="201">
        <f t="shared" si="96"/>
        <v>46000</v>
      </c>
      <c r="Z363" s="202">
        <f t="shared" si="96"/>
        <v>46000</v>
      </c>
      <c r="AA363" s="18"/>
      <c r="AB363" s="244"/>
      <c r="AC363" s="247"/>
      <c r="AD363" s="142"/>
      <c r="AE363" s="18"/>
      <c r="AF363" s="18"/>
      <c r="AG363" s="203"/>
      <c r="AH363" s="203"/>
      <c r="AI363" s="18"/>
      <c r="AJ363" s="18"/>
      <c r="AK363" s="18"/>
      <c r="AL363" s="18"/>
      <c r="AM363" s="18"/>
      <c r="AN363" s="18"/>
    </row>
    <row r="364" spans="1:40" ht="20">
      <c r="A364" s="18"/>
      <c r="B364" s="151"/>
      <c r="C364" s="55">
        <v>344</v>
      </c>
      <c r="D364" s="54">
        <v>1</v>
      </c>
      <c r="E364" s="190">
        <f t="shared" si="89"/>
        <v>12</v>
      </c>
      <c r="F364" s="191">
        <f t="shared" si="90"/>
        <v>46001</v>
      </c>
      <c r="G364" s="192" t="str">
        <f t="shared" si="91"/>
        <v>Wed</v>
      </c>
      <c r="H364" s="193"/>
      <c r="I364" s="194"/>
      <c r="J364" s="307">
        <f>356890/B13</f>
        <v>3234.4571324995468</v>
      </c>
      <c r="K364" s="215"/>
      <c r="L364" s="317">
        <f t="shared" si="92"/>
        <v>3095.4335830931354</v>
      </c>
      <c r="M364" s="318">
        <f t="shared" si="86"/>
        <v>139.02354940641135</v>
      </c>
      <c r="N364" s="41">
        <f t="shared" si="72"/>
        <v>1.0449124640133582</v>
      </c>
      <c r="O364" s="56"/>
      <c r="P364" s="329">
        <f>IF(D364=0,0,SUM($L$355:L364))</f>
        <v>23590.965304471963</v>
      </c>
      <c r="Q364" s="317">
        <f>IF(D364=0,0,SUM($I$355:I364))</f>
        <v>0</v>
      </c>
      <c r="R364" s="321">
        <f t="shared" si="87"/>
        <v>-23590.965304471963</v>
      </c>
      <c r="S364" s="198">
        <f t="shared" si="93"/>
        <v>0</v>
      </c>
      <c r="T364" s="207"/>
      <c r="U364" s="317">
        <f>IF(D364=0,0,SUM($L$21:L364))</f>
        <v>614631.24639369291</v>
      </c>
      <c r="V364" s="317">
        <f>IF(D364=0,0,SUM($J$21:J364))</f>
        <v>655850.48033351486</v>
      </c>
      <c r="W364" s="331">
        <f t="shared" si="88"/>
        <v>41219.233939821948</v>
      </c>
      <c r="X364" s="200">
        <f t="shared" si="94"/>
        <v>1.0670633557627813</v>
      </c>
      <c r="Y364" s="201">
        <f t="shared" si="96"/>
        <v>46001</v>
      </c>
      <c r="Z364" s="202">
        <f t="shared" si="96"/>
        <v>46001</v>
      </c>
      <c r="AA364" s="18"/>
      <c r="AB364" s="244"/>
      <c r="AC364" s="247"/>
      <c r="AD364" s="142"/>
      <c r="AE364" s="18"/>
      <c r="AF364" s="18"/>
      <c r="AG364" s="203"/>
      <c r="AH364" s="203"/>
      <c r="AI364" s="18"/>
      <c r="AJ364" s="18"/>
      <c r="AK364" s="18"/>
      <c r="AL364" s="18"/>
      <c r="AM364" s="18"/>
      <c r="AN364" s="18"/>
    </row>
    <row r="365" spans="1:40" ht="20">
      <c r="A365" s="18"/>
      <c r="B365" s="151"/>
      <c r="C365" s="55">
        <v>345</v>
      </c>
      <c r="D365" s="54">
        <v>1</v>
      </c>
      <c r="E365" s="190">
        <f t="shared" si="89"/>
        <v>12</v>
      </c>
      <c r="F365" s="191">
        <f t="shared" si="90"/>
        <v>46002</v>
      </c>
      <c r="G365" s="192" t="str">
        <f t="shared" si="91"/>
        <v>Thu</v>
      </c>
      <c r="H365" s="193"/>
      <c r="I365" s="194"/>
      <c r="J365" s="307">
        <f>294560/B13</f>
        <v>2669.5667935472175</v>
      </c>
      <c r="K365" s="215"/>
      <c r="L365" s="317">
        <f t="shared" si="92"/>
        <v>2679.7144394806455</v>
      </c>
      <c r="M365" s="318">
        <f t="shared" si="86"/>
        <v>-10.147645933428066</v>
      </c>
      <c r="N365" s="41">
        <f t="shared" si="72"/>
        <v>0.99621316145335437</v>
      </c>
      <c r="O365" s="56"/>
      <c r="P365" s="329">
        <f>IF(D365=0,0,SUM($L$355:L365))</f>
        <v>26270.679743952609</v>
      </c>
      <c r="Q365" s="317">
        <f>IF(D365=0,0,SUM($I$355:I365))</f>
        <v>0</v>
      </c>
      <c r="R365" s="321">
        <f t="shared" si="87"/>
        <v>-26270.679743952609</v>
      </c>
      <c r="S365" s="198">
        <f t="shared" si="93"/>
        <v>0</v>
      </c>
      <c r="T365" s="207"/>
      <c r="U365" s="317">
        <f>IF(D365=0,0,SUM($L$21:L365))</f>
        <v>617310.96083317359</v>
      </c>
      <c r="V365" s="317">
        <f>IF(D365=0,0,SUM($J$21:J365))</f>
        <v>658520.04712706211</v>
      </c>
      <c r="W365" s="331">
        <f t="shared" si="88"/>
        <v>41209.086293888511</v>
      </c>
      <c r="X365" s="200">
        <f t="shared" si="94"/>
        <v>1.066755798792669</v>
      </c>
      <c r="Y365" s="201">
        <f t="shared" si="96"/>
        <v>46002</v>
      </c>
      <c r="Z365" s="202">
        <f t="shared" si="96"/>
        <v>46002</v>
      </c>
      <c r="AA365" s="18"/>
      <c r="AB365" s="244"/>
      <c r="AC365" s="247"/>
      <c r="AD365" s="142"/>
      <c r="AE365" s="18"/>
      <c r="AF365" s="18"/>
      <c r="AG365" s="203"/>
      <c r="AH365" s="203"/>
      <c r="AI365" s="18"/>
      <c r="AJ365" s="18"/>
      <c r="AK365" s="18"/>
      <c r="AL365" s="18"/>
      <c r="AM365" s="18"/>
      <c r="AN365" s="18"/>
    </row>
    <row r="366" spans="1:40" ht="20">
      <c r="A366" s="18"/>
      <c r="B366" s="151"/>
      <c r="C366" s="55">
        <v>346</v>
      </c>
      <c r="D366" s="54">
        <v>1</v>
      </c>
      <c r="E366" s="190">
        <f t="shared" si="89"/>
        <v>12</v>
      </c>
      <c r="F366" s="191">
        <f t="shared" si="90"/>
        <v>46003</v>
      </c>
      <c r="G366" s="192" t="str">
        <f t="shared" si="91"/>
        <v>Fri</v>
      </c>
      <c r="H366" s="193"/>
      <c r="I366" s="194"/>
      <c r="J366" s="307">
        <f>401010/B13</f>
        <v>3634.3121261555193</v>
      </c>
      <c r="K366" s="215"/>
      <c r="L366" s="317">
        <f t="shared" si="92"/>
        <v>3336.3553820927227</v>
      </c>
      <c r="M366" s="318">
        <f t="shared" si="86"/>
        <v>297.95674406279659</v>
      </c>
      <c r="N366" s="41">
        <f t="shared" si="72"/>
        <v>1.0893060570411728</v>
      </c>
      <c r="O366" s="56"/>
      <c r="P366" s="329">
        <f>IF(D366=0,0,SUM($L$355:L366))</f>
        <v>29607.035126045332</v>
      </c>
      <c r="Q366" s="317">
        <f>IF(D366=0,0,SUM($I$355:I366))</f>
        <v>0</v>
      </c>
      <c r="R366" s="321">
        <f t="shared" si="87"/>
        <v>-29607.035126045332</v>
      </c>
      <c r="S366" s="198">
        <f t="shared" si="93"/>
        <v>0</v>
      </c>
      <c r="T366" s="207"/>
      <c r="U366" s="317">
        <f>IF(D366=0,0,SUM($L$21:L366))</f>
        <v>620647.31621526636</v>
      </c>
      <c r="V366" s="317">
        <f>IF(D366=0,0,SUM($J$21:J366))</f>
        <v>662154.35925321758</v>
      </c>
      <c r="W366" s="331">
        <f t="shared" si="88"/>
        <v>41507.043037951225</v>
      </c>
      <c r="X366" s="200">
        <f t="shared" si="94"/>
        <v>1.0668770200942186</v>
      </c>
      <c r="Y366" s="201">
        <f t="shared" si="96"/>
        <v>46003</v>
      </c>
      <c r="Z366" s="202">
        <f t="shared" si="96"/>
        <v>46003</v>
      </c>
      <c r="AA366" s="18"/>
      <c r="AB366" s="244"/>
      <c r="AC366" s="247"/>
      <c r="AD366" s="142"/>
      <c r="AE366" s="18"/>
      <c r="AF366" s="18"/>
      <c r="AG366" s="203"/>
      <c r="AH366" s="203"/>
      <c r="AI366" s="18"/>
      <c r="AJ366" s="18"/>
      <c r="AK366" s="18"/>
      <c r="AL366" s="18"/>
      <c r="AM366" s="18"/>
      <c r="AN366" s="18"/>
    </row>
    <row r="367" spans="1:40" ht="20">
      <c r="A367" s="18"/>
      <c r="B367" s="151"/>
      <c r="C367" s="55">
        <v>347</v>
      </c>
      <c r="D367" s="54">
        <v>1</v>
      </c>
      <c r="E367" s="190">
        <f t="shared" si="89"/>
        <v>12</v>
      </c>
      <c r="F367" s="191">
        <f t="shared" si="90"/>
        <v>46004</v>
      </c>
      <c r="G367" s="192" t="str">
        <f t="shared" si="91"/>
        <v>Sat</v>
      </c>
      <c r="H367" s="193"/>
      <c r="I367" s="194"/>
      <c r="J367" s="307">
        <f>198990/B13</f>
        <v>1803.4257748776508</v>
      </c>
      <c r="K367" s="215"/>
      <c r="L367" s="317">
        <f t="shared" si="92"/>
        <v>1878.6081051117633</v>
      </c>
      <c r="M367" s="318">
        <f t="shared" si="86"/>
        <v>-75.182330234112442</v>
      </c>
      <c r="N367" s="41">
        <f t="shared" si="72"/>
        <v>0.95997976904840421</v>
      </c>
      <c r="O367" s="56"/>
      <c r="P367" s="329">
        <f>IF(D367=0,0,SUM($L$355:L367))</f>
        <v>31485.643231157093</v>
      </c>
      <c r="Q367" s="317">
        <f>IF(D367=0,0,SUM($I$355:I367))</f>
        <v>0</v>
      </c>
      <c r="R367" s="321">
        <f t="shared" si="87"/>
        <v>-31485.643231157093</v>
      </c>
      <c r="S367" s="198">
        <f t="shared" si="93"/>
        <v>0</v>
      </c>
      <c r="T367" s="207"/>
      <c r="U367" s="317">
        <f>IF(D367=0,0,SUM($L$21:L367))</f>
        <v>622525.92432037811</v>
      </c>
      <c r="V367" s="317">
        <f>IF(D367=0,0,SUM($J$21:J367))</f>
        <v>663957.78502809524</v>
      </c>
      <c r="W367" s="331">
        <f t="shared" si="88"/>
        <v>41431.860707717133</v>
      </c>
      <c r="X367" s="200">
        <f t="shared" si="94"/>
        <v>1.0665544342638404</v>
      </c>
      <c r="Y367" s="201">
        <f t="shared" si="96"/>
        <v>46004</v>
      </c>
      <c r="Z367" s="202">
        <f t="shared" si="96"/>
        <v>46004</v>
      </c>
      <c r="AA367" s="18"/>
      <c r="AB367" s="244"/>
      <c r="AC367" s="247"/>
      <c r="AD367" s="142"/>
      <c r="AE367" s="18"/>
      <c r="AF367" s="18"/>
      <c r="AG367" s="203"/>
      <c r="AH367" s="203"/>
      <c r="AI367" s="18"/>
      <c r="AJ367" s="18"/>
      <c r="AK367" s="18"/>
      <c r="AL367" s="18"/>
      <c r="AM367" s="18"/>
      <c r="AN367" s="18"/>
    </row>
    <row r="368" spans="1:40" ht="20">
      <c r="A368" s="18"/>
      <c r="B368" s="151"/>
      <c r="C368" s="55">
        <v>348</v>
      </c>
      <c r="D368" s="54">
        <v>0</v>
      </c>
      <c r="E368" s="190">
        <f t="shared" si="89"/>
        <v>12</v>
      </c>
      <c r="F368" s="191">
        <f t="shared" si="90"/>
        <v>46005</v>
      </c>
      <c r="G368" s="192" t="str">
        <f t="shared" si="91"/>
        <v>Sun</v>
      </c>
      <c r="H368" s="193"/>
      <c r="I368" s="194"/>
      <c r="J368" s="307"/>
      <c r="K368" s="215"/>
      <c r="L368" s="317">
        <f t="shared" si="92"/>
        <v>0</v>
      </c>
      <c r="M368" s="318">
        <f t="shared" si="86"/>
        <v>0</v>
      </c>
      <c r="N368" s="41" t="str">
        <f t="shared" si="72"/>
        <v>¥0</v>
      </c>
      <c r="O368" s="44"/>
      <c r="P368" s="329">
        <f>IF(D368=0,0,SUM($L$355:L368))</f>
        <v>0</v>
      </c>
      <c r="Q368" s="317">
        <f>IF(D368=0,0,SUM($I$355:I368))</f>
        <v>0</v>
      </c>
      <c r="R368" s="321">
        <f t="shared" si="87"/>
        <v>0</v>
      </c>
      <c r="S368" s="198">
        <f t="shared" si="93"/>
        <v>0</v>
      </c>
      <c r="T368" s="212"/>
      <c r="U368" s="317">
        <f>IF(D368=0,0,SUM($L$21:L368))</f>
        <v>0</v>
      </c>
      <c r="V368" s="317">
        <f>IF(D368=0,0,SUM($J$21:J368))</f>
        <v>0</v>
      </c>
      <c r="W368" s="331">
        <f t="shared" si="88"/>
        <v>0</v>
      </c>
      <c r="X368" s="200">
        <f t="shared" si="94"/>
        <v>0</v>
      </c>
      <c r="Y368" s="201">
        <f t="shared" si="96"/>
        <v>46005</v>
      </c>
      <c r="Z368" s="202">
        <f t="shared" si="96"/>
        <v>46005</v>
      </c>
      <c r="AA368" s="18"/>
      <c r="AB368" s="244"/>
      <c r="AC368" s="247"/>
      <c r="AD368" s="142"/>
      <c r="AE368" s="18"/>
      <c r="AF368" s="18"/>
      <c r="AG368" s="203"/>
      <c r="AH368" s="203"/>
      <c r="AI368" s="18"/>
      <c r="AJ368" s="18"/>
      <c r="AK368" s="18"/>
      <c r="AL368" s="18"/>
      <c r="AM368" s="18"/>
      <c r="AN368" s="18"/>
    </row>
    <row r="369" spans="1:40" ht="20">
      <c r="A369" s="18"/>
      <c r="B369" s="151"/>
      <c r="C369" s="55">
        <v>349</v>
      </c>
      <c r="D369" s="54">
        <v>1</v>
      </c>
      <c r="E369" s="190">
        <f t="shared" si="89"/>
        <v>12</v>
      </c>
      <c r="F369" s="191">
        <f t="shared" si="90"/>
        <v>46006</v>
      </c>
      <c r="G369" s="192" t="str">
        <f t="shared" si="91"/>
        <v>Mon</v>
      </c>
      <c r="H369" s="193"/>
      <c r="I369" s="194"/>
      <c r="J369" s="307">
        <f>309890/B13</f>
        <v>2808.5009969186153</v>
      </c>
      <c r="K369" s="215"/>
      <c r="L369" s="317">
        <f t="shared" si="92"/>
        <v>2262.6201941946529</v>
      </c>
      <c r="M369" s="318">
        <f t="shared" si="86"/>
        <v>545.88080272396246</v>
      </c>
      <c r="N369" s="41">
        <f t="shared" si="72"/>
        <v>1.2412604661288551</v>
      </c>
      <c r="O369" s="56"/>
      <c r="P369" s="329">
        <f>IF(D369=0,0,SUM($L$355:L369))</f>
        <v>33748.263425351746</v>
      </c>
      <c r="Q369" s="317">
        <f>IF(D369=0,0,SUM($I$355:I369))</f>
        <v>0</v>
      </c>
      <c r="R369" s="321">
        <f t="shared" si="87"/>
        <v>-33748.263425351746</v>
      </c>
      <c r="S369" s="198">
        <f t="shared" si="93"/>
        <v>0</v>
      </c>
      <c r="T369" s="207"/>
      <c r="U369" s="317">
        <f>IF(D369=0,0,SUM($L$21:L369))</f>
        <v>624788.54451457271</v>
      </c>
      <c r="V369" s="317">
        <f>IF(D369=0,0,SUM($J$21:J369))</f>
        <v>666766.28602501389</v>
      </c>
      <c r="W369" s="331">
        <f t="shared" si="88"/>
        <v>41977.741510441178</v>
      </c>
      <c r="X369" s="200">
        <f t="shared" si="94"/>
        <v>1.0671871177520638</v>
      </c>
      <c r="Y369" s="201">
        <f t="shared" si="96"/>
        <v>46006</v>
      </c>
      <c r="Z369" s="202">
        <f t="shared" si="96"/>
        <v>46006</v>
      </c>
      <c r="AA369" s="18"/>
      <c r="AB369" s="244"/>
      <c r="AC369" s="247"/>
      <c r="AD369" s="142"/>
      <c r="AE369" s="18"/>
      <c r="AF369" s="18"/>
      <c r="AG369" s="203"/>
      <c r="AH369" s="203"/>
      <c r="AI369" s="18"/>
      <c r="AJ369" s="18"/>
      <c r="AK369" s="18"/>
      <c r="AL369" s="18"/>
      <c r="AM369" s="18"/>
      <c r="AN369" s="18"/>
    </row>
    <row r="370" spans="1:40" ht="20">
      <c r="A370" s="18"/>
      <c r="B370" s="151"/>
      <c r="C370" s="55">
        <v>350</v>
      </c>
      <c r="D370" s="54">
        <v>1</v>
      </c>
      <c r="E370" s="190">
        <f t="shared" si="89"/>
        <v>12</v>
      </c>
      <c r="F370" s="191">
        <f t="shared" si="90"/>
        <v>46007</v>
      </c>
      <c r="G370" s="192" t="str">
        <f t="shared" si="91"/>
        <v>Tue</v>
      </c>
      <c r="H370" s="193"/>
      <c r="I370" s="194"/>
      <c r="J370" s="307">
        <f>401330/B13</f>
        <v>3637.2122530360703</v>
      </c>
      <c r="K370" s="215"/>
      <c r="L370" s="317">
        <f t="shared" si="92"/>
        <v>2490.0899116056289</v>
      </c>
      <c r="M370" s="318">
        <f t="shared" si="86"/>
        <v>1147.1223414304413</v>
      </c>
      <c r="N370" s="41">
        <f t="shared" si="72"/>
        <v>1.4606750688334655</v>
      </c>
      <c r="O370" s="56"/>
      <c r="P370" s="329">
        <f>IF(D370=0,0,SUM($L$355:L370))</f>
        <v>36238.353336957378</v>
      </c>
      <c r="Q370" s="317">
        <f>IF(D370=0,0,SUM($I$355:I370))</f>
        <v>0</v>
      </c>
      <c r="R370" s="321">
        <f t="shared" si="87"/>
        <v>-36238.353336957378</v>
      </c>
      <c r="S370" s="198">
        <f t="shared" si="93"/>
        <v>0</v>
      </c>
      <c r="T370" s="207"/>
      <c r="U370" s="317">
        <f>IF(D370=0,0,SUM($L$21:L370))</f>
        <v>627278.63442617829</v>
      </c>
      <c r="V370" s="317">
        <f>IF(D370=0,0,SUM($J$21:J370))</f>
        <v>670403.49827804998</v>
      </c>
      <c r="W370" s="331">
        <f t="shared" si="88"/>
        <v>43124.863851871691</v>
      </c>
      <c r="X370" s="200">
        <f t="shared" si="94"/>
        <v>1.0687491355278207</v>
      </c>
      <c r="Y370" s="201">
        <f t="shared" si="96"/>
        <v>46007</v>
      </c>
      <c r="Z370" s="202">
        <f t="shared" si="96"/>
        <v>46007</v>
      </c>
      <c r="AA370" s="18"/>
      <c r="AB370" s="244"/>
      <c r="AC370" s="247"/>
      <c r="AD370" s="142"/>
      <c r="AE370" s="18"/>
      <c r="AF370" s="18"/>
      <c r="AG370" s="203"/>
      <c r="AH370" s="203"/>
      <c r="AI370" s="18"/>
      <c r="AJ370" s="18"/>
      <c r="AK370" s="18"/>
      <c r="AL370" s="18"/>
      <c r="AM370" s="18"/>
      <c r="AN370" s="18"/>
    </row>
    <row r="371" spans="1:40" ht="20">
      <c r="A371" s="18"/>
      <c r="B371" s="151"/>
      <c r="C371" s="55">
        <v>351</v>
      </c>
      <c r="D371" s="54">
        <v>1</v>
      </c>
      <c r="E371" s="190">
        <f t="shared" si="89"/>
        <v>12</v>
      </c>
      <c r="F371" s="191">
        <f t="shared" si="90"/>
        <v>46008</v>
      </c>
      <c r="G371" s="192" t="str">
        <f t="shared" si="91"/>
        <v>Wed</v>
      </c>
      <c r="H371" s="193"/>
      <c r="I371" s="194"/>
      <c r="J371" s="307">
        <f>334580/B13</f>
        <v>3032.2639115461302</v>
      </c>
      <c r="K371" s="215"/>
      <c r="L371" s="317">
        <f t="shared" si="92"/>
        <v>3095.4335830931354</v>
      </c>
      <c r="M371" s="318">
        <f t="shared" si="86"/>
        <v>-63.169671547005237</v>
      </c>
      <c r="N371" s="41">
        <f t="shared" si="72"/>
        <v>0.97959262576589268</v>
      </c>
      <c r="O371" s="56"/>
      <c r="P371" s="329">
        <f>IF(D371=0,0,SUM($L$355:L371))</f>
        <v>39333.786920050516</v>
      </c>
      <c r="Q371" s="317">
        <f>IF(D371=0,0,SUM($I$355:I371))</f>
        <v>0</v>
      </c>
      <c r="R371" s="321">
        <f t="shared" si="87"/>
        <v>-39333.786920050516</v>
      </c>
      <c r="S371" s="198">
        <f t="shared" si="93"/>
        <v>0</v>
      </c>
      <c r="T371" s="207"/>
      <c r="U371" s="317">
        <f>IF(D371=0,0,SUM($L$21:L371))</f>
        <v>630374.0680092714</v>
      </c>
      <c r="V371" s="317">
        <f>IF(D371=0,0,SUM($J$21:J371))</f>
        <v>673435.76218959608</v>
      </c>
      <c r="W371" s="331">
        <f t="shared" si="88"/>
        <v>43061.694180324674</v>
      </c>
      <c r="X371" s="200">
        <f t="shared" si="94"/>
        <v>1.0683113350717519</v>
      </c>
      <c r="Y371" s="201">
        <f t="shared" si="96"/>
        <v>46008</v>
      </c>
      <c r="Z371" s="202">
        <f t="shared" si="96"/>
        <v>46008</v>
      </c>
      <c r="AA371" s="18"/>
      <c r="AB371" s="244"/>
      <c r="AC371" s="247"/>
      <c r="AD371" s="142"/>
      <c r="AE371" s="18"/>
      <c r="AF371" s="18"/>
      <c r="AG371" s="203"/>
      <c r="AH371" s="203"/>
      <c r="AI371" s="18"/>
      <c r="AJ371" s="18"/>
      <c r="AK371" s="18"/>
      <c r="AL371" s="18"/>
      <c r="AM371" s="18"/>
      <c r="AN371" s="18"/>
    </row>
    <row r="372" spans="1:40" ht="20">
      <c r="A372" s="18"/>
      <c r="B372" s="151"/>
      <c r="C372" s="55">
        <v>352</v>
      </c>
      <c r="D372" s="54">
        <v>1</v>
      </c>
      <c r="E372" s="190">
        <f t="shared" si="89"/>
        <v>12</v>
      </c>
      <c r="F372" s="191">
        <f t="shared" si="90"/>
        <v>46009</v>
      </c>
      <c r="G372" s="192" t="str">
        <f t="shared" si="91"/>
        <v>Thu</v>
      </c>
      <c r="H372" s="193"/>
      <c r="I372" s="194"/>
      <c r="J372" s="307">
        <f>356990/B13</f>
        <v>3235.3634221497191</v>
      </c>
      <c r="K372" s="215"/>
      <c r="L372" s="317">
        <f t="shared" si="92"/>
        <v>2679.7144394806455</v>
      </c>
      <c r="M372" s="318">
        <f t="shared" si="86"/>
        <v>555.64898266907358</v>
      </c>
      <c r="N372" s="41">
        <f t="shared" si="72"/>
        <v>1.2073538040033713</v>
      </c>
      <c r="O372" s="56"/>
      <c r="P372" s="329">
        <f>IF(D372=0,0,SUM($L$355:L372))</f>
        <v>42013.501359531161</v>
      </c>
      <c r="Q372" s="317">
        <f>IF(D372=0,0,SUM($I$355:I372))</f>
        <v>0</v>
      </c>
      <c r="R372" s="321">
        <f t="shared" si="87"/>
        <v>-42013.501359531161</v>
      </c>
      <c r="S372" s="198">
        <f t="shared" si="93"/>
        <v>0</v>
      </c>
      <c r="T372" s="207"/>
      <c r="U372" s="317">
        <f>IF(D372=0,0,SUM($L$21:L372))</f>
        <v>633053.78244875208</v>
      </c>
      <c r="V372" s="317">
        <f>IF(D372=0,0,SUM($J$21:J372))</f>
        <v>676671.12561174575</v>
      </c>
      <c r="W372" s="331">
        <f t="shared" si="88"/>
        <v>43617.343162993668</v>
      </c>
      <c r="X372" s="200">
        <f t="shared" si="94"/>
        <v>1.0688999013547869</v>
      </c>
      <c r="Y372" s="201">
        <f t="shared" si="96"/>
        <v>46009</v>
      </c>
      <c r="Z372" s="202">
        <f t="shared" si="96"/>
        <v>46009</v>
      </c>
      <c r="AA372" s="18"/>
      <c r="AB372" s="244"/>
      <c r="AC372" s="247"/>
      <c r="AD372" s="142"/>
      <c r="AE372" s="18"/>
      <c r="AF372" s="18"/>
      <c r="AG372" s="203"/>
      <c r="AH372" s="203"/>
      <c r="AI372" s="18"/>
      <c r="AJ372" s="18"/>
      <c r="AK372" s="18"/>
      <c r="AL372" s="18"/>
      <c r="AM372" s="18"/>
      <c r="AN372" s="18"/>
    </row>
    <row r="373" spans="1:40" ht="20">
      <c r="A373" s="18"/>
      <c r="B373" s="151"/>
      <c r="C373" s="55">
        <v>353</v>
      </c>
      <c r="D373" s="54">
        <v>1</v>
      </c>
      <c r="E373" s="190">
        <f t="shared" si="89"/>
        <v>12</v>
      </c>
      <c r="F373" s="191">
        <f t="shared" si="90"/>
        <v>46010</v>
      </c>
      <c r="G373" s="192" t="str">
        <f t="shared" si="91"/>
        <v>Fri</v>
      </c>
      <c r="H373" s="193"/>
      <c r="I373" s="194"/>
      <c r="J373" s="307">
        <f>400350/B13</f>
        <v>3628.3306144643825</v>
      </c>
      <c r="K373" s="215"/>
      <c r="L373" s="317">
        <f t="shared" si="92"/>
        <v>3336.3553820927227</v>
      </c>
      <c r="M373" s="318">
        <f t="shared" si="86"/>
        <v>291.97523237165979</v>
      </c>
      <c r="N373" s="41">
        <f t="shared" si="72"/>
        <v>1.0875132289380152</v>
      </c>
      <c r="O373" s="56"/>
      <c r="P373" s="329">
        <f>IF(D373=0,0,SUM($L$355:L373))</f>
        <v>45349.85674162388</v>
      </c>
      <c r="Q373" s="317">
        <f>IF(D373=0,0,SUM($I$355:I373))</f>
        <v>0</v>
      </c>
      <c r="R373" s="321">
        <f t="shared" si="87"/>
        <v>-45349.85674162388</v>
      </c>
      <c r="S373" s="198">
        <f t="shared" si="93"/>
        <v>0</v>
      </c>
      <c r="T373" s="207"/>
      <c r="U373" s="317">
        <f>IF(D373=0,0,SUM($L$21:L373))</f>
        <v>636390.13783084485</v>
      </c>
      <c r="V373" s="317">
        <f>IF(D373=0,0,SUM($J$21:J373))</f>
        <v>680299.45622621011</v>
      </c>
      <c r="W373" s="331">
        <f t="shared" si="88"/>
        <v>43909.318395365262</v>
      </c>
      <c r="X373" s="200">
        <f t="shared" si="94"/>
        <v>1.0689974840669774</v>
      </c>
      <c r="Y373" s="201">
        <f t="shared" si="96"/>
        <v>46010</v>
      </c>
      <c r="Z373" s="202">
        <f t="shared" si="96"/>
        <v>46010</v>
      </c>
      <c r="AA373" s="18"/>
      <c r="AB373" s="244"/>
      <c r="AC373" s="247"/>
      <c r="AD373" s="142"/>
      <c r="AE373" s="18"/>
      <c r="AF373" s="18"/>
      <c r="AG373" s="203"/>
      <c r="AH373" s="203"/>
      <c r="AI373" s="18"/>
      <c r="AJ373" s="18"/>
      <c r="AK373" s="18"/>
      <c r="AL373" s="18"/>
      <c r="AM373" s="18"/>
      <c r="AN373" s="18"/>
    </row>
    <row r="374" spans="1:40" ht="20">
      <c r="A374" s="18"/>
      <c r="B374" s="151"/>
      <c r="C374" s="55">
        <v>354</v>
      </c>
      <c r="D374" s="54">
        <v>1</v>
      </c>
      <c r="E374" s="190">
        <f t="shared" si="89"/>
        <v>12</v>
      </c>
      <c r="F374" s="191">
        <f t="shared" si="90"/>
        <v>46011</v>
      </c>
      <c r="G374" s="192" t="str">
        <f t="shared" si="91"/>
        <v>Sat</v>
      </c>
      <c r="H374" s="193"/>
      <c r="I374" s="194"/>
      <c r="J374" s="307">
        <f>211990/B13</f>
        <v>1921.2434294000361</v>
      </c>
      <c r="K374" s="215"/>
      <c r="L374" s="317">
        <f t="shared" si="92"/>
        <v>1878.6081051117633</v>
      </c>
      <c r="M374" s="318">
        <f t="shared" si="86"/>
        <v>42.635324288272841</v>
      </c>
      <c r="N374" s="41">
        <f t="shared" si="72"/>
        <v>1.0226951667951716</v>
      </c>
      <c r="O374" s="56"/>
      <c r="P374" s="329">
        <f>IF(D374=0,0,SUM($L$355:L374))</f>
        <v>47228.464846735646</v>
      </c>
      <c r="Q374" s="317">
        <f>IF(D374=0,0,SUM($I$355:I374))</f>
        <v>0</v>
      </c>
      <c r="R374" s="321">
        <f t="shared" si="87"/>
        <v>-47228.464846735646</v>
      </c>
      <c r="S374" s="198">
        <f t="shared" si="93"/>
        <v>0</v>
      </c>
      <c r="T374" s="207"/>
      <c r="U374" s="317">
        <f>IF(D374=0,0,SUM($L$21:L374))</f>
        <v>638268.7459359566</v>
      </c>
      <c r="V374" s="317">
        <f>IF(D374=0,0,SUM($J$21:J374))</f>
        <v>682220.69965561014</v>
      </c>
      <c r="W374" s="331">
        <f t="shared" si="88"/>
        <v>43951.953719653538</v>
      </c>
      <c r="X374" s="200">
        <f t="shared" si="94"/>
        <v>1.068861203058286</v>
      </c>
      <c r="Y374" s="201">
        <f t="shared" si="96"/>
        <v>46011</v>
      </c>
      <c r="Z374" s="202">
        <f t="shared" si="96"/>
        <v>46011</v>
      </c>
      <c r="AA374" s="18"/>
      <c r="AB374" s="244"/>
      <c r="AC374" s="247"/>
      <c r="AD374" s="142"/>
      <c r="AE374" s="18"/>
      <c r="AF374" s="18"/>
      <c r="AG374" s="203"/>
      <c r="AH374" s="203"/>
      <c r="AI374" s="18"/>
      <c r="AJ374" s="18"/>
      <c r="AK374" s="18"/>
      <c r="AL374" s="18"/>
      <c r="AM374" s="18"/>
      <c r="AN374" s="18"/>
    </row>
    <row r="375" spans="1:40" ht="20">
      <c r="A375" s="18"/>
      <c r="B375" s="151"/>
      <c r="C375" s="55">
        <v>355</v>
      </c>
      <c r="D375" s="54">
        <v>0</v>
      </c>
      <c r="E375" s="190">
        <f t="shared" si="89"/>
        <v>12</v>
      </c>
      <c r="F375" s="191">
        <f t="shared" si="90"/>
        <v>46012</v>
      </c>
      <c r="G375" s="192" t="str">
        <f t="shared" si="91"/>
        <v>Sun</v>
      </c>
      <c r="H375" s="193"/>
      <c r="I375" s="194"/>
      <c r="J375" s="307"/>
      <c r="K375" s="215"/>
      <c r="L375" s="317">
        <f t="shared" si="92"/>
        <v>0</v>
      </c>
      <c r="M375" s="318">
        <f t="shared" si="86"/>
        <v>0</v>
      </c>
      <c r="N375" s="41" t="str">
        <f t="shared" si="72"/>
        <v>¥0</v>
      </c>
      <c r="O375" s="44"/>
      <c r="P375" s="329">
        <f>IF(D375=0,0,SUM($L$355:L375))</f>
        <v>0</v>
      </c>
      <c r="Q375" s="317">
        <f>IF(D375=0,0,SUM($I$355:I375))</f>
        <v>0</v>
      </c>
      <c r="R375" s="321">
        <f t="shared" si="87"/>
        <v>0</v>
      </c>
      <c r="S375" s="198">
        <f t="shared" si="93"/>
        <v>0</v>
      </c>
      <c r="T375" s="212"/>
      <c r="U375" s="317">
        <f>IF(D375=0,0,SUM($L$21:L375))</f>
        <v>0</v>
      </c>
      <c r="V375" s="317">
        <f>IF(D375=0,0,SUM($J$21:J375))</f>
        <v>0</v>
      </c>
      <c r="W375" s="331">
        <f t="shared" si="88"/>
        <v>0</v>
      </c>
      <c r="X375" s="200">
        <f t="shared" si="94"/>
        <v>0</v>
      </c>
      <c r="Y375" s="201">
        <f t="shared" ref="Y375:Z385" si="97">Y374+1</f>
        <v>46012</v>
      </c>
      <c r="Z375" s="202">
        <f t="shared" si="97"/>
        <v>46012</v>
      </c>
      <c r="AA375" s="18"/>
      <c r="AB375" s="244"/>
      <c r="AC375" s="247"/>
      <c r="AD375" s="142"/>
      <c r="AE375" s="18"/>
      <c r="AF375" s="18"/>
      <c r="AG375" s="203"/>
      <c r="AH375" s="203"/>
      <c r="AI375" s="18"/>
      <c r="AJ375" s="18"/>
      <c r="AK375" s="18"/>
      <c r="AL375" s="18"/>
      <c r="AM375" s="18"/>
      <c r="AN375" s="18"/>
    </row>
    <row r="376" spans="1:40" ht="20">
      <c r="A376" s="18"/>
      <c r="B376" s="151"/>
      <c r="C376" s="55">
        <v>356</v>
      </c>
      <c r="D376" s="54">
        <v>1</v>
      </c>
      <c r="E376" s="190">
        <f t="shared" si="89"/>
        <v>12</v>
      </c>
      <c r="F376" s="191">
        <f t="shared" si="90"/>
        <v>46013</v>
      </c>
      <c r="G376" s="192" t="str">
        <f t="shared" si="91"/>
        <v>Mon</v>
      </c>
      <c r="H376" s="193"/>
      <c r="I376" s="194"/>
      <c r="J376" s="307">
        <f>355990/B13</f>
        <v>3226.3005256479969</v>
      </c>
      <c r="K376" s="215"/>
      <c r="L376" s="317">
        <f t="shared" si="92"/>
        <v>2262.6201941946529</v>
      </c>
      <c r="M376" s="318">
        <f t="shared" si="86"/>
        <v>963.68033145334402</v>
      </c>
      <c r="N376" s="41">
        <f t="shared" si="72"/>
        <v>1.4259134316603022</v>
      </c>
      <c r="O376" s="56"/>
      <c r="P376" s="329">
        <f>IF(D376=0,0,SUM($L$355:L376))</f>
        <v>49491.085040930295</v>
      </c>
      <c r="Q376" s="317">
        <f>IF(D376=0,0,SUM($I$355:I376))</f>
        <v>0</v>
      </c>
      <c r="R376" s="321">
        <f t="shared" si="87"/>
        <v>-49491.085040930295</v>
      </c>
      <c r="S376" s="198">
        <f t="shared" si="93"/>
        <v>0</v>
      </c>
      <c r="T376" s="207"/>
      <c r="U376" s="317">
        <f>IF(D376=0,0,SUM($L$21:L376))</f>
        <v>640531.3661301512</v>
      </c>
      <c r="V376" s="317">
        <f>IF(D376=0,0,SUM($J$21:J376))</f>
        <v>685447.00018125819</v>
      </c>
      <c r="W376" s="331">
        <f t="shared" si="88"/>
        <v>44915.634051106987</v>
      </c>
      <c r="X376" s="200">
        <f t="shared" si="94"/>
        <v>1.0701224583621414</v>
      </c>
      <c r="Y376" s="201">
        <f t="shared" si="97"/>
        <v>46013</v>
      </c>
      <c r="Z376" s="202">
        <f t="shared" si="97"/>
        <v>46013</v>
      </c>
      <c r="AA376" s="18"/>
      <c r="AB376" s="244"/>
      <c r="AC376" s="247"/>
      <c r="AD376" s="142"/>
      <c r="AE376" s="18"/>
      <c r="AF376" s="18"/>
      <c r="AG376" s="203"/>
      <c r="AH376" s="203"/>
      <c r="AI376" s="18"/>
      <c r="AJ376" s="18"/>
      <c r="AK376" s="18"/>
      <c r="AL376" s="18"/>
      <c r="AM376" s="18"/>
      <c r="AN376" s="18"/>
    </row>
    <row r="377" spans="1:40" ht="20">
      <c r="A377" s="18"/>
      <c r="B377" s="151"/>
      <c r="C377" s="55">
        <v>357</v>
      </c>
      <c r="D377" s="54">
        <v>1</v>
      </c>
      <c r="E377" s="190">
        <f t="shared" si="89"/>
        <v>12</v>
      </c>
      <c r="F377" s="191">
        <f t="shared" si="90"/>
        <v>46014</v>
      </c>
      <c r="G377" s="192" t="str">
        <f t="shared" si="91"/>
        <v>Tue</v>
      </c>
      <c r="H377" s="193"/>
      <c r="I377" s="194"/>
      <c r="J377" s="307">
        <f>345990/B13</f>
        <v>3135.6715606307775</v>
      </c>
      <c r="K377" s="215"/>
      <c r="L377" s="317">
        <f t="shared" si="92"/>
        <v>2490.0899116056289</v>
      </c>
      <c r="M377" s="318">
        <f t="shared" si="86"/>
        <v>645.58164902514864</v>
      </c>
      <c r="N377" s="41">
        <f t="shared" si="72"/>
        <v>1.2592603769109978</v>
      </c>
      <c r="O377" s="56"/>
      <c r="P377" s="329">
        <f>IF(D377=0,0,SUM($L$355:L377))</f>
        <v>51981.174952535926</v>
      </c>
      <c r="Q377" s="317">
        <f>IF(D377=0,0,SUM($I$355:I377))</f>
        <v>0</v>
      </c>
      <c r="R377" s="321">
        <f t="shared" si="87"/>
        <v>-51981.174952535926</v>
      </c>
      <c r="S377" s="198">
        <f t="shared" si="93"/>
        <v>0</v>
      </c>
      <c r="T377" s="207"/>
      <c r="U377" s="317">
        <f>IF(D377=0,0,SUM($L$21:L377))</f>
        <v>643021.45604175678</v>
      </c>
      <c r="V377" s="317">
        <f>IF(D377=0,0,SUM($J$21:J377))</f>
        <v>688582.67174188897</v>
      </c>
      <c r="W377" s="331">
        <f t="shared" si="88"/>
        <v>45561.21570013219</v>
      </c>
      <c r="X377" s="200">
        <f t="shared" si="94"/>
        <v>1.0708548918112206</v>
      </c>
      <c r="Y377" s="201">
        <f t="shared" si="97"/>
        <v>46014</v>
      </c>
      <c r="Z377" s="202">
        <f t="shared" si="97"/>
        <v>46014</v>
      </c>
      <c r="AA377" s="18"/>
      <c r="AB377" s="244"/>
      <c r="AC377" s="247"/>
      <c r="AD377" s="142"/>
      <c r="AE377" s="18"/>
      <c r="AF377" s="18"/>
      <c r="AG377" s="203"/>
      <c r="AH377" s="203"/>
      <c r="AI377" s="18"/>
      <c r="AJ377" s="18"/>
      <c r="AK377" s="18"/>
      <c r="AL377" s="18"/>
      <c r="AM377" s="18"/>
      <c r="AN377" s="18"/>
    </row>
    <row r="378" spans="1:40" ht="20">
      <c r="A378" s="18"/>
      <c r="B378" s="151"/>
      <c r="C378" s="55">
        <v>358</v>
      </c>
      <c r="D378" s="54">
        <v>1</v>
      </c>
      <c r="E378" s="190">
        <f t="shared" si="89"/>
        <v>12</v>
      </c>
      <c r="F378" s="191">
        <f t="shared" si="90"/>
        <v>46015</v>
      </c>
      <c r="G378" s="192" t="str">
        <f t="shared" si="91"/>
        <v>Wed</v>
      </c>
      <c r="H378" s="193"/>
      <c r="I378" s="194"/>
      <c r="J378" s="307">
        <f>490890/B13</f>
        <v>4448.885263730288</v>
      </c>
      <c r="K378" s="215"/>
      <c r="L378" s="317">
        <f t="shared" si="92"/>
        <v>3095.4335830931354</v>
      </c>
      <c r="M378" s="318">
        <f t="shared" si="86"/>
        <v>1353.4516806371525</v>
      </c>
      <c r="N378" s="41">
        <f t="shared" si="72"/>
        <v>1.4372413893903373</v>
      </c>
      <c r="O378" s="56"/>
      <c r="P378" s="329">
        <f>IF(D378=0,0,SUM($L$355:L378))</f>
        <v>55076.608535629064</v>
      </c>
      <c r="Q378" s="317">
        <f>IF(D378=0,0,SUM($I$355:I378))</f>
        <v>0</v>
      </c>
      <c r="R378" s="321">
        <f t="shared" si="87"/>
        <v>-55076.608535629064</v>
      </c>
      <c r="S378" s="198">
        <f t="shared" si="93"/>
        <v>0</v>
      </c>
      <c r="T378" s="207"/>
      <c r="U378" s="317">
        <f>IF(D378=0,0,SUM($L$21:L378))</f>
        <v>646116.88962484989</v>
      </c>
      <c r="V378" s="317">
        <f>IF(D378=0,0,SUM($J$21:J378))</f>
        <v>693031.55700561928</v>
      </c>
      <c r="W378" s="331">
        <f t="shared" si="88"/>
        <v>46914.667380769388</v>
      </c>
      <c r="X378" s="200">
        <f t="shared" si="94"/>
        <v>1.0726101857637695</v>
      </c>
      <c r="Y378" s="201">
        <f t="shared" si="97"/>
        <v>46015</v>
      </c>
      <c r="Z378" s="202">
        <f t="shared" si="97"/>
        <v>46015</v>
      </c>
      <c r="AA378" s="18"/>
      <c r="AB378" s="244"/>
      <c r="AC378" s="247"/>
      <c r="AD378" s="142"/>
      <c r="AE378" s="18"/>
      <c r="AF378" s="18"/>
      <c r="AG378" s="203"/>
      <c r="AH378" s="203"/>
      <c r="AI378" s="18"/>
      <c r="AJ378" s="18"/>
      <c r="AK378" s="18"/>
      <c r="AL378" s="18"/>
      <c r="AM378" s="18"/>
      <c r="AN378" s="18"/>
    </row>
    <row r="379" spans="1:40" ht="20">
      <c r="A379" s="18"/>
      <c r="B379" s="151"/>
      <c r="C379" s="55">
        <v>359</v>
      </c>
      <c r="D379" s="54">
        <v>1</v>
      </c>
      <c r="E379" s="190">
        <f t="shared" si="89"/>
        <v>12</v>
      </c>
      <c r="F379" s="191">
        <f t="shared" si="90"/>
        <v>46016</v>
      </c>
      <c r="G379" s="192" t="str">
        <f t="shared" si="91"/>
        <v>Thu</v>
      </c>
      <c r="H379" s="193"/>
      <c r="I379" s="194"/>
      <c r="J379" s="307">
        <f>435990/B13</f>
        <v>3951.332245785753</v>
      </c>
      <c r="K379" s="215"/>
      <c r="L379" s="317">
        <f t="shared" si="92"/>
        <v>2679.7144394806455</v>
      </c>
      <c r="M379" s="318">
        <f t="shared" si="86"/>
        <v>1271.6178063051075</v>
      </c>
      <c r="N379" s="41">
        <f t="shared" si="72"/>
        <v>1.4745348189233025</v>
      </c>
      <c r="O379" s="56"/>
      <c r="P379" s="329">
        <f>IF(D379=0,0,SUM($L$355:L379))</f>
        <v>57756.32297510971</v>
      </c>
      <c r="Q379" s="317">
        <f>IF(D379=0,0,SUM($I$355:I379))</f>
        <v>0</v>
      </c>
      <c r="R379" s="321">
        <f t="shared" si="87"/>
        <v>-57756.32297510971</v>
      </c>
      <c r="S379" s="198">
        <f t="shared" si="93"/>
        <v>0</v>
      </c>
      <c r="T379" s="207"/>
      <c r="U379" s="317">
        <f>IF(D379=0,0,SUM($L$21:L379))</f>
        <v>648796.60406433058</v>
      </c>
      <c r="V379" s="317">
        <f>IF(D379=0,0,SUM($J$21:J379))</f>
        <v>696982.88925140502</v>
      </c>
      <c r="W379" s="331">
        <f t="shared" si="88"/>
        <v>48186.285187074449</v>
      </c>
      <c r="X379" s="200">
        <f t="shared" si="94"/>
        <v>1.0742702487732143</v>
      </c>
      <c r="Y379" s="201">
        <f t="shared" si="97"/>
        <v>46016</v>
      </c>
      <c r="Z379" s="202">
        <f t="shared" si="97"/>
        <v>46016</v>
      </c>
      <c r="AA379" s="18"/>
      <c r="AB379" s="244"/>
      <c r="AC379" s="247"/>
      <c r="AD379" s="142"/>
      <c r="AE379" s="18"/>
      <c r="AF379" s="18"/>
      <c r="AG379" s="203"/>
      <c r="AH379" s="203"/>
      <c r="AI379" s="18"/>
      <c r="AJ379" s="18"/>
      <c r="AK379" s="18"/>
      <c r="AL379" s="18"/>
      <c r="AM379" s="18"/>
      <c r="AN379" s="18"/>
    </row>
    <row r="380" spans="1:40" ht="20">
      <c r="A380" s="18"/>
      <c r="B380" s="151"/>
      <c r="C380" s="55">
        <v>360</v>
      </c>
      <c r="D380" s="54">
        <v>1</v>
      </c>
      <c r="E380" s="190">
        <f t="shared" si="89"/>
        <v>12</v>
      </c>
      <c r="F380" s="191">
        <f t="shared" si="90"/>
        <v>46017</v>
      </c>
      <c r="G380" s="192" t="str">
        <f t="shared" si="91"/>
        <v>Fri</v>
      </c>
      <c r="H380" s="193"/>
      <c r="I380" s="194"/>
      <c r="J380" s="307">
        <f>335600/B13</f>
        <v>3041.5080659778864</v>
      </c>
      <c r="K380" s="215"/>
      <c r="L380" s="317">
        <f t="shared" si="92"/>
        <v>3336.3553820927227</v>
      </c>
      <c r="M380" s="318">
        <f t="shared" si="86"/>
        <v>-294.8473161148363</v>
      </c>
      <c r="N380" s="41">
        <f t="shared" si="72"/>
        <v>0.91162592639340057</v>
      </c>
      <c r="O380" s="56"/>
      <c r="P380" s="329">
        <f>IF(D380=0,0,SUM($L$355:L380))</f>
        <v>61092.678357202429</v>
      </c>
      <c r="Q380" s="317">
        <f>IF(D380=0,0,SUM($I$355:I380))</f>
        <v>0</v>
      </c>
      <c r="R380" s="321">
        <f t="shared" si="87"/>
        <v>-61092.678357202429</v>
      </c>
      <c r="S380" s="198">
        <f t="shared" si="93"/>
        <v>0</v>
      </c>
      <c r="T380" s="207"/>
      <c r="U380" s="317">
        <f>IF(D380=0,0,SUM($L$21:L380))</f>
        <v>652132.95944642334</v>
      </c>
      <c r="V380" s="317">
        <f>IF(D380=0,0,SUM($J$21:J380))</f>
        <v>700024.39731738286</v>
      </c>
      <c r="W380" s="331">
        <f t="shared" si="88"/>
        <v>47891.437870959518</v>
      </c>
      <c r="X380" s="200">
        <f t="shared" si="94"/>
        <v>1.0734381496552685</v>
      </c>
      <c r="Y380" s="201">
        <f t="shared" si="97"/>
        <v>46017</v>
      </c>
      <c r="Z380" s="202">
        <f t="shared" si="97"/>
        <v>46017</v>
      </c>
      <c r="AA380" s="18"/>
      <c r="AB380" s="244"/>
      <c r="AC380" s="247"/>
      <c r="AD380" s="142"/>
      <c r="AE380" s="18"/>
      <c r="AF380" s="18"/>
      <c r="AG380" s="203"/>
      <c r="AH380" s="203"/>
      <c r="AI380" s="18"/>
      <c r="AJ380" s="18"/>
      <c r="AK380" s="18"/>
      <c r="AL380" s="18"/>
      <c r="AM380" s="18"/>
      <c r="AN380" s="18"/>
    </row>
    <row r="381" spans="1:40" ht="20">
      <c r="A381" s="18"/>
      <c r="B381" s="151"/>
      <c r="C381" s="55">
        <v>361</v>
      </c>
      <c r="D381" s="54">
        <v>1</v>
      </c>
      <c r="E381" s="190">
        <f t="shared" si="89"/>
        <v>12</v>
      </c>
      <c r="F381" s="191">
        <f t="shared" si="90"/>
        <v>46018</v>
      </c>
      <c r="G381" s="192" t="str">
        <f t="shared" si="91"/>
        <v>Sat</v>
      </c>
      <c r="H381" s="193"/>
      <c r="I381" s="194"/>
      <c r="J381" s="307">
        <f>190890/B13</f>
        <v>1730.0163132137031</v>
      </c>
      <c r="K381" s="215"/>
      <c r="L381" s="317">
        <f t="shared" si="92"/>
        <v>1878.6081051117633</v>
      </c>
      <c r="M381" s="318">
        <f t="shared" si="86"/>
        <v>-148.59179189806014</v>
      </c>
      <c r="N381" s="41">
        <f t="shared" si="72"/>
        <v>0.92090325199080303</v>
      </c>
      <c r="O381" s="56"/>
      <c r="P381" s="329">
        <f>IF(D381=0,0,SUM($L$355:L381))</f>
        <v>62971.286462314194</v>
      </c>
      <c r="Q381" s="317">
        <f>IF(D381=0,0,SUM($I$355:I381))</f>
        <v>0</v>
      </c>
      <c r="R381" s="321">
        <f t="shared" si="87"/>
        <v>-62971.286462314194</v>
      </c>
      <c r="S381" s="198">
        <f t="shared" si="93"/>
        <v>0</v>
      </c>
      <c r="T381" s="207"/>
      <c r="U381" s="317">
        <f>IF(D381=0,0,SUM($L$21:L381))</f>
        <v>654011.56755153509</v>
      </c>
      <c r="V381" s="317">
        <f>IF(D381=0,0,SUM($J$21:J381))</f>
        <v>701754.41363059659</v>
      </c>
      <c r="W381" s="331">
        <f t="shared" si="88"/>
        <v>47742.846079061506</v>
      </c>
      <c r="X381" s="200">
        <f t="shared" si="94"/>
        <v>1.0730000025195265</v>
      </c>
      <c r="Y381" s="201">
        <f t="shared" si="97"/>
        <v>46018</v>
      </c>
      <c r="Z381" s="202">
        <f t="shared" si="97"/>
        <v>46018</v>
      </c>
      <c r="AA381" s="18"/>
      <c r="AB381" s="244"/>
      <c r="AC381" s="247"/>
      <c r="AD381" s="142"/>
      <c r="AE381" s="18"/>
      <c r="AF381" s="18"/>
      <c r="AG381" s="203"/>
      <c r="AH381" s="203"/>
      <c r="AI381" s="18"/>
      <c r="AJ381" s="18"/>
      <c r="AK381" s="18"/>
      <c r="AL381" s="18"/>
      <c r="AM381" s="18"/>
      <c r="AN381" s="18"/>
    </row>
    <row r="382" spans="1:40" ht="20">
      <c r="A382" s="18"/>
      <c r="B382" s="151"/>
      <c r="C382" s="55">
        <v>362</v>
      </c>
      <c r="D382" s="54">
        <v>0</v>
      </c>
      <c r="E382" s="190">
        <f t="shared" si="89"/>
        <v>12</v>
      </c>
      <c r="F382" s="191">
        <f t="shared" si="90"/>
        <v>46019</v>
      </c>
      <c r="G382" s="192" t="str">
        <f t="shared" si="91"/>
        <v>Sun</v>
      </c>
      <c r="H382" s="193"/>
      <c r="I382" s="194"/>
      <c r="J382" s="307"/>
      <c r="K382" s="215"/>
      <c r="L382" s="317">
        <f t="shared" si="92"/>
        <v>0</v>
      </c>
      <c r="M382" s="318">
        <f t="shared" si="86"/>
        <v>0</v>
      </c>
      <c r="N382" s="41" t="str">
        <f t="shared" si="72"/>
        <v>¥0</v>
      </c>
      <c r="O382" s="44"/>
      <c r="P382" s="329">
        <f>IF(D382=0,0,SUM($L$355:L382))</f>
        <v>0</v>
      </c>
      <c r="Q382" s="317">
        <f>IF(D382=0,0,SUM($I$355:I382))</f>
        <v>0</v>
      </c>
      <c r="R382" s="321">
        <f t="shared" si="87"/>
        <v>0</v>
      </c>
      <c r="S382" s="198">
        <f t="shared" si="93"/>
        <v>0</v>
      </c>
      <c r="T382" s="212"/>
      <c r="U382" s="317">
        <f>IF(D382=0,0,SUM($L$21:L382))</f>
        <v>0</v>
      </c>
      <c r="V382" s="317">
        <f>IF(D382=0,0,SUM($J$21:J382))</f>
        <v>0</v>
      </c>
      <c r="W382" s="331">
        <f t="shared" si="88"/>
        <v>0</v>
      </c>
      <c r="X382" s="200">
        <f t="shared" si="94"/>
        <v>0</v>
      </c>
      <c r="Y382" s="201">
        <f t="shared" si="97"/>
        <v>46019</v>
      </c>
      <c r="Z382" s="202">
        <f t="shared" si="97"/>
        <v>46019</v>
      </c>
      <c r="AA382" s="18"/>
      <c r="AB382" s="244"/>
      <c r="AC382" s="247"/>
      <c r="AD382" s="142"/>
      <c r="AE382" s="18"/>
      <c r="AF382" s="18"/>
      <c r="AG382" s="203"/>
      <c r="AH382" s="203"/>
      <c r="AI382" s="18"/>
      <c r="AJ382" s="18"/>
      <c r="AK382" s="18"/>
      <c r="AL382" s="18"/>
      <c r="AM382" s="18"/>
      <c r="AN382" s="18"/>
    </row>
    <row r="383" spans="1:40" ht="20">
      <c r="A383" s="18"/>
      <c r="B383" s="151"/>
      <c r="C383" s="55">
        <v>363</v>
      </c>
      <c r="D383" s="54">
        <v>0</v>
      </c>
      <c r="E383" s="190">
        <f t="shared" si="89"/>
        <v>12</v>
      </c>
      <c r="F383" s="191">
        <f t="shared" si="90"/>
        <v>46020</v>
      </c>
      <c r="G383" s="192" t="str">
        <f t="shared" si="91"/>
        <v>Mon</v>
      </c>
      <c r="H383" s="193"/>
      <c r="I383" s="194"/>
      <c r="J383" s="307"/>
      <c r="K383" s="215"/>
      <c r="L383" s="317">
        <f t="shared" si="92"/>
        <v>0</v>
      </c>
      <c r="M383" s="318">
        <f t="shared" si="86"/>
        <v>0</v>
      </c>
      <c r="N383" s="41" t="str">
        <f t="shared" si="72"/>
        <v>¥0</v>
      </c>
      <c r="O383" s="56"/>
      <c r="P383" s="329">
        <f>IF(D383=0,0,SUM($L$355:L383))</f>
        <v>0</v>
      </c>
      <c r="Q383" s="317">
        <f>IF(D383=0,0,SUM($I$355:I383))</f>
        <v>0</v>
      </c>
      <c r="R383" s="321">
        <f t="shared" si="87"/>
        <v>0</v>
      </c>
      <c r="S383" s="198">
        <f t="shared" si="93"/>
        <v>0</v>
      </c>
      <c r="T383" s="207"/>
      <c r="U383" s="317">
        <f>IF(D383=0,0,SUM($L$21:L383))</f>
        <v>0</v>
      </c>
      <c r="V383" s="317">
        <f>IF(D383=0,0,SUM($J$21:J383))</f>
        <v>0</v>
      </c>
      <c r="W383" s="331">
        <f t="shared" si="88"/>
        <v>0</v>
      </c>
      <c r="X383" s="200">
        <f t="shared" si="94"/>
        <v>0</v>
      </c>
      <c r="Y383" s="201">
        <f t="shared" si="97"/>
        <v>46020</v>
      </c>
      <c r="Z383" s="202">
        <f t="shared" si="97"/>
        <v>46020</v>
      </c>
      <c r="AA383" s="18"/>
      <c r="AB383" s="244"/>
      <c r="AC383" s="247"/>
      <c r="AD383" s="142"/>
      <c r="AE383" s="18"/>
      <c r="AF383" s="18"/>
      <c r="AG383" s="203"/>
      <c r="AH383" s="203"/>
      <c r="AI383" s="18"/>
      <c r="AJ383" s="18"/>
      <c r="AK383" s="18"/>
      <c r="AL383" s="18"/>
      <c r="AM383" s="18"/>
      <c r="AN383" s="18"/>
    </row>
    <row r="384" spans="1:40" ht="20">
      <c r="A384" s="18"/>
      <c r="B384" s="151"/>
      <c r="C384" s="55">
        <v>364</v>
      </c>
      <c r="D384" s="54">
        <v>0</v>
      </c>
      <c r="E384" s="190">
        <f t="shared" si="89"/>
        <v>12</v>
      </c>
      <c r="F384" s="191">
        <f t="shared" si="90"/>
        <v>46021</v>
      </c>
      <c r="G384" s="192" t="str">
        <f t="shared" si="91"/>
        <v>Tue</v>
      </c>
      <c r="H384" s="193"/>
      <c r="I384" s="194"/>
      <c r="J384" s="307"/>
      <c r="K384" s="215"/>
      <c r="L384" s="317">
        <f t="shared" si="92"/>
        <v>0</v>
      </c>
      <c r="M384" s="318">
        <f t="shared" si="86"/>
        <v>0</v>
      </c>
      <c r="N384" s="41" t="str">
        <f t="shared" si="72"/>
        <v>¥0</v>
      </c>
      <c r="O384" s="44"/>
      <c r="P384" s="329">
        <f>IF(D384=0,0,SUM($L$355:L384))</f>
        <v>0</v>
      </c>
      <c r="Q384" s="317">
        <f>IF(D384=0,0,SUM($I$355:I384))</f>
        <v>0</v>
      </c>
      <c r="R384" s="321">
        <f t="shared" si="87"/>
        <v>0</v>
      </c>
      <c r="S384" s="198">
        <f t="shared" si="93"/>
        <v>0</v>
      </c>
      <c r="T384" s="212"/>
      <c r="U384" s="317">
        <f>IF(D384=0,0,SUM($L$21:L384))</f>
        <v>0</v>
      </c>
      <c r="V384" s="317">
        <f>IF(D384=0,0,SUM($J$21:J384))</f>
        <v>0</v>
      </c>
      <c r="W384" s="331">
        <f t="shared" si="88"/>
        <v>0</v>
      </c>
      <c r="X384" s="200">
        <f t="shared" si="94"/>
        <v>0</v>
      </c>
      <c r="Y384" s="201">
        <f t="shared" si="97"/>
        <v>46021</v>
      </c>
      <c r="Z384" s="202">
        <f t="shared" si="97"/>
        <v>46021</v>
      </c>
      <c r="AA384" s="18"/>
      <c r="AB384" s="244"/>
      <c r="AC384" s="247"/>
      <c r="AD384" s="142"/>
      <c r="AE384" s="18"/>
      <c r="AF384" s="18"/>
      <c r="AG384" s="203"/>
      <c r="AH384" s="203"/>
      <c r="AI384" s="18"/>
      <c r="AJ384" s="18"/>
      <c r="AK384" s="18"/>
      <c r="AL384" s="18"/>
      <c r="AM384" s="18"/>
      <c r="AN384" s="18"/>
    </row>
    <row r="385" spans="1:40" ht="21" thickBot="1">
      <c r="A385" s="18"/>
      <c r="B385" s="151"/>
      <c r="C385" s="216">
        <v>365</v>
      </c>
      <c r="D385" s="38">
        <v>0</v>
      </c>
      <c r="E385" s="217">
        <f t="shared" si="89"/>
        <v>12</v>
      </c>
      <c r="F385" s="218">
        <f t="shared" si="90"/>
        <v>46022</v>
      </c>
      <c r="G385" s="219" t="str">
        <f t="shared" si="91"/>
        <v>Wed</v>
      </c>
      <c r="H385" s="220" t="s">
        <v>44</v>
      </c>
      <c r="I385" s="221"/>
      <c r="J385" s="312"/>
      <c r="K385" s="223"/>
      <c r="L385" s="319">
        <f t="shared" si="92"/>
        <v>0</v>
      </c>
      <c r="M385" s="320">
        <f t="shared" si="86"/>
        <v>0</v>
      </c>
      <c r="N385" s="24" t="str">
        <f t="shared" si="72"/>
        <v>¥0</v>
      </c>
      <c r="O385" s="27"/>
      <c r="P385" s="330">
        <f>IF(D385=0,0,SUM($L$355:L385))</f>
        <v>0</v>
      </c>
      <c r="Q385" s="323">
        <f>IF(D385=0,0,SUM($I$355:I385))</f>
        <v>0</v>
      </c>
      <c r="R385" s="320">
        <f t="shared" si="87"/>
        <v>0</v>
      </c>
      <c r="S385" s="228">
        <f t="shared" si="93"/>
        <v>0</v>
      </c>
      <c r="T385" s="240"/>
      <c r="U385" s="332">
        <f>IF(D385=0,0,SUM($L$21:L385))</f>
        <v>0</v>
      </c>
      <c r="V385" s="332">
        <f>IF(D385=0,0,SUM($J$21:J385))</f>
        <v>0</v>
      </c>
      <c r="W385" s="333">
        <f t="shared" si="88"/>
        <v>0</v>
      </c>
      <c r="X385" s="230">
        <f t="shared" si="94"/>
        <v>0</v>
      </c>
      <c r="Y385" s="201">
        <f t="shared" si="97"/>
        <v>46022</v>
      </c>
      <c r="Z385" s="202">
        <f t="shared" si="97"/>
        <v>46022</v>
      </c>
      <c r="AA385" s="18"/>
      <c r="AB385" s="244"/>
      <c r="AC385" s="247"/>
      <c r="AD385" s="142"/>
      <c r="AE385" s="18"/>
      <c r="AF385" s="18"/>
      <c r="AG385" s="203"/>
      <c r="AH385" s="203"/>
      <c r="AI385" s="18"/>
      <c r="AJ385" s="18"/>
      <c r="AK385" s="18"/>
      <c r="AL385" s="18"/>
      <c r="AM385" s="18"/>
      <c r="AN385" s="18"/>
    </row>
    <row r="386" spans="1:40" ht="18" thickTop="1">
      <c r="A386" s="18"/>
      <c r="B386" s="18"/>
      <c r="C386" s="18"/>
      <c r="D386" s="142"/>
      <c r="E386" s="18"/>
      <c r="F386" s="18"/>
      <c r="G386" s="18"/>
      <c r="H386" s="18"/>
      <c r="I386" s="143"/>
      <c r="J386" s="18"/>
      <c r="K386" s="18"/>
      <c r="L386" s="18"/>
      <c r="M386" s="18"/>
      <c r="N386" s="18"/>
      <c r="O386" s="18"/>
      <c r="P386" s="18"/>
      <c r="Q386" s="18"/>
      <c r="R386" s="18"/>
      <c r="S386" s="18"/>
      <c r="T386" s="18"/>
      <c r="U386" s="18"/>
      <c r="V386" s="18"/>
      <c r="W386" s="18"/>
      <c r="X386" s="18"/>
      <c r="Y386" s="18"/>
      <c r="Z386" s="18"/>
      <c r="AA386" s="18"/>
      <c r="AB386" s="142"/>
      <c r="AC386" s="247"/>
      <c r="AD386" s="142"/>
      <c r="AE386" s="18"/>
      <c r="AF386" s="18"/>
      <c r="AG386" s="18"/>
      <c r="AH386" s="18"/>
      <c r="AI386" s="18"/>
      <c r="AJ386" s="18"/>
      <c r="AK386" s="18"/>
      <c r="AL386" s="18"/>
      <c r="AM386" s="18"/>
      <c r="AN386" s="18"/>
    </row>
  </sheetData>
  <sheetProtection selectLockedCells="1"/>
  <autoFilter ref="P20:S385" xr:uid="{3661BEC4-1201-1A47-BF2A-D98A189AE0FA}"/>
  <mergeCells count="50">
    <mergeCell ref="B2:D3"/>
    <mergeCell ref="E2:F2"/>
    <mergeCell ref="H2:J2"/>
    <mergeCell ref="K2:L2"/>
    <mergeCell ref="E3:F3"/>
    <mergeCell ref="I3:J3"/>
    <mergeCell ref="K3:L3"/>
    <mergeCell ref="B6:C6"/>
    <mergeCell ref="I6:J6"/>
    <mergeCell ref="K6:L6"/>
    <mergeCell ref="N6:O6"/>
    <mergeCell ref="B7:C7"/>
    <mergeCell ref="I7:J7"/>
    <mergeCell ref="K7:L7"/>
    <mergeCell ref="N7:O7"/>
    <mergeCell ref="B8:C8"/>
    <mergeCell ref="I8:J8"/>
    <mergeCell ref="K8:L8"/>
    <mergeCell ref="N8:O8"/>
    <mergeCell ref="I9:J9"/>
    <mergeCell ref="K9:L9"/>
    <mergeCell ref="N9:O9"/>
    <mergeCell ref="I10:J10"/>
    <mergeCell ref="K10:L10"/>
    <mergeCell ref="N10:O10"/>
    <mergeCell ref="I11:J11"/>
    <mergeCell ref="K11:L11"/>
    <mergeCell ref="N11:O11"/>
    <mergeCell ref="I12:J12"/>
    <mergeCell ref="K12:L12"/>
    <mergeCell ref="N12:O12"/>
    <mergeCell ref="I13:J13"/>
    <mergeCell ref="K13:L13"/>
    <mergeCell ref="N13:O13"/>
    <mergeCell ref="I18:J18"/>
    <mergeCell ref="K18:L18"/>
    <mergeCell ref="N18:O18"/>
    <mergeCell ref="B14:C14"/>
    <mergeCell ref="I16:J16"/>
    <mergeCell ref="K16:L16"/>
    <mergeCell ref="N16:O16"/>
    <mergeCell ref="I17:J17"/>
    <mergeCell ref="K17:L17"/>
    <mergeCell ref="N17:O17"/>
    <mergeCell ref="I14:J14"/>
    <mergeCell ref="K14:L14"/>
    <mergeCell ref="N14:O14"/>
    <mergeCell ref="I15:J15"/>
    <mergeCell ref="K15:L15"/>
    <mergeCell ref="N15:O15"/>
  </mergeCells>
  <phoneticPr fontId="2"/>
  <conditionalFormatting sqref="D21:X385">
    <cfRule type="expression" dxfId="11" priority="2">
      <formula>$D21=0</formula>
    </cfRule>
  </conditionalFormatting>
  <conditionalFormatting sqref="E21:X385">
    <cfRule type="expression" dxfId="10" priority="3">
      <formula>WEEKDAY($G21)=1</formula>
    </cfRule>
    <cfRule type="expression" dxfId="9" priority="4">
      <formula>WEEKDAY($G21)=7</formula>
    </cfRule>
  </conditionalFormatting>
  <conditionalFormatting sqref="F21:X385">
    <cfRule type="expression" dxfId="8" priority="1">
      <formula>$F21=TODAY()</formula>
    </cfRule>
  </conditionalFormatting>
  <conditionalFormatting sqref="N7:P18">
    <cfRule type="cellIs" dxfId="7" priority="5" operator="lessThan">
      <formula>0</formula>
    </cfRule>
    <cfRule type="cellIs" dxfId="6" priority="6" operator="greaterThan">
      <formula>"¥0"</formula>
    </cfRule>
  </conditionalFormatting>
  <dataValidations count="1">
    <dataValidation type="list" allowBlank="1" showErrorMessage="1" sqref="B2:D3" xr:uid="{8A78FFE7-EFE1-2F46-9DDC-5D38D847B635}">
      <formula1>"2025/1/1,2026/1/1,2027/1/1,2029/1/1,2030/1/1,2031/1/1,2033/1/1,2034/1/1,2035/1/1,2037/1/1,2038/1/1,2039/1/1,2041/1/1,2042/1/1,2043/1/1,2045/1/1"</formula1>
    </dataValidation>
  </dataValidations>
  <hyperlinks>
    <hyperlink ref="P2" location="目標_2025R7!E21" display="1月" xr:uid="{4B9E238C-F05C-F342-AE60-FEA63F16A0A6}"/>
    <hyperlink ref="Q2" location="目標_2025R7!E52" display="2月" xr:uid="{A0AF3C4B-AB11-6C45-BBE2-0717C4A5339B}"/>
    <hyperlink ref="R2" location="目標_2025R7!E80" display="3月" xr:uid="{8E33C024-5BA0-9749-8AC6-AF45BDE139F2}"/>
    <hyperlink ref="S2" location="目標_2025R7!E111" display="4月" xr:uid="{5E517083-45CA-E64C-9E44-DF3450D1E4BB}"/>
    <hyperlink ref="P3" location="目標_2025R7!E141" display="5月" xr:uid="{0D135F02-9E09-AD49-87AC-DBC97C8EF919}"/>
    <hyperlink ref="Q3" location="目標_2025R7!E172" display="6月" xr:uid="{1B120274-0861-6C43-ADD7-3DCE9C80CE09}"/>
    <hyperlink ref="R3" location="目標_2025R7!E202" display="7月" xr:uid="{DF25EFDD-21C8-B844-91BE-F42A70327FE8}"/>
    <hyperlink ref="S3" location="目標_2025R7!E233" display="8月" xr:uid="{173C0C29-9D4F-5742-B5E8-5E9650D68B36}"/>
    <hyperlink ref="P4" location="目標_2025R7!E264" display="9月" xr:uid="{C1F762FD-4B03-DC4D-894D-3CCFD89679B7}"/>
    <hyperlink ref="Q4" location="目標_2025R7!E294" display="10月" xr:uid="{06C3D489-547F-F94C-97C2-A85BF29AB0AC}"/>
    <hyperlink ref="R4" location="目標_2025R7!E325" display="11月" xr:uid="{B21035AA-8580-FF45-BEBB-7487ACC5B059}"/>
    <hyperlink ref="S4" location="目標_2025R7!E355" display="12月" xr:uid="{329E5FFF-DE20-2E42-8300-BC0CC2EE6C4D}"/>
  </hyperlinks>
  <pageMargins left="0.70866141732283472" right="0.70866141732283472" top="0.74803149606299213" bottom="0.74803149606299213" header="0.31496062992125984" footer="0.31496062992125984"/>
  <pageSetup paperSize="9" scale="59" orientation="landscape" copies="3" r:id="rId1"/>
  <rowBreaks count="1" manualBreakCount="1">
    <brk id="18" max="19" man="1"/>
  </rowBreaks>
  <colBreaks count="2" manualBreakCount="2">
    <brk id="19" max="385" man="1"/>
    <brk id="20" max="104857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33535-BAED-5747-8168-FB38433DED79}">
  <dimension ref="B1:F13"/>
  <sheetViews>
    <sheetView workbookViewId="0">
      <selection sqref="A1:XFD1"/>
    </sheetView>
  </sheetViews>
  <sheetFormatPr baseColWidth="10" defaultRowHeight="20"/>
  <cols>
    <col min="3" max="5" width="13.140625" customWidth="1"/>
    <col min="6" max="6" width="11.28515625" bestFit="1" customWidth="1"/>
  </cols>
  <sheetData>
    <row r="1" spans="2:6" s="354" customFormat="1">
      <c r="C1" s="354">
        <v>2023</v>
      </c>
      <c r="D1" s="354">
        <v>2024</v>
      </c>
      <c r="E1" s="354">
        <v>2025</v>
      </c>
      <c r="F1" s="354" t="s">
        <v>236</v>
      </c>
    </row>
    <row r="2" spans="2:6">
      <c r="B2" t="s">
        <v>223</v>
      </c>
      <c r="C2" s="352">
        <v>42300</v>
      </c>
      <c r="D2" s="353">
        <v>45154.739894870392</v>
      </c>
      <c r="E2" s="353">
        <v>50872.303788290737</v>
      </c>
      <c r="F2" s="352">
        <f>AVERAGE(C2:E2)</f>
        <v>46109.014561053715</v>
      </c>
    </row>
    <row r="3" spans="2:6">
      <c r="B3" t="s">
        <v>235</v>
      </c>
      <c r="C3" s="352">
        <v>42900</v>
      </c>
      <c r="D3" s="353">
        <v>45331.067609207887</v>
      </c>
      <c r="E3" s="353">
        <v>49880.73228203733</v>
      </c>
      <c r="F3" s="352">
        <f t="shared" ref="F3:F13" si="0">AVERAGE(C3:E3)</f>
        <v>46037.26663041507</v>
      </c>
    </row>
    <row r="4" spans="2:6">
      <c r="B4" t="s">
        <v>225</v>
      </c>
      <c r="C4" s="352">
        <v>54200</v>
      </c>
      <c r="D4" s="353">
        <v>58551.821642196854</v>
      </c>
      <c r="E4" s="353">
        <v>55683.251767264817</v>
      </c>
      <c r="F4" s="352">
        <f t="shared" si="0"/>
        <v>56145.024469820557</v>
      </c>
    </row>
    <row r="5" spans="2:6">
      <c r="B5" t="s">
        <v>226</v>
      </c>
      <c r="C5" s="352">
        <v>56800</v>
      </c>
      <c r="D5" s="353">
        <v>60509.85136849738</v>
      </c>
      <c r="E5" s="353">
        <v>61294.906652166028</v>
      </c>
      <c r="F5" s="352">
        <f t="shared" si="0"/>
        <v>59534.919340221131</v>
      </c>
    </row>
    <row r="6" spans="2:6">
      <c r="B6" t="s">
        <v>227</v>
      </c>
      <c r="C6" s="352">
        <v>52100</v>
      </c>
      <c r="D6" s="353">
        <v>55872.847562080831</v>
      </c>
      <c r="E6" s="353">
        <v>65317.029182526734</v>
      </c>
      <c r="F6" s="352">
        <f t="shared" si="0"/>
        <v>57763.292248202524</v>
      </c>
    </row>
    <row r="7" spans="2:6">
      <c r="B7" t="s">
        <v>228</v>
      </c>
      <c r="C7" s="352">
        <v>50900</v>
      </c>
      <c r="D7" s="353">
        <v>53543.139387348194</v>
      </c>
      <c r="E7" s="353">
        <v>55311.582381729211</v>
      </c>
      <c r="F7" s="352">
        <f t="shared" si="0"/>
        <v>53251.573923025804</v>
      </c>
    </row>
    <row r="8" spans="2:6">
      <c r="B8" t="s">
        <v>229</v>
      </c>
      <c r="C8" s="352">
        <v>55300</v>
      </c>
      <c r="D8" s="353">
        <v>59109.887620083384</v>
      </c>
      <c r="E8" s="353">
        <v>59645.822004712703</v>
      </c>
      <c r="F8" s="352">
        <f t="shared" si="0"/>
        <v>58018.569874932029</v>
      </c>
    </row>
    <row r="9" spans="2:6">
      <c r="B9" t="s">
        <v>230</v>
      </c>
      <c r="C9" s="352">
        <v>38600</v>
      </c>
      <c r="D9" s="353">
        <v>40891.807141562436</v>
      </c>
      <c r="E9" s="353">
        <v>44020.754032988938</v>
      </c>
      <c r="F9" s="352">
        <f t="shared" si="0"/>
        <v>41170.853724850458</v>
      </c>
    </row>
    <row r="10" spans="2:6">
      <c r="B10" t="s">
        <v>231</v>
      </c>
      <c r="C10" s="352">
        <v>47400</v>
      </c>
      <c r="D10" s="353">
        <v>49166.893239079196</v>
      </c>
      <c r="E10" s="353">
        <v>56435.254667391695</v>
      </c>
      <c r="F10" s="352">
        <f t="shared" si="0"/>
        <v>51000.715968823621</v>
      </c>
    </row>
    <row r="11" spans="2:6">
      <c r="B11" t="s">
        <v>232</v>
      </c>
      <c r="C11" s="352">
        <v>48900</v>
      </c>
      <c r="D11" s="353">
        <v>50349.193402211342</v>
      </c>
      <c r="E11" s="353">
        <v>70728.4756208084</v>
      </c>
      <c r="F11" s="352">
        <f t="shared" si="0"/>
        <v>56659.223007673245</v>
      </c>
    </row>
    <row r="12" spans="2:6">
      <c r="B12" t="s">
        <v>233</v>
      </c>
      <c r="C12" s="352">
        <v>53200</v>
      </c>
      <c r="D12" s="353">
        <v>55393.782852999808</v>
      </c>
      <c r="E12" s="353">
        <v>62272.340039876755</v>
      </c>
      <c r="F12" s="352">
        <f t="shared" si="0"/>
        <v>56955.374297625523</v>
      </c>
    </row>
    <row r="13" spans="2:6">
      <c r="B13" t="s">
        <v>234</v>
      </c>
      <c r="C13" s="352">
        <v>67800</v>
      </c>
      <c r="D13" s="353">
        <v>71591.897770527474</v>
      </c>
      <c r="E13" s="353">
        <v>70291.961210802969</v>
      </c>
      <c r="F13" s="352">
        <f t="shared" si="0"/>
        <v>69894.619660443466</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60601-775C-3849-838E-42921F583121}">
  <dimension ref="A1:AN386"/>
  <sheetViews>
    <sheetView zoomScale="85" zoomScaleNormal="60" workbookViewId="0">
      <pane xSplit="6" ySplit="20" topLeftCell="G100" activePane="bottomRight" state="frozen"/>
      <selection pane="topRight" activeCell="G1" sqref="G1"/>
      <selection pane="bottomLeft" activeCell="A20" sqref="A20"/>
      <selection pane="bottomRight" activeCell="J21" sqref="J21:J385"/>
    </sheetView>
  </sheetViews>
  <sheetFormatPr baseColWidth="10" defaultColWidth="9.5703125" defaultRowHeight="17" outlineLevelRow="1" outlineLevelCol="3"/>
  <cols>
    <col min="1" max="1" width="2.28515625" style="14" customWidth="1"/>
    <col min="2" max="2" width="10" style="14" customWidth="1"/>
    <col min="3" max="3" width="4.28515625" style="14" customWidth="1"/>
    <col min="4" max="4" width="5.5703125" style="242" customWidth="1"/>
    <col min="5" max="5" width="6.28515625" style="14" customWidth="1"/>
    <col min="6" max="6" width="9.5703125" style="14"/>
    <col min="7" max="7" width="18" style="14" customWidth="1"/>
    <col min="8" max="8" width="13.28515625" style="14" customWidth="1"/>
    <col min="9" max="9" width="1.140625" style="154" customWidth="1"/>
    <col min="10" max="10" width="14.7109375" style="14" customWidth="1"/>
    <col min="11" max="11" width="1" style="14" customWidth="1"/>
    <col min="12" max="12" width="16.7109375" style="14" customWidth="1"/>
    <col min="13" max="13" width="15" style="14" customWidth="1"/>
    <col min="14" max="14" width="12" style="14" customWidth="1"/>
    <col min="15" max="15" width="1.28515625" style="14" customWidth="1"/>
    <col min="16" max="16" width="15" style="14" customWidth="1"/>
    <col min="17" max="18" width="13.28515625" style="14" customWidth="1"/>
    <col min="19" max="19" width="12.140625" style="14" customWidth="1"/>
    <col min="20" max="20" width="1.28515625" style="14" customWidth="1"/>
    <col min="21" max="21" width="13.7109375" style="14" customWidth="1"/>
    <col min="22" max="22" width="14.28515625" style="14" customWidth="1"/>
    <col min="23" max="23" width="14.140625" style="14" customWidth="1"/>
    <col min="24" max="24" width="10.140625" style="14" customWidth="1"/>
    <col min="25" max="25" width="3.28515625" style="14" customWidth="1" outlineLevel="1"/>
    <col min="26" max="26" width="4.85546875" style="14" customWidth="1" outlineLevel="1"/>
    <col min="27" max="27" width="9.7109375" style="14" customWidth="1" outlineLevel="1"/>
    <col min="28" max="28" width="9.7109375" style="242" customWidth="1" outlineLevel="1"/>
    <col min="29" max="29" width="13.140625" style="248" customWidth="1" outlineLevel="1"/>
    <col min="30" max="30" width="8.7109375" style="242" customWidth="1" outlineLevel="1"/>
    <col min="31" max="31" width="13.140625" style="14" customWidth="1" outlineLevel="1"/>
    <col min="32" max="32" width="13.140625" style="14" customWidth="1" outlineLevel="3"/>
    <col min="33" max="33" width="13.28515625" style="14" customWidth="1" outlineLevel="3"/>
    <col min="34" max="34" width="12" style="14" customWidth="1" outlineLevel="2"/>
    <col min="35" max="35" width="8.7109375" style="14" bestFit="1" customWidth="1"/>
    <col min="36" max="36" width="9.5703125" style="14" collapsed="1"/>
    <col min="37" max="38" width="9.5703125" style="14" hidden="1" customWidth="1" outlineLevel="1"/>
    <col min="39" max="39" width="9.5703125" style="14" collapsed="1"/>
    <col min="40" max="16384" width="9.5703125" style="14"/>
  </cols>
  <sheetData>
    <row r="1" spans="1:40" ht="10.5" customHeight="1">
      <c r="A1" s="18"/>
      <c r="B1" s="18"/>
      <c r="C1" s="18"/>
      <c r="D1" s="142"/>
      <c r="E1" s="18"/>
      <c r="F1" s="18"/>
      <c r="G1" s="18"/>
      <c r="H1" s="18"/>
      <c r="I1" s="143"/>
      <c r="J1" s="18"/>
      <c r="K1" s="18"/>
      <c r="L1" s="18"/>
      <c r="M1" s="18"/>
      <c r="N1" s="18"/>
      <c r="O1" s="18"/>
      <c r="P1" s="18"/>
      <c r="Q1" s="18"/>
      <c r="R1" s="18"/>
      <c r="S1" s="18"/>
      <c r="T1" s="18"/>
      <c r="U1" s="18"/>
      <c r="V1" s="18"/>
      <c r="W1" s="18"/>
      <c r="X1" s="18"/>
      <c r="Y1" s="18"/>
      <c r="Z1" s="18"/>
      <c r="AA1" s="18"/>
      <c r="AB1" s="142"/>
      <c r="AC1" s="247"/>
      <c r="AD1" s="142"/>
      <c r="AE1" s="18"/>
      <c r="AF1" s="18"/>
      <c r="AG1" s="18"/>
      <c r="AH1" s="18"/>
      <c r="AI1" s="18"/>
      <c r="AJ1" s="18"/>
      <c r="AK1" s="18"/>
      <c r="AL1" s="18"/>
      <c r="AM1" s="18"/>
      <c r="AN1" s="18"/>
    </row>
    <row r="2" spans="1:40" ht="22">
      <c r="A2" s="18"/>
      <c r="B2" s="373">
        <v>46023</v>
      </c>
      <c r="C2" s="374"/>
      <c r="D2" s="375"/>
      <c r="E2" s="376" t="s">
        <v>140</v>
      </c>
      <c r="F2" s="377"/>
      <c r="G2" s="144" t="s">
        <v>141</v>
      </c>
      <c r="H2" s="378" t="s">
        <v>142</v>
      </c>
      <c r="I2" s="378"/>
      <c r="J2" s="378"/>
      <c r="K2" s="379" t="s">
        <v>91</v>
      </c>
      <c r="L2" s="379"/>
      <c r="M2" s="145" t="s">
        <v>143</v>
      </c>
      <c r="P2" s="146" t="s">
        <v>144</v>
      </c>
      <c r="Q2" s="146" t="s">
        <v>145</v>
      </c>
      <c r="R2" s="146" t="s">
        <v>146</v>
      </c>
      <c r="S2" s="146" t="s">
        <v>147</v>
      </c>
      <c r="T2" s="14" t="s">
        <v>148</v>
      </c>
      <c r="AJ2" s="18"/>
      <c r="AK2" s="18"/>
      <c r="AL2" s="18"/>
      <c r="AM2" s="18"/>
      <c r="AN2" s="18"/>
    </row>
    <row r="3" spans="1:40" ht="23">
      <c r="A3" s="18"/>
      <c r="B3" s="374"/>
      <c r="C3" s="374"/>
      <c r="D3" s="375"/>
      <c r="E3" s="380">
        <f>SUM(F7:F18)</f>
        <v>288</v>
      </c>
      <c r="F3" s="370"/>
      <c r="G3" s="305">
        <f>72000000/B13</f>
        <v>652528.54812398041</v>
      </c>
      <c r="H3" s="148">
        <f>SUM(AK7:AK18)*100</f>
        <v>0.99999600000000022</v>
      </c>
      <c r="I3" s="381">
        <f>G3*H3</f>
        <v>652525.93800978805</v>
      </c>
      <c r="J3" s="381"/>
      <c r="K3" s="382">
        <f>SUM(J21:J385)</f>
        <v>706065.42708528228</v>
      </c>
      <c r="L3" s="382"/>
      <c r="M3" s="338">
        <f>K3-G3</f>
        <v>53536.878961301874</v>
      </c>
      <c r="N3" s="340">
        <f>K3/G3</f>
        <v>1.082045267008195</v>
      </c>
      <c r="P3" s="146" t="s">
        <v>149</v>
      </c>
      <c r="Q3" s="146" t="s">
        <v>150</v>
      </c>
      <c r="R3" s="146" t="s">
        <v>151</v>
      </c>
      <c r="S3" s="146" t="s">
        <v>152</v>
      </c>
      <c r="AJ3" s="150"/>
      <c r="AK3" s="18"/>
      <c r="AL3" s="18"/>
      <c r="AM3" s="18"/>
      <c r="AN3" s="18"/>
    </row>
    <row r="4" spans="1:40" ht="21">
      <c r="A4" s="18"/>
      <c r="B4" s="151"/>
      <c r="C4" s="151"/>
      <c r="D4" s="152"/>
      <c r="E4" s="151"/>
      <c r="F4" s="151"/>
      <c r="G4" s="153"/>
      <c r="L4" s="151"/>
      <c r="N4" s="18"/>
      <c r="P4" s="155" t="s">
        <v>153</v>
      </c>
      <c r="Q4" s="146" t="s">
        <v>154</v>
      </c>
      <c r="R4" s="146" t="s">
        <v>155</v>
      </c>
      <c r="S4" s="146" t="s">
        <v>156</v>
      </c>
      <c r="AJ4" s="18"/>
      <c r="AK4" s="18"/>
      <c r="AL4" s="18"/>
      <c r="AM4" s="18"/>
    </row>
    <row r="5" spans="1:40" ht="8" customHeight="1">
      <c r="A5" s="18"/>
      <c r="B5" s="151"/>
      <c r="C5" s="151"/>
      <c r="D5" s="152"/>
      <c r="E5" s="151"/>
      <c r="F5" s="151"/>
      <c r="G5" s="153"/>
      <c r="L5" s="151"/>
      <c r="N5" s="18"/>
      <c r="P5" s="156"/>
      <c r="Q5" s="157"/>
      <c r="R5" s="157"/>
      <c r="S5" s="157"/>
      <c r="AJ5" s="18"/>
      <c r="AK5" s="18"/>
      <c r="AL5" s="18"/>
      <c r="AM5" s="18"/>
    </row>
    <row r="6" spans="1:40" ht="20" hidden="1" customHeight="1" outlineLevel="1">
      <c r="A6" s="18"/>
      <c r="B6" s="364" t="s">
        <v>87</v>
      </c>
      <c r="C6" s="365"/>
      <c r="D6" s="152"/>
      <c r="E6" s="158" t="s">
        <v>17</v>
      </c>
      <c r="F6" s="158" t="s">
        <v>86</v>
      </c>
      <c r="G6" s="159" t="s">
        <v>85</v>
      </c>
      <c r="H6" s="158" t="s">
        <v>84</v>
      </c>
      <c r="I6" s="366" t="s">
        <v>157</v>
      </c>
      <c r="J6" s="367"/>
      <c r="K6" s="368" t="s">
        <v>82</v>
      </c>
      <c r="L6" s="369"/>
      <c r="M6" s="160" t="s">
        <v>158</v>
      </c>
      <c r="N6" s="368" t="s">
        <v>159</v>
      </c>
      <c r="O6" s="370"/>
      <c r="P6" s="161" t="s">
        <v>160</v>
      </c>
      <c r="Q6" s="162" t="s">
        <v>52</v>
      </c>
      <c r="AJ6" s="18"/>
      <c r="AK6" s="18"/>
      <c r="AL6" s="18"/>
      <c r="AM6" s="18"/>
    </row>
    <row r="7" spans="1:40" ht="22" hidden="1" outlineLevel="1">
      <c r="A7" s="18"/>
      <c r="B7" s="371" t="s">
        <v>78</v>
      </c>
      <c r="C7" s="372"/>
      <c r="D7" s="152"/>
      <c r="E7" s="95" t="s">
        <v>223</v>
      </c>
      <c r="F7" s="94">
        <f>COUNTIF(D21:D51,1)</f>
        <v>23</v>
      </c>
      <c r="G7" s="339">
        <f>$B$8*F7</f>
        <v>52111.654884901218</v>
      </c>
      <c r="H7" s="163">
        <v>0.85</v>
      </c>
      <c r="I7" s="356">
        <f>G7*H7</f>
        <v>44294.906652166035</v>
      </c>
      <c r="J7" s="357"/>
      <c r="K7" s="358">
        <f>I7/F7</f>
        <v>1925.8655066159147</v>
      </c>
      <c r="L7" s="359"/>
      <c r="M7" s="306">
        <f>SUM(J21:J51)</f>
        <v>52603.201237901034</v>
      </c>
      <c r="N7" s="360">
        <f>M7-I7</f>
        <v>8308.2945857349987</v>
      </c>
      <c r="O7" s="361"/>
      <c r="P7" s="165">
        <f>M7/G7</f>
        <v>1.0094325607982608</v>
      </c>
      <c r="Q7" s="166">
        <f>M7/I7</f>
        <v>1.1875677185861893</v>
      </c>
      <c r="R7" s="286">
        <v>1</v>
      </c>
      <c r="AG7" s="167"/>
      <c r="AH7" s="167"/>
      <c r="AK7" s="168">
        <f t="shared" ref="AK7:AK18" si="0">(H7/100)*AL7</f>
        <v>7.0833050000000013E-4</v>
      </c>
      <c r="AL7" s="169">
        <v>8.3333000000000004E-2</v>
      </c>
      <c r="AM7" s="170"/>
    </row>
    <row r="8" spans="1:40" ht="23" hidden="1" outlineLevel="1">
      <c r="A8" s="18"/>
      <c r="B8" s="363">
        <f>G3/E3</f>
        <v>2265.7241254304877</v>
      </c>
      <c r="C8" s="361"/>
      <c r="D8" s="152"/>
      <c r="E8" s="95" t="s">
        <v>224</v>
      </c>
      <c r="F8" s="94">
        <f>COUNTIF(D52:D79,1)</f>
        <v>22</v>
      </c>
      <c r="G8" s="339">
        <f t="shared" ref="G8:G18" si="1">$B$8*F8</f>
        <v>49845.930759470728</v>
      </c>
      <c r="H8" s="163">
        <v>0.85</v>
      </c>
      <c r="I8" s="356">
        <f t="shared" ref="I8:I18" si="2">G8*H8</f>
        <v>42369.041145550116</v>
      </c>
      <c r="J8" s="357"/>
      <c r="K8" s="358">
        <f t="shared" ref="K8:K18" si="3">I8/F8</f>
        <v>1925.8655066159145</v>
      </c>
      <c r="L8" s="359"/>
      <c r="M8" s="306">
        <f>SUM(J52:J79)</f>
        <v>49880.73228203733</v>
      </c>
      <c r="N8" s="360">
        <f t="shared" ref="N8:N18" si="4">M8-I8</f>
        <v>7511.691136487214</v>
      </c>
      <c r="O8" s="361"/>
      <c r="P8" s="165">
        <f>M8/G8</f>
        <v>1.0006981818181817</v>
      </c>
      <c r="Q8" s="166">
        <f t="shared" ref="Q8:Q18" si="5">M8/I8</f>
        <v>1.1772919786096254</v>
      </c>
      <c r="R8" s="286">
        <v>2</v>
      </c>
      <c r="AG8" s="167"/>
      <c r="AH8" s="167"/>
      <c r="AJ8" s="18"/>
      <c r="AK8" s="168">
        <f t="shared" si="0"/>
        <v>7.0833050000000013E-4</v>
      </c>
      <c r="AL8" s="169">
        <v>8.3333000000000004E-2</v>
      </c>
    </row>
    <row r="9" spans="1:40" ht="22" hidden="1" outlineLevel="1">
      <c r="A9" s="18"/>
      <c r="D9" s="152"/>
      <c r="E9" s="95" t="s">
        <v>225</v>
      </c>
      <c r="F9" s="94">
        <f>COUNTIF(D80:D110,1)</f>
        <v>25</v>
      </c>
      <c r="G9" s="339">
        <f t="shared" si="1"/>
        <v>56643.103135762191</v>
      </c>
      <c r="H9" s="163">
        <v>1</v>
      </c>
      <c r="I9" s="356">
        <f t="shared" si="2"/>
        <v>56643.103135762191</v>
      </c>
      <c r="J9" s="357"/>
      <c r="K9" s="358">
        <f t="shared" si="3"/>
        <v>2265.7241254304877</v>
      </c>
      <c r="L9" s="359"/>
      <c r="M9" s="306">
        <f>SUM(J80:J110)</f>
        <v>55683.251767264817</v>
      </c>
      <c r="N9" s="360">
        <f t="shared" si="4"/>
        <v>-959.85136849737319</v>
      </c>
      <c r="O9" s="361"/>
      <c r="P9" s="165">
        <f>M9/G9</f>
        <v>0.98305439999999999</v>
      </c>
      <c r="Q9" s="166">
        <f t="shared" si="5"/>
        <v>0.98305439999999999</v>
      </c>
      <c r="R9" s="286">
        <v>3</v>
      </c>
      <c r="AG9" s="167"/>
      <c r="AH9" s="167"/>
      <c r="AJ9" s="18"/>
      <c r="AK9" s="168">
        <f t="shared" si="0"/>
        <v>8.3333000000000007E-4</v>
      </c>
      <c r="AL9" s="169">
        <v>8.3333000000000004E-2</v>
      </c>
      <c r="AM9" s="88"/>
    </row>
    <row r="10" spans="1:40" ht="22" hidden="1" outlineLevel="1">
      <c r="A10" s="18"/>
      <c r="B10" s="172"/>
      <c r="C10" s="151"/>
      <c r="D10" s="152"/>
      <c r="E10" s="95" t="s">
        <v>226</v>
      </c>
      <c r="F10" s="94">
        <f>COUNTIF(D111:D140,1)</f>
        <v>25</v>
      </c>
      <c r="G10" s="339">
        <f t="shared" si="1"/>
        <v>56643.103135762191</v>
      </c>
      <c r="H10" s="163">
        <v>1.1000000000000001</v>
      </c>
      <c r="I10" s="356">
        <f t="shared" si="2"/>
        <v>62307.413449338412</v>
      </c>
      <c r="J10" s="357"/>
      <c r="K10" s="358">
        <f t="shared" si="3"/>
        <v>2492.2965379735365</v>
      </c>
      <c r="L10" s="359"/>
      <c r="M10" s="306">
        <f>SUM(J111:J140)</f>
        <v>61294.906652166028</v>
      </c>
      <c r="N10" s="360">
        <f t="shared" si="4"/>
        <v>-1012.5067971723838</v>
      </c>
      <c r="O10" s="361"/>
      <c r="P10" s="165">
        <f t="shared" ref="P10:P18" si="6">M10/G10</f>
        <v>1.0821247999999999</v>
      </c>
      <c r="Q10" s="166">
        <f t="shared" si="5"/>
        <v>0.98374981818181806</v>
      </c>
      <c r="R10" s="286">
        <v>4</v>
      </c>
      <c r="AG10" s="167"/>
      <c r="AH10" s="167"/>
      <c r="AJ10" s="18"/>
      <c r="AK10" s="168">
        <f t="shared" si="0"/>
        <v>9.1666300000000018E-4</v>
      </c>
      <c r="AL10" s="169">
        <v>8.3333000000000004E-2</v>
      </c>
      <c r="AM10" s="88"/>
    </row>
    <row r="11" spans="1:40" ht="22" hidden="1" outlineLevel="1">
      <c r="A11" s="18"/>
      <c r="B11" s="172"/>
      <c r="C11" s="151"/>
      <c r="D11" s="152"/>
      <c r="E11" s="95" t="s">
        <v>227</v>
      </c>
      <c r="F11" s="94">
        <f>COUNTIF(D141:D171,1)</f>
        <v>23</v>
      </c>
      <c r="G11" s="339">
        <f t="shared" si="1"/>
        <v>52111.654884901218</v>
      </c>
      <c r="H11" s="163">
        <v>1</v>
      </c>
      <c r="I11" s="356">
        <f t="shared" si="2"/>
        <v>52111.654884901218</v>
      </c>
      <c r="J11" s="357"/>
      <c r="K11" s="358">
        <f t="shared" si="3"/>
        <v>2265.7241254304877</v>
      </c>
      <c r="L11" s="359"/>
      <c r="M11" s="306">
        <f>SUM(J141:J171)</f>
        <v>63102.963567156061</v>
      </c>
      <c r="N11" s="360">
        <f>M11-I11</f>
        <v>10991.308682254843</v>
      </c>
      <c r="O11" s="361"/>
      <c r="P11" s="165">
        <f t="shared" si="6"/>
        <v>1.2109184347826085</v>
      </c>
      <c r="Q11" s="166">
        <f t="shared" si="5"/>
        <v>1.2109184347826085</v>
      </c>
      <c r="R11" s="286">
        <v>5</v>
      </c>
      <c r="AG11" s="167"/>
      <c r="AH11" s="167"/>
      <c r="AJ11" s="18"/>
      <c r="AK11" s="168">
        <f t="shared" si="0"/>
        <v>8.3333000000000007E-4</v>
      </c>
      <c r="AL11" s="169">
        <v>8.3333000000000004E-2</v>
      </c>
    </row>
    <row r="12" spans="1:40" ht="22" hidden="1" outlineLevel="1">
      <c r="A12" s="18"/>
      <c r="B12" s="172"/>
      <c r="C12" s="151"/>
      <c r="D12" s="152"/>
      <c r="E12" s="95" t="s">
        <v>228</v>
      </c>
      <c r="F12" s="94">
        <f>COUNTIF(D172:D201,1)</f>
        <v>26</v>
      </c>
      <c r="G12" s="339">
        <f t="shared" si="1"/>
        <v>58908.82726119268</v>
      </c>
      <c r="H12" s="163">
        <v>0.85</v>
      </c>
      <c r="I12" s="356">
        <f t="shared" si="2"/>
        <v>50072.503172013778</v>
      </c>
      <c r="J12" s="357"/>
      <c r="K12" s="358">
        <f t="shared" si="3"/>
        <v>1925.8655066159145</v>
      </c>
      <c r="L12" s="359"/>
      <c r="M12" s="306">
        <f>SUM(J172:J201)</f>
        <v>57412.724306688426</v>
      </c>
      <c r="N12" s="360">
        <f t="shared" si="4"/>
        <v>7340.2211346746481</v>
      </c>
      <c r="O12" s="361"/>
      <c r="P12" s="165">
        <f t="shared" si="6"/>
        <v>0.97460307692307702</v>
      </c>
      <c r="Q12" s="166">
        <f>M12/I12</f>
        <v>1.1465918552036201</v>
      </c>
      <c r="R12" s="287">
        <v>6</v>
      </c>
      <c r="AG12" s="167"/>
      <c r="AH12" s="167"/>
      <c r="AJ12" s="18"/>
      <c r="AK12" s="168">
        <f t="shared" si="0"/>
        <v>7.0833050000000013E-4</v>
      </c>
      <c r="AL12" s="169">
        <v>8.3333000000000004E-2</v>
      </c>
    </row>
    <row r="13" spans="1:40" ht="22" hidden="1" outlineLevel="1">
      <c r="A13" s="18"/>
      <c r="B13" s="151">
        <v>110.34</v>
      </c>
      <c r="C13" s="151"/>
      <c r="D13" s="152"/>
      <c r="E13" s="95" t="s">
        <v>229</v>
      </c>
      <c r="F13" s="94">
        <f>COUNTIF(D202:D232,1)</f>
        <v>26</v>
      </c>
      <c r="G13" s="339">
        <f t="shared" si="1"/>
        <v>58908.82726119268</v>
      </c>
      <c r="H13" s="163">
        <v>1</v>
      </c>
      <c r="I13" s="356">
        <f t="shared" si="2"/>
        <v>58908.82726119268</v>
      </c>
      <c r="J13" s="357"/>
      <c r="K13" s="358">
        <f t="shared" si="3"/>
        <v>2265.7241254304877</v>
      </c>
      <c r="L13" s="359"/>
      <c r="M13" s="306">
        <f>SUM(J202:J232)</f>
        <v>59645.822004712703</v>
      </c>
      <c r="N13" s="360">
        <f t="shared" si="4"/>
        <v>736.99474352002289</v>
      </c>
      <c r="O13" s="361"/>
      <c r="P13" s="165">
        <f t="shared" si="6"/>
        <v>1.0125107692307691</v>
      </c>
      <c r="Q13" s="166">
        <f t="shared" si="5"/>
        <v>1.0125107692307691</v>
      </c>
      <c r="R13" s="286">
        <v>7</v>
      </c>
      <c r="AG13" s="167"/>
      <c r="AH13" s="167"/>
      <c r="AJ13" s="18"/>
      <c r="AK13" s="168">
        <f t="shared" si="0"/>
        <v>8.3333000000000007E-4</v>
      </c>
      <c r="AL13" s="169">
        <v>8.3333000000000004E-2</v>
      </c>
      <c r="AM13" s="18"/>
    </row>
    <row r="14" spans="1:40" ht="22" hidden="1" outlineLevel="1">
      <c r="A14" s="18"/>
      <c r="B14" s="362"/>
      <c r="C14" s="362"/>
      <c r="D14" s="152"/>
      <c r="E14" s="95" t="s">
        <v>230</v>
      </c>
      <c r="F14" s="94">
        <f>COUNTIF(D233:D263,1)</f>
        <v>21</v>
      </c>
      <c r="G14" s="339">
        <f t="shared" si="1"/>
        <v>47580.206634040238</v>
      </c>
      <c r="H14" s="163">
        <v>1</v>
      </c>
      <c r="I14" s="356">
        <f t="shared" si="2"/>
        <v>47580.206634040238</v>
      </c>
      <c r="J14" s="357"/>
      <c r="K14" s="358">
        <f t="shared" si="3"/>
        <v>2265.7241254304877</v>
      </c>
      <c r="L14" s="359"/>
      <c r="M14" s="306">
        <f>SUM(J233:J263)</f>
        <v>46713.793728475619</v>
      </c>
      <c r="N14" s="360">
        <f t="shared" si="4"/>
        <v>-866.412905564619</v>
      </c>
      <c r="O14" s="361"/>
      <c r="P14" s="165">
        <f t="shared" si="6"/>
        <v>0.98179047619047621</v>
      </c>
      <c r="Q14" s="166">
        <f t="shared" si="5"/>
        <v>0.98179047619047621</v>
      </c>
      <c r="R14" s="286">
        <v>8</v>
      </c>
      <c r="Y14" s="18"/>
      <c r="Z14" s="18"/>
      <c r="AA14" s="18"/>
      <c r="AB14" s="142"/>
      <c r="AC14" s="247"/>
      <c r="AD14" s="142"/>
      <c r="AE14" s="18"/>
      <c r="AF14" s="18"/>
      <c r="AG14" s="167"/>
      <c r="AH14" s="167"/>
      <c r="AI14" s="18"/>
      <c r="AJ14" s="18"/>
      <c r="AK14" s="168">
        <f t="shared" si="0"/>
        <v>8.3333000000000007E-4</v>
      </c>
      <c r="AL14" s="169">
        <v>8.3333000000000004E-2</v>
      </c>
      <c r="AM14" s="18"/>
    </row>
    <row r="15" spans="1:40" ht="22" hidden="1" outlineLevel="1">
      <c r="A15" s="18"/>
      <c r="B15" s="151"/>
      <c r="C15" s="151"/>
      <c r="D15" s="152"/>
      <c r="E15" s="95" t="s">
        <v>231</v>
      </c>
      <c r="F15" s="94">
        <f>COUNTIF(D264:D293,1)</f>
        <v>24</v>
      </c>
      <c r="G15" s="339">
        <f t="shared" si="1"/>
        <v>54377.379010331701</v>
      </c>
      <c r="H15" s="163">
        <v>1</v>
      </c>
      <c r="I15" s="356">
        <f t="shared" si="2"/>
        <v>54377.379010331701</v>
      </c>
      <c r="J15" s="357"/>
      <c r="K15" s="358">
        <f t="shared" si="3"/>
        <v>2265.7241254304877</v>
      </c>
      <c r="L15" s="359"/>
      <c r="M15" s="306">
        <f>SUM(J264:J293)</f>
        <v>56435.254667391695</v>
      </c>
      <c r="N15" s="360">
        <f t="shared" si="4"/>
        <v>2057.8756570599944</v>
      </c>
      <c r="O15" s="361"/>
      <c r="P15" s="165">
        <f t="shared" si="6"/>
        <v>1.0378443333333334</v>
      </c>
      <c r="Q15" s="166">
        <f t="shared" si="5"/>
        <v>1.0378443333333334</v>
      </c>
      <c r="R15" s="286">
        <v>9</v>
      </c>
      <c r="Y15" s="18"/>
      <c r="Z15" s="18"/>
      <c r="AA15" s="18"/>
      <c r="AB15" s="142"/>
      <c r="AC15" s="247"/>
      <c r="AD15" s="142"/>
      <c r="AE15" s="18"/>
      <c r="AF15" s="18"/>
      <c r="AG15" s="167"/>
      <c r="AH15" s="167"/>
      <c r="AI15" s="18"/>
      <c r="AJ15" s="18"/>
      <c r="AK15" s="168">
        <f t="shared" si="0"/>
        <v>8.3333000000000007E-4</v>
      </c>
      <c r="AL15" s="169">
        <v>8.3333000000000004E-2</v>
      </c>
      <c r="AM15" s="18"/>
    </row>
    <row r="16" spans="1:40" ht="22" hidden="1" outlineLevel="1">
      <c r="A16" s="18"/>
      <c r="B16" s="151"/>
      <c r="C16" s="151"/>
      <c r="D16" s="152"/>
      <c r="E16" s="95" t="s">
        <v>232</v>
      </c>
      <c r="F16" s="94">
        <f>COUNTIF(D294:D324,1)</f>
        <v>26</v>
      </c>
      <c r="G16" s="339">
        <f t="shared" si="1"/>
        <v>58908.82726119268</v>
      </c>
      <c r="H16" s="163">
        <v>1.1000000000000001</v>
      </c>
      <c r="I16" s="356">
        <f t="shared" si="2"/>
        <v>64799.709987311951</v>
      </c>
      <c r="J16" s="357"/>
      <c r="K16" s="358">
        <f t="shared" si="3"/>
        <v>2492.2965379735365</v>
      </c>
      <c r="L16" s="359"/>
      <c r="M16" s="306">
        <f>SUM(J294:J324)</f>
        <v>70728.4756208084</v>
      </c>
      <c r="N16" s="360">
        <f t="shared" si="4"/>
        <v>5928.7656334964486</v>
      </c>
      <c r="O16" s="361"/>
      <c r="P16" s="165">
        <f t="shared" si="6"/>
        <v>1.2006430769230767</v>
      </c>
      <c r="Q16" s="166">
        <f t="shared" si="5"/>
        <v>1.091493706293706</v>
      </c>
      <c r="R16" s="286">
        <v>10</v>
      </c>
      <c r="Y16" s="18"/>
      <c r="Z16" s="18"/>
      <c r="AA16" s="18"/>
      <c r="AB16" s="142"/>
      <c r="AC16" s="247"/>
      <c r="AD16" s="142"/>
      <c r="AE16" s="18"/>
      <c r="AF16" s="18"/>
      <c r="AG16" s="167"/>
      <c r="AH16" s="167"/>
      <c r="AI16" s="18"/>
      <c r="AJ16" s="18"/>
      <c r="AK16" s="168">
        <f t="shared" si="0"/>
        <v>9.1666300000000018E-4</v>
      </c>
      <c r="AL16" s="169">
        <v>8.3333000000000004E-2</v>
      </c>
      <c r="AM16" s="18"/>
      <c r="AN16" s="88"/>
    </row>
    <row r="17" spans="1:40" ht="22" hidden="1" outlineLevel="1">
      <c r="A17" s="18"/>
      <c r="B17" s="151"/>
      <c r="C17" s="151"/>
      <c r="D17" s="152"/>
      <c r="E17" s="95" t="s">
        <v>233</v>
      </c>
      <c r="F17" s="94">
        <f>COUNTIF(D325:D354,1)</f>
        <v>23</v>
      </c>
      <c r="G17" s="339">
        <f t="shared" si="1"/>
        <v>52111.654884901218</v>
      </c>
      <c r="H17" s="163">
        <v>1.1000000000000001</v>
      </c>
      <c r="I17" s="356">
        <f t="shared" si="2"/>
        <v>57322.820373391347</v>
      </c>
      <c r="J17" s="357"/>
      <c r="K17" s="358">
        <f t="shared" si="3"/>
        <v>2492.2965379735369</v>
      </c>
      <c r="L17" s="359"/>
      <c r="M17" s="306">
        <f>SUM(J325:J354)</f>
        <v>62272.340039876755</v>
      </c>
      <c r="N17" s="360">
        <f t="shared" si="4"/>
        <v>4949.5196664854084</v>
      </c>
      <c r="O17" s="361"/>
      <c r="P17" s="165">
        <f t="shared" si="6"/>
        <v>1.1949791304347828</v>
      </c>
      <c r="Q17" s="166">
        <f t="shared" si="5"/>
        <v>1.0863446640316206</v>
      </c>
      <c r="R17" s="286">
        <v>11</v>
      </c>
      <c r="X17" s="18"/>
      <c r="Y17" s="18"/>
      <c r="Z17" s="18"/>
      <c r="AA17" s="18"/>
      <c r="AB17" s="142"/>
      <c r="AC17" s="247"/>
      <c r="AD17" s="142"/>
      <c r="AE17" s="18"/>
      <c r="AF17" s="18"/>
      <c r="AG17" s="167"/>
      <c r="AH17" s="167"/>
      <c r="AI17" s="18"/>
      <c r="AJ17" s="18"/>
      <c r="AK17" s="168">
        <f t="shared" si="0"/>
        <v>9.1666300000000018E-4</v>
      </c>
      <c r="AL17" s="169">
        <v>8.3333000000000004E-2</v>
      </c>
      <c r="AM17" s="18"/>
      <c r="AN17" s="88"/>
    </row>
    <row r="18" spans="1:40" ht="22" hidden="1" outlineLevel="1">
      <c r="A18" s="18"/>
      <c r="B18" s="151"/>
      <c r="C18" s="151"/>
      <c r="D18" s="152"/>
      <c r="E18" s="95" t="s">
        <v>234</v>
      </c>
      <c r="F18" s="94">
        <f>COUNTIF(D355:D385,1)</f>
        <v>24</v>
      </c>
      <c r="G18" s="339">
        <f t="shared" si="1"/>
        <v>54377.379010331701</v>
      </c>
      <c r="H18" s="163">
        <v>1.1499999999999999</v>
      </c>
      <c r="I18" s="356">
        <f t="shared" si="2"/>
        <v>62533.985861881454</v>
      </c>
      <c r="J18" s="357"/>
      <c r="K18" s="358">
        <f t="shared" si="3"/>
        <v>2605.5827442450604</v>
      </c>
      <c r="L18" s="359"/>
      <c r="M18" s="306">
        <f>SUM(J355:J385)</f>
        <v>70291.961210802969</v>
      </c>
      <c r="N18" s="360">
        <f t="shared" si="4"/>
        <v>7757.9753489215145</v>
      </c>
      <c r="O18" s="361"/>
      <c r="P18" s="165">
        <f t="shared" si="6"/>
        <v>1.2926691666666665</v>
      </c>
      <c r="Q18" s="166">
        <f t="shared" si="5"/>
        <v>1.1240601449275363</v>
      </c>
      <c r="R18" s="286">
        <v>12</v>
      </c>
      <c r="T18" s="18"/>
      <c r="V18" s="151"/>
      <c r="W18" s="151"/>
      <c r="X18" s="18"/>
      <c r="Y18" s="18"/>
      <c r="Z18" s="18"/>
      <c r="AA18" s="18"/>
      <c r="AB18" s="142"/>
      <c r="AC18" s="247"/>
      <c r="AD18" s="142"/>
      <c r="AE18" s="18"/>
      <c r="AF18" s="18"/>
      <c r="AG18" s="167"/>
      <c r="AH18" s="167"/>
      <c r="AI18" s="18"/>
      <c r="AJ18" s="18"/>
      <c r="AK18" s="168">
        <f t="shared" si="0"/>
        <v>9.5832950000000001E-4</v>
      </c>
      <c r="AL18" s="169">
        <v>8.3333000000000004E-2</v>
      </c>
      <c r="AM18" s="18"/>
      <c r="AN18" s="88"/>
    </row>
    <row r="19" spans="1:40" ht="10.25" customHeight="1" collapsed="1">
      <c r="A19" s="18"/>
      <c r="B19" s="151"/>
      <c r="C19" s="151"/>
      <c r="D19" s="152"/>
      <c r="E19" s="151"/>
      <c r="F19" s="173"/>
      <c r="G19" s="151"/>
      <c r="H19" s="151"/>
      <c r="I19" s="174"/>
      <c r="J19" s="151"/>
      <c r="K19" s="151"/>
      <c r="L19" s="151"/>
      <c r="M19" s="151"/>
      <c r="N19" s="151"/>
      <c r="O19" s="151"/>
      <c r="P19" s="151"/>
      <c r="Q19" s="151"/>
      <c r="R19" s="151"/>
      <c r="S19" s="151"/>
      <c r="T19" s="151"/>
      <c r="U19" s="151"/>
      <c r="V19" s="151"/>
      <c r="W19" s="151"/>
      <c r="X19" s="18"/>
      <c r="Y19" s="18"/>
      <c r="Z19" s="18"/>
      <c r="AA19" s="18"/>
      <c r="AB19" s="142"/>
      <c r="AC19" s="247"/>
      <c r="AD19" s="142"/>
      <c r="AE19" s="18"/>
      <c r="AF19" s="18"/>
      <c r="AI19" s="18"/>
      <c r="AJ19" s="18"/>
      <c r="AK19" s="18"/>
      <c r="AL19" s="18"/>
      <c r="AM19" s="18"/>
      <c r="AN19" s="18"/>
    </row>
    <row r="20" spans="1:40" ht="20">
      <c r="A20" s="18"/>
      <c r="B20" s="151"/>
      <c r="C20" s="175"/>
      <c r="D20" s="176"/>
      <c r="E20" s="177" t="s">
        <v>17</v>
      </c>
      <c r="F20" s="177" t="s">
        <v>60</v>
      </c>
      <c r="G20" s="178" t="s">
        <v>36</v>
      </c>
      <c r="H20" s="179" t="s">
        <v>162</v>
      </c>
      <c r="I20" s="180"/>
      <c r="J20" s="181" t="s">
        <v>58</v>
      </c>
      <c r="K20" s="180"/>
      <c r="L20" s="182" t="s">
        <v>2</v>
      </c>
      <c r="M20" s="183" t="s">
        <v>143</v>
      </c>
      <c r="N20" s="175" t="s">
        <v>55</v>
      </c>
      <c r="O20" s="184"/>
      <c r="P20" s="185" t="s">
        <v>11</v>
      </c>
      <c r="Q20" s="177" t="s">
        <v>54</v>
      </c>
      <c r="R20" s="179" t="s">
        <v>163</v>
      </c>
      <c r="S20" s="186" t="s">
        <v>164</v>
      </c>
      <c r="T20" s="187"/>
      <c r="U20" s="185" t="s">
        <v>12</v>
      </c>
      <c r="V20" s="177" t="s">
        <v>51</v>
      </c>
      <c r="W20" s="188" t="s">
        <v>165</v>
      </c>
      <c r="X20" s="189" t="s">
        <v>166</v>
      </c>
      <c r="Y20" s="18"/>
      <c r="Z20" s="18"/>
      <c r="AA20" s="266" t="s">
        <v>188</v>
      </c>
      <c r="AB20" s="266" t="s">
        <v>96</v>
      </c>
      <c r="AC20" s="266" t="s">
        <v>202</v>
      </c>
      <c r="AD20" s="267" t="s">
        <v>186</v>
      </c>
      <c r="AE20" s="268" t="s">
        <v>189</v>
      </c>
      <c r="AF20" s="268" t="s">
        <v>203</v>
      </c>
      <c r="AG20" s="18"/>
      <c r="AH20" s="18"/>
      <c r="AI20" s="18"/>
      <c r="AJ20" s="18"/>
      <c r="AK20" s="18"/>
      <c r="AL20" s="18"/>
      <c r="AM20" s="18"/>
      <c r="AN20" s="18"/>
    </row>
    <row r="21" spans="1:40" ht="20">
      <c r="A21" s="18"/>
      <c r="B21" s="152"/>
      <c r="C21" s="55">
        <v>1</v>
      </c>
      <c r="D21" s="54">
        <v>0</v>
      </c>
      <c r="E21" s="190">
        <f>MONTH(Y21)</f>
        <v>1</v>
      </c>
      <c r="F21" s="191">
        <f>B2</f>
        <v>46023</v>
      </c>
      <c r="G21" s="192" t="str">
        <f>TEXT(Z21,"ddd")</f>
        <v>Thu</v>
      </c>
      <c r="H21" s="193" t="s">
        <v>48</v>
      </c>
      <c r="I21" s="194"/>
      <c r="J21" s="307"/>
      <c r="K21" s="196"/>
      <c r="L21" s="317">
        <f>IF(D21=0,0,IFERROR(SUMIFS($AE$21:$AE$104,$AA$21:$AA$104,$E21,$AB$21:$AB$104,$G21),0))</f>
        <v>0</v>
      </c>
      <c r="M21" s="318">
        <f t="shared" ref="M21:M84" si="7">IF(D21=0,0,J21-L21)</f>
        <v>0</v>
      </c>
      <c r="N21" s="41" t="str">
        <f t="shared" ref="N21:N275" si="8">IFERROR(J21/L21,"¥0")</f>
        <v>¥0</v>
      </c>
      <c r="O21" s="197"/>
      <c r="P21" s="317">
        <f>IF(D21=0,0,$K$7)</f>
        <v>0</v>
      </c>
      <c r="Q21" s="317">
        <f>IF(D21=0,0,$J$21)</f>
        <v>0</v>
      </c>
      <c r="R21" s="321">
        <f t="shared" ref="R21:R84" si="9">IF(D21=0,0,Q21-P21)</f>
        <v>0</v>
      </c>
      <c r="S21" s="198">
        <f>IF(D21=0,0,Q21/P21)</f>
        <v>0</v>
      </c>
      <c r="T21" s="199"/>
      <c r="U21" s="317">
        <f>IF(D21=0,0,$L$21)</f>
        <v>0</v>
      </c>
      <c r="V21" s="317">
        <f>IF(D21=0,0,$J$21)</f>
        <v>0</v>
      </c>
      <c r="W21" s="331">
        <f t="shared" ref="W21:W84" si="10">IF(D21=0,0,V21-U21)</f>
        <v>0</v>
      </c>
      <c r="X21" s="200">
        <f>IF(D21=0,0,V21/U21)</f>
        <v>0</v>
      </c>
      <c r="Y21" s="201">
        <f>B2</f>
        <v>46023</v>
      </c>
      <c r="Z21" s="202">
        <f>B2</f>
        <v>46023</v>
      </c>
      <c r="AA21" s="245">
        <v>1</v>
      </c>
      <c r="AB21" s="136" t="s">
        <v>209</v>
      </c>
      <c r="AC21" s="334">
        <f>IFERROR(AVERAGEIFS(J21:J51,D21:D51,1,G21:G51,"mon"),0)</f>
        <v>1188.366336142831</v>
      </c>
      <c r="AD21" s="274">
        <f>COUNTIFS(D21:D51,1,G21:G51,"Mon")</f>
        <v>3</v>
      </c>
      <c r="AE21" s="334">
        <f>($I$7*'2024(¥)'!AI20)/AD21</f>
        <v>2999.2981272687302</v>
      </c>
      <c r="AF21" s="334">
        <f t="shared" ref="AF21:AF26" si="11">AD21*AE21</f>
        <v>8997.8943818061907</v>
      </c>
      <c r="AG21" s="203" t="s">
        <v>182</v>
      </c>
      <c r="AH21" s="203"/>
      <c r="AI21" s="18"/>
      <c r="AJ21" s="18"/>
      <c r="AK21" s="18"/>
      <c r="AL21" s="18"/>
      <c r="AM21" s="18"/>
      <c r="AN21" s="18"/>
    </row>
    <row r="22" spans="1:40" ht="20">
      <c r="A22" s="18"/>
      <c r="B22" s="152"/>
      <c r="C22" s="55">
        <v>2</v>
      </c>
      <c r="D22" s="54">
        <v>0</v>
      </c>
      <c r="E22" s="190">
        <f t="shared" ref="E22:E85" si="12">MONTH(Y22)</f>
        <v>1</v>
      </c>
      <c r="F22" s="191">
        <f t="shared" ref="F22:F85" si="13">F21+1</f>
        <v>46024</v>
      </c>
      <c r="G22" s="192" t="str">
        <f t="shared" ref="G22:G85" si="14">TEXT(Z22,"ddd")</f>
        <v>Fri</v>
      </c>
      <c r="H22" s="193" t="s">
        <v>45</v>
      </c>
      <c r="I22" s="194"/>
      <c r="J22" s="307"/>
      <c r="K22" s="196"/>
      <c r="L22" s="317">
        <f t="shared" ref="L22:L85" si="15">IF(D22=0,0,IFERROR(SUMIFS($AE$21:$AE$104,$AA$21:$AA$104,$E22,$AB$21:$AB$104,$G22),0))</f>
        <v>0</v>
      </c>
      <c r="M22" s="318">
        <f t="shared" si="7"/>
        <v>0</v>
      </c>
      <c r="N22" s="41" t="str">
        <f t="shared" si="8"/>
        <v>¥0</v>
      </c>
      <c r="O22" s="197"/>
      <c r="P22" s="317">
        <f>IF(D22=0,0,SUM($L$21:L22))</f>
        <v>0</v>
      </c>
      <c r="Q22" s="317">
        <f>IF(D22=0,0,SUM($J$21:J22))</f>
        <v>0</v>
      </c>
      <c r="R22" s="321">
        <f t="shared" si="9"/>
        <v>0</v>
      </c>
      <c r="S22" s="198">
        <f t="shared" ref="S22:S85" si="16">IF(D22=0,0,Q22/P22)</f>
        <v>0</v>
      </c>
      <c r="T22" s="199"/>
      <c r="U22" s="317">
        <f>IF(D22=0,0,SUM($L$21:L22))</f>
        <v>0</v>
      </c>
      <c r="V22" s="317">
        <f>IF(D22=0,0,SUM($J$21:J22))</f>
        <v>0</v>
      </c>
      <c r="W22" s="331">
        <f t="shared" si="10"/>
        <v>0</v>
      </c>
      <c r="X22" s="200">
        <f t="shared" ref="X22:X85" si="17">IF(D22=0,0,V22/U22)</f>
        <v>0</v>
      </c>
      <c r="Y22" s="201">
        <f>Y21+1</f>
        <v>46024</v>
      </c>
      <c r="Z22" s="202">
        <f>Z21+1</f>
        <v>46024</v>
      </c>
      <c r="AA22" s="245">
        <v>1</v>
      </c>
      <c r="AB22" s="243" t="s">
        <v>210</v>
      </c>
      <c r="AC22" s="335">
        <f>IFERROR(AVERAGEIFS(J21:J51,D21:D51,1,G21:G51,"tue"),0)</f>
        <v>1893.6985680623527</v>
      </c>
      <c r="AD22" s="275">
        <f>COUNTIFS(D21:D51,1,G21:G51,"tue")</f>
        <v>4</v>
      </c>
      <c r="AE22" s="334">
        <f>($I$7*'2024(¥)'!AI21)/AD22</f>
        <v>1906.1827213688841</v>
      </c>
      <c r="AF22" s="334">
        <f t="shared" si="11"/>
        <v>7624.7308854755365</v>
      </c>
      <c r="AG22" s="270"/>
      <c r="AH22" s="270"/>
      <c r="AI22" s="18"/>
      <c r="AJ22" s="18"/>
      <c r="AK22" s="18"/>
      <c r="AL22" s="18"/>
      <c r="AM22" s="18"/>
      <c r="AN22" s="18"/>
    </row>
    <row r="23" spans="1:40" ht="20">
      <c r="A23" s="18"/>
      <c r="B23" s="152"/>
      <c r="C23" s="55">
        <v>3</v>
      </c>
      <c r="D23" s="54">
        <v>0</v>
      </c>
      <c r="E23" s="190">
        <f t="shared" si="12"/>
        <v>1</v>
      </c>
      <c r="F23" s="191">
        <f t="shared" si="13"/>
        <v>46025</v>
      </c>
      <c r="G23" s="192" t="str">
        <f t="shared" si="14"/>
        <v>Sat</v>
      </c>
      <c r="H23" s="193" t="s">
        <v>45</v>
      </c>
      <c r="I23" s="194"/>
      <c r="J23" s="307"/>
      <c r="K23" s="196"/>
      <c r="L23" s="317">
        <f t="shared" si="15"/>
        <v>0</v>
      </c>
      <c r="M23" s="318">
        <f t="shared" si="7"/>
        <v>0</v>
      </c>
      <c r="N23" s="41" t="str">
        <f t="shared" si="8"/>
        <v>¥0</v>
      </c>
      <c r="O23" s="197"/>
      <c r="P23" s="317">
        <f>IF(D23=0,0,SUM($L$21:L23))</f>
        <v>0</v>
      </c>
      <c r="Q23" s="317">
        <f>IF(D23=0,0,SUM($J$21:J23))</f>
        <v>0</v>
      </c>
      <c r="R23" s="321">
        <f t="shared" si="9"/>
        <v>0</v>
      </c>
      <c r="S23" s="198">
        <f t="shared" si="16"/>
        <v>0</v>
      </c>
      <c r="T23" s="199"/>
      <c r="U23" s="317">
        <f>IF(D23=0,0,SUM($L$21:L23))</f>
        <v>0</v>
      </c>
      <c r="V23" s="317">
        <f>IF(D23=0,0,SUM($J$21:J23))</f>
        <v>0</v>
      </c>
      <c r="W23" s="331">
        <f t="shared" si="10"/>
        <v>0</v>
      </c>
      <c r="X23" s="200">
        <f t="shared" si="17"/>
        <v>0</v>
      </c>
      <c r="Y23" s="201">
        <f t="shared" ref="Y23:Z38" si="18">Y22+1</f>
        <v>46025</v>
      </c>
      <c r="Z23" s="202">
        <f t="shared" si="18"/>
        <v>46025</v>
      </c>
      <c r="AA23" s="245">
        <v>1</v>
      </c>
      <c r="AB23" s="243" t="s">
        <v>211</v>
      </c>
      <c r="AC23" s="336">
        <f>IFERROR(AVERAGEIFS(J21:J51,D21:D51,1,G21:G51,"wed"),0)</f>
        <v>2405.4266358528184</v>
      </c>
      <c r="AD23" s="275">
        <f>COUNTIFS(D21:D51,1,G21:G51,"wed")</f>
        <v>4</v>
      </c>
      <c r="AE23" s="334">
        <f>IFERROR(($I$7*'2024(¥)'!AI22)/AD23,0)</f>
        <v>2147.0126402590608</v>
      </c>
      <c r="AF23" s="334">
        <f t="shared" si="11"/>
        <v>8588.0505610362434</v>
      </c>
      <c r="AG23" s="203"/>
      <c r="AH23" s="203"/>
      <c r="AI23" s="18"/>
      <c r="AJ23" s="18"/>
      <c r="AK23" s="18"/>
      <c r="AL23" s="18"/>
      <c r="AM23" s="18"/>
      <c r="AN23" s="18"/>
    </row>
    <row r="24" spans="1:40" ht="20">
      <c r="A24" s="18"/>
      <c r="B24" s="152"/>
      <c r="C24" s="55">
        <v>4</v>
      </c>
      <c r="D24" s="54">
        <v>0</v>
      </c>
      <c r="E24" s="190">
        <f t="shared" si="12"/>
        <v>1</v>
      </c>
      <c r="F24" s="191">
        <f t="shared" si="13"/>
        <v>46026</v>
      </c>
      <c r="G24" s="192" t="str">
        <f t="shared" si="14"/>
        <v>Sun</v>
      </c>
      <c r="H24" s="193"/>
      <c r="I24" s="194"/>
      <c r="J24" s="307"/>
      <c r="K24" s="196"/>
      <c r="L24" s="317">
        <f t="shared" si="15"/>
        <v>0</v>
      </c>
      <c r="M24" s="318">
        <f t="shared" si="7"/>
        <v>0</v>
      </c>
      <c r="N24" s="41" t="str">
        <f t="shared" si="8"/>
        <v>¥0</v>
      </c>
      <c r="O24" s="197"/>
      <c r="P24" s="317">
        <f>IF(D24=0,0,SUM($L$21:L24))</f>
        <v>0</v>
      </c>
      <c r="Q24" s="317">
        <f>IF(D24=0,0,SUM($J$21:J24))</f>
        <v>0</v>
      </c>
      <c r="R24" s="321">
        <f t="shared" si="9"/>
        <v>0</v>
      </c>
      <c r="S24" s="198">
        <f t="shared" si="16"/>
        <v>0</v>
      </c>
      <c r="T24" s="204"/>
      <c r="U24" s="317">
        <f>IF(D24=0,0,SUM($L$21:L24))</f>
        <v>0</v>
      </c>
      <c r="V24" s="317">
        <f>IF(D24=0,0,SUM($J$21:J24))</f>
        <v>0</v>
      </c>
      <c r="W24" s="331">
        <f t="shared" si="10"/>
        <v>0</v>
      </c>
      <c r="X24" s="200">
        <f t="shared" si="17"/>
        <v>0</v>
      </c>
      <c r="Y24" s="201">
        <f t="shared" si="18"/>
        <v>46026</v>
      </c>
      <c r="Z24" s="202">
        <f t="shared" si="18"/>
        <v>46026</v>
      </c>
      <c r="AA24" s="245">
        <v>1</v>
      </c>
      <c r="AB24" s="243" t="s">
        <v>212</v>
      </c>
      <c r="AC24" s="336">
        <f>IFERROR(AVERAGEIFS(J21:J51,D21:D51,1,G21:G51,"thu"),0)</f>
        <v>2076.9632499546856</v>
      </c>
      <c r="AD24" s="275">
        <f>COUNTIFS(D21:D51,1,G21:G51,"thu")</f>
        <v>4</v>
      </c>
      <c r="AE24" s="334">
        <f>($I$7*'2024(¥)'!AI23)/AD24</f>
        <v>1491.6181398868125</v>
      </c>
      <c r="AF24" s="334">
        <f t="shared" si="11"/>
        <v>5966.4725595472501</v>
      </c>
      <c r="AG24" s="203"/>
      <c r="AH24" s="203"/>
      <c r="AI24" s="18"/>
      <c r="AJ24" s="18"/>
      <c r="AK24" s="18"/>
      <c r="AL24" s="18"/>
      <c r="AM24" s="18"/>
      <c r="AN24" s="18"/>
    </row>
    <row r="25" spans="1:40" ht="20">
      <c r="A25" s="18"/>
      <c r="B25" s="152"/>
      <c r="C25" s="55">
        <v>5</v>
      </c>
      <c r="D25" s="54">
        <v>1</v>
      </c>
      <c r="E25" s="190">
        <f t="shared" si="12"/>
        <v>1</v>
      </c>
      <c r="F25" s="191">
        <f t="shared" si="13"/>
        <v>46027</v>
      </c>
      <c r="G25" s="192" t="str">
        <f t="shared" si="14"/>
        <v>Mon</v>
      </c>
      <c r="H25" s="193"/>
      <c r="I25" s="194"/>
      <c r="J25" s="307">
        <f>2071.33*95%</f>
        <v>1967.7634999999998</v>
      </c>
      <c r="K25" s="196"/>
      <c r="L25" s="317">
        <f t="shared" si="15"/>
        <v>2999.2981272687302</v>
      </c>
      <c r="M25" s="318">
        <f t="shared" si="7"/>
        <v>-1031.5346272687304</v>
      </c>
      <c r="N25" s="41">
        <f t="shared" si="8"/>
        <v>0.6560746603045815</v>
      </c>
      <c r="O25" s="197"/>
      <c r="P25" s="317">
        <f>IF(D25=0,0,SUM($L$21:L25))</f>
        <v>2999.2981272687302</v>
      </c>
      <c r="Q25" s="317">
        <f>IF(D25=0,0,SUM($J$21:J25))</f>
        <v>1967.7634999999998</v>
      </c>
      <c r="R25" s="321">
        <f t="shared" si="9"/>
        <v>-1031.5346272687304</v>
      </c>
      <c r="S25" s="198">
        <f t="shared" si="16"/>
        <v>0.6560746603045815</v>
      </c>
      <c r="T25" s="199"/>
      <c r="U25" s="317">
        <f>IF(D25=0,0,SUM($L$21:L25))</f>
        <v>2999.2981272687302</v>
      </c>
      <c r="V25" s="317">
        <f>IF(D25=0,0,SUM($J$21:J25))</f>
        <v>1967.7634999999998</v>
      </c>
      <c r="W25" s="331">
        <f t="shared" si="10"/>
        <v>-1031.5346272687304</v>
      </c>
      <c r="X25" s="200">
        <f t="shared" si="17"/>
        <v>0.6560746603045815</v>
      </c>
      <c r="Y25" s="201">
        <f t="shared" si="18"/>
        <v>46027</v>
      </c>
      <c r="Z25" s="202">
        <f t="shared" si="18"/>
        <v>46027</v>
      </c>
      <c r="AA25" s="245">
        <v>1</v>
      </c>
      <c r="AB25" s="243" t="s">
        <v>213</v>
      </c>
      <c r="AC25" s="336">
        <f>IFERROR(AVERAGEIFS(J21:J51,D21:D51,1,G21:G51,"fri"),0)</f>
        <v>2681.5361609570418</v>
      </c>
      <c r="AD25" s="275">
        <f>COUNTIFS(D21:D51,1,G21:G51,"fri")</f>
        <v>4</v>
      </c>
      <c r="AE25" s="334">
        <f>($I$7*'2024(¥)'!AI24)/AD25</f>
        <v>2604.2196487763395</v>
      </c>
      <c r="AF25" s="334">
        <f t="shared" si="11"/>
        <v>10416.878595105358</v>
      </c>
      <c r="AG25" s="203"/>
      <c r="AH25" s="203"/>
      <c r="AI25" s="18"/>
      <c r="AJ25" s="18"/>
      <c r="AK25" s="18"/>
      <c r="AL25" s="18"/>
      <c r="AM25" s="18"/>
      <c r="AN25" s="18"/>
    </row>
    <row r="26" spans="1:40" ht="20">
      <c r="A26" s="18"/>
      <c r="B26" s="152"/>
      <c r="C26" s="55">
        <v>6</v>
      </c>
      <c r="D26" s="54">
        <v>1</v>
      </c>
      <c r="E26" s="190">
        <f t="shared" si="12"/>
        <v>1</v>
      </c>
      <c r="F26" s="191">
        <f t="shared" si="13"/>
        <v>46028</v>
      </c>
      <c r="G26" s="192" t="str">
        <f t="shared" si="14"/>
        <v>Tue</v>
      </c>
      <c r="H26" s="193"/>
      <c r="I26" s="194"/>
      <c r="J26" s="308">
        <f>215720/B13*99%</f>
        <v>1935.4975530179445</v>
      </c>
      <c r="K26" s="206"/>
      <c r="L26" s="317">
        <f t="shared" si="15"/>
        <v>1906.1827213688841</v>
      </c>
      <c r="M26" s="318">
        <f t="shared" si="7"/>
        <v>29.314831649060352</v>
      </c>
      <c r="N26" s="41">
        <f>IFERROR(J26/L26,"¥0")</f>
        <v>1.0153788151159027</v>
      </c>
      <c r="O26" s="197"/>
      <c r="P26" s="317">
        <f>IF(D26=0,0,SUM($L$21:L26))</f>
        <v>4905.4808486376141</v>
      </c>
      <c r="Q26" s="317">
        <f>IF(D26=0,0,SUM($J$21:J26))</f>
        <v>3903.2610530179445</v>
      </c>
      <c r="R26" s="321">
        <f t="shared" si="9"/>
        <v>-1002.2197956196696</v>
      </c>
      <c r="S26" s="198">
        <f t="shared" si="16"/>
        <v>0.7956938725185293</v>
      </c>
      <c r="T26" s="207"/>
      <c r="U26" s="317">
        <f>IF(D26=0,0,SUM($L$21:L26))</f>
        <v>4905.4808486376141</v>
      </c>
      <c r="V26" s="317">
        <f>IF(D26=0,0,SUM($J$21:J26))</f>
        <v>3903.2610530179445</v>
      </c>
      <c r="W26" s="331">
        <f t="shared" si="10"/>
        <v>-1002.2197956196696</v>
      </c>
      <c r="X26" s="200">
        <f t="shared" si="17"/>
        <v>0.7956938725185293</v>
      </c>
      <c r="Y26" s="201">
        <f t="shared" si="18"/>
        <v>46028</v>
      </c>
      <c r="Z26" s="202">
        <f t="shared" si="18"/>
        <v>46028</v>
      </c>
      <c r="AA26" s="245">
        <v>1</v>
      </c>
      <c r="AB26" s="243" t="s">
        <v>214</v>
      </c>
      <c r="AC26" s="336">
        <f>IFERROR(AVERAGEIFS(J21:J51,D21:D51,1,G21:G51,"sat"),0)</f>
        <v>3201.9009425412364</v>
      </c>
      <c r="AD26" s="275">
        <f>COUNTIFS(D21:D51,1,G21:G51,"sat")</f>
        <v>4</v>
      </c>
      <c r="AE26" s="334">
        <f>($I$7*'2024(¥)'!AI25)/AD26</f>
        <v>675.21991729886406</v>
      </c>
      <c r="AF26" s="334">
        <f t="shared" si="11"/>
        <v>2700.8796691954562</v>
      </c>
      <c r="AG26" s="273" t="s">
        <v>190</v>
      </c>
      <c r="AH26" s="203"/>
      <c r="AI26" s="18"/>
      <c r="AJ26" s="18"/>
      <c r="AK26" s="18"/>
      <c r="AL26" s="18"/>
      <c r="AM26" s="18"/>
      <c r="AN26" s="18"/>
    </row>
    <row r="27" spans="1:40" ht="20">
      <c r="A27" s="18"/>
      <c r="B27" s="152"/>
      <c r="C27" s="55">
        <v>7</v>
      </c>
      <c r="D27" s="54">
        <v>1</v>
      </c>
      <c r="E27" s="190">
        <f t="shared" si="12"/>
        <v>1</v>
      </c>
      <c r="F27" s="191">
        <f t="shared" si="13"/>
        <v>46029</v>
      </c>
      <c r="G27" s="192" t="str">
        <f t="shared" si="14"/>
        <v>Wed</v>
      </c>
      <c r="H27" s="193"/>
      <c r="I27" s="194"/>
      <c r="J27" s="308">
        <f>224970/B13*103%</f>
        <v>2100.0462207721589</v>
      </c>
      <c r="K27" s="206"/>
      <c r="L27" s="317">
        <f t="shared" si="15"/>
        <v>2147.0126402590608</v>
      </c>
      <c r="M27" s="318">
        <f t="shared" si="7"/>
        <v>-46.966419486901941</v>
      </c>
      <c r="N27" s="41">
        <f t="shared" si="8"/>
        <v>0.97812475874327642</v>
      </c>
      <c r="O27" s="197"/>
      <c r="P27" s="317">
        <f>IF(D27=0,0,SUM($L$21:L27))</f>
        <v>7052.4934888966745</v>
      </c>
      <c r="Q27" s="317">
        <f>IF(D27=0,0,SUM($J$21:J27))</f>
        <v>6003.3072737901039</v>
      </c>
      <c r="R27" s="321">
        <f t="shared" si="9"/>
        <v>-1049.1862151065707</v>
      </c>
      <c r="S27" s="198">
        <f t="shared" si="16"/>
        <v>0.85123187752553175</v>
      </c>
      <c r="T27" s="207"/>
      <c r="U27" s="317">
        <f>IF(D27=0,0,SUM($L$21:L27))</f>
        <v>7052.4934888966745</v>
      </c>
      <c r="V27" s="317">
        <f>IF(D27=0,0,SUM($J$21:J27))</f>
        <v>6003.3072737901039</v>
      </c>
      <c r="W27" s="331">
        <f t="shared" si="10"/>
        <v>-1049.1862151065707</v>
      </c>
      <c r="X27" s="200">
        <f t="shared" si="17"/>
        <v>0.85123187752553175</v>
      </c>
      <c r="Y27" s="201">
        <f t="shared" si="18"/>
        <v>46029</v>
      </c>
      <c r="Z27" s="202">
        <f t="shared" si="18"/>
        <v>46029</v>
      </c>
      <c r="AA27" s="245">
        <v>1</v>
      </c>
      <c r="AB27" s="243" t="s">
        <v>215</v>
      </c>
      <c r="AC27" s="336">
        <f>IFERROR(AVERAGEIFS(J21:J51,D21:D51,1,G21:G51,"sun"),0)</f>
        <v>0</v>
      </c>
      <c r="AD27" s="275">
        <f>IFERROR(COUNTIFS(D21:D51,1,G21:G51,"sun"),0)</f>
        <v>0</v>
      </c>
      <c r="AE27" s="334">
        <f>IFERROR(($I$7*'2024(¥)'!AI26)/AD27,0)</f>
        <v>0</v>
      </c>
      <c r="AF27" s="337">
        <f>SUM(AF21:AF26)</f>
        <v>44294.906652166035</v>
      </c>
      <c r="AG27" s="272">
        <f>I7</f>
        <v>44294.906652166035</v>
      </c>
      <c r="AH27" s="270"/>
      <c r="AI27" s="18"/>
      <c r="AJ27" s="18"/>
      <c r="AK27" s="18"/>
      <c r="AL27" s="18"/>
      <c r="AM27" s="18"/>
      <c r="AN27" s="18"/>
    </row>
    <row r="28" spans="1:40" ht="20">
      <c r="A28" s="18"/>
      <c r="B28" s="152"/>
      <c r="C28" s="55">
        <v>8</v>
      </c>
      <c r="D28" s="54">
        <v>1</v>
      </c>
      <c r="E28" s="190">
        <f t="shared" si="12"/>
        <v>1</v>
      </c>
      <c r="F28" s="191">
        <f t="shared" si="13"/>
        <v>46030</v>
      </c>
      <c r="G28" s="192" t="str">
        <f t="shared" si="14"/>
        <v>Thu</v>
      </c>
      <c r="H28" s="193"/>
      <c r="I28" s="194"/>
      <c r="J28" s="308">
        <f>194050/B13*97%</f>
        <v>1705.89541417437</v>
      </c>
      <c r="K28" s="206"/>
      <c r="L28" s="317">
        <f t="shared" si="15"/>
        <v>1491.6181398868125</v>
      </c>
      <c r="M28" s="318">
        <f t="shared" si="7"/>
        <v>214.27727428755747</v>
      </c>
      <c r="N28" s="41">
        <f t="shared" si="8"/>
        <v>1.1436542427030401</v>
      </c>
      <c r="O28" s="197"/>
      <c r="P28" s="317">
        <f>IF(D28=0,0,SUM($L$21:L28))</f>
        <v>8544.1116287834866</v>
      </c>
      <c r="Q28" s="317">
        <f>IF(D28=0,0,SUM($J$21:J28))</f>
        <v>7709.2026879644736</v>
      </c>
      <c r="R28" s="321">
        <f t="shared" si="9"/>
        <v>-834.90894081901297</v>
      </c>
      <c r="S28" s="198">
        <f t="shared" si="16"/>
        <v>0.90228253362159228</v>
      </c>
      <c r="T28" s="207"/>
      <c r="U28" s="317">
        <f>IF(D28=0,0,SUM($L$21:L28))</f>
        <v>8544.1116287834866</v>
      </c>
      <c r="V28" s="317">
        <f>IF(D28=0,0,SUM($J$21:J28))</f>
        <v>7709.2026879644736</v>
      </c>
      <c r="W28" s="331">
        <f t="shared" si="10"/>
        <v>-834.90894081901297</v>
      </c>
      <c r="X28" s="200">
        <f t="shared" si="17"/>
        <v>0.90228253362159228</v>
      </c>
      <c r="Y28" s="201">
        <f t="shared" si="18"/>
        <v>46030</v>
      </c>
      <c r="Z28" s="202">
        <f t="shared" si="18"/>
        <v>46030</v>
      </c>
      <c r="AA28" s="246">
        <v>2</v>
      </c>
      <c r="AB28" s="136" t="s">
        <v>216</v>
      </c>
      <c r="AC28" s="336">
        <f>IFERROR(AVERAGEIFS(J52:J79,D52:D79,1,G52:G79,"mon"),0)</f>
        <v>646.57724608784963</v>
      </c>
      <c r="AD28" s="275">
        <f>COUNTIFS(D52:D79,1,G52:G79,"Mon")</f>
        <v>3</v>
      </c>
      <c r="AE28" s="335">
        <f>($I$8*'2024(¥)'!AI27)/AD28</f>
        <v>1958.8512134375744</v>
      </c>
      <c r="AF28" s="334">
        <f t="shared" ref="AF28:AF33" si="19">AD28*AE28</f>
        <v>5876.5536403127235</v>
      </c>
      <c r="AG28" s="203" t="s">
        <v>183</v>
      </c>
      <c r="AH28" s="203"/>
      <c r="AI28" s="18"/>
      <c r="AJ28" s="18"/>
      <c r="AK28" s="18"/>
      <c r="AL28" s="18"/>
      <c r="AM28" s="18"/>
      <c r="AN28" s="18"/>
    </row>
    <row r="29" spans="1:40" ht="20">
      <c r="A29" s="18"/>
      <c r="B29" s="152"/>
      <c r="C29" s="55">
        <v>9</v>
      </c>
      <c r="D29" s="54">
        <v>1</v>
      </c>
      <c r="E29" s="190">
        <f t="shared" si="12"/>
        <v>1</v>
      </c>
      <c r="F29" s="191">
        <f t="shared" si="13"/>
        <v>46031</v>
      </c>
      <c r="G29" s="192" t="str">
        <f t="shared" si="14"/>
        <v>Fri</v>
      </c>
      <c r="H29" s="193"/>
      <c r="I29" s="194"/>
      <c r="J29" s="308">
        <f>259520/B13*89%</f>
        <v>2093.2825811129237</v>
      </c>
      <c r="K29" s="206"/>
      <c r="L29" s="317">
        <f t="shared" si="15"/>
        <v>2604.2196487763395</v>
      </c>
      <c r="M29" s="318">
        <f t="shared" si="7"/>
        <v>-510.93706766341575</v>
      </c>
      <c r="N29" s="41">
        <f t="shared" si="8"/>
        <v>0.80380415764718893</v>
      </c>
      <c r="O29" s="197"/>
      <c r="P29" s="317">
        <f>IF(D29=0,0,SUM($L$21:L29))</f>
        <v>11148.331277559826</v>
      </c>
      <c r="Q29" s="317">
        <f>IF(D29=0,0,SUM($J$21:J29))</f>
        <v>9802.4852690773969</v>
      </c>
      <c r="R29" s="321">
        <f t="shared" si="9"/>
        <v>-1345.8460084824292</v>
      </c>
      <c r="S29" s="198">
        <f t="shared" si="16"/>
        <v>0.87927825474728705</v>
      </c>
      <c r="T29" s="207"/>
      <c r="U29" s="317">
        <f>IF(D29=0,0,SUM($L$21:L29))</f>
        <v>11148.331277559826</v>
      </c>
      <c r="V29" s="317">
        <f>IF(D29=0,0,SUM($J$21:J29))</f>
        <v>9802.4852690773969</v>
      </c>
      <c r="W29" s="331">
        <f t="shared" si="10"/>
        <v>-1345.8460084824292</v>
      </c>
      <c r="X29" s="200">
        <f t="shared" si="17"/>
        <v>0.87927825474728705</v>
      </c>
      <c r="Y29" s="201">
        <f t="shared" si="18"/>
        <v>46031</v>
      </c>
      <c r="Z29" s="202">
        <f t="shared" si="18"/>
        <v>46031</v>
      </c>
      <c r="AA29" s="246">
        <v>2</v>
      </c>
      <c r="AB29" s="243" t="s">
        <v>217</v>
      </c>
      <c r="AC29" s="336">
        <f>IFERROR(AVERAGEIFS(J53:J80,D53:D80,1,G53:G80,"tue"),0)</f>
        <v>1767.1741888707631</v>
      </c>
      <c r="AD29" s="275">
        <f>COUNTIFS(D52:D79,1,G52:G79,"tue")</f>
        <v>4</v>
      </c>
      <c r="AE29" s="335">
        <f>($I$8*'2024(¥)'!AI28)/AD29</f>
        <v>1814.8068247478191</v>
      </c>
      <c r="AF29" s="334">
        <f t="shared" si="19"/>
        <v>7259.2272989912763</v>
      </c>
      <c r="AG29" s="203"/>
      <c r="AH29" s="203"/>
      <c r="AI29" s="18"/>
      <c r="AJ29" s="18"/>
      <c r="AK29" s="18"/>
      <c r="AL29" s="18"/>
      <c r="AM29" s="18"/>
      <c r="AN29" s="18"/>
    </row>
    <row r="30" spans="1:40" ht="20">
      <c r="A30" s="18"/>
      <c r="B30" s="152"/>
      <c r="C30" s="55">
        <v>10</v>
      </c>
      <c r="D30" s="54">
        <v>1</v>
      </c>
      <c r="E30" s="190">
        <f t="shared" si="12"/>
        <v>1</v>
      </c>
      <c r="F30" s="191">
        <f t="shared" si="13"/>
        <v>46032</v>
      </c>
      <c r="G30" s="192" t="str">
        <f t="shared" si="14"/>
        <v>Sat</v>
      </c>
      <c r="H30" s="193"/>
      <c r="I30" s="194"/>
      <c r="J30" s="308">
        <f>364100/B13*101%</f>
        <v>3332.7986224397318</v>
      </c>
      <c r="K30" s="206"/>
      <c r="L30" s="317">
        <f t="shared" si="15"/>
        <v>675.21991729886406</v>
      </c>
      <c r="M30" s="318">
        <f t="shared" si="7"/>
        <v>2657.5787051408679</v>
      </c>
      <c r="N30" s="41">
        <f t="shared" si="8"/>
        <v>4.9358713169661685</v>
      </c>
      <c r="O30" s="197"/>
      <c r="P30" s="317">
        <f>IF(D30=0,0,SUM($L$21:L30))</f>
        <v>11823.55119485869</v>
      </c>
      <c r="Q30" s="317">
        <f>IF(D30=0,0,SUM($J$21:J30))</f>
        <v>13135.283891517129</v>
      </c>
      <c r="R30" s="321">
        <f t="shared" si="9"/>
        <v>1311.7326966584387</v>
      </c>
      <c r="S30" s="198">
        <f t="shared" si="16"/>
        <v>1.1109423619892498</v>
      </c>
      <c r="T30" s="207"/>
      <c r="U30" s="317">
        <f>IF(D30=0,0,SUM($L$21:L30))</f>
        <v>11823.55119485869</v>
      </c>
      <c r="V30" s="317">
        <f>IF(D30=0,0,SUM($J$21:J30))</f>
        <v>13135.283891517129</v>
      </c>
      <c r="W30" s="331">
        <f t="shared" si="10"/>
        <v>1311.7326966584387</v>
      </c>
      <c r="X30" s="200">
        <f t="shared" si="17"/>
        <v>1.1109423619892498</v>
      </c>
      <c r="Y30" s="201">
        <f t="shared" si="18"/>
        <v>46032</v>
      </c>
      <c r="Z30" s="202">
        <f t="shared" si="18"/>
        <v>46032</v>
      </c>
      <c r="AA30" s="246">
        <v>2</v>
      </c>
      <c r="AB30" s="243" t="s">
        <v>218</v>
      </c>
      <c r="AC30" s="336">
        <f>IFERROR(AVERAGEIFS(J52:J79,D52:D79,1,G52:G79,"wed"),0)</f>
        <v>2356.353090447707</v>
      </c>
      <c r="AD30" s="275">
        <f>COUNTIFS(D52:D79,1,G52:G79,"wed")</f>
        <v>3</v>
      </c>
      <c r="AE30" s="335">
        <f>($I$8*'2024(¥)'!AI29)/AD30</f>
        <v>2504.1389198722622</v>
      </c>
      <c r="AF30" s="334">
        <f t="shared" si="19"/>
        <v>7512.4167596167863</v>
      </c>
      <c r="AG30" s="203"/>
      <c r="AH30" s="203"/>
      <c r="AI30" s="18"/>
      <c r="AJ30" s="18"/>
      <c r="AK30" s="18"/>
      <c r="AL30" s="18"/>
      <c r="AM30" s="18"/>
      <c r="AN30" s="18"/>
    </row>
    <row r="31" spans="1:40" ht="20">
      <c r="A31" s="18"/>
      <c r="B31" s="152"/>
      <c r="C31" s="55">
        <v>11</v>
      </c>
      <c r="D31" s="54">
        <v>0</v>
      </c>
      <c r="E31" s="190">
        <f t="shared" si="12"/>
        <v>1</v>
      </c>
      <c r="F31" s="191">
        <f t="shared" si="13"/>
        <v>46033</v>
      </c>
      <c r="G31" s="192" t="str">
        <f t="shared" si="14"/>
        <v>Sun</v>
      </c>
      <c r="H31" s="193"/>
      <c r="I31" s="194"/>
      <c r="J31" s="309"/>
      <c r="K31" s="209"/>
      <c r="L31" s="317">
        <f t="shared" si="15"/>
        <v>0</v>
      </c>
      <c r="M31" s="318">
        <f t="shared" si="7"/>
        <v>0</v>
      </c>
      <c r="N31" s="41" t="str">
        <f t="shared" si="8"/>
        <v>¥0</v>
      </c>
      <c r="O31" s="197"/>
      <c r="P31" s="317">
        <f>IF(D31=0,0,SUM($L$21:L31))</f>
        <v>0</v>
      </c>
      <c r="Q31" s="317">
        <f>IF(D31=0,0,SUM($J$21:J31))</f>
        <v>0</v>
      </c>
      <c r="R31" s="321">
        <f t="shared" si="9"/>
        <v>0</v>
      </c>
      <c r="S31" s="198">
        <f t="shared" si="16"/>
        <v>0</v>
      </c>
      <c r="T31" s="207"/>
      <c r="U31" s="317">
        <f>IF(D31=0,0,SUM($L$21:L31))</f>
        <v>0</v>
      </c>
      <c r="V31" s="317">
        <f>IF(D31=0,0,SUM($J$21:J31))</f>
        <v>0</v>
      </c>
      <c r="W31" s="331">
        <f t="shared" si="10"/>
        <v>0</v>
      </c>
      <c r="X31" s="200">
        <f t="shared" si="17"/>
        <v>0</v>
      </c>
      <c r="Y31" s="201">
        <f t="shared" si="18"/>
        <v>46033</v>
      </c>
      <c r="Z31" s="202">
        <f t="shared" si="18"/>
        <v>46033</v>
      </c>
      <c r="AA31" s="246">
        <v>2</v>
      </c>
      <c r="AB31" s="243" t="s">
        <v>219</v>
      </c>
      <c r="AC31" s="336">
        <f>IFERROR(AVERAGEIFS(J52:J79,D52:D79,1,G52:G79,"thu"),0)</f>
        <v>2417.0744970092442</v>
      </c>
      <c r="AD31" s="275">
        <f>COUNTIFS(D52:D79,1,G52:G79,"thu")</f>
        <v>4</v>
      </c>
      <c r="AE31" s="335">
        <f>($I$8*'2024(¥)'!AI30)/AD31</f>
        <v>2471.2866908728442</v>
      </c>
      <c r="AF31" s="334">
        <f t="shared" si="19"/>
        <v>9885.146763491377</v>
      </c>
      <c r="AG31" s="203"/>
      <c r="AH31" s="203"/>
      <c r="AI31" s="18"/>
      <c r="AJ31" s="18"/>
      <c r="AK31" s="18"/>
      <c r="AL31" s="18"/>
      <c r="AM31" s="18"/>
      <c r="AN31" s="18"/>
    </row>
    <row r="32" spans="1:40" ht="20">
      <c r="A32" s="18"/>
      <c r="B32" s="152"/>
      <c r="C32" s="55">
        <v>12</v>
      </c>
      <c r="D32" s="54">
        <v>0</v>
      </c>
      <c r="E32" s="190">
        <f t="shared" si="12"/>
        <v>1</v>
      </c>
      <c r="F32" s="191">
        <f t="shared" si="13"/>
        <v>46034</v>
      </c>
      <c r="G32" s="192" t="str">
        <f t="shared" si="14"/>
        <v>Mon</v>
      </c>
      <c r="H32" s="193"/>
      <c r="I32" s="194"/>
      <c r="J32" s="355"/>
      <c r="K32" s="211"/>
      <c r="L32" s="317">
        <f t="shared" si="15"/>
        <v>0</v>
      </c>
      <c r="M32" s="318">
        <f t="shared" si="7"/>
        <v>0</v>
      </c>
      <c r="N32" s="41" t="str">
        <f t="shared" si="8"/>
        <v>¥0</v>
      </c>
      <c r="O32" s="197"/>
      <c r="P32" s="317">
        <f>IF(D32=0,0,SUM($L$21:L32))</f>
        <v>0</v>
      </c>
      <c r="Q32" s="317">
        <f>IF(D32=0,0,SUM($J$21:J32))</f>
        <v>0</v>
      </c>
      <c r="R32" s="321">
        <f t="shared" si="9"/>
        <v>0</v>
      </c>
      <c r="S32" s="198">
        <f t="shared" si="16"/>
        <v>0</v>
      </c>
      <c r="T32" s="212"/>
      <c r="U32" s="317">
        <f>IF(D32=0,0,SUM($L$21:L32))</f>
        <v>0</v>
      </c>
      <c r="V32" s="317">
        <f>IF(D32=0,0,SUM($J$21:J32))</f>
        <v>0</v>
      </c>
      <c r="W32" s="331">
        <f t="shared" si="10"/>
        <v>0</v>
      </c>
      <c r="X32" s="200">
        <f t="shared" si="17"/>
        <v>0</v>
      </c>
      <c r="Y32" s="201">
        <f t="shared" si="18"/>
        <v>46034</v>
      </c>
      <c r="Z32" s="202">
        <f t="shared" si="18"/>
        <v>46034</v>
      </c>
      <c r="AA32" s="246">
        <v>2</v>
      </c>
      <c r="AB32" s="243" t="s">
        <v>220</v>
      </c>
      <c r="AC32" s="336">
        <f>IFERROR(AVERAGEIFS(J52:J79,D52:D79,1,G52:G79,"fri"),0)</f>
        <v>2933.9541417437013</v>
      </c>
      <c r="AD32" s="275">
        <f>COUNTIFS(D52:D79,1,G52:G79,"fri")</f>
        <v>4</v>
      </c>
      <c r="AE32" s="335">
        <f>($I$8*'2024(¥)'!AI31)/AD32</f>
        <v>1803.5831367140688</v>
      </c>
      <c r="AF32" s="334">
        <f t="shared" si="19"/>
        <v>7214.3325468562753</v>
      </c>
      <c r="AG32" s="203"/>
      <c r="AH32" s="203"/>
      <c r="AI32" s="18"/>
      <c r="AJ32" s="18"/>
      <c r="AK32" s="18"/>
      <c r="AL32" s="18"/>
      <c r="AM32" s="18"/>
      <c r="AN32" s="18"/>
    </row>
    <row r="33" spans="1:40" ht="20">
      <c r="A33" s="18"/>
      <c r="B33" s="151"/>
      <c r="C33" s="55">
        <v>13</v>
      </c>
      <c r="D33" s="54">
        <v>1</v>
      </c>
      <c r="E33" s="190">
        <f t="shared" si="12"/>
        <v>1</v>
      </c>
      <c r="F33" s="191">
        <f t="shared" si="13"/>
        <v>46035</v>
      </c>
      <c r="G33" s="192" t="str">
        <f t="shared" si="14"/>
        <v>Tue</v>
      </c>
      <c r="H33" s="193"/>
      <c r="I33" s="194"/>
      <c r="J33" s="355">
        <f>113500/B13</f>
        <v>1028.6387529454414</v>
      </c>
      <c r="K33" s="211"/>
      <c r="L33" s="317">
        <f t="shared" si="15"/>
        <v>1906.1827213688841</v>
      </c>
      <c r="M33" s="318">
        <f t="shared" si="7"/>
        <v>-877.54396842344272</v>
      </c>
      <c r="N33" s="41">
        <f t="shared" si="8"/>
        <v>0.53963281768011551</v>
      </c>
      <c r="O33" s="197"/>
      <c r="P33" s="317">
        <f>IF(D33=0,0,SUM($L$21:L33))</f>
        <v>13729.733916227575</v>
      </c>
      <c r="Q33" s="317">
        <f>IF(D33=0,0,SUM($J$21:J33))</f>
        <v>14163.922644462571</v>
      </c>
      <c r="R33" s="321">
        <f t="shared" si="9"/>
        <v>434.18872823499623</v>
      </c>
      <c r="S33" s="198">
        <f t="shared" si="16"/>
        <v>1.0316239725317484</v>
      </c>
      <c r="T33" s="212"/>
      <c r="U33" s="317">
        <f>IF(D33=0,0,SUM($L$21:L33))</f>
        <v>13729.733916227575</v>
      </c>
      <c r="V33" s="317">
        <f>IF(D33=0,0,SUM($J$21:J33))</f>
        <v>14163.922644462571</v>
      </c>
      <c r="W33" s="331">
        <f t="shared" si="10"/>
        <v>434.18872823499623</v>
      </c>
      <c r="X33" s="200">
        <f t="shared" si="17"/>
        <v>1.0316239725317484</v>
      </c>
      <c r="Y33" s="201">
        <f t="shared" si="18"/>
        <v>46035</v>
      </c>
      <c r="Z33" s="202">
        <f t="shared" si="18"/>
        <v>46035</v>
      </c>
      <c r="AA33" s="246">
        <v>2</v>
      </c>
      <c r="AB33" s="243" t="s">
        <v>221</v>
      </c>
      <c r="AC33" s="336">
        <f>IFERROR(AVERAGEIFS(J52:J79,D52:D79,1,G52:G79,"sat"),0)</f>
        <v>3099.782490483959</v>
      </c>
      <c r="AD33" s="275">
        <f>COUNTIFS(D52:D79,1,G52:G79,"sat")</f>
        <v>4</v>
      </c>
      <c r="AE33" s="335">
        <f>($I$8*'2024(¥)'!AI32)/AD33</f>
        <v>1155.341034070419</v>
      </c>
      <c r="AF33" s="334">
        <f t="shared" si="19"/>
        <v>4621.3641362816761</v>
      </c>
      <c r="AG33" s="273" t="s">
        <v>191</v>
      </c>
      <c r="AH33" s="203"/>
      <c r="AI33" s="18"/>
      <c r="AJ33" s="18"/>
      <c r="AK33" s="18"/>
      <c r="AL33" s="18"/>
      <c r="AM33" s="18"/>
      <c r="AN33" s="18"/>
    </row>
    <row r="34" spans="1:40" ht="20">
      <c r="A34" s="18"/>
      <c r="B34" s="151"/>
      <c r="C34" s="55">
        <v>14</v>
      </c>
      <c r="D34" s="54">
        <v>1</v>
      </c>
      <c r="E34" s="190">
        <f t="shared" si="12"/>
        <v>1</v>
      </c>
      <c r="F34" s="191">
        <f t="shared" si="13"/>
        <v>46036</v>
      </c>
      <c r="G34" s="192" t="str">
        <f t="shared" si="14"/>
        <v>Wed</v>
      </c>
      <c r="H34" s="193"/>
      <c r="I34" s="194"/>
      <c r="J34" s="308">
        <f>312590/B13</f>
        <v>2832.9708174732646</v>
      </c>
      <c r="K34" s="206"/>
      <c r="L34" s="317">
        <f t="shared" si="15"/>
        <v>2147.0126402590608</v>
      </c>
      <c r="M34" s="318">
        <f t="shared" si="7"/>
        <v>685.95817721420372</v>
      </c>
      <c r="N34" s="41">
        <f t="shared" si="8"/>
        <v>1.3194942425357288</v>
      </c>
      <c r="O34" s="197"/>
      <c r="P34" s="317">
        <f>IF(D34=0,0,SUM($L$21:L34))</f>
        <v>15876.746556486636</v>
      </c>
      <c r="Q34" s="317">
        <f>IF(D34=0,0,SUM($J$21:J34))</f>
        <v>16996.893461935837</v>
      </c>
      <c r="R34" s="321">
        <f t="shared" si="9"/>
        <v>1120.1469054492009</v>
      </c>
      <c r="S34" s="198">
        <f t="shared" si="16"/>
        <v>1.0705526728328072</v>
      </c>
      <c r="T34" s="207"/>
      <c r="U34" s="317">
        <f>IF(D34=0,0,SUM($L$21:L34))</f>
        <v>15876.746556486636</v>
      </c>
      <c r="V34" s="317">
        <f>IF(D34=0,0,SUM($J$21:J34))</f>
        <v>16996.893461935837</v>
      </c>
      <c r="W34" s="331">
        <f t="shared" si="10"/>
        <v>1120.1469054492009</v>
      </c>
      <c r="X34" s="200">
        <f t="shared" si="17"/>
        <v>1.0705526728328072</v>
      </c>
      <c r="Y34" s="201">
        <f t="shared" si="18"/>
        <v>46036</v>
      </c>
      <c r="Z34" s="202">
        <f t="shared" si="18"/>
        <v>46036</v>
      </c>
      <c r="AA34" s="246">
        <v>2</v>
      </c>
      <c r="AB34" s="243" t="s">
        <v>222</v>
      </c>
      <c r="AC34" s="336">
        <f>IFERROR(AVERAGEIFS(J52:J79,D52:D79,1,G52:G79,"sun"),0)</f>
        <v>0</v>
      </c>
      <c r="AD34" s="275">
        <f>IFERROR(COUNTIFS(D52:D79,1,G52:G79,"sun"),0)</f>
        <v>0</v>
      </c>
      <c r="AE34" s="335">
        <f>IFERROR(($I$8*'2024(¥)'!AI33)/AD34,0)</f>
        <v>0</v>
      </c>
      <c r="AF34" s="337">
        <f>SUM(AF28:AF33)</f>
        <v>42369.041145550116</v>
      </c>
      <c r="AG34" s="272">
        <f>I8</f>
        <v>42369.041145550116</v>
      </c>
      <c r="AH34" s="270"/>
      <c r="AI34" s="18"/>
      <c r="AJ34" s="18"/>
      <c r="AK34" s="18"/>
      <c r="AL34" s="18"/>
      <c r="AM34" s="18"/>
      <c r="AN34" s="18"/>
    </row>
    <row r="35" spans="1:40" ht="20">
      <c r="A35" s="18"/>
      <c r="B35" s="151"/>
      <c r="C35" s="55">
        <v>15</v>
      </c>
      <c r="D35" s="54">
        <v>1</v>
      </c>
      <c r="E35" s="190">
        <f t="shared" si="12"/>
        <v>1</v>
      </c>
      <c r="F35" s="191">
        <f t="shared" si="13"/>
        <v>46037</v>
      </c>
      <c r="G35" s="192" t="str">
        <f t="shared" si="14"/>
        <v>Thu</v>
      </c>
      <c r="H35" s="193"/>
      <c r="I35" s="194"/>
      <c r="J35" s="308">
        <f>242580/B13</f>
        <v>2198.4774333877108</v>
      </c>
      <c r="K35" s="206"/>
      <c r="L35" s="317">
        <f t="shared" si="15"/>
        <v>1491.6181398868125</v>
      </c>
      <c r="M35" s="318">
        <f t="shared" si="7"/>
        <v>706.85929350089827</v>
      </c>
      <c r="N35" s="41">
        <f t="shared" si="8"/>
        <v>1.4738875685398518</v>
      </c>
      <c r="O35" s="197"/>
      <c r="P35" s="317">
        <f>IF(D35=0,0,SUM($L$21:L35))</f>
        <v>17368.36469637345</v>
      </c>
      <c r="Q35" s="317">
        <f>IF(D35=0,0,SUM($J$21:J35))</f>
        <v>19195.370895323547</v>
      </c>
      <c r="R35" s="321">
        <f t="shared" si="9"/>
        <v>1827.0061989500973</v>
      </c>
      <c r="S35" s="198">
        <f t="shared" si="16"/>
        <v>1.1051916073210726</v>
      </c>
      <c r="T35" s="207"/>
      <c r="U35" s="317">
        <f>IF(D35=0,0,SUM($L$21:L35))</f>
        <v>17368.36469637345</v>
      </c>
      <c r="V35" s="317">
        <f>IF(D35=0,0,SUM($J$21:J35))</f>
        <v>19195.370895323547</v>
      </c>
      <c r="W35" s="331">
        <f t="shared" si="10"/>
        <v>1827.0061989500973</v>
      </c>
      <c r="X35" s="200">
        <f t="shared" si="17"/>
        <v>1.1051916073210726</v>
      </c>
      <c r="Y35" s="201">
        <f t="shared" si="18"/>
        <v>46037</v>
      </c>
      <c r="Z35" s="202">
        <f t="shared" si="18"/>
        <v>46037</v>
      </c>
      <c r="AA35" s="246">
        <v>3</v>
      </c>
      <c r="AB35" s="136" t="s">
        <v>216</v>
      </c>
      <c r="AC35" s="336">
        <f>IFERROR(AVERAGEIFS(J80:J110,D80:D110,1,G80:G110,"mon"),0)</f>
        <v>658.56443719412721</v>
      </c>
      <c r="AD35" s="275">
        <f>COUNTIFS(D80:D110,1,G80:G110,"Mon")</f>
        <v>5</v>
      </c>
      <c r="AE35" s="335">
        <f>($I$9*'2024(¥)'!AI34)/AD35</f>
        <v>1605.9351072495901</v>
      </c>
      <c r="AF35" s="334">
        <f t="shared" ref="AF35:AF40" si="20">AD35*AE35</f>
        <v>8029.6755362479507</v>
      </c>
      <c r="AG35" s="203" t="s">
        <v>130</v>
      </c>
      <c r="AH35" s="203"/>
      <c r="AI35" s="18"/>
      <c r="AJ35" s="18"/>
      <c r="AK35" s="18"/>
      <c r="AL35" s="18"/>
      <c r="AM35" s="18"/>
      <c r="AN35" s="18"/>
    </row>
    <row r="36" spans="1:40" ht="20">
      <c r="A36" s="18"/>
      <c r="B36" s="151"/>
      <c r="C36" s="55">
        <v>16</v>
      </c>
      <c r="D36" s="54">
        <v>1</v>
      </c>
      <c r="E36" s="190">
        <f t="shared" si="12"/>
        <v>1</v>
      </c>
      <c r="F36" s="191">
        <f t="shared" si="13"/>
        <v>46038</v>
      </c>
      <c r="G36" s="192" t="str">
        <f t="shared" si="14"/>
        <v>Fri</v>
      </c>
      <c r="H36" s="193"/>
      <c r="I36" s="194"/>
      <c r="J36" s="308">
        <f>332580/B13</f>
        <v>3014.1381185426862</v>
      </c>
      <c r="K36" s="206"/>
      <c r="L36" s="317">
        <f t="shared" si="15"/>
        <v>2604.2196487763395</v>
      </c>
      <c r="M36" s="318">
        <f t="shared" si="7"/>
        <v>409.91846976634679</v>
      </c>
      <c r="N36" s="41">
        <f t="shared" si="8"/>
        <v>1.1574054899551034</v>
      </c>
      <c r="O36" s="197"/>
      <c r="P36" s="317">
        <f>IF(D36=0,0,SUM($L$21:L36))</f>
        <v>19972.584345149789</v>
      </c>
      <c r="Q36" s="317">
        <f>IF(D36=0,0,SUM($J$21:J36))</f>
        <v>22209.509013866234</v>
      </c>
      <c r="R36" s="321">
        <f t="shared" si="9"/>
        <v>2236.924668716445</v>
      </c>
      <c r="S36" s="198">
        <f t="shared" si="16"/>
        <v>1.111999760775058</v>
      </c>
      <c r="T36" s="207"/>
      <c r="U36" s="317">
        <f>IF(D36=0,0,SUM($L$21:L36))</f>
        <v>19972.584345149789</v>
      </c>
      <c r="V36" s="317">
        <f>IF(D36=0,0,SUM($J$21:J36))</f>
        <v>22209.509013866234</v>
      </c>
      <c r="W36" s="331">
        <f t="shared" si="10"/>
        <v>2236.924668716445</v>
      </c>
      <c r="X36" s="200">
        <f t="shared" si="17"/>
        <v>1.111999760775058</v>
      </c>
      <c r="Y36" s="201">
        <f t="shared" si="18"/>
        <v>46038</v>
      </c>
      <c r="Z36" s="202">
        <f t="shared" si="18"/>
        <v>46038</v>
      </c>
      <c r="AA36" s="246">
        <v>3</v>
      </c>
      <c r="AB36" s="243" t="s">
        <v>217</v>
      </c>
      <c r="AC36" s="336">
        <f>IFERROR(AVERAGEIFS(J80:J110,D80:D110,1,G80:G110,"tue"),0)</f>
        <v>2457.0781221678453</v>
      </c>
      <c r="AD36" s="275">
        <f>COUNTIFS(D80:D110,1,G80:G110,"tue")</f>
        <v>5</v>
      </c>
      <c r="AE36" s="335">
        <f>($I$9*'2024(¥)'!AI35)/AD36</f>
        <v>1851.4589743862257</v>
      </c>
      <c r="AF36" s="334">
        <f t="shared" si="20"/>
        <v>9257.294871931128</v>
      </c>
      <c r="AG36" s="203"/>
      <c r="AH36" s="203"/>
      <c r="AI36" s="18"/>
      <c r="AJ36" s="18"/>
      <c r="AK36" s="18"/>
      <c r="AL36" s="18"/>
      <c r="AM36" s="18"/>
      <c r="AN36" s="18"/>
    </row>
    <row r="37" spans="1:40" ht="20">
      <c r="A37" s="18"/>
      <c r="B37" s="151"/>
      <c r="C37" s="55">
        <v>17</v>
      </c>
      <c r="D37" s="54">
        <v>1</v>
      </c>
      <c r="E37" s="190">
        <f t="shared" si="12"/>
        <v>1</v>
      </c>
      <c r="F37" s="191">
        <f t="shared" si="13"/>
        <v>46039</v>
      </c>
      <c r="G37" s="192" t="str">
        <f t="shared" si="14"/>
        <v>Sat</v>
      </c>
      <c r="H37" s="193"/>
      <c r="I37" s="194"/>
      <c r="J37" s="308">
        <f>312220/B13</f>
        <v>2829.6175457676272</v>
      </c>
      <c r="K37" s="206"/>
      <c r="L37" s="317">
        <f t="shared" si="15"/>
        <v>675.21991729886406</v>
      </c>
      <c r="M37" s="318">
        <f t="shared" si="7"/>
        <v>2154.3976284687633</v>
      </c>
      <c r="N37" s="41">
        <f t="shared" si="8"/>
        <v>4.1906606622138334</v>
      </c>
      <c r="O37" s="197"/>
      <c r="P37" s="317">
        <f>IF(D37=0,0,SUM($L$21:L37))</f>
        <v>20647.804262448655</v>
      </c>
      <c r="Q37" s="317">
        <f>IF(D37=0,0,SUM($J$21:J37))</f>
        <v>25039.126559633864</v>
      </c>
      <c r="R37" s="321">
        <f t="shared" si="9"/>
        <v>4391.3222971852083</v>
      </c>
      <c r="S37" s="198">
        <f t="shared" si="16"/>
        <v>1.212677447023824</v>
      </c>
      <c r="T37" s="207"/>
      <c r="U37" s="317">
        <f>IF(D37=0,0,SUM($L$21:L37))</f>
        <v>20647.804262448655</v>
      </c>
      <c r="V37" s="317">
        <f>IF(D37=0,0,SUM($J$21:J37))</f>
        <v>25039.126559633864</v>
      </c>
      <c r="W37" s="331">
        <f t="shared" si="10"/>
        <v>4391.3222971852083</v>
      </c>
      <c r="X37" s="200">
        <f t="shared" si="17"/>
        <v>1.212677447023824</v>
      </c>
      <c r="Y37" s="201">
        <f t="shared" si="18"/>
        <v>46039</v>
      </c>
      <c r="Z37" s="202">
        <f t="shared" si="18"/>
        <v>46039</v>
      </c>
      <c r="AA37" s="246">
        <v>3</v>
      </c>
      <c r="AB37" s="243" t="s">
        <v>218</v>
      </c>
      <c r="AC37" s="336">
        <f>IFERROR(AVERAGEIFS(J80:J110,D80:D110,1,G80:G110,"wed"),0)</f>
        <v>2179.0828348740256</v>
      </c>
      <c r="AD37" s="275">
        <f>COUNTIFS(D80:D110,1,G80:G110,"wed")</f>
        <v>4</v>
      </c>
      <c r="AE37" s="335">
        <f>($I$9*'2024(¥)'!AI36)/AD37</f>
        <v>1932.8954991647802</v>
      </c>
      <c r="AF37" s="334">
        <f t="shared" si="20"/>
        <v>7731.5819966591207</v>
      </c>
      <c r="AG37" s="203"/>
      <c r="AH37" s="203"/>
      <c r="AI37" s="18"/>
      <c r="AJ37" s="18"/>
      <c r="AK37" s="18"/>
      <c r="AL37" s="18"/>
      <c r="AM37" s="18"/>
      <c r="AN37" s="18"/>
    </row>
    <row r="38" spans="1:40" ht="20">
      <c r="A38" s="18"/>
      <c r="B38" s="151"/>
      <c r="C38" s="55">
        <v>18</v>
      </c>
      <c r="D38" s="54">
        <v>0</v>
      </c>
      <c r="E38" s="190">
        <f t="shared" si="12"/>
        <v>1</v>
      </c>
      <c r="F38" s="191">
        <f t="shared" si="13"/>
        <v>46040</v>
      </c>
      <c r="G38" s="192" t="str">
        <f t="shared" si="14"/>
        <v>Sun</v>
      </c>
      <c r="H38" s="193"/>
      <c r="I38" s="194"/>
      <c r="J38" s="309"/>
      <c r="K38" s="209"/>
      <c r="L38" s="317">
        <f t="shared" si="15"/>
        <v>0</v>
      </c>
      <c r="M38" s="318">
        <f t="shared" si="7"/>
        <v>0</v>
      </c>
      <c r="N38" s="41" t="str">
        <f t="shared" si="8"/>
        <v>¥0</v>
      </c>
      <c r="O38" s="197"/>
      <c r="P38" s="317">
        <f>IF(D38=0,0,SUM($L$21:L38))</f>
        <v>0</v>
      </c>
      <c r="Q38" s="317">
        <f>IF(D38=0,0,SUM($J$21:J38))</f>
        <v>0</v>
      </c>
      <c r="R38" s="321">
        <f t="shared" si="9"/>
        <v>0</v>
      </c>
      <c r="S38" s="198">
        <f t="shared" si="16"/>
        <v>0</v>
      </c>
      <c r="T38" s="207"/>
      <c r="U38" s="317">
        <f>IF(D38=0,0,SUM($L$21:L38))</f>
        <v>0</v>
      </c>
      <c r="V38" s="317">
        <f>IF(D38=0,0,SUM($J$21:J38))</f>
        <v>0</v>
      </c>
      <c r="W38" s="331">
        <f t="shared" si="10"/>
        <v>0</v>
      </c>
      <c r="X38" s="200">
        <f t="shared" si="17"/>
        <v>0</v>
      </c>
      <c r="Y38" s="201">
        <f t="shared" si="18"/>
        <v>46040</v>
      </c>
      <c r="Z38" s="202">
        <f t="shared" si="18"/>
        <v>46040</v>
      </c>
      <c r="AA38" s="246">
        <v>3</v>
      </c>
      <c r="AB38" s="243" t="s">
        <v>219</v>
      </c>
      <c r="AC38" s="336">
        <f>IFERROR(AVERAGEIFS(J80:J110,D80:D110,1,G80:G110,"thu"),0)</f>
        <v>2594.3900670654339</v>
      </c>
      <c r="AD38" s="275">
        <f>COUNTIFS(D80:D110,1,G80:G110,"thu")</f>
        <v>4</v>
      </c>
      <c r="AE38" s="335">
        <f>($I$9*'2024(¥)'!AI37)/AD38</f>
        <v>2705.7030005488227</v>
      </c>
      <c r="AF38" s="334">
        <f t="shared" si="20"/>
        <v>10822.812002195291</v>
      </c>
      <c r="AG38" s="203"/>
      <c r="AH38" s="203"/>
      <c r="AI38" s="18"/>
      <c r="AJ38" s="18"/>
      <c r="AK38" s="18"/>
      <c r="AL38" s="18"/>
      <c r="AM38" s="18"/>
      <c r="AN38" s="18"/>
    </row>
    <row r="39" spans="1:40" ht="20">
      <c r="A39" s="18"/>
      <c r="B39" s="151"/>
      <c r="C39" s="55">
        <v>19</v>
      </c>
      <c r="D39" s="54">
        <v>1</v>
      </c>
      <c r="E39" s="190">
        <f t="shared" si="12"/>
        <v>1</v>
      </c>
      <c r="F39" s="191">
        <f t="shared" si="13"/>
        <v>46041</v>
      </c>
      <c r="G39" s="192" t="str">
        <f t="shared" si="14"/>
        <v>Mon</v>
      </c>
      <c r="H39" s="193"/>
      <c r="I39" s="194"/>
      <c r="J39" s="311">
        <f>76270/B13</f>
        <v>691.22711618633309</v>
      </c>
      <c r="K39" s="211"/>
      <c r="L39" s="317">
        <f t="shared" si="15"/>
        <v>2999.2981272687302</v>
      </c>
      <c r="M39" s="318">
        <f t="shared" si="7"/>
        <v>-2308.071011082397</v>
      </c>
      <c r="N39" s="41">
        <f t="shared" si="8"/>
        <v>0.23046295728387281</v>
      </c>
      <c r="O39" s="197"/>
      <c r="P39" s="317">
        <f>IF(D39=0,0,SUM($L$21:L39))</f>
        <v>23647.102389717387</v>
      </c>
      <c r="Q39" s="317">
        <f>IF(D39=0,0,SUM($J$21:J39))</f>
        <v>25730.353675820195</v>
      </c>
      <c r="R39" s="321">
        <f t="shared" si="9"/>
        <v>2083.2512861028081</v>
      </c>
      <c r="S39" s="198">
        <f t="shared" si="16"/>
        <v>1.0880975288967616</v>
      </c>
      <c r="T39" s="212"/>
      <c r="U39" s="317">
        <f>IF(D39=0,0,SUM($L$21:L39))</f>
        <v>23647.102389717387</v>
      </c>
      <c r="V39" s="317">
        <f>IF(D39=0,0,SUM($J$21:J39))</f>
        <v>25730.353675820195</v>
      </c>
      <c r="W39" s="331">
        <f t="shared" si="10"/>
        <v>2083.2512861028081</v>
      </c>
      <c r="X39" s="200">
        <f t="shared" si="17"/>
        <v>1.0880975288967616</v>
      </c>
      <c r="Y39" s="201">
        <f t="shared" ref="Y39:Z54" si="21">Y38+1</f>
        <v>46041</v>
      </c>
      <c r="Z39" s="202">
        <f t="shared" si="21"/>
        <v>46041</v>
      </c>
      <c r="AA39" s="246">
        <v>3</v>
      </c>
      <c r="AB39" s="243" t="s">
        <v>220</v>
      </c>
      <c r="AC39" s="336">
        <f>IFERROR(AVERAGEIFS(J80:J110,D80:D110,1,G80:G110,"fri"),0)</f>
        <v>2976.1645822004716</v>
      </c>
      <c r="AD39" s="275">
        <f>COUNTIFS(D80:D110,1,G80:G110,"fri")</f>
        <v>3</v>
      </c>
      <c r="AE39" s="335">
        <f>($I$9*'2024(¥)'!AI38)/AD39</f>
        <v>4714.3493285973536</v>
      </c>
      <c r="AF39" s="334">
        <f t="shared" si="20"/>
        <v>14143.047985792062</v>
      </c>
      <c r="AG39" s="203"/>
      <c r="AH39" s="203"/>
      <c r="AI39" s="18"/>
      <c r="AJ39" s="18"/>
      <c r="AK39" s="18"/>
      <c r="AL39" s="18"/>
      <c r="AM39" s="18"/>
      <c r="AN39" s="18"/>
    </row>
    <row r="40" spans="1:40" ht="20">
      <c r="A40" s="18"/>
      <c r="B40" s="151"/>
      <c r="C40" s="55">
        <v>20</v>
      </c>
      <c r="D40" s="54">
        <v>1</v>
      </c>
      <c r="E40" s="190">
        <f t="shared" si="12"/>
        <v>1</v>
      </c>
      <c r="F40" s="191">
        <f t="shared" si="13"/>
        <v>46042</v>
      </c>
      <c r="G40" s="192" t="str">
        <f t="shared" si="14"/>
        <v>Tue</v>
      </c>
      <c r="H40" s="193"/>
      <c r="I40" s="194"/>
      <c r="J40" s="308">
        <f>238030/B13</f>
        <v>2157.2412543048758</v>
      </c>
      <c r="K40" s="206"/>
      <c r="L40" s="317">
        <f t="shared" si="15"/>
        <v>1906.1827213688841</v>
      </c>
      <c r="M40" s="318">
        <f t="shared" si="7"/>
        <v>251.05853293599171</v>
      </c>
      <c r="N40" s="41">
        <f t="shared" si="8"/>
        <v>1.131707485395576</v>
      </c>
      <c r="O40" s="197"/>
      <c r="P40" s="317">
        <f>IF(D40=0,0,SUM($L$21:L40))</f>
        <v>25553.285111086272</v>
      </c>
      <c r="Q40" s="317">
        <f>IF(D40=0,0,SUM($J$21:J40))</f>
        <v>27887.594930125073</v>
      </c>
      <c r="R40" s="321">
        <f t="shared" si="9"/>
        <v>2334.3098190388009</v>
      </c>
      <c r="S40" s="198">
        <f t="shared" si="16"/>
        <v>1.0913506740480137</v>
      </c>
      <c r="T40" s="207"/>
      <c r="U40" s="317">
        <f>IF(D40=0,0,SUM($L$21:L40))</f>
        <v>25553.285111086272</v>
      </c>
      <c r="V40" s="317">
        <f>IF(D40=0,0,SUM($J$21:J40))</f>
        <v>27887.594930125073</v>
      </c>
      <c r="W40" s="331">
        <f t="shared" si="10"/>
        <v>2334.3098190388009</v>
      </c>
      <c r="X40" s="200">
        <f t="shared" si="17"/>
        <v>1.0913506740480137</v>
      </c>
      <c r="Y40" s="201">
        <f t="shared" si="21"/>
        <v>46042</v>
      </c>
      <c r="Z40" s="202">
        <f t="shared" si="21"/>
        <v>46042</v>
      </c>
      <c r="AA40" s="246">
        <v>3</v>
      </c>
      <c r="AB40" s="243" t="s">
        <v>221</v>
      </c>
      <c r="AC40" s="336">
        <f>IFERROR(AVERAGEIFS(J80:J110,D80:D110,1,G80:G110,"sat"),0)</f>
        <v>3020.6634040239255</v>
      </c>
      <c r="AD40" s="275">
        <f>COUNTIFS(D80:D110,1,G80:G110,"sat")</f>
        <v>4</v>
      </c>
      <c r="AE40" s="335">
        <f>($I$9*'2024(¥)'!AI39)/AD40</f>
        <v>1664.6726857341598</v>
      </c>
      <c r="AF40" s="334">
        <f t="shared" si="20"/>
        <v>6658.6907429366393</v>
      </c>
      <c r="AG40" s="273" t="s">
        <v>192</v>
      </c>
      <c r="AH40" s="203"/>
      <c r="AI40" s="18"/>
      <c r="AJ40" s="18"/>
      <c r="AK40" s="18"/>
      <c r="AL40" s="18"/>
      <c r="AM40" s="18"/>
      <c r="AN40" s="18"/>
    </row>
    <row r="41" spans="1:40" ht="20">
      <c r="A41" s="18"/>
      <c r="B41" s="151"/>
      <c r="C41" s="55">
        <v>21</v>
      </c>
      <c r="D41" s="54">
        <v>1</v>
      </c>
      <c r="E41" s="190">
        <f t="shared" si="12"/>
        <v>1</v>
      </c>
      <c r="F41" s="191">
        <f t="shared" si="13"/>
        <v>46043</v>
      </c>
      <c r="G41" s="192" t="str">
        <f t="shared" si="14"/>
        <v>Wed</v>
      </c>
      <c r="H41" s="193"/>
      <c r="I41" s="194"/>
      <c r="J41" s="308">
        <f>246550/B13</f>
        <v>2234.4571324995468</v>
      </c>
      <c r="K41" s="206"/>
      <c r="L41" s="317">
        <f t="shared" si="15"/>
        <v>2147.0126402590608</v>
      </c>
      <c r="M41" s="318">
        <f t="shared" si="7"/>
        <v>87.444492240485943</v>
      </c>
      <c r="N41" s="41">
        <f t="shared" si="8"/>
        <v>1.0407284477980228</v>
      </c>
      <c r="O41" s="197"/>
      <c r="P41" s="317">
        <f>IF(D41=0,0,SUM($L$21:L41))</f>
        <v>27700.297751345333</v>
      </c>
      <c r="Q41" s="317">
        <f>IF(D41=0,0,SUM($J$21:J41))</f>
        <v>30122.052062624622</v>
      </c>
      <c r="R41" s="321">
        <f t="shared" si="9"/>
        <v>2421.7543112792882</v>
      </c>
      <c r="S41" s="198">
        <f t="shared" si="16"/>
        <v>1.0874270137100484</v>
      </c>
      <c r="T41" s="207"/>
      <c r="U41" s="317">
        <f>IF(D41=0,0,SUM($L$21:L41))</f>
        <v>27700.297751345333</v>
      </c>
      <c r="V41" s="317">
        <f>IF(D41=0,0,SUM($J$21:J41))</f>
        <v>30122.052062624622</v>
      </c>
      <c r="W41" s="331">
        <f t="shared" si="10"/>
        <v>2421.7543112792882</v>
      </c>
      <c r="X41" s="200">
        <f t="shared" si="17"/>
        <v>1.0874270137100484</v>
      </c>
      <c r="Y41" s="201">
        <f t="shared" si="21"/>
        <v>46043</v>
      </c>
      <c r="Z41" s="202">
        <f t="shared" si="21"/>
        <v>46043</v>
      </c>
      <c r="AA41" s="246">
        <v>3</v>
      </c>
      <c r="AB41" s="243" t="s">
        <v>222</v>
      </c>
      <c r="AC41" s="336">
        <f>IFERROR(AVERAGEIFS(J80:J110,D80:D110,1,G80:G110,"sun"),0)</f>
        <v>0</v>
      </c>
      <c r="AD41" s="275">
        <f>IFERROR(COUNTIFS(D80:D110,1,G80:G110,"sun"),0)</f>
        <v>0</v>
      </c>
      <c r="AE41" s="335">
        <f>IFERROR(($I$9*'2024(¥)'!AI40)/AD41,0)</f>
        <v>0</v>
      </c>
      <c r="AF41" s="337">
        <f>SUM(AF35:AF40)</f>
        <v>56643.103135762198</v>
      </c>
      <c r="AG41" s="272">
        <f>I9</f>
        <v>56643.103135762191</v>
      </c>
      <c r="AH41" s="270"/>
      <c r="AI41" s="18"/>
      <c r="AJ41" s="18"/>
      <c r="AK41" s="18"/>
      <c r="AL41" s="18"/>
      <c r="AM41" s="18"/>
      <c r="AN41" s="18"/>
    </row>
    <row r="42" spans="1:40" ht="20">
      <c r="A42" s="18"/>
      <c r="B42" s="151"/>
      <c r="C42" s="55">
        <v>22</v>
      </c>
      <c r="D42" s="54">
        <v>1</v>
      </c>
      <c r="E42" s="190">
        <f t="shared" si="12"/>
        <v>1</v>
      </c>
      <c r="F42" s="191">
        <f t="shared" si="13"/>
        <v>46044</v>
      </c>
      <c r="G42" s="192" t="str">
        <f t="shared" si="14"/>
        <v>Thu</v>
      </c>
      <c r="H42" s="193"/>
      <c r="I42" s="194"/>
      <c r="J42" s="308">
        <f>207530/B13</f>
        <v>1880.8229110023562</v>
      </c>
      <c r="K42" s="206"/>
      <c r="L42" s="317">
        <f t="shared" si="15"/>
        <v>1491.6181398868125</v>
      </c>
      <c r="M42" s="318">
        <f t="shared" si="7"/>
        <v>389.20477111554374</v>
      </c>
      <c r="N42" s="41">
        <f t="shared" si="8"/>
        <v>1.2609278881155719</v>
      </c>
      <c r="O42" s="56"/>
      <c r="P42" s="317">
        <f>IF(D42=0,0,SUM($L$21:L42))</f>
        <v>29191.915891232147</v>
      </c>
      <c r="Q42" s="317">
        <f>IF(D42=0,0,SUM($J$21:J42))</f>
        <v>32002.874973626978</v>
      </c>
      <c r="R42" s="321">
        <f t="shared" si="9"/>
        <v>2810.9590823948311</v>
      </c>
      <c r="S42" s="198">
        <f t="shared" si="16"/>
        <v>1.0962923808381864</v>
      </c>
      <c r="T42" s="207"/>
      <c r="U42" s="317">
        <f>IF(D42=0,0,SUM($L$21:L42))</f>
        <v>29191.915891232147</v>
      </c>
      <c r="V42" s="317">
        <f>IF(D42=0,0,SUM($J$21:J42))</f>
        <v>32002.874973626978</v>
      </c>
      <c r="W42" s="331">
        <f t="shared" si="10"/>
        <v>2810.9590823948311</v>
      </c>
      <c r="X42" s="200">
        <f t="shared" si="17"/>
        <v>1.0962923808381864</v>
      </c>
      <c r="Y42" s="201">
        <f t="shared" si="21"/>
        <v>46044</v>
      </c>
      <c r="Z42" s="202">
        <f t="shared" si="21"/>
        <v>46044</v>
      </c>
      <c r="AA42" s="246">
        <v>4</v>
      </c>
      <c r="AB42" s="136" t="s">
        <v>216</v>
      </c>
      <c r="AC42" s="336">
        <f>IFERROR(AVERAGEIFS(J111:J140,D111:D140,1,G111:G140,"mon"),0)</f>
        <v>842.75874569512416</v>
      </c>
      <c r="AD42" s="275">
        <f>COUNTIFS(D111:D140,1,G111:G140,"Mon")</f>
        <v>4</v>
      </c>
      <c r="AE42" s="335">
        <f>($I$10*'2024(¥)'!AI41)/AD42</f>
        <v>2131.1312640979108</v>
      </c>
      <c r="AF42" s="334">
        <f t="shared" ref="AF42:AF47" si="22">AD42*AE42</f>
        <v>8524.5250563916434</v>
      </c>
      <c r="AG42" s="203" t="s">
        <v>131</v>
      </c>
      <c r="AH42" s="203"/>
      <c r="AI42" s="18"/>
      <c r="AJ42" s="18"/>
      <c r="AK42" s="18"/>
      <c r="AL42" s="18"/>
      <c r="AM42" s="18"/>
      <c r="AN42" s="18"/>
    </row>
    <row r="43" spans="1:40" ht="20">
      <c r="A43" s="18"/>
      <c r="B43" s="151"/>
      <c r="C43" s="55">
        <v>23</v>
      </c>
      <c r="D43" s="54">
        <v>1</v>
      </c>
      <c r="E43" s="190">
        <f t="shared" si="12"/>
        <v>1</v>
      </c>
      <c r="F43" s="191">
        <f t="shared" si="13"/>
        <v>46045</v>
      </c>
      <c r="G43" s="192" t="str">
        <f t="shared" si="14"/>
        <v>Fri</v>
      </c>
      <c r="H43" s="193"/>
      <c r="I43" s="194"/>
      <c r="J43" s="308">
        <f>302150/B13</f>
        <v>2738.354177995287</v>
      </c>
      <c r="K43" s="206"/>
      <c r="L43" s="317">
        <f t="shared" si="15"/>
        <v>2604.2196487763395</v>
      </c>
      <c r="M43" s="318">
        <f t="shared" si="7"/>
        <v>134.13452921894759</v>
      </c>
      <c r="N43" s="41">
        <f t="shared" si="8"/>
        <v>1.0515066113113669</v>
      </c>
      <c r="O43" s="56"/>
      <c r="P43" s="317">
        <f>IF(D43=0,0,SUM($L$21:L43))</f>
        <v>31796.135540008487</v>
      </c>
      <c r="Q43" s="317">
        <f>IF(D43=0,0,SUM($J$21:J43))</f>
        <v>34741.229151622269</v>
      </c>
      <c r="R43" s="321">
        <f t="shared" si="9"/>
        <v>2945.0936116137818</v>
      </c>
      <c r="S43" s="198">
        <f t="shared" si="16"/>
        <v>1.0926242627160783</v>
      </c>
      <c r="T43" s="207"/>
      <c r="U43" s="317">
        <f>IF(D43=0,0,SUM($L$21:L43))</f>
        <v>31796.135540008487</v>
      </c>
      <c r="V43" s="317">
        <f>IF(D43=0,0,SUM($J$21:J43))</f>
        <v>34741.229151622269</v>
      </c>
      <c r="W43" s="331">
        <f t="shared" si="10"/>
        <v>2945.0936116137818</v>
      </c>
      <c r="X43" s="200">
        <f t="shared" si="17"/>
        <v>1.0926242627160783</v>
      </c>
      <c r="Y43" s="201">
        <f t="shared" si="21"/>
        <v>46045</v>
      </c>
      <c r="Z43" s="202">
        <f t="shared" si="21"/>
        <v>46045</v>
      </c>
      <c r="AA43" s="246">
        <v>4</v>
      </c>
      <c r="AB43" s="243" t="s">
        <v>217</v>
      </c>
      <c r="AC43" s="336">
        <f>IFERROR(AVERAGEIFS(J111:J140,D111:D140,1,G111:G140,"tue"),0)</f>
        <v>2356.3077759651983</v>
      </c>
      <c r="AD43" s="275">
        <f>COUNTIFS(D111:D140,1,G111:G140,"tue")</f>
        <v>4</v>
      </c>
      <c r="AE43" s="335">
        <f>($I$10*'2024(¥)'!AI42)/AD43</f>
        <v>3147.3462736461952</v>
      </c>
      <c r="AF43" s="334">
        <f t="shared" si="22"/>
        <v>12589.385094584781</v>
      </c>
      <c r="AG43" s="203"/>
      <c r="AH43" s="203"/>
      <c r="AI43" s="18"/>
      <c r="AJ43" s="18"/>
      <c r="AK43" s="18"/>
      <c r="AL43" s="18"/>
      <c r="AM43" s="18"/>
      <c r="AN43" s="18"/>
    </row>
    <row r="44" spans="1:40" ht="20">
      <c r="A44" s="18"/>
      <c r="B44" s="151"/>
      <c r="C44" s="55">
        <v>24</v>
      </c>
      <c r="D44" s="54">
        <v>1</v>
      </c>
      <c r="E44" s="190">
        <f t="shared" si="12"/>
        <v>1</v>
      </c>
      <c r="F44" s="191">
        <f t="shared" si="13"/>
        <v>46046</v>
      </c>
      <c r="G44" s="192" t="str">
        <f t="shared" si="14"/>
        <v>Sat</v>
      </c>
      <c r="H44" s="193"/>
      <c r="I44" s="194"/>
      <c r="J44" s="308">
        <f>398010/B13</f>
        <v>3607.1234366503531</v>
      </c>
      <c r="K44" s="206"/>
      <c r="L44" s="317">
        <f t="shared" si="15"/>
        <v>675.21991729886406</v>
      </c>
      <c r="M44" s="318">
        <f t="shared" si="7"/>
        <v>2931.9035193514892</v>
      </c>
      <c r="N44" s="41">
        <f t="shared" si="8"/>
        <v>5.3421460834274797</v>
      </c>
      <c r="O44" s="56"/>
      <c r="P44" s="317">
        <f>IF(D44=0,0,SUM($L$21:L44))</f>
        <v>32471.355457307352</v>
      </c>
      <c r="Q44" s="317">
        <f>IF(D44=0,0,SUM($J$21:J44))</f>
        <v>38348.352588272624</v>
      </c>
      <c r="R44" s="321">
        <f t="shared" si="9"/>
        <v>5876.9971309652719</v>
      </c>
      <c r="S44" s="198">
        <f t="shared" si="16"/>
        <v>1.1809902003842194</v>
      </c>
      <c r="T44" s="207"/>
      <c r="U44" s="317">
        <f>IF(D44=0,0,SUM($L$21:L44))</f>
        <v>32471.355457307352</v>
      </c>
      <c r="V44" s="317">
        <f>IF(D44=0,0,SUM($J$21:J44))</f>
        <v>38348.352588272624</v>
      </c>
      <c r="W44" s="331">
        <f t="shared" si="10"/>
        <v>5876.9971309652719</v>
      </c>
      <c r="X44" s="200">
        <f t="shared" si="17"/>
        <v>1.1809902003842194</v>
      </c>
      <c r="Y44" s="201">
        <f t="shared" si="21"/>
        <v>46046</v>
      </c>
      <c r="Z44" s="202">
        <f t="shared" si="21"/>
        <v>46046</v>
      </c>
      <c r="AA44" s="246">
        <v>4</v>
      </c>
      <c r="AB44" s="243" t="s">
        <v>218</v>
      </c>
      <c r="AC44" s="336">
        <f>IFERROR(AVERAGEIFS(J111:J140,D111:D140,1,G111:G140,"wed"),0)</f>
        <v>2710.4404567699835</v>
      </c>
      <c r="AD44" s="275">
        <f>COUNTIFS(D111:D140,1,G111:G140,"wed")</f>
        <v>4</v>
      </c>
      <c r="AE44" s="335">
        <f>($I$10*'2024(¥)'!AI43)/AD44</f>
        <v>2731.606998945108</v>
      </c>
      <c r="AF44" s="334">
        <f t="shared" si="22"/>
        <v>10926.427995780432</v>
      </c>
      <c r="AG44" s="203"/>
      <c r="AH44" s="203"/>
      <c r="AI44" s="18"/>
      <c r="AJ44" s="18"/>
      <c r="AK44" s="18"/>
      <c r="AL44" s="18"/>
      <c r="AM44" s="18"/>
      <c r="AN44" s="18"/>
    </row>
    <row r="45" spans="1:40" ht="20">
      <c r="A45" s="18"/>
      <c r="B45" s="151"/>
      <c r="C45" s="55">
        <v>25</v>
      </c>
      <c r="D45" s="54">
        <v>0</v>
      </c>
      <c r="E45" s="190">
        <f t="shared" si="12"/>
        <v>1</v>
      </c>
      <c r="F45" s="191">
        <f t="shared" si="13"/>
        <v>46047</v>
      </c>
      <c r="G45" s="192" t="str">
        <f t="shared" si="14"/>
        <v>Sun</v>
      </c>
      <c r="H45" s="193"/>
      <c r="I45" s="194"/>
      <c r="J45" s="309"/>
      <c r="K45" s="209"/>
      <c r="L45" s="317">
        <f t="shared" si="15"/>
        <v>0</v>
      </c>
      <c r="M45" s="318">
        <f t="shared" si="7"/>
        <v>0</v>
      </c>
      <c r="N45" s="41" t="str">
        <f t="shared" si="8"/>
        <v>¥0</v>
      </c>
      <c r="O45" s="56"/>
      <c r="P45" s="317">
        <f>IF(D45=0,0,SUM($L$21:L45))</f>
        <v>0</v>
      </c>
      <c r="Q45" s="317">
        <f>IF(D45=0,0,SUM($J$21:J45))</f>
        <v>0</v>
      </c>
      <c r="R45" s="321">
        <f t="shared" si="9"/>
        <v>0</v>
      </c>
      <c r="S45" s="198">
        <f t="shared" si="16"/>
        <v>0</v>
      </c>
      <c r="T45" s="207"/>
      <c r="U45" s="317">
        <f>IF(D45=0,0,SUM($L$21:L45))</f>
        <v>0</v>
      </c>
      <c r="V45" s="317">
        <f>IF(D45=0,0,SUM($J$21:J45))</f>
        <v>0</v>
      </c>
      <c r="W45" s="331">
        <f t="shared" si="10"/>
        <v>0</v>
      </c>
      <c r="X45" s="200">
        <f t="shared" si="17"/>
        <v>0</v>
      </c>
      <c r="Y45" s="201">
        <f t="shared" si="21"/>
        <v>46047</v>
      </c>
      <c r="Z45" s="202">
        <f t="shared" si="21"/>
        <v>46047</v>
      </c>
      <c r="AA45" s="246">
        <v>4</v>
      </c>
      <c r="AB45" s="243" t="s">
        <v>219</v>
      </c>
      <c r="AC45" s="336">
        <f>IFERROR(AVERAGEIFS(J111:J140,D111:D140,1,G111:G140,"thu"),0)</f>
        <v>2496.2479608482872</v>
      </c>
      <c r="AD45" s="275">
        <f>COUNTIFS(D111:D140,1,G111:G140,"thu")</f>
        <v>5</v>
      </c>
      <c r="AE45" s="335">
        <f>($I$10*'2024(¥)'!AI44)/AD45</f>
        <v>2075.7824167379185</v>
      </c>
      <c r="AF45" s="334">
        <f t="shared" si="22"/>
        <v>10378.912083689593</v>
      </c>
      <c r="AG45" s="203"/>
      <c r="AH45" s="203"/>
      <c r="AI45" s="18"/>
      <c r="AJ45" s="18"/>
      <c r="AK45" s="18"/>
      <c r="AL45" s="18"/>
      <c r="AM45" s="18"/>
      <c r="AN45" s="18"/>
    </row>
    <row r="46" spans="1:40" ht="20">
      <c r="A46" s="18"/>
      <c r="B46" s="151"/>
      <c r="C46" s="55">
        <v>26</v>
      </c>
      <c r="D46" s="54">
        <v>1</v>
      </c>
      <c r="E46" s="190">
        <f t="shared" si="12"/>
        <v>1</v>
      </c>
      <c r="F46" s="191">
        <f t="shared" si="13"/>
        <v>46048</v>
      </c>
      <c r="G46" s="192" t="str">
        <f t="shared" si="14"/>
        <v>Mon</v>
      </c>
      <c r="H46" s="193"/>
      <c r="I46" s="194"/>
      <c r="J46" s="311">
        <f>99980/B13</f>
        <v>906.10839224216056</v>
      </c>
      <c r="K46" s="211"/>
      <c r="L46" s="317">
        <f t="shared" si="15"/>
        <v>2999.2981272687302</v>
      </c>
      <c r="M46" s="318">
        <f t="shared" si="7"/>
        <v>-2093.1897350265699</v>
      </c>
      <c r="N46" s="41">
        <f t="shared" si="8"/>
        <v>0.30210681092489322</v>
      </c>
      <c r="O46" s="44"/>
      <c r="P46" s="317">
        <f>IF(D46=0,0,SUM($L$21:L46))</f>
        <v>35470.653584576081</v>
      </c>
      <c r="Q46" s="317">
        <f>IF(D46=0,0,SUM($J$21:J46))</f>
        <v>39254.460980514785</v>
      </c>
      <c r="R46" s="321">
        <f t="shared" si="9"/>
        <v>3783.8073959387038</v>
      </c>
      <c r="S46" s="198">
        <f t="shared" si="16"/>
        <v>1.1066743071682232</v>
      </c>
      <c r="T46" s="212"/>
      <c r="U46" s="317">
        <f>IF(D46=0,0,SUM($L$21:L46))</f>
        <v>35470.653584576081</v>
      </c>
      <c r="V46" s="317">
        <f>IF(D46=0,0,SUM($J$21:J46))</f>
        <v>39254.460980514785</v>
      </c>
      <c r="W46" s="331">
        <f t="shared" si="10"/>
        <v>3783.8073959387038</v>
      </c>
      <c r="X46" s="200">
        <f t="shared" si="17"/>
        <v>1.1066743071682232</v>
      </c>
      <c r="Y46" s="201">
        <f t="shared" si="21"/>
        <v>46048</v>
      </c>
      <c r="Z46" s="202">
        <f t="shared" si="21"/>
        <v>46048</v>
      </c>
      <c r="AA46" s="246">
        <v>4</v>
      </c>
      <c r="AB46" s="243" t="s">
        <v>220</v>
      </c>
      <c r="AC46" s="336">
        <f>IFERROR(AVERAGEIFS(J111:J140,D111:D140,1,G111:G140,"fri"),0)</f>
        <v>3146.6376653978614</v>
      </c>
      <c r="AD46" s="275">
        <f>COUNTIFS(D111:D140,1,G111:G140,"fri")</f>
        <v>4</v>
      </c>
      <c r="AE46" s="335">
        <f>($I$10*'2024(¥)'!AI45)/AD46</f>
        <v>3090.1473320374894</v>
      </c>
      <c r="AF46" s="334">
        <f t="shared" si="22"/>
        <v>12360.589328149958</v>
      </c>
      <c r="AG46" s="203"/>
      <c r="AH46" s="203"/>
      <c r="AI46" s="18"/>
      <c r="AJ46" s="18"/>
      <c r="AK46" s="18"/>
      <c r="AL46" s="18"/>
      <c r="AM46" s="18"/>
      <c r="AN46" s="18"/>
    </row>
    <row r="47" spans="1:40" ht="20">
      <c r="A47" s="18"/>
      <c r="B47" s="151"/>
      <c r="C47" s="55">
        <v>27</v>
      </c>
      <c r="D47" s="54">
        <v>1</v>
      </c>
      <c r="E47" s="190">
        <f t="shared" si="12"/>
        <v>1</v>
      </c>
      <c r="F47" s="191">
        <f t="shared" si="13"/>
        <v>46049</v>
      </c>
      <c r="G47" s="192" t="str">
        <f t="shared" si="14"/>
        <v>Tue</v>
      </c>
      <c r="H47" s="193"/>
      <c r="I47" s="194"/>
      <c r="J47" s="308">
        <f>270710/B13</f>
        <v>2453.4167119811491</v>
      </c>
      <c r="K47" s="206"/>
      <c r="L47" s="317">
        <f t="shared" si="15"/>
        <v>1906.1827213688841</v>
      </c>
      <c r="M47" s="318">
        <f t="shared" si="7"/>
        <v>547.23399061226496</v>
      </c>
      <c r="N47" s="41">
        <f t="shared" si="8"/>
        <v>1.2870837010941325</v>
      </c>
      <c r="O47" s="56"/>
      <c r="P47" s="317">
        <f>IF(D47=0,0,SUM($L$21:L47))</f>
        <v>37376.836305944962</v>
      </c>
      <c r="Q47" s="317">
        <f>IF(D47=0,0,SUM($J$21:J47))</f>
        <v>41707.877692495931</v>
      </c>
      <c r="R47" s="321">
        <f t="shared" si="9"/>
        <v>4331.041386550969</v>
      </c>
      <c r="S47" s="198">
        <f t="shared" si="16"/>
        <v>1.1158750128314658</v>
      </c>
      <c r="T47" s="207"/>
      <c r="U47" s="317">
        <f>IF(D47=0,0,SUM($L$21:L47))</f>
        <v>37376.836305944962</v>
      </c>
      <c r="V47" s="317">
        <f>IF(D47=0,0,SUM($J$21:J47))</f>
        <v>41707.877692495931</v>
      </c>
      <c r="W47" s="331">
        <f t="shared" si="10"/>
        <v>4331.041386550969</v>
      </c>
      <c r="X47" s="200">
        <f t="shared" si="17"/>
        <v>1.1158750128314658</v>
      </c>
      <c r="Y47" s="201">
        <f t="shared" si="21"/>
        <v>46049</v>
      </c>
      <c r="Z47" s="202">
        <f t="shared" si="21"/>
        <v>46049</v>
      </c>
      <c r="AA47" s="246">
        <v>4</v>
      </c>
      <c r="AB47" s="243" t="s">
        <v>221</v>
      </c>
      <c r="AC47" s="336">
        <f>IFERROR(AVERAGEIFS(J111:J140,D111:D140,1,G111:G140,"sat"),0)</f>
        <v>3147.2720681529818</v>
      </c>
      <c r="AD47" s="275">
        <f>COUNTIFS(D111:D140,1,G111:G140,"sat")</f>
        <v>4</v>
      </c>
      <c r="AE47" s="335">
        <f>($I$10*'2024(¥)'!AI46)/AD47</f>
        <v>1881.8934726855011</v>
      </c>
      <c r="AF47" s="334">
        <f t="shared" si="22"/>
        <v>7527.5738907420046</v>
      </c>
      <c r="AG47" s="273" t="s">
        <v>193</v>
      </c>
      <c r="AH47" s="203"/>
      <c r="AI47" s="18"/>
      <c r="AJ47" s="18"/>
      <c r="AK47" s="18"/>
      <c r="AL47" s="18"/>
      <c r="AM47" s="18"/>
      <c r="AN47" s="18"/>
    </row>
    <row r="48" spans="1:40" ht="20">
      <c r="A48" s="18"/>
      <c r="B48" s="151"/>
      <c r="C48" s="55">
        <v>28</v>
      </c>
      <c r="D48" s="54">
        <v>1</v>
      </c>
      <c r="E48" s="190">
        <f t="shared" si="12"/>
        <v>1</v>
      </c>
      <c r="F48" s="191">
        <f t="shared" si="13"/>
        <v>46050</v>
      </c>
      <c r="G48" s="192" t="str">
        <f t="shared" si="14"/>
        <v>Wed</v>
      </c>
      <c r="H48" s="193"/>
      <c r="I48" s="194"/>
      <c r="J48" s="308">
        <f>270800/B13</f>
        <v>2454.2323726663039</v>
      </c>
      <c r="K48" s="206"/>
      <c r="L48" s="317">
        <f t="shared" si="15"/>
        <v>2147.0126402590608</v>
      </c>
      <c r="M48" s="318">
        <f t="shared" si="7"/>
        <v>307.2197324072431</v>
      </c>
      <c r="N48" s="41">
        <f t="shared" si="8"/>
        <v>1.1430917203962869</v>
      </c>
      <c r="O48" s="56"/>
      <c r="P48" s="317">
        <f>IF(D48=0,0,SUM($L$21:L48))</f>
        <v>39523.848946204023</v>
      </c>
      <c r="Q48" s="317">
        <f>IF(D48=0,0,SUM($J$21:J48))</f>
        <v>44162.110065162233</v>
      </c>
      <c r="R48" s="321">
        <f t="shared" si="9"/>
        <v>4638.2611189582094</v>
      </c>
      <c r="S48" s="198">
        <f t="shared" si="16"/>
        <v>1.1173534775236935</v>
      </c>
      <c r="T48" s="207"/>
      <c r="U48" s="317">
        <f>IF(D48=0,0,SUM($L$21:L48))</f>
        <v>39523.848946204023</v>
      </c>
      <c r="V48" s="317">
        <f>IF(D48=0,0,SUM($J$21:J48))</f>
        <v>44162.110065162233</v>
      </c>
      <c r="W48" s="331">
        <f t="shared" si="10"/>
        <v>4638.2611189582094</v>
      </c>
      <c r="X48" s="200">
        <f t="shared" si="17"/>
        <v>1.1173534775236935</v>
      </c>
      <c r="Y48" s="201">
        <f t="shared" si="21"/>
        <v>46050</v>
      </c>
      <c r="Z48" s="202">
        <f t="shared" si="21"/>
        <v>46050</v>
      </c>
      <c r="AA48" s="246">
        <v>4</v>
      </c>
      <c r="AB48" s="243" t="s">
        <v>222</v>
      </c>
      <c r="AC48" s="336">
        <f>IFERROR(AVERAGEIFS(J111:J140,D111:D140,1,G111:G140,"sun"),0)</f>
        <v>0</v>
      </c>
      <c r="AD48" s="275">
        <f>IFERROR(COUNTIFS(D111:D140,1,G111:G140,"sun"),0)</f>
        <v>0</v>
      </c>
      <c r="AE48" s="335">
        <f>IFERROR(($I$10*'2024(¥)'!AI47)/AD48,0)</f>
        <v>0</v>
      </c>
      <c r="AF48" s="337">
        <f>SUM(AF42:AF47)</f>
        <v>62307.413449338404</v>
      </c>
      <c r="AG48" s="272">
        <f>I10</f>
        <v>62307.413449338412</v>
      </c>
      <c r="AH48" s="270"/>
      <c r="AI48" s="18"/>
      <c r="AJ48" s="18"/>
      <c r="AK48" s="18"/>
      <c r="AL48" s="18"/>
      <c r="AM48" s="18"/>
      <c r="AN48" s="18"/>
    </row>
    <row r="49" spans="1:40" ht="20">
      <c r="A49" s="18"/>
      <c r="B49" s="151"/>
      <c r="C49" s="55">
        <v>29</v>
      </c>
      <c r="D49" s="54">
        <v>1</v>
      </c>
      <c r="E49" s="190">
        <f t="shared" si="12"/>
        <v>1</v>
      </c>
      <c r="F49" s="191">
        <f t="shared" si="13"/>
        <v>46051</v>
      </c>
      <c r="G49" s="192" t="str">
        <f t="shared" si="14"/>
        <v>Thu</v>
      </c>
      <c r="H49" s="193"/>
      <c r="I49" s="194"/>
      <c r="J49" s="308">
        <f>278350/B13</f>
        <v>2522.6572412543046</v>
      </c>
      <c r="K49" s="206"/>
      <c r="L49" s="317">
        <f t="shared" si="15"/>
        <v>1491.6181398868125</v>
      </c>
      <c r="M49" s="318">
        <f t="shared" si="7"/>
        <v>1031.0391013674921</v>
      </c>
      <c r="N49" s="41">
        <f t="shared" si="8"/>
        <v>1.6912218843394662</v>
      </c>
      <c r="O49" s="56"/>
      <c r="P49" s="317">
        <f>IF(D49=0,0,SUM($L$21:L49))</f>
        <v>41015.467086090837</v>
      </c>
      <c r="Q49" s="317">
        <f>IF(D49=0,0,SUM($J$21:J49))</f>
        <v>46684.767306416536</v>
      </c>
      <c r="R49" s="321">
        <f t="shared" si="9"/>
        <v>5669.3002203256983</v>
      </c>
      <c r="S49" s="198">
        <f t="shared" si="16"/>
        <v>1.1382234708780941</v>
      </c>
      <c r="T49" s="207"/>
      <c r="U49" s="317">
        <f>IF(D49=0,0,SUM($L$21:L49))</f>
        <v>41015.467086090837</v>
      </c>
      <c r="V49" s="317">
        <f>IF(D49=0,0,SUM($J$21:J49))</f>
        <v>46684.767306416536</v>
      </c>
      <c r="W49" s="331">
        <f t="shared" si="10"/>
        <v>5669.3002203256983</v>
      </c>
      <c r="X49" s="200">
        <f t="shared" si="17"/>
        <v>1.1382234708780941</v>
      </c>
      <c r="Y49" s="201">
        <f t="shared" si="21"/>
        <v>46051</v>
      </c>
      <c r="Z49" s="202">
        <f t="shared" si="21"/>
        <v>46051</v>
      </c>
      <c r="AA49" s="246">
        <v>5</v>
      </c>
      <c r="AB49" s="136" t="s">
        <v>216</v>
      </c>
      <c r="AC49" s="336">
        <f>IFERROR(AVERAGEIFS(J141:J171,D141:D171,1,G141:G171,"mon"),0)</f>
        <v>2430.8742674158661</v>
      </c>
      <c r="AD49" s="275">
        <f>COUNTIFS(D141:D171,1,G141:G171,"Mon")</f>
        <v>3</v>
      </c>
      <c r="AE49" s="335">
        <f>($I$11*'2024(¥)'!AI48)/AD49</f>
        <v>2016.9248666403266</v>
      </c>
      <c r="AF49" s="334">
        <f t="shared" ref="AF49:AF54" si="23">AD49*AE49</f>
        <v>6050.7745999209801</v>
      </c>
      <c r="AG49" s="203" t="s">
        <v>132</v>
      </c>
      <c r="AH49" s="203"/>
      <c r="AI49" s="18"/>
      <c r="AJ49" s="18"/>
      <c r="AK49" s="18"/>
      <c r="AL49" s="18"/>
      <c r="AM49" s="18"/>
      <c r="AN49" s="18"/>
    </row>
    <row r="50" spans="1:40" ht="20">
      <c r="A50" s="18"/>
      <c r="B50" s="151"/>
      <c r="C50" s="55">
        <v>30</v>
      </c>
      <c r="D50" s="54">
        <v>1</v>
      </c>
      <c r="E50" s="190">
        <f t="shared" si="12"/>
        <v>1</v>
      </c>
      <c r="F50" s="191">
        <f t="shared" si="13"/>
        <v>46052</v>
      </c>
      <c r="G50" s="192" t="str">
        <f t="shared" si="14"/>
        <v>Fri</v>
      </c>
      <c r="H50" s="193"/>
      <c r="I50" s="194"/>
      <c r="J50" s="307">
        <f>317820/B13</f>
        <v>2880.3697661772703</v>
      </c>
      <c r="K50" s="215"/>
      <c r="L50" s="317">
        <f t="shared" si="15"/>
        <v>2604.2196487763395</v>
      </c>
      <c r="M50" s="318">
        <f t="shared" si="7"/>
        <v>276.15011740093087</v>
      </c>
      <c r="N50" s="41">
        <f t="shared" si="8"/>
        <v>1.106039487694783</v>
      </c>
      <c r="O50" s="56"/>
      <c r="P50" s="317">
        <f>IF(D50=0,0,SUM($L$21:L50))</f>
        <v>43619.68673486718</v>
      </c>
      <c r="Q50" s="317">
        <f>IF(D50=0,0,SUM($J$21:J50))</f>
        <v>49565.137072593803</v>
      </c>
      <c r="R50" s="321">
        <f t="shared" si="9"/>
        <v>5945.4503377266228</v>
      </c>
      <c r="S50" s="198">
        <f t="shared" si="16"/>
        <v>1.1363019953321709</v>
      </c>
      <c r="T50" s="207"/>
      <c r="U50" s="317">
        <f>IF(D50=0,0,SUM($L$21:L50))</f>
        <v>43619.68673486718</v>
      </c>
      <c r="V50" s="317">
        <f>IF(D50=0,0,SUM($J$21:J50))</f>
        <v>49565.137072593803</v>
      </c>
      <c r="W50" s="331">
        <f t="shared" si="10"/>
        <v>5945.4503377266228</v>
      </c>
      <c r="X50" s="200">
        <f t="shared" si="17"/>
        <v>1.1363019953321709</v>
      </c>
      <c r="Y50" s="201">
        <f t="shared" si="21"/>
        <v>46052</v>
      </c>
      <c r="Z50" s="202">
        <f t="shared" si="21"/>
        <v>46052</v>
      </c>
      <c r="AA50" s="246">
        <v>5</v>
      </c>
      <c r="AB50" s="243" t="s">
        <v>217</v>
      </c>
      <c r="AC50" s="336">
        <f>IFERROR(AVERAGEIFS(J141:J171,D141:D171,1,G141:G171,"tue"),0)</f>
        <v>2924.699413932693</v>
      </c>
      <c r="AD50" s="275">
        <f>COUNTIFS(D141:D171,1,G141:G171,"tue")</f>
        <v>3</v>
      </c>
      <c r="AE50" s="335">
        <f>($I$11*'2024(¥)'!AI49)/AD50</f>
        <v>2614.8625202369585</v>
      </c>
      <c r="AF50" s="334">
        <f t="shared" si="23"/>
        <v>7844.5875607108756</v>
      </c>
      <c r="AG50" s="203"/>
      <c r="AH50" s="203"/>
      <c r="AI50" s="18"/>
      <c r="AJ50" s="18"/>
      <c r="AK50" s="18"/>
      <c r="AL50" s="18"/>
      <c r="AM50" s="18"/>
      <c r="AN50" s="18"/>
    </row>
    <row r="51" spans="1:40" ht="21" thickBot="1">
      <c r="A51" s="18"/>
      <c r="B51" s="151"/>
      <c r="C51" s="216">
        <v>31</v>
      </c>
      <c r="D51" s="38">
        <v>1</v>
      </c>
      <c r="E51" s="217">
        <f t="shared" si="12"/>
        <v>1</v>
      </c>
      <c r="F51" s="218">
        <f t="shared" si="13"/>
        <v>46053</v>
      </c>
      <c r="G51" s="219" t="str">
        <f t="shared" si="14"/>
        <v>Sat</v>
      </c>
      <c r="H51" s="220"/>
      <c r="I51" s="221"/>
      <c r="J51" s="312">
        <f>335220/B13</f>
        <v>3038.0641653072321</v>
      </c>
      <c r="K51" s="223"/>
      <c r="L51" s="319">
        <f t="shared" si="15"/>
        <v>675.21991729886406</v>
      </c>
      <c r="M51" s="320">
        <f t="shared" si="7"/>
        <v>2362.8442480083681</v>
      </c>
      <c r="N51" s="225">
        <f t="shared" si="8"/>
        <v>4.4993698904212449</v>
      </c>
      <c r="O51" s="226"/>
      <c r="P51" s="322">
        <f>IF(D51=0,0,SUM($L$21:L51))</f>
        <v>44294.906652166042</v>
      </c>
      <c r="Q51" s="323">
        <f>IF(D51=0,0,SUM($J$21:J51))</f>
        <v>52603.201237901034</v>
      </c>
      <c r="R51" s="320">
        <f t="shared" si="9"/>
        <v>8308.2945857349914</v>
      </c>
      <c r="S51" s="228">
        <f t="shared" si="16"/>
        <v>1.187567718586189</v>
      </c>
      <c r="T51" s="229"/>
      <c r="U51" s="332">
        <f>IF(D51=0,0,SUM($L$21:L51))</f>
        <v>44294.906652166042</v>
      </c>
      <c r="V51" s="323">
        <f>IF(D51=0,0,SUM($J$21:J51))</f>
        <v>52603.201237901034</v>
      </c>
      <c r="W51" s="333">
        <f t="shared" si="10"/>
        <v>8308.2945857349914</v>
      </c>
      <c r="X51" s="230">
        <f t="shared" si="17"/>
        <v>1.187567718586189</v>
      </c>
      <c r="Y51" s="201">
        <f t="shared" si="21"/>
        <v>46053</v>
      </c>
      <c r="Z51" s="202">
        <f t="shared" si="21"/>
        <v>46053</v>
      </c>
      <c r="AA51" s="246">
        <v>5</v>
      </c>
      <c r="AB51" s="243" t="s">
        <v>218</v>
      </c>
      <c r="AC51" s="336">
        <f>IFERROR(AVERAGEIFS(J141:J171,D141:D171,1,G141:G171,"wed"),0)</f>
        <v>2683.8499184339312</v>
      </c>
      <c r="AD51" s="275">
        <f>COUNTIFS(D141:D171,1,G141:G171,"wed")</f>
        <v>3</v>
      </c>
      <c r="AE51" s="335">
        <f>($I$11*'2024(¥)'!AI50)/AD51</f>
        <v>4518.9705565400836</v>
      </c>
      <c r="AF51" s="334">
        <f t="shared" si="23"/>
        <v>13556.911669620251</v>
      </c>
      <c r="AG51" s="203"/>
      <c r="AH51" s="203"/>
      <c r="AI51" s="18"/>
      <c r="AJ51" s="18"/>
      <c r="AK51" s="18"/>
      <c r="AL51" s="18"/>
      <c r="AM51" s="18"/>
      <c r="AN51" s="18"/>
    </row>
    <row r="52" spans="1:40" ht="21" thickTop="1">
      <c r="A52" s="18"/>
      <c r="B52" s="151"/>
      <c r="C52" s="55">
        <v>32</v>
      </c>
      <c r="D52" s="62">
        <v>0</v>
      </c>
      <c r="E52" s="190">
        <f t="shared" si="12"/>
        <v>2</v>
      </c>
      <c r="F52" s="191">
        <f t="shared" si="13"/>
        <v>46054</v>
      </c>
      <c r="G52" s="192" t="str">
        <f t="shared" si="14"/>
        <v>Sun</v>
      </c>
      <c r="H52" s="193"/>
      <c r="I52" s="194"/>
      <c r="J52" s="307"/>
      <c r="K52" s="215"/>
      <c r="L52" s="317">
        <f t="shared" si="15"/>
        <v>0</v>
      </c>
      <c r="M52" s="321">
        <f t="shared" si="7"/>
        <v>0</v>
      </c>
      <c r="N52" s="60" t="str">
        <f t="shared" si="8"/>
        <v>¥0</v>
      </c>
      <c r="O52" s="56"/>
      <c r="P52" s="317">
        <f>IF(D52=0,0,$L$52)</f>
        <v>0</v>
      </c>
      <c r="Q52" s="317">
        <f>IF(D52=0,0,$J$52)</f>
        <v>0</v>
      </c>
      <c r="R52" s="321">
        <f t="shared" si="9"/>
        <v>0</v>
      </c>
      <c r="S52" s="231">
        <f t="shared" si="16"/>
        <v>0</v>
      </c>
      <c r="T52" s="207"/>
      <c r="U52" s="317">
        <f>IF(D52=0,0,SUM($L$21:L52))</f>
        <v>0</v>
      </c>
      <c r="V52" s="317">
        <f>IF(D52=0,0,SUM($J$21:J52))</f>
        <v>0</v>
      </c>
      <c r="W52" s="331">
        <f t="shared" si="10"/>
        <v>0</v>
      </c>
      <c r="X52" s="232">
        <f t="shared" si="17"/>
        <v>0</v>
      </c>
      <c r="Y52" s="201">
        <f t="shared" si="21"/>
        <v>46054</v>
      </c>
      <c r="Z52" s="202">
        <f t="shared" si="21"/>
        <v>46054</v>
      </c>
      <c r="AA52" s="246">
        <v>5</v>
      </c>
      <c r="AB52" s="243" t="s">
        <v>219</v>
      </c>
      <c r="AC52" s="336">
        <f>IFERROR(AVERAGEIFS(J141:J171,D141:D171,1,G141:G171,"thu"),0)</f>
        <v>2763.6555193039694</v>
      </c>
      <c r="AD52" s="275">
        <f>COUNTIFS(D141:D171,1,G141:G171,"thu")</f>
        <v>4</v>
      </c>
      <c r="AE52" s="335">
        <f>($I$11*'2024(¥)'!AI51)/AD52</f>
        <v>2328.9391960475646</v>
      </c>
      <c r="AF52" s="334">
        <f t="shared" si="23"/>
        <v>9315.7567841902583</v>
      </c>
      <c r="AG52" s="203"/>
      <c r="AH52" s="203"/>
      <c r="AI52" s="18"/>
      <c r="AJ52" s="18"/>
      <c r="AK52" s="18"/>
      <c r="AL52" s="18"/>
      <c r="AM52" s="18"/>
      <c r="AN52" s="18"/>
    </row>
    <row r="53" spans="1:40" ht="20">
      <c r="A53" s="18"/>
      <c r="B53" s="151"/>
      <c r="C53" s="55">
        <v>33</v>
      </c>
      <c r="D53" s="54">
        <v>1</v>
      </c>
      <c r="E53" s="190">
        <f t="shared" si="12"/>
        <v>2</v>
      </c>
      <c r="F53" s="191">
        <f t="shared" si="13"/>
        <v>46055</v>
      </c>
      <c r="G53" s="192" t="str">
        <f t="shared" si="14"/>
        <v>Mon</v>
      </c>
      <c r="H53" s="193"/>
      <c r="I53" s="194"/>
      <c r="J53" s="307">
        <f>76880/B13</f>
        <v>696.75548305238351</v>
      </c>
      <c r="K53" s="215"/>
      <c r="L53" s="317">
        <f t="shared" si="15"/>
        <v>1958.8512134375744</v>
      </c>
      <c r="M53" s="318">
        <f t="shared" si="7"/>
        <v>-1262.095730385191</v>
      </c>
      <c r="N53" s="41">
        <f t="shared" si="8"/>
        <v>0.355695970307848</v>
      </c>
      <c r="O53" s="44"/>
      <c r="P53" s="317">
        <f>IF(D53=0,0,SUM($L$52:L53))</f>
        <v>1958.8512134375744</v>
      </c>
      <c r="Q53" s="317">
        <f>IF(D53=0,0,SUM($J$52:J53))</f>
        <v>696.75548305238351</v>
      </c>
      <c r="R53" s="321">
        <f t="shared" si="9"/>
        <v>-1262.095730385191</v>
      </c>
      <c r="S53" s="198">
        <f t="shared" si="16"/>
        <v>0.355695970307848</v>
      </c>
      <c r="T53" s="212"/>
      <c r="U53" s="317">
        <f>IF(D53=0,0,SUM($L$21:L53))</f>
        <v>46253.75786560362</v>
      </c>
      <c r="V53" s="317">
        <f>IF(D53=0,0,SUM($J$21:J53))</f>
        <v>53299.956720953414</v>
      </c>
      <c r="W53" s="331">
        <f t="shared" si="10"/>
        <v>7046.198855349794</v>
      </c>
      <c r="X53" s="200">
        <f t="shared" si="17"/>
        <v>1.1523378678943978</v>
      </c>
      <c r="Y53" s="201">
        <f t="shared" si="21"/>
        <v>46055</v>
      </c>
      <c r="Z53" s="202">
        <f t="shared" si="21"/>
        <v>46055</v>
      </c>
      <c r="AA53" s="246">
        <v>5</v>
      </c>
      <c r="AB53" s="243" t="s">
        <v>220</v>
      </c>
      <c r="AC53" s="336">
        <f>IFERROR(AVERAGEIFS(J141:J171,D141:D171,1,G141:G171,"fri"),0)</f>
        <v>2326.9331158238174</v>
      </c>
      <c r="AD53" s="275">
        <f>COUNTIFS(D141:D171,1,G141:G171,"fri")</f>
        <v>5</v>
      </c>
      <c r="AE53" s="335">
        <f>($I$11*'2024(¥)'!AI52)/AD53</f>
        <v>2366.8711785254509</v>
      </c>
      <c r="AF53" s="334">
        <f t="shared" si="23"/>
        <v>11834.355892627254</v>
      </c>
      <c r="AG53" s="203"/>
      <c r="AH53" s="203"/>
      <c r="AI53" s="18"/>
      <c r="AJ53" s="18"/>
      <c r="AK53" s="18"/>
      <c r="AL53" s="18"/>
      <c r="AM53" s="18"/>
      <c r="AN53" s="18"/>
    </row>
    <row r="54" spans="1:40" ht="20">
      <c r="A54" s="18"/>
      <c r="B54" s="151"/>
      <c r="C54" s="55">
        <v>34</v>
      </c>
      <c r="D54" s="54">
        <v>1</v>
      </c>
      <c r="E54" s="190">
        <f t="shared" si="12"/>
        <v>2</v>
      </c>
      <c r="F54" s="191">
        <f t="shared" si="13"/>
        <v>46056</v>
      </c>
      <c r="G54" s="192" t="str">
        <f t="shared" si="14"/>
        <v>Tue</v>
      </c>
      <c r="H54" s="193"/>
      <c r="I54" s="194"/>
      <c r="J54" s="307">
        <f>269090/B13</f>
        <v>2438.7348196483595</v>
      </c>
      <c r="K54" s="215"/>
      <c r="L54" s="317">
        <f t="shared" si="15"/>
        <v>1814.8068247478191</v>
      </c>
      <c r="M54" s="318">
        <f t="shared" si="7"/>
        <v>623.9279949005404</v>
      </c>
      <c r="N54" s="41">
        <f t="shared" si="8"/>
        <v>1.3437985720531109</v>
      </c>
      <c r="O54" s="56"/>
      <c r="P54" s="317">
        <f>IF(D54=0,0,SUM($L$52:L54))</f>
        <v>3773.6580381853937</v>
      </c>
      <c r="Q54" s="317">
        <f>IF(D54=0,0,SUM($J$52:J54))</f>
        <v>3135.4903027007431</v>
      </c>
      <c r="R54" s="321">
        <f t="shared" si="9"/>
        <v>-638.16773548465062</v>
      </c>
      <c r="S54" s="198">
        <f t="shared" si="16"/>
        <v>0.83088882749123694</v>
      </c>
      <c r="T54" s="207"/>
      <c r="U54" s="317">
        <f>IF(D54=0,0,SUM($L$21:L54))</f>
        <v>48068.564690351443</v>
      </c>
      <c r="V54" s="317">
        <f>IF(D54=0,0,SUM($J$21:J54))</f>
        <v>55738.691540601772</v>
      </c>
      <c r="W54" s="331">
        <f t="shared" si="10"/>
        <v>7670.1268502503299</v>
      </c>
      <c r="X54" s="200">
        <f t="shared" si="17"/>
        <v>1.1595663798089215</v>
      </c>
      <c r="Y54" s="201">
        <f t="shared" si="21"/>
        <v>46056</v>
      </c>
      <c r="Z54" s="202">
        <f t="shared" si="21"/>
        <v>46056</v>
      </c>
      <c r="AA54" s="246">
        <v>5</v>
      </c>
      <c r="AB54" s="243" t="s">
        <v>221</v>
      </c>
      <c r="AC54" s="336">
        <f>IFERROR(AVERAGEIFS(J141:J171,D141:D171,1,G141:G171,"sat"),0)</f>
        <v>3259.0810222947252</v>
      </c>
      <c r="AD54" s="275">
        <f>COUNTIFS(D141:D171,1,G141:G171,"sat")</f>
        <v>5</v>
      </c>
      <c r="AE54" s="335">
        <f>($I$11*'2024(¥)'!AI53)/AD54</f>
        <v>701.85367556631979</v>
      </c>
      <c r="AF54" s="334">
        <f t="shared" si="23"/>
        <v>3509.2683778315991</v>
      </c>
      <c r="AG54" s="273" t="s">
        <v>194</v>
      </c>
      <c r="AH54" s="203"/>
      <c r="AI54" s="18"/>
      <c r="AJ54" s="18"/>
      <c r="AK54" s="18"/>
      <c r="AL54" s="18"/>
      <c r="AM54" s="18"/>
      <c r="AN54" s="18"/>
    </row>
    <row r="55" spans="1:40" ht="20">
      <c r="A55" s="18"/>
      <c r="B55" s="151"/>
      <c r="C55" s="55">
        <v>35</v>
      </c>
      <c r="D55" s="54">
        <v>1</v>
      </c>
      <c r="E55" s="190">
        <f t="shared" si="12"/>
        <v>2</v>
      </c>
      <c r="F55" s="191">
        <f t="shared" si="13"/>
        <v>46057</v>
      </c>
      <c r="G55" s="192" t="str">
        <f t="shared" si="14"/>
        <v>Wed</v>
      </c>
      <c r="H55" s="193"/>
      <c r="I55" s="194"/>
      <c r="J55" s="307">
        <f>250480/B13</f>
        <v>2270.0743157513139</v>
      </c>
      <c r="K55" s="215"/>
      <c r="L55" s="317">
        <f t="shared" si="15"/>
        <v>2504.1389198722622</v>
      </c>
      <c r="M55" s="318">
        <f t="shared" si="7"/>
        <v>-234.06460412094839</v>
      </c>
      <c r="N55" s="41">
        <f t="shared" si="8"/>
        <v>0.90652890609883252</v>
      </c>
      <c r="O55" s="56"/>
      <c r="P55" s="317">
        <f>IF(D55=0,0,SUM($L$52:L55))</f>
        <v>6277.7969580576555</v>
      </c>
      <c r="Q55" s="317">
        <f>IF(D55=0,0,SUM($J$52:J55))</f>
        <v>5405.5646184520574</v>
      </c>
      <c r="R55" s="321">
        <f t="shared" si="9"/>
        <v>-872.2323396055981</v>
      </c>
      <c r="S55" s="198">
        <f t="shared" si="16"/>
        <v>0.86106075978037588</v>
      </c>
      <c r="T55" s="207"/>
      <c r="U55" s="317">
        <f>IF(D55=0,0,SUM($L$21:L55))</f>
        <v>50572.703610223703</v>
      </c>
      <c r="V55" s="317">
        <f>IF(D55=0,0,SUM($J$21:J55))</f>
        <v>58008.765856353086</v>
      </c>
      <c r="W55" s="331">
        <f t="shared" si="10"/>
        <v>7436.0622461293824</v>
      </c>
      <c r="X55" s="200">
        <f t="shared" si="17"/>
        <v>1.1470370716867531</v>
      </c>
      <c r="Y55" s="201">
        <f t="shared" ref="Y55:Z70" si="24">Y54+1</f>
        <v>46057</v>
      </c>
      <c r="Z55" s="202">
        <f t="shared" si="24"/>
        <v>46057</v>
      </c>
      <c r="AA55" s="246">
        <v>5</v>
      </c>
      <c r="AB55" s="243" t="s">
        <v>222</v>
      </c>
      <c r="AC55" s="336">
        <f>IFERROR(AVERAGEIFS(J141:J171,D141:D171,1,G141:G171,"sun"),0)</f>
        <v>0</v>
      </c>
      <c r="AD55" s="275">
        <f>IFERROR(COUNTIFS(D141:D171,1,G141:G171,"sun"),0)</f>
        <v>0</v>
      </c>
      <c r="AE55" s="335">
        <f>IFERROR(($I$11*'2024(¥)'!AI54)/AD55,0)</f>
        <v>0</v>
      </c>
      <c r="AF55" s="337">
        <f>SUM(AF49:AF54)</f>
        <v>52111.654884901218</v>
      </c>
      <c r="AG55" s="272">
        <f>I11</f>
        <v>52111.654884901218</v>
      </c>
      <c r="AH55" s="270"/>
      <c r="AI55" s="18"/>
      <c r="AJ55" s="18"/>
      <c r="AK55" s="18"/>
      <c r="AL55" s="18"/>
      <c r="AM55" s="18"/>
      <c r="AN55" s="18"/>
    </row>
    <row r="56" spans="1:40" ht="20">
      <c r="A56" s="18"/>
      <c r="B56" s="151"/>
      <c r="C56" s="55">
        <v>36</v>
      </c>
      <c r="D56" s="54">
        <v>1</v>
      </c>
      <c r="E56" s="190">
        <f t="shared" si="12"/>
        <v>2</v>
      </c>
      <c r="F56" s="191">
        <f t="shared" si="13"/>
        <v>46058</v>
      </c>
      <c r="G56" s="192" t="str">
        <f t="shared" si="14"/>
        <v>Thu</v>
      </c>
      <c r="H56" s="193"/>
      <c r="I56" s="194"/>
      <c r="J56" s="307">
        <f>273590/B13</f>
        <v>2479.5178539061085</v>
      </c>
      <c r="K56" s="215"/>
      <c r="L56" s="317">
        <f t="shared" si="15"/>
        <v>2471.2866908728442</v>
      </c>
      <c r="M56" s="318">
        <f t="shared" si="7"/>
        <v>8.231163033264238</v>
      </c>
      <c r="N56" s="41">
        <f t="shared" si="8"/>
        <v>1.0033307196059706</v>
      </c>
      <c r="O56" s="56"/>
      <c r="P56" s="317">
        <f>IF(D56=0,0,SUM($L$52:L56))</f>
        <v>8749.0836489305002</v>
      </c>
      <c r="Q56" s="317">
        <f>IF(D56=0,0,SUM($J$52:J56))</f>
        <v>7885.0824723581663</v>
      </c>
      <c r="R56" s="321">
        <f t="shared" si="9"/>
        <v>-864.00117657233386</v>
      </c>
      <c r="S56" s="198">
        <f t="shared" si="16"/>
        <v>0.90124666636625994</v>
      </c>
      <c r="T56" s="207"/>
      <c r="U56" s="317">
        <f>IF(D56=0,0,SUM($L$21:L56))</f>
        <v>53043.99030109655</v>
      </c>
      <c r="V56" s="317">
        <f>IF(D56=0,0,SUM($J$21:J56))</f>
        <v>60488.283710259195</v>
      </c>
      <c r="W56" s="331">
        <f t="shared" si="10"/>
        <v>7444.2934091626448</v>
      </c>
      <c r="X56" s="200">
        <f t="shared" si="17"/>
        <v>1.1403418816515536</v>
      </c>
      <c r="Y56" s="201">
        <f t="shared" si="24"/>
        <v>46058</v>
      </c>
      <c r="Z56" s="202">
        <f t="shared" si="24"/>
        <v>46058</v>
      </c>
      <c r="AA56" s="246">
        <v>6</v>
      </c>
      <c r="AB56" s="136" t="s">
        <v>216</v>
      </c>
      <c r="AC56" s="336">
        <f>IFERROR(AVERAGEIFS(J172:J201,D172:D201,1,G172:G201,"mon"),0)</f>
        <v>1213.6124705455863</v>
      </c>
      <c r="AD56" s="275">
        <f>COUNTIFS(D172:D201,1,G172:G201,"Mon")</f>
        <v>5</v>
      </c>
      <c r="AE56" s="335">
        <f>($I$12*'2024(¥)'!AI55)/AD56</f>
        <v>1303.5572877002019</v>
      </c>
      <c r="AF56" s="334">
        <f t="shared" ref="AF56:AF61" si="25">AD56*AE56</f>
        <v>6517.7864385010089</v>
      </c>
      <c r="AG56" s="203" t="s">
        <v>133</v>
      </c>
      <c r="AH56" s="203"/>
      <c r="AI56" s="18"/>
      <c r="AJ56" s="18"/>
      <c r="AK56" s="18"/>
      <c r="AL56" s="18"/>
      <c r="AM56" s="18"/>
      <c r="AN56" s="18"/>
    </row>
    <row r="57" spans="1:40" ht="20">
      <c r="A57" s="18"/>
      <c r="B57" s="151"/>
      <c r="C57" s="55">
        <v>37</v>
      </c>
      <c r="D57" s="54">
        <v>1</v>
      </c>
      <c r="E57" s="190">
        <f t="shared" si="12"/>
        <v>2</v>
      </c>
      <c r="F57" s="191">
        <f t="shared" si="13"/>
        <v>46059</v>
      </c>
      <c r="G57" s="192" t="str">
        <f t="shared" si="14"/>
        <v>Fri</v>
      </c>
      <c r="H57" s="193"/>
      <c r="I57" s="194"/>
      <c r="J57" s="307">
        <f>302940/B13</f>
        <v>2745.5138662316476</v>
      </c>
      <c r="K57" s="215"/>
      <c r="L57" s="317">
        <f t="shared" si="15"/>
        <v>1803.5831367140688</v>
      </c>
      <c r="M57" s="318">
        <f t="shared" si="7"/>
        <v>941.93072951757881</v>
      </c>
      <c r="N57" s="41">
        <f t="shared" si="8"/>
        <v>1.5222552320120233</v>
      </c>
      <c r="O57" s="56"/>
      <c r="P57" s="317">
        <f>IF(D57=0,0,SUM($L$52:L57))</f>
        <v>10552.666785644569</v>
      </c>
      <c r="Q57" s="317">
        <f>IF(D57=0,0,SUM($J$52:J57))</f>
        <v>10630.596338589814</v>
      </c>
      <c r="R57" s="321">
        <f t="shared" si="9"/>
        <v>77.929552945244723</v>
      </c>
      <c r="S57" s="198">
        <f t="shared" si="16"/>
        <v>1.0073848207783134</v>
      </c>
      <c r="T57" s="207"/>
      <c r="U57" s="317">
        <f>IF(D57=0,0,SUM($L$21:L57))</f>
        <v>54847.573437810621</v>
      </c>
      <c r="V57" s="317">
        <f>IF(D57=0,0,SUM($J$21:J57))</f>
        <v>63233.797576490841</v>
      </c>
      <c r="W57" s="331">
        <f t="shared" si="10"/>
        <v>8386.2241386802198</v>
      </c>
      <c r="X57" s="200">
        <f t="shared" si="17"/>
        <v>1.1529005498883012</v>
      </c>
      <c r="Y57" s="201">
        <f t="shared" si="24"/>
        <v>46059</v>
      </c>
      <c r="Z57" s="202">
        <f t="shared" si="24"/>
        <v>46059</v>
      </c>
      <c r="AA57" s="246">
        <v>6</v>
      </c>
      <c r="AB57" s="243" t="s">
        <v>217</v>
      </c>
      <c r="AC57" s="336">
        <f>IFERROR(AVERAGEIFS(J172:J201,D172:D201,1,G172:G201,"tue"),0)</f>
        <v>2744.2631865144094</v>
      </c>
      <c r="AD57" s="275">
        <f>COUNTIFS(D172:D201,1,G172:G201,"tue")</f>
        <v>5</v>
      </c>
      <c r="AE57" s="335">
        <f>($I$12*'2024(¥)'!AI56)/AD57</f>
        <v>1388.0235690012096</v>
      </c>
      <c r="AF57" s="334">
        <f t="shared" si="25"/>
        <v>6940.1178450060479</v>
      </c>
      <c r="AG57" s="203"/>
      <c r="AH57" s="203"/>
      <c r="AI57" s="18"/>
      <c r="AJ57" s="18"/>
      <c r="AK57" s="18"/>
      <c r="AL57" s="18"/>
      <c r="AM57" s="18"/>
      <c r="AN57" s="18"/>
    </row>
    <row r="58" spans="1:40" ht="20">
      <c r="A58" s="18"/>
      <c r="B58" s="151"/>
      <c r="C58" s="55">
        <v>38</v>
      </c>
      <c r="D58" s="54">
        <v>1</v>
      </c>
      <c r="E58" s="190">
        <f t="shared" si="12"/>
        <v>2</v>
      </c>
      <c r="F58" s="191">
        <f t="shared" si="13"/>
        <v>46060</v>
      </c>
      <c r="G58" s="192" t="str">
        <f t="shared" si="14"/>
        <v>Sat</v>
      </c>
      <c r="H58" s="193"/>
      <c r="I58" s="194"/>
      <c r="J58" s="307">
        <f>312510/B13</f>
        <v>2832.2457857531267</v>
      </c>
      <c r="K58" s="215"/>
      <c r="L58" s="317">
        <f t="shared" si="15"/>
        <v>1155.341034070419</v>
      </c>
      <c r="M58" s="318">
        <f t="shared" si="7"/>
        <v>1676.9047516827077</v>
      </c>
      <c r="N58" s="41">
        <f t="shared" si="8"/>
        <v>2.4514370235555045</v>
      </c>
      <c r="O58" s="56"/>
      <c r="P58" s="317">
        <f>IF(D58=0,0,SUM($L$52:L58))</f>
        <v>11708.007819714989</v>
      </c>
      <c r="Q58" s="317">
        <f>IF(D58=0,0,SUM($J$52:J58))</f>
        <v>13462.84212434294</v>
      </c>
      <c r="R58" s="321">
        <f t="shared" si="9"/>
        <v>1754.8343046279515</v>
      </c>
      <c r="S58" s="198">
        <f t="shared" si="16"/>
        <v>1.1498832535517276</v>
      </c>
      <c r="T58" s="207"/>
      <c r="U58" s="317">
        <f>IF(D58=0,0,SUM($L$21:L58))</f>
        <v>56002.914471881042</v>
      </c>
      <c r="V58" s="317">
        <f>IF(D58=0,0,SUM($J$21:J58))</f>
        <v>66066.043362243974</v>
      </c>
      <c r="W58" s="331">
        <f t="shared" si="10"/>
        <v>10063.128890362932</v>
      </c>
      <c r="X58" s="200">
        <f t="shared" si="17"/>
        <v>1.1796893784057545</v>
      </c>
      <c r="Y58" s="201">
        <f t="shared" si="24"/>
        <v>46060</v>
      </c>
      <c r="Z58" s="202">
        <f t="shared" si="24"/>
        <v>46060</v>
      </c>
      <c r="AA58" s="246">
        <v>6</v>
      </c>
      <c r="AB58" s="243" t="s">
        <v>218</v>
      </c>
      <c r="AC58" s="336">
        <f>IFERROR(AVERAGEIFS(J172:J201,D172:D201,1,G172:G201,"wed"),0)</f>
        <v>2174.1208990393329</v>
      </c>
      <c r="AD58" s="275">
        <f>COUNTIFS(D172:D201,1,G172:G201,"wed")</f>
        <v>4</v>
      </c>
      <c r="AE58" s="335">
        <f>($I$12*'2024(¥)'!AI57)/AD58</f>
        <v>2613.8906933915891</v>
      </c>
      <c r="AF58" s="334">
        <f t="shared" si="25"/>
        <v>10455.562773566357</v>
      </c>
      <c r="AG58" s="203"/>
      <c r="AH58" s="203"/>
      <c r="AI58" s="18"/>
      <c r="AJ58" s="18"/>
      <c r="AK58" s="18"/>
      <c r="AL58" s="18"/>
      <c r="AM58" s="18"/>
      <c r="AN58" s="18"/>
    </row>
    <row r="59" spans="1:40" ht="20">
      <c r="A59" s="18"/>
      <c r="B59" s="151"/>
      <c r="C59" s="55">
        <v>39</v>
      </c>
      <c r="D59" s="54">
        <v>0</v>
      </c>
      <c r="E59" s="190">
        <f t="shared" si="12"/>
        <v>2</v>
      </c>
      <c r="F59" s="191">
        <f t="shared" si="13"/>
        <v>46061</v>
      </c>
      <c r="G59" s="192" t="str">
        <f t="shared" si="14"/>
        <v>Sun</v>
      </c>
      <c r="H59" s="193"/>
      <c r="I59" s="194"/>
      <c r="J59" s="307"/>
      <c r="K59" s="215"/>
      <c r="L59" s="317">
        <f t="shared" si="15"/>
        <v>0</v>
      </c>
      <c r="M59" s="318">
        <f t="shared" si="7"/>
        <v>0</v>
      </c>
      <c r="N59" s="41" t="str">
        <f t="shared" si="8"/>
        <v>¥0</v>
      </c>
      <c r="O59" s="56"/>
      <c r="P59" s="317">
        <f>IF(D59=0,0,SUM($L$52:L59))</f>
        <v>0</v>
      </c>
      <c r="Q59" s="317">
        <f>IF(D59=0,0,SUM($J$52:J59))</f>
        <v>0</v>
      </c>
      <c r="R59" s="321">
        <f t="shared" si="9"/>
        <v>0</v>
      </c>
      <c r="S59" s="198">
        <f t="shared" si="16"/>
        <v>0</v>
      </c>
      <c r="T59" s="207"/>
      <c r="U59" s="317">
        <f>IF(D59=0,0,SUM($L$21:L59))</f>
        <v>0</v>
      </c>
      <c r="V59" s="317">
        <f>IF(D59=0,0,SUM($J$21:J59))</f>
        <v>0</v>
      </c>
      <c r="W59" s="331">
        <f t="shared" si="10"/>
        <v>0</v>
      </c>
      <c r="X59" s="200">
        <f t="shared" si="17"/>
        <v>0</v>
      </c>
      <c r="Y59" s="201">
        <f t="shared" si="24"/>
        <v>46061</v>
      </c>
      <c r="Z59" s="202">
        <f t="shared" si="24"/>
        <v>46061</v>
      </c>
      <c r="AA59" s="246">
        <v>6</v>
      </c>
      <c r="AB59" s="243" t="s">
        <v>219</v>
      </c>
      <c r="AC59" s="336">
        <f>IFERROR(AVERAGEIFS(J172:J201,D172:D201,1,G172:G201,"thu"),0)</f>
        <v>2461.2787746963927</v>
      </c>
      <c r="AD59" s="275">
        <f>COUNTIFS(D172:D201,1,G172:G201,"thu")</f>
        <v>4</v>
      </c>
      <c r="AE59" s="335">
        <f>($I$12*'2024(¥)'!AI58)/AD59</f>
        <v>2368.6325140670947</v>
      </c>
      <c r="AF59" s="334">
        <f t="shared" si="25"/>
        <v>9474.5300562683788</v>
      </c>
      <c r="AG59" s="203"/>
      <c r="AH59" s="203"/>
      <c r="AI59" s="18"/>
      <c r="AJ59" s="18"/>
      <c r="AK59" s="18"/>
      <c r="AL59" s="18"/>
      <c r="AM59" s="18"/>
      <c r="AN59" s="18"/>
    </row>
    <row r="60" spans="1:40" ht="20">
      <c r="A60" s="18"/>
      <c r="B60" s="151"/>
      <c r="C60" s="55">
        <v>40</v>
      </c>
      <c r="D60" s="54">
        <v>1</v>
      </c>
      <c r="E60" s="190">
        <f t="shared" si="12"/>
        <v>2</v>
      </c>
      <c r="F60" s="191">
        <f t="shared" si="13"/>
        <v>46062</v>
      </c>
      <c r="G60" s="192" t="str">
        <f t="shared" si="14"/>
        <v>Mon</v>
      </c>
      <c r="H60" s="193"/>
      <c r="I60" s="194"/>
      <c r="J60" s="307">
        <f>46100/B13</f>
        <v>417.7995287293819</v>
      </c>
      <c r="K60" s="215"/>
      <c r="L60" s="317">
        <f t="shared" si="15"/>
        <v>1958.8512134375744</v>
      </c>
      <c r="M60" s="318">
        <f t="shared" si="7"/>
        <v>-1541.0516847081926</v>
      </c>
      <c r="N60" s="41">
        <f t="shared" si="8"/>
        <v>0.21328803630582457</v>
      </c>
      <c r="O60" s="44"/>
      <c r="P60" s="317">
        <f>IF(D60=0,0,SUM($L$52:L60))</f>
        <v>13666.859033152563</v>
      </c>
      <c r="Q60" s="317">
        <f>IF(D60=0,0,SUM($J$52:J60))</f>
        <v>13880.641653072322</v>
      </c>
      <c r="R60" s="321">
        <f t="shared" si="9"/>
        <v>213.78261991975887</v>
      </c>
      <c r="S60" s="198">
        <f t="shared" si="16"/>
        <v>1.0156424105495763</v>
      </c>
      <c r="T60" s="212"/>
      <c r="U60" s="317">
        <f>IF(D60=0,0,SUM($L$21:L60))</f>
        <v>57961.76568531862</v>
      </c>
      <c r="V60" s="317">
        <f>IF(D60=0,0,SUM($J$21:J60))</f>
        <v>66483.842890973363</v>
      </c>
      <c r="W60" s="331">
        <f t="shared" si="10"/>
        <v>8522.077205654743</v>
      </c>
      <c r="X60" s="200">
        <f t="shared" si="17"/>
        <v>1.1470292891338425</v>
      </c>
      <c r="Y60" s="201">
        <f t="shared" si="24"/>
        <v>46062</v>
      </c>
      <c r="Z60" s="202">
        <f t="shared" si="24"/>
        <v>46062</v>
      </c>
      <c r="AA60" s="246">
        <v>6</v>
      </c>
      <c r="AB60" s="243" t="s">
        <v>220</v>
      </c>
      <c r="AC60" s="336">
        <f>IFERROR(AVERAGEIFS(J172:J201,D172:D201,1,G172:G201,"fri"),0)</f>
        <v>2042.0518397679898</v>
      </c>
      <c r="AD60" s="275">
        <f>COUNTIFS(D172:D201,1,G172:G201,"fri")</f>
        <v>4</v>
      </c>
      <c r="AE60" s="335">
        <f>($I$12*'2024(¥)'!AI59)/AD60</f>
        <v>2735.4285695561939</v>
      </c>
      <c r="AF60" s="334">
        <f t="shared" si="25"/>
        <v>10941.714278224776</v>
      </c>
      <c r="AG60" s="203"/>
      <c r="AH60" s="203"/>
      <c r="AI60" s="18"/>
      <c r="AJ60" s="18"/>
      <c r="AK60" s="18"/>
      <c r="AL60" s="18"/>
      <c r="AM60" s="18"/>
      <c r="AN60" s="18"/>
    </row>
    <row r="61" spans="1:40" ht="20">
      <c r="A61" s="18"/>
      <c r="B61" s="151"/>
      <c r="C61" s="55">
        <v>41</v>
      </c>
      <c r="D61" s="54">
        <v>1</v>
      </c>
      <c r="E61" s="190">
        <f t="shared" si="12"/>
        <v>2</v>
      </c>
      <c r="F61" s="191">
        <f t="shared" si="13"/>
        <v>46063</v>
      </c>
      <c r="G61" s="192" t="str">
        <f t="shared" si="14"/>
        <v>Tue</v>
      </c>
      <c r="H61" s="193"/>
      <c r="I61" s="194"/>
      <c r="J61" s="307">
        <f>278310/B13</f>
        <v>2522.2947253942361</v>
      </c>
      <c r="K61" s="215"/>
      <c r="L61" s="317">
        <f t="shared" si="15"/>
        <v>1814.8068247478191</v>
      </c>
      <c r="M61" s="318">
        <f t="shared" si="7"/>
        <v>707.48790064641707</v>
      </c>
      <c r="N61" s="41">
        <f t="shared" si="8"/>
        <v>1.3898419881381743</v>
      </c>
      <c r="O61" s="56"/>
      <c r="P61" s="317">
        <f>IF(D61=0,0,SUM($L$52:L61))</f>
        <v>15481.665857900382</v>
      </c>
      <c r="Q61" s="317">
        <f>IF(D61=0,0,SUM($J$52:J61))</f>
        <v>16402.936378466558</v>
      </c>
      <c r="R61" s="321">
        <f t="shared" si="9"/>
        <v>921.27052056617686</v>
      </c>
      <c r="S61" s="198">
        <f t="shared" si="16"/>
        <v>1.0595071957386322</v>
      </c>
      <c r="T61" s="207"/>
      <c r="U61" s="317">
        <f>IF(D61=0,0,SUM($L$21:L61))</f>
        <v>59776.572510066442</v>
      </c>
      <c r="V61" s="317">
        <f>IF(D61=0,0,SUM($J$21:J61))</f>
        <v>69006.137616367603</v>
      </c>
      <c r="W61" s="331">
        <f t="shared" si="10"/>
        <v>9229.565106301161</v>
      </c>
      <c r="X61" s="200">
        <f t="shared" si="17"/>
        <v>1.1544010423941067</v>
      </c>
      <c r="Y61" s="201">
        <f t="shared" si="24"/>
        <v>46063</v>
      </c>
      <c r="Z61" s="202">
        <f t="shared" si="24"/>
        <v>46063</v>
      </c>
      <c r="AA61" s="246">
        <v>6</v>
      </c>
      <c r="AB61" s="243" t="s">
        <v>221</v>
      </c>
      <c r="AC61" s="336">
        <f>IFERROR(AVERAGEIFS(J172:J201,D172:D201,1,G172:G201,"sat"),0)</f>
        <v>3069.9429037520385</v>
      </c>
      <c r="AD61" s="275">
        <f>COUNTIFS(D172:D201,1,G172:G201,"sat")</f>
        <v>4</v>
      </c>
      <c r="AE61" s="335">
        <f>($I$12*'2024(¥)'!AI60)/AD61</f>
        <v>1435.6979451118025</v>
      </c>
      <c r="AF61" s="334">
        <f t="shared" si="25"/>
        <v>5742.7917804472099</v>
      </c>
      <c r="AG61" s="273" t="s">
        <v>195</v>
      </c>
      <c r="AH61" s="203"/>
      <c r="AI61" s="18"/>
      <c r="AJ61" s="18"/>
      <c r="AK61" s="18"/>
      <c r="AL61" s="18"/>
      <c r="AM61" s="18"/>
      <c r="AN61" s="18"/>
    </row>
    <row r="62" spans="1:40" ht="20">
      <c r="A62" s="18"/>
      <c r="B62" s="151"/>
      <c r="C62" s="55">
        <v>42</v>
      </c>
      <c r="D62" s="54">
        <v>0</v>
      </c>
      <c r="E62" s="190">
        <f t="shared" si="12"/>
        <v>2</v>
      </c>
      <c r="F62" s="191">
        <f t="shared" si="13"/>
        <v>46064</v>
      </c>
      <c r="G62" s="192" t="str">
        <f t="shared" si="14"/>
        <v>Wed</v>
      </c>
      <c r="H62" s="193" t="s">
        <v>168</v>
      </c>
      <c r="I62" s="194"/>
      <c r="J62" s="307"/>
      <c r="K62" s="215"/>
      <c r="L62" s="317">
        <f t="shared" si="15"/>
        <v>0</v>
      </c>
      <c r="M62" s="318">
        <f t="shared" si="7"/>
        <v>0</v>
      </c>
      <c r="N62" s="41" t="str">
        <f t="shared" si="8"/>
        <v>¥0</v>
      </c>
      <c r="O62" s="44"/>
      <c r="P62" s="317">
        <f>IF(D62=0,0,SUM($L$52:L62))</f>
        <v>0</v>
      </c>
      <c r="Q62" s="317">
        <f>IF(D62=0,0,SUM($J$52:J62))</f>
        <v>0</v>
      </c>
      <c r="R62" s="321">
        <f t="shared" si="9"/>
        <v>0</v>
      </c>
      <c r="S62" s="198">
        <f t="shared" si="16"/>
        <v>0</v>
      </c>
      <c r="T62" s="212"/>
      <c r="U62" s="317">
        <f>IF(D62=0,0,SUM($L$21:L62))</f>
        <v>0</v>
      </c>
      <c r="V62" s="317">
        <f>IF(D62=0,0,SUM($J$21:J62))</f>
        <v>0</v>
      </c>
      <c r="W62" s="331">
        <f t="shared" si="10"/>
        <v>0</v>
      </c>
      <c r="X62" s="200">
        <f t="shared" si="17"/>
        <v>0</v>
      </c>
      <c r="Y62" s="201">
        <f t="shared" si="24"/>
        <v>46064</v>
      </c>
      <c r="Z62" s="202">
        <f t="shared" si="24"/>
        <v>46064</v>
      </c>
      <c r="AA62" s="246">
        <v>6</v>
      </c>
      <c r="AB62" s="243" t="s">
        <v>222</v>
      </c>
      <c r="AC62" s="336">
        <f>IFERROR(AVERAGEIFS(J172:J201,D172:D201,1,G172:G201,"sun"),0)</f>
        <v>0</v>
      </c>
      <c r="AD62" s="275">
        <f>IFERROR(COUNTIFS(D172:D201,1,G172:G201,"sun"),0)</f>
        <v>0</v>
      </c>
      <c r="AE62" s="335">
        <f>IFERROR(($I$12*'2024(¥)'!AI61)/AD62,0)</f>
        <v>0</v>
      </c>
      <c r="AF62" s="337">
        <f>SUM(AF56:AF61)</f>
        <v>50072.503172013778</v>
      </c>
      <c r="AG62" s="272">
        <f>I12</f>
        <v>50072.503172013778</v>
      </c>
      <c r="AH62" s="270"/>
      <c r="AI62" s="18"/>
      <c r="AJ62" s="18"/>
      <c r="AK62" s="18"/>
      <c r="AL62" s="18"/>
      <c r="AM62" s="18"/>
      <c r="AN62" s="18"/>
    </row>
    <row r="63" spans="1:40" ht="20">
      <c r="A63" s="18"/>
      <c r="B63" s="151"/>
      <c r="C63" s="55">
        <v>43</v>
      </c>
      <c r="D63" s="54">
        <v>1</v>
      </c>
      <c r="E63" s="190">
        <f t="shared" si="12"/>
        <v>2</v>
      </c>
      <c r="F63" s="191">
        <f t="shared" si="13"/>
        <v>46065</v>
      </c>
      <c r="G63" s="192" t="str">
        <f t="shared" si="14"/>
        <v>Thu</v>
      </c>
      <c r="H63" s="193"/>
      <c r="I63" s="194"/>
      <c r="J63" s="307">
        <f>227850/B13</f>
        <v>2064.9809679173463</v>
      </c>
      <c r="K63" s="215"/>
      <c r="L63" s="317">
        <f t="shared" si="15"/>
        <v>2471.2866908728442</v>
      </c>
      <c r="M63" s="318">
        <f t="shared" si="7"/>
        <v>-406.30572295549791</v>
      </c>
      <c r="N63" s="41">
        <f t="shared" si="8"/>
        <v>0.83558940188683939</v>
      </c>
      <c r="O63" s="56"/>
      <c r="P63" s="317">
        <f>IF(D63=0,0,SUM($L$52:L63))</f>
        <v>17952.952548773224</v>
      </c>
      <c r="Q63" s="317">
        <f>IF(D63=0,0,SUM($J$52:J63))</f>
        <v>18467.917346383903</v>
      </c>
      <c r="R63" s="321">
        <f t="shared" si="9"/>
        <v>514.96479761067894</v>
      </c>
      <c r="S63" s="198">
        <f t="shared" si="16"/>
        <v>1.0286841284859223</v>
      </c>
      <c r="T63" s="207"/>
      <c r="U63" s="317">
        <f>IF(D63=0,0,SUM($L$21:L63))</f>
        <v>62247.859200939289</v>
      </c>
      <c r="V63" s="317">
        <f>IF(D63=0,0,SUM($J$21:J63))</f>
        <v>71071.118584284952</v>
      </c>
      <c r="W63" s="331">
        <f t="shared" si="10"/>
        <v>8823.2593833456631</v>
      </c>
      <c r="X63" s="200">
        <f t="shared" si="17"/>
        <v>1.1417439811843766</v>
      </c>
      <c r="Y63" s="201">
        <f t="shared" si="24"/>
        <v>46065</v>
      </c>
      <c r="Z63" s="202">
        <f t="shared" si="24"/>
        <v>46065</v>
      </c>
      <c r="AA63" s="246">
        <v>7</v>
      </c>
      <c r="AB63" s="136" t="s">
        <v>216</v>
      </c>
      <c r="AC63" s="336">
        <f>IFERROR(AVERAGEIFS(J202:J232,D202:D232,1,G202:G232,"mon"),0)</f>
        <v>722.13159325720494</v>
      </c>
      <c r="AD63" s="275">
        <f>COUNTIFS(D202:D232,1,G202:G232,"Mon")</f>
        <v>4</v>
      </c>
      <c r="AE63" s="335">
        <f>($I$13*'2024(¥)'!AI62)/AD63</f>
        <v>2230.966290844387</v>
      </c>
      <c r="AF63" s="334">
        <f t="shared" ref="AF63:AF68" si="26">AD63*AE63</f>
        <v>8923.865163377548</v>
      </c>
      <c r="AG63" s="203" t="s">
        <v>134</v>
      </c>
      <c r="AH63" s="203"/>
      <c r="AI63" s="18"/>
      <c r="AJ63" s="18"/>
      <c r="AK63" s="18"/>
      <c r="AL63" s="18"/>
      <c r="AM63" s="18"/>
      <c r="AN63" s="18"/>
    </row>
    <row r="64" spans="1:40" ht="20">
      <c r="A64" s="18"/>
      <c r="B64" s="151"/>
      <c r="C64" s="55">
        <v>44</v>
      </c>
      <c r="D64" s="54">
        <v>1</v>
      </c>
      <c r="E64" s="190">
        <f t="shared" si="12"/>
        <v>2</v>
      </c>
      <c r="F64" s="191">
        <f t="shared" si="13"/>
        <v>46066</v>
      </c>
      <c r="G64" s="192" t="str">
        <f t="shared" si="14"/>
        <v>Fri</v>
      </c>
      <c r="H64" s="193"/>
      <c r="I64" s="194"/>
      <c r="J64" s="307">
        <f>315020/B13</f>
        <v>2854.9936559724488</v>
      </c>
      <c r="K64" s="215"/>
      <c r="L64" s="317">
        <f t="shared" si="15"/>
        <v>1803.5831367140688</v>
      </c>
      <c r="M64" s="318">
        <f t="shared" si="7"/>
        <v>1051.41051925838</v>
      </c>
      <c r="N64" s="41">
        <f t="shared" si="8"/>
        <v>1.5829565035598718</v>
      </c>
      <c r="O64" s="56"/>
      <c r="P64" s="317">
        <f>IF(D64=0,0,SUM($L$52:L64))</f>
        <v>19756.535685487292</v>
      </c>
      <c r="Q64" s="317">
        <f>IF(D64=0,0,SUM($J$52:J64))</f>
        <v>21322.911002356352</v>
      </c>
      <c r="R64" s="321">
        <f t="shared" si="9"/>
        <v>1566.37531686906</v>
      </c>
      <c r="S64" s="198">
        <f t="shared" si="16"/>
        <v>1.0792839059339581</v>
      </c>
      <c r="T64" s="207"/>
      <c r="U64" s="317">
        <f>IF(D64=0,0,SUM($L$21:L64))</f>
        <v>64051.44233765336</v>
      </c>
      <c r="V64" s="317">
        <f>IF(D64=0,0,SUM($J$21:J64))</f>
        <v>73926.112240257396</v>
      </c>
      <c r="W64" s="331">
        <f t="shared" si="10"/>
        <v>9874.6699026040369</v>
      </c>
      <c r="X64" s="200">
        <f t="shared" si="17"/>
        <v>1.1541677992284507</v>
      </c>
      <c r="Y64" s="201">
        <f t="shared" si="24"/>
        <v>46066</v>
      </c>
      <c r="Z64" s="202">
        <f t="shared" si="24"/>
        <v>46066</v>
      </c>
      <c r="AA64" s="246">
        <v>7</v>
      </c>
      <c r="AB64" s="243" t="s">
        <v>217</v>
      </c>
      <c r="AC64" s="336">
        <f>IFERROR(AVERAGEIFS(J202:J232,D202:D232,1,G202:G232,"tue"),0)</f>
        <v>2164.3405232312248</v>
      </c>
      <c r="AD64" s="275">
        <f>COUNTIFS(D202:D232,1,G202:G232,"tue")</f>
        <v>3</v>
      </c>
      <c r="AE64" s="335">
        <f>($I$13*'2024(¥)'!AI63)/AD64</f>
        <v>2802.1694102555339</v>
      </c>
      <c r="AF64" s="334">
        <f t="shared" si="26"/>
        <v>8406.5082307666016</v>
      </c>
      <c r="AG64" s="203"/>
      <c r="AH64" s="203"/>
      <c r="AI64" s="18"/>
      <c r="AJ64" s="18"/>
      <c r="AK64" s="18"/>
      <c r="AL64" s="18"/>
      <c r="AM64" s="18"/>
      <c r="AN64" s="18"/>
    </row>
    <row r="65" spans="1:40" ht="20">
      <c r="A65" s="18"/>
      <c r="B65" s="151"/>
      <c r="C65" s="55">
        <v>45</v>
      </c>
      <c r="D65" s="54">
        <v>1</v>
      </c>
      <c r="E65" s="190">
        <f t="shared" si="12"/>
        <v>2</v>
      </c>
      <c r="F65" s="191">
        <f t="shared" si="13"/>
        <v>46067</v>
      </c>
      <c r="G65" s="192" t="str">
        <f t="shared" si="14"/>
        <v>Sat</v>
      </c>
      <c r="H65" s="193"/>
      <c r="I65" s="194"/>
      <c r="J65" s="307">
        <f>346520/B13</f>
        <v>3140.4748957766901</v>
      </c>
      <c r="K65" s="215"/>
      <c r="L65" s="317">
        <f t="shared" si="15"/>
        <v>1155.341034070419</v>
      </c>
      <c r="M65" s="318">
        <f t="shared" si="7"/>
        <v>1985.1338617062711</v>
      </c>
      <c r="N65" s="41">
        <f t="shared" si="8"/>
        <v>2.7182232805428734</v>
      </c>
      <c r="O65" s="56"/>
      <c r="P65" s="317">
        <f>IF(D65=0,0,SUM($L$52:L65))</f>
        <v>20911.876719557709</v>
      </c>
      <c r="Q65" s="317">
        <f>IF(D65=0,0,SUM($J$52:J65))</f>
        <v>24463.385898133041</v>
      </c>
      <c r="R65" s="321">
        <f t="shared" si="9"/>
        <v>3551.509178575332</v>
      </c>
      <c r="S65" s="198">
        <f t="shared" si="16"/>
        <v>1.1698321593132675</v>
      </c>
      <c r="T65" s="207"/>
      <c r="U65" s="317">
        <f>IF(D65=0,0,SUM($L$21:L65))</f>
        <v>65206.783371723781</v>
      </c>
      <c r="V65" s="317">
        <f>IF(D65=0,0,SUM($J$21:J65))</f>
        <v>77066.587136034083</v>
      </c>
      <c r="W65" s="331">
        <f t="shared" si="10"/>
        <v>11859.803764310302</v>
      </c>
      <c r="X65" s="200">
        <f t="shared" si="17"/>
        <v>1.1818799080565163</v>
      </c>
      <c r="Y65" s="201">
        <f t="shared" si="24"/>
        <v>46067</v>
      </c>
      <c r="Z65" s="202">
        <f t="shared" si="24"/>
        <v>46067</v>
      </c>
      <c r="AA65" s="246">
        <v>7</v>
      </c>
      <c r="AB65" s="243" t="s">
        <v>218</v>
      </c>
      <c r="AC65" s="336">
        <f>IFERROR(AVERAGEIFS(J202:J232,D202:D232,1,G202:G232,"wed"),0)</f>
        <v>2382.5629871306874</v>
      </c>
      <c r="AD65" s="275">
        <f>COUNTIFS(D202:D232,1,G202:G232,"wed")</f>
        <v>5</v>
      </c>
      <c r="AE65" s="335">
        <f>($I$13*'2024(¥)'!AI64)/AD65</f>
        <v>2436.5994138323999</v>
      </c>
      <c r="AF65" s="334">
        <f t="shared" si="26"/>
        <v>12182.997069162</v>
      </c>
      <c r="AG65" s="203"/>
      <c r="AH65" s="203"/>
      <c r="AI65" s="18"/>
      <c r="AJ65" s="18"/>
      <c r="AK65" s="18"/>
      <c r="AL65" s="18"/>
      <c r="AM65" s="18"/>
      <c r="AN65" s="18"/>
    </row>
    <row r="66" spans="1:40" ht="20">
      <c r="A66" s="18"/>
      <c r="B66" s="151"/>
      <c r="C66" s="55">
        <v>46</v>
      </c>
      <c r="D66" s="54">
        <v>0</v>
      </c>
      <c r="E66" s="190">
        <f t="shared" si="12"/>
        <v>2</v>
      </c>
      <c r="F66" s="191">
        <f t="shared" si="13"/>
        <v>46068</v>
      </c>
      <c r="G66" s="192" t="str">
        <f t="shared" si="14"/>
        <v>Sun</v>
      </c>
      <c r="H66" s="193"/>
      <c r="I66" s="194"/>
      <c r="J66" s="307"/>
      <c r="K66" s="215"/>
      <c r="L66" s="317">
        <f t="shared" si="15"/>
        <v>0</v>
      </c>
      <c r="M66" s="318">
        <f t="shared" si="7"/>
        <v>0</v>
      </c>
      <c r="N66" s="41" t="str">
        <f t="shared" si="8"/>
        <v>¥0</v>
      </c>
      <c r="O66" s="56"/>
      <c r="P66" s="317">
        <f>IF(D66=0,0,SUM($L$52:L66))</f>
        <v>0</v>
      </c>
      <c r="Q66" s="317">
        <f>IF(D66=0,0,SUM($J$52:J66))</f>
        <v>0</v>
      </c>
      <c r="R66" s="321">
        <f t="shared" si="9"/>
        <v>0</v>
      </c>
      <c r="S66" s="198">
        <f t="shared" si="16"/>
        <v>0</v>
      </c>
      <c r="T66" s="207"/>
      <c r="U66" s="317">
        <f>IF(D66=0,0,SUM($L$21:L66))</f>
        <v>0</v>
      </c>
      <c r="V66" s="317">
        <f>IF(D66=0,0,SUM($J$21:J66))</f>
        <v>0</v>
      </c>
      <c r="W66" s="331">
        <f t="shared" si="10"/>
        <v>0</v>
      </c>
      <c r="X66" s="200">
        <f t="shared" si="17"/>
        <v>0</v>
      </c>
      <c r="Y66" s="201">
        <f t="shared" si="24"/>
        <v>46068</v>
      </c>
      <c r="Z66" s="202">
        <f t="shared" si="24"/>
        <v>46068</v>
      </c>
      <c r="AA66" s="246">
        <v>7</v>
      </c>
      <c r="AB66" s="243" t="s">
        <v>219</v>
      </c>
      <c r="AC66" s="336">
        <f>IFERROR(AVERAGEIFS(J202:J232,D202:D232,1,G202:G232,"thu"),0)</f>
        <v>2500.4712706180894</v>
      </c>
      <c r="AD66" s="275">
        <f>COUNTIFS(D202:D232,1,G202:G232,"thu")</f>
        <v>5</v>
      </c>
      <c r="AE66" s="335">
        <f>($I$13*'2024(¥)'!AI65)/AD66</f>
        <v>2184.189203658771</v>
      </c>
      <c r="AF66" s="334">
        <f t="shared" si="26"/>
        <v>10920.946018293855</v>
      </c>
      <c r="AG66" s="203"/>
      <c r="AH66" s="203"/>
      <c r="AI66" s="18"/>
      <c r="AJ66" s="18"/>
      <c r="AK66" s="18"/>
      <c r="AL66" s="18"/>
      <c r="AM66" s="18"/>
      <c r="AN66" s="18"/>
    </row>
    <row r="67" spans="1:40" ht="20">
      <c r="A67" s="18"/>
      <c r="B67" s="151"/>
      <c r="C67" s="55">
        <v>47</v>
      </c>
      <c r="D67" s="54">
        <v>1</v>
      </c>
      <c r="E67" s="190">
        <f t="shared" si="12"/>
        <v>2</v>
      </c>
      <c r="F67" s="191">
        <f t="shared" si="13"/>
        <v>46069</v>
      </c>
      <c r="G67" s="192" t="str">
        <f t="shared" si="14"/>
        <v>Mon</v>
      </c>
      <c r="H67" s="193"/>
      <c r="I67" s="194"/>
      <c r="J67" s="307">
        <f>91050/B13</f>
        <v>825.17672648178359</v>
      </c>
      <c r="K67" s="215"/>
      <c r="L67" s="317">
        <f t="shared" si="15"/>
        <v>1958.8512134375744</v>
      </c>
      <c r="M67" s="318">
        <f t="shared" si="7"/>
        <v>-1133.6744869557908</v>
      </c>
      <c r="N67" s="41">
        <f t="shared" si="8"/>
        <v>0.42125543830033252</v>
      </c>
      <c r="O67" s="44"/>
      <c r="P67" s="317">
        <f>IF(D67=0,0,SUM($L$52:L67))</f>
        <v>22870.727932995283</v>
      </c>
      <c r="Q67" s="317">
        <f>IF(D67=0,0,SUM($J$52:J67))</f>
        <v>25288.562624614824</v>
      </c>
      <c r="R67" s="321">
        <f t="shared" si="9"/>
        <v>2417.8346916195405</v>
      </c>
      <c r="S67" s="198">
        <f t="shared" si="16"/>
        <v>1.1057174349108216</v>
      </c>
      <c r="T67" s="212"/>
      <c r="U67" s="317">
        <f>IF(D67=0,0,SUM($L$21:L67))</f>
        <v>67165.634585161359</v>
      </c>
      <c r="V67" s="317">
        <f>IF(D67=0,0,SUM($J$21:J67))</f>
        <v>77891.763862515872</v>
      </c>
      <c r="W67" s="331">
        <f t="shared" si="10"/>
        <v>10726.129277354514</v>
      </c>
      <c r="X67" s="200">
        <f t="shared" si="17"/>
        <v>1.1596966863129168</v>
      </c>
      <c r="Y67" s="201">
        <f t="shared" si="24"/>
        <v>46069</v>
      </c>
      <c r="Z67" s="202">
        <f t="shared" si="24"/>
        <v>46069</v>
      </c>
      <c r="AA67" s="246">
        <v>7</v>
      </c>
      <c r="AB67" s="243" t="s">
        <v>220</v>
      </c>
      <c r="AC67" s="336">
        <f>IFERROR(AVERAGEIFS(J202:J232,D202:D232,1,G202:G232,"fri"),0)</f>
        <v>2812.4524197933661</v>
      </c>
      <c r="AD67" s="275">
        <f>COUNTIFS(D202:D232,1,G202:G232,"fri")</f>
        <v>5</v>
      </c>
      <c r="AE67" s="335">
        <f>($I$13*'2024(¥)'!AI66)/AD67</f>
        <v>2621.196847294385</v>
      </c>
      <c r="AF67" s="334">
        <f t="shared" si="26"/>
        <v>13105.984236471924</v>
      </c>
      <c r="AG67" s="203"/>
      <c r="AH67" s="203"/>
      <c r="AI67" s="18"/>
      <c r="AJ67" s="18"/>
      <c r="AK67" s="18"/>
      <c r="AL67" s="18"/>
      <c r="AM67" s="18"/>
      <c r="AN67" s="18"/>
    </row>
    <row r="68" spans="1:40" ht="20">
      <c r="A68" s="18"/>
      <c r="B68" s="151"/>
      <c r="C68" s="55">
        <v>48</v>
      </c>
      <c r="D68" s="54">
        <v>1</v>
      </c>
      <c r="E68" s="190">
        <f t="shared" si="12"/>
        <v>2</v>
      </c>
      <c r="F68" s="191">
        <f t="shared" si="13"/>
        <v>46070</v>
      </c>
      <c r="G68" s="192" t="str">
        <f t="shared" si="14"/>
        <v>Tue</v>
      </c>
      <c r="H68" s="193"/>
      <c r="I68" s="194"/>
      <c r="J68" s="307">
        <f>107730/B13</f>
        <v>976.34584013050574</v>
      </c>
      <c r="K68" s="215"/>
      <c r="L68" s="317">
        <f t="shared" si="15"/>
        <v>1814.8068247478191</v>
      </c>
      <c r="M68" s="318">
        <f t="shared" si="7"/>
        <v>-838.46098461731333</v>
      </c>
      <c r="N68" s="41">
        <f t="shared" si="8"/>
        <v>0.53798885193534374</v>
      </c>
      <c r="O68" s="56"/>
      <c r="P68" s="317">
        <f>IF(D68=0,0,SUM($L$52:L68))</f>
        <v>24685.534757743102</v>
      </c>
      <c r="Q68" s="317">
        <f>IF(D68=0,0,SUM($J$52:J68))</f>
        <v>26264.908464745331</v>
      </c>
      <c r="R68" s="321">
        <f t="shared" si="9"/>
        <v>1579.3737070022289</v>
      </c>
      <c r="S68" s="198">
        <f t="shared" si="16"/>
        <v>1.0639797242596427</v>
      </c>
      <c r="T68" s="207"/>
      <c r="U68" s="317">
        <f>IF(D68=0,0,SUM($L$21:L68))</f>
        <v>68980.441409909181</v>
      </c>
      <c r="V68" s="317">
        <f>IF(D68=0,0,SUM($J$21:J68))</f>
        <v>78868.109702646383</v>
      </c>
      <c r="W68" s="331">
        <f t="shared" si="10"/>
        <v>9887.6682927372021</v>
      </c>
      <c r="X68" s="200">
        <f t="shared" si="17"/>
        <v>1.1433401713680078</v>
      </c>
      <c r="Y68" s="201">
        <f t="shared" si="24"/>
        <v>46070</v>
      </c>
      <c r="Z68" s="202">
        <f t="shared" si="24"/>
        <v>46070</v>
      </c>
      <c r="AA68" s="246">
        <v>7</v>
      </c>
      <c r="AB68" s="243" t="s">
        <v>221</v>
      </c>
      <c r="AC68" s="336">
        <f>IFERROR(AVERAGEIFS(J202:J232,D202:D232,1,G202:G232,"sat"),0)</f>
        <v>2946.7101685698749</v>
      </c>
      <c r="AD68" s="275">
        <f>COUNTIFS(D202:D232,1,G202:G232,"sat")</f>
        <v>4</v>
      </c>
      <c r="AE68" s="335">
        <f>($I$13*'2024(¥)'!AI67)/AD68</f>
        <v>1342.1316357801877</v>
      </c>
      <c r="AF68" s="334">
        <f t="shared" si="26"/>
        <v>5368.5265431207508</v>
      </c>
      <c r="AG68" s="273" t="s">
        <v>196</v>
      </c>
      <c r="AH68" s="203"/>
      <c r="AI68" s="18"/>
      <c r="AJ68" s="18"/>
      <c r="AK68" s="18"/>
      <c r="AL68" s="18"/>
      <c r="AM68" s="18"/>
      <c r="AN68" s="18"/>
    </row>
    <row r="69" spans="1:40" ht="20">
      <c r="A69" s="18"/>
      <c r="B69" s="151"/>
      <c r="C69" s="55">
        <v>49</v>
      </c>
      <c r="D69" s="54">
        <v>1</v>
      </c>
      <c r="E69" s="190">
        <f t="shared" si="12"/>
        <v>2</v>
      </c>
      <c r="F69" s="191">
        <f t="shared" si="13"/>
        <v>46071</v>
      </c>
      <c r="G69" s="192" t="str">
        <f t="shared" si="14"/>
        <v>Wed</v>
      </c>
      <c r="H69" s="193"/>
      <c r="I69" s="194"/>
      <c r="J69" s="307">
        <f>196730/B13</f>
        <v>1782.9436287837593</v>
      </c>
      <c r="K69" s="215"/>
      <c r="L69" s="317">
        <f t="shared" si="15"/>
        <v>2504.1389198722622</v>
      </c>
      <c r="M69" s="318">
        <f t="shared" si="7"/>
        <v>-721.19529108850293</v>
      </c>
      <c r="N69" s="41">
        <f t="shared" si="8"/>
        <v>0.71199868930383003</v>
      </c>
      <c r="O69" s="56"/>
      <c r="P69" s="317">
        <f>IF(D69=0,0,SUM($L$52:L69))</f>
        <v>27189.673677615363</v>
      </c>
      <c r="Q69" s="317">
        <f>IF(D69=0,0,SUM($J$52:J69))</f>
        <v>28047.852093529091</v>
      </c>
      <c r="R69" s="321">
        <f t="shared" si="9"/>
        <v>858.1784159137278</v>
      </c>
      <c r="S69" s="198">
        <f t="shared" si="16"/>
        <v>1.0315626596364871</v>
      </c>
      <c r="T69" s="207"/>
      <c r="U69" s="317">
        <f>IF(D69=0,0,SUM($L$21:L69))</f>
        <v>71484.580329781442</v>
      </c>
      <c r="V69" s="317">
        <f>IF(D69=0,0,SUM($J$21:J69))</f>
        <v>80651.053331430143</v>
      </c>
      <c r="W69" s="331">
        <f t="shared" si="10"/>
        <v>9166.473001648701</v>
      </c>
      <c r="X69" s="200">
        <f t="shared" si="17"/>
        <v>1.1282300736656885</v>
      </c>
      <c r="Y69" s="201">
        <f t="shared" si="24"/>
        <v>46071</v>
      </c>
      <c r="Z69" s="202">
        <f t="shared" si="24"/>
        <v>46071</v>
      </c>
      <c r="AA69" s="246">
        <v>7</v>
      </c>
      <c r="AB69" s="243" t="s">
        <v>222</v>
      </c>
      <c r="AC69" s="336">
        <f>IFERROR(AVERAGEIFS(J202:J232,D202:D232,1,G202:G232,"sun"),0)</f>
        <v>0</v>
      </c>
      <c r="AD69" s="275">
        <f>IFERROR(COUNTIFS(D202:D232,1,G202:G232,"sun"),0)</f>
        <v>0</v>
      </c>
      <c r="AE69" s="335">
        <f>IFERROR(($I$13*'2024(¥)'!AI68)/AD69,0)</f>
        <v>0</v>
      </c>
      <c r="AF69" s="337">
        <f>SUM(AF63:AF68)</f>
        <v>58908.82726119268</v>
      </c>
      <c r="AG69" s="272">
        <f>I13</f>
        <v>58908.82726119268</v>
      </c>
      <c r="AH69" s="270"/>
      <c r="AI69" s="18"/>
      <c r="AJ69" s="18"/>
      <c r="AK69" s="18"/>
      <c r="AL69" s="18"/>
      <c r="AM69" s="18"/>
      <c r="AN69" s="18"/>
    </row>
    <row r="70" spans="1:40" ht="20">
      <c r="A70" s="18"/>
      <c r="B70" s="151"/>
      <c r="C70" s="55">
        <v>50</v>
      </c>
      <c r="D70" s="54">
        <v>1</v>
      </c>
      <c r="E70" s="190">
        <f t="shared" si="12"/>
        <v>2</v>
      </c>
      <c r="F70" s="191">
        <f t="shared" si="13"/>
        <v>46072</v>
      </c>
      <c r="G70" s="192" t="str">
        <f t="shared" si="14"/>
        <v>Thu</v>
      </c>
      <c r="H70" s="193"/>
      <c r="I70" s="194"/>
      <c r="J70" s="307">
        <f>329290/B13</f>
        <v>2984.3211890520211</v>
      </c>
      <c r="K70" s="215"/>
      <c r="L70" s="317">
        <f t="shared" si="15"/>
        <v>2471.2866908728442</v>
      </c>
      <c r="M70" s="318">
        <f t="shared" si="7"/>
        <v>513.03449817917681</v>
      </c>
      <c r="N70" s="41">
        <f t="shared" si="8"/>
        <v>1.2075981309954678</v>
      </c>
      <c r="O70" s="56"/>
      <c r="P70" s="317">
        <f>IF(D70=0,0,SUM($L$52:L70))</f>
        <v>29660.960368488206</v>
      </c>
      <c r="Q70" s="317">
        <f>IF(D70=0,0,SUM($J$52:J70))</f>
        <v>31032.173282581112</v>
      </c>
      <c r="R70" s="321">
        <f t="shared" si="9"/>
        <v>1371.2129140929064</v>
      </c>
      <c r="S70" s="198">
        <f t="shared" si="16"/>
        <v>1.0462295521472622</v>
      </c>
      <c r="T70" s="207"/>
      <c r="U70" s="317">
        <f>IF(D70=0,0,SUM($L$21:L70))</f>
        <v>73955.867020654288</v>
      </c>
      <c r="V70" s="317">
        <f>IF(D70=0,0,SUM($J$21:J70))</f>
        <v>83635.374520482161</v>
      </c>
      <c r="W70" s="331">
        <f t="shared" si="10"/>
        <v>9679.5074998278724</v>
      </c>
      <c r="X70" s="200">
        <f t="shared" si="17"/>
        <v>1.1308822124568507</v>
      </c>
      <c r="Y70" s="201">
        <f t="shared" si="24"/>
        <v>46072</v>
      </c>
      <c r="Z70" s="202">
        <f t="shared" si="24"/>
        <v>46072</v>
      </c>
      <c r="AA70" s="246">
        <v>8</v>
      </c>
      <c r="AB70" s="136" t="s">
        <v>216</v>
      </c>
      <c r="AC70" s="336">
        <f>IFERROR(AVERAGEIFS(J233:J263,D233:D263,1,G233:G263,"mon"),0)</f>
        <v>1293.0215696936743</v>
      </c>
      <c r="AD70" s="275">
        <f>COUNTIFS(D233:D263,1,G233:G263,"Mon")</f>
        <v>5</v>
      </c>
      <c r="AE70" s="335">
        <f>($I$14*'2024(¥)'!AI69)/AD70</f>
        <v>1183.3883913331588</v>
      </c>
      <c r="AF70" s="334">
        <f t="shared" ref="AF70:AF75" si="27">AD70*AE70</f>
        <v>5916.9419566657944</v>
      </c>
      <c r="AG70" s="203" t="s">
        <v>135</v>
      </c>
      <c r="AH70" s="203"/>
      <c r="AI70" s="18"/>
      <c r="AJ70" s="18"/>
      <c r="AK70" s="18"/>
      <c r="AL70" s="18"/>
      <c r="AM70" s="18"/>
      <c r="AN70" s="18"/>
    </row>
    <row r="71" spans="1:40" ht="20">
      <c r="A71" s="18"/>
      <c r="B71" s="151"/>
      <c r="C71" s="55">
        <v>51</v>
      </c>
      <c r="D71" s="54">
        <v>1</v>
      </c>
      <c r="E71" s="190">
        <f t="shared" si="12"/>
        <v>2</v>
      </c>
      <c r="F71" s="191">
        <f t="shared" si="13"/>
        <v>46073</v>
      </c>
      <c r="G71" s="192" t="str">
        <f t="shared" si="14"/>
        <v>Fri</v>
      </c>
      <c r="H71" s="193"/>
      <c r="I71" s="194"/>
      <c r="J71" s="307">
        <f>330090/B13</f>
        <v>2991.5715062533986</v>
      </c>
      <c r="K71" s="215"/>
      <c r="L71" s="317">
        <f t="shared" si="15"/>
        <v>1803.5831367140688</v>
      </c>
      <c r="M71" s="318">
        <f t="shared" si="7"/>
        <v>1187.9883695393298</v>
      </c>
      <c r="N71" s="41">
        <f t="shared" si="8"/>
        <v>1.6586823448037524</v>
      </c>
      <c r="O71" s="56"/>
      <c r="P71" s="317">
        <f>IF(D71=0,0,SUM($L$52:L71))</f>
        <v>31464.543505202273</v>
      </c>
      <c r="Q71" s="317">
        <f>IF(D71=0,0,SUM($J$52:J71))</f>
        <v>34023.744788834512</v>
      </c>
      <c r="R71" s="321">
        <f t="shared" si="9"/>
        <v>2559.2012836322392</v>
      </c>
      <c r="S71" s="198">
        <f t="shared" si="16"/>
        <v>1.081336037283017</v>
      </c>
      <c r="T71" s="207"/>
      <c r="U71" s="317">
        <f>IF(D71=0,0,SUM($L$21:L71))</f>
        <v>75759.450157368352</v>
      </c>
      <c r="V71" s="317">
        <f>IF(D71=0,0,SUM($J$21:J71))</f>
        <v>86626.946026735561</v>
      </c>
      <c r="W71" s="331">
        <f t="shared" si="10"/>
        <v>10867.495869367209</v>
      </c>
      <c r="X71" s="200">
        <f t="shared" si="17"/>
        <v>1.1434473962890852</v>
      </c>
      <c r="Y71" s="201">
        <f t="shared" ref="Y71:Z86" si="28">Y70+1</f>
        <v>46073</v>
      </c>
      <c r="Z71" s="202">
        <f t="shared" si="28"/>
        <v>46073</v>
      </c>
      <c r="AA71" s="246">
        <v>8</v>
      </c>
      <c r="AB71" s="243" t="s">
        <v>217</v>
      </c>
      <c r="AC71" s="336">
        <f>IFERROR(AVERAGEIFS(J233:J263,D233:D263,1,G233:G263,"tue"),0)</f>
        <v>2579.5420216301131</v>
      </c>
      <c r="AD71" s="275">
        <f>COUNTIFS(D233:D263,1,G233:G263,"tue")</f>
        <v>3</v>
      </c>
      <c r="AE71" s="335">
        <f>($I$14*'2024(¥)'!AI70)/AD71</f>
        <v>1654.0230723632683</v>
      </c>
      <c r="AF71" s="334">
        <f t="shared" si="27"/>
        <v>4962.0692170898046</v>
      </c>
      <c r="AG71" s="203"/>
      <c r="AH71" s="203"/>
      <c r="AI71" s="18"/>
      <c r="AJ71" s="18"/>
      <c r="AK71" s="18"/>
      <c r="AL71" s="18"/>
      <c r="AM71" s="18"/>
      <c r="AN71" s="18"/>
    </row>
    <row r="72" spans="1:40" ht="20">
      <c r="A72" s="18"/>
      <c r="B72" s="151"/>
      <c r="C72" s="55">
        <v>52</v>
      </c>
      <c r="D72" s="54">
        <v>1</v>
      </c>
      <c r="E72" s="190">
        <f t="shared" si="12"/>
        <v>2</v>
      </c>
      <c r="F72" s="191">
        <f t="shared" si="13"/>
        <v>46074</v>
      </c>
      <c r="G72" s="192" t="str">
        <f t="shared" si="14"/>
        <v>Sat</v>
      </c>
      <c r="H72" s="193"/>
      <c r="I72" s="194"/>
      <c r="J72" s="307">
        <f>331770/B13</f>
        <v>3006.7971723762912</v>
      </c>
      <c r="K72" s="215"/>
      <c r="L72" s="317">
        <f t="shared" si="15"/>
        <v>1155.341034070419</v>
      </c>
      <c r="M72" s="318">
        <f t="shared" si="7"/>
        <v>1851.4561383058722</v>
      </c>
      <c r="N72" s="41">
        <f t="shared" si="8"/>
        <v>2.6025191555630527</v>
      </c>
      <c r="O72" s="56"/>
      <c r="P72" s="317">
        <f>IF(D72=0,0,SUM($L$52:L72))</f>
        <v>32619.884539272691</v>
      </c>
      <c r="Q72" s="317">
        <f>IF(D72=0,0,SUM($J$52:J72))</f>
        <v>37030.541961210802</v>
      </c>
      <c r="R72" s="321">
        <f t="shared" si="9"/>
        <v>4410.6574219381109</v>
      </c>
      <c r="S72" s="198">
        <f t="shared" si="16"/>
        <v>1.1352137655983394</v>
      </c>
      <c r="T72" s="207"/>
      <c r="U72" s="317">
        <f>IF(D72=0,0,SUM($L$21:L72))</f>
        <v>76914.791191438766</v>
      </c>
      <c r="V72" s="317">
        <f>IF(D72=0,0,SUM($J$21:J72))</f>
        <v>89633.74319911185</v>
      </c>
      <c r="W72" s="331">
        <f t="shared" si="10"/>
        <v>12718.952007673084</v>
      </c>
      <c r="X72" s="200">
        <f t="shared" si="17"/>
        <v>1.1653641882224703</v>
      </c>
      <c r="Y72" s="201">
        <f t="shared" si="28"/>
        <v>46074</v>
      </c>
      <c r="Z72" s="202">
        <f t="shared" si="28"/>
        <v>46074</v>
      </c>
      <c r="AA72" s="246">
        <v>8</v>
      </c>
      <c r="AB72" s="243" t="s">
        <v>218</v>
      </c>
      <c r="AC72" s="336">
        <f>IFERROR(AVERAGEIFS(J233:J263,D233:D263,1,G233:G263,"wed"),0)</f>
        <v>1892.8765633496466</v>
      </c>
      <c r="AD72" s="275">
        <f>COUNTIFS(D233:D263,1,G233:G263,"wed")</f>
        <v>3</v>
      </c>
      <c r="AE72" s="335">
        <f>($I$14*'2024(¥)'!AI71)/AD72</f>
        <v>3100.5823348148328</v>
      </c>
      <c r="AF72" s="334">
        <f t="shared" si="27"/>
        <v>9301.7470044444981</v>
      </c>
      <c r="AG72" s="203"/>
      <c r="AH72" s="203"/>
      <c r="AI72" s="18"/>
      <c r="AJ72" s="18"/>
      <c r="AK72" s="18"/>
      <c r="AL72" s="18"/>
      <c r="AM72" s="18"/>
      <c r="AN72" s="18"/>
    </row>
    <row r="73" spans="1:40" ht="20">
      <c r="A73" s="18"/>
      <c r="B73" s="151"/>
      <c r="C73" s="55">
        <v>53</v>
      </c>
      <c r="D73" s="54">
        <v>0</v>
      </c>
      <c r="E73" s="190">
        <f t="shared" si="12"/>
        <v>2</v>
      </c>
      <c r="F73" s="191">
        <f t="shared" si="13"/>
        <v>46075</v>
      </c>
      <c r="G73" s="192" t="str">
        <f t="shared" si="14"/>
        <v>Sun</v>
      </c>
      <c r="H73" s="193"/>
      <c r="I73" s="194"/>
      <c r="J73" s="307"/>
      <c r="K73" s="215"/>
      <c r="L73" s="317">
        <f t="shared" si="15"/>
        <v>0</v>
      </c>
      <c r="M73" s="318">
        <f t="shared" si="7"/>
        <v>0</v>
      </c>
      <c r="N73" s="41" t="str">
        <f t="shared" si="8"/>
        <v>¥0</v>
      </c>
      <c r="O73" s="56"/>
      <c r="P73" s="317">
        <f>IF(D73=0,0,SUM($L$52:L73))</f>
        <v>0</v>
      </c>
      <c r="Q73" s="317">
        <f>IF(D73=0,0,SUM($J$52:J73))</f>
        <v>0</v>
      </c>
      <c r="R73" s="321">
        <f t="shared" si="9"/>
        <v>0</v>
      </c>
      <c r="S73" s="198">
        <f t="shared" si="16"/>
        <v>0</v>
      </c>
      <c r="T73" s="207"/>
      <c r="U73" s="317">
        <f>IF(D73=0,0,SUM($L$21:L73))</f>
        <v>0</v>
      </c>
      <c r="V73" s="317">
        <f>IF(D73=0,0,SUM($J$21:J73))</f>
        <v>0</v>
      </c>
      <c r="W73" s="331">
        <f t="shared" si="10"/>
        <v>0</v>
      </c>
      <c r="X73" s="200">
        <f t="shared" si="17"/>
        <v>0</v>
      </c>
      <c r="Y73" s="201">
        <f t="shared" si="28"/>
        <v>46075</v>
      </c>
      <c r="Z73" s="202">
        <f t="shared" si="28"/>
        <v>46075</v>
      </c>
      <c r="AA73" s="246">
        <v>8</v>
      </c>
      <c r="AB73" s="243" t="s">
        <v>219</v>
      </c>
      <c r="AC73" s="336">
        <f>IFERROR(AVERAGEIFS(J233:J263,D233:D263,1,G233:G263,"thu"),0)</f>
        <v>2508.3680744365897</v>
      </c>
      <c r="AD73" s="275">
        <f>COUNTIFS(D233:D263,1,G233:G263,"thu")</f>
        <v>3</v>
      </c>
      <c r="AE73" s="335">
        <f>($I$14*'2024(¥)'!AI72)/AD73</f>
        <v>2889.7967699283467</v>
      </c>
      <c r="AF73" s="334">
        <f t="shared" si="27"/>
        <v>8669.3903097850398</v>
      </c>
      <c r="AG73" s="203"/>
      <c r="AH73" s="203"/>
      <c r="AI73" s="18"/>
      <c r="AJ73" s="18"/>
      <c r="AK73" s="18"/>
      <c r="AL73" s="18"/>
      <c r="AM73" s="18"/>
      <c r="AN73" s="18"/>
    </row>
    <row r="74" spans="1:40" ht="20">
      <c r="A74" s="18"/>
      <c r="B74" s="151"/>
      <c r="C74" s="55">
        <v>54</v>
      </c>
      <c r="D74" s="54">
        <v>0</v>
      </c>
      <c r="E74" s="190">
        <f t="shared" si="12"/>
        <v>2</v>
      </c>
      <c r="F74" s="191">
        <f t="shared" si="13"/>
        <v>46076</v>
      </c>
      <c r="G74" s="192" t="str">
        <f t="shared" si="14"/>
        <v>Mon</v>
      </c>
      <c r="H74" s="193" t="s">
        <v>169</v>
      </c>
      <c r="I74" s="194"/>
      <c r="J74" s="307"/>
      <c r="K74" s="215"/>
      <c r="L74" s="317">
        <f t="shared" si="15"/>
        <v>0</v>
      </c>
      <c r="M74" s="318">
        <f t="shared" si="7"/>
        <v>0</v>
      </c>
      <c r="N74" s="41" t="str">
        <f t="shared" si="8"/>
        <v>¥0</v>
      </c>
      <c r="O74" s="44"/>
      <c r="P74" s="317">
        <f>IF(D74=0,0,SUM($L$52:L74))</f>
        <v>0</v>
      </c>
      <c r="Q74" s="317">
        <f>IF(D74=0,0,SUM($J$52:J74))</f>
        <v>0</v>
      </c>
      <c r="R74" s="321">
        <f t="shared" si="9"/>
        <v>0</v>
      </c>
      <c r="S74" s="198">
        <f t="shared" si="16"/>
        <v>0</v>
      </c>
      <c r="T74" s="212"/>
      <c r="U74" s="317">
        <f>IF(D74=0,0,SUM($L$21:L74))</f>
        <v>0</v>
      </c>
      <c r="V74" s="317">
        <f>IF(D74=0,0,SUM($J$21:J74))</f>
        <v>0</v>
      </c>
      <c r="W74" s="331">
        <f t="shared" si="10"/>
        <v>0</v>
      </c>
      <c r="X74" s="200">
        <f t="shared" si="17"/>
        <v>0</v>
      </c>
      <c r="Y74" s="201">
        <f t="shared" si="28"/>
        <v>46076</v>
      </c>
      <c r="Z74" s="202">
        <f t="shared" si="28"/>
        <v>46076</v>
      </c>
      <c r="AA74" s="246">
        <v>8</v>
      </c>
      <c r="AB74" s="243" t="s">
        <v>220</v>
      </c>
      <c r="AC74" s="336">
        <f>IFERROR(AVERAGEIFS(J233:J263,D233:D263,1,G233:G263,"fri"),0)</f>
        <v>2325.0256782067549</v>
      </c>
      <c r="AD74" s="275">
        <f>COUNTIFS(D233:D263,1,G233:G263,"fri")</f>
        <v>3</v>
      </c>
      <c r="AE74" s="335">
        <f>($I$14*'2024(¥)'!AI73)/AD74</f>
        <v>4042.7691339633238</v>
      </c>
      <c r="AF74" s="334">
        <f t="shared" si="27"/>
        <v>12128.307401889972</v>
      </c>
      <c r="AG74" s="203"/>
      <c r="AH74" s="203"/>
      <c r="AI74" s="18"/>
      <c r="AJ74" s="18"/>
      <c r="AK74" s="18"/>
      <c r="AL74" s="18"/>
      <c r="AM74" s="18"/>
      <c r="AN74" s="18"/>
    </row>
    <row r="75" spans="1:40" ht="20">
      <c r="A75" s="18"/>
      <c r="B75" s="151"/>
      <c r="C75" s="55">
        <v>55</v>
      </c>
      <c r="D75" s="54">
        <v>1</v>
      </c>
      <c r="E75" s="190">
        <f t="shared" si="12"/>
        <v>2</v>
      </c>
      <c r="F75" s="191">
        <f t="shared" si="13"/>
        <v>46077</v>
      </c>
      <c r="G75" s="192" t="str">
        <f t="shared" si="14"/>
        <v>Tue</v>
      </c>
      <c r="H75" s="193" t="s">
        <v>170</v>
      </c>
      <c r="I75" s="194"/>
      <c r="J75" s="307">
        <f>124830/B13</f>
        <v>1131.3213703099511</v>
      </c>
      <c r="K75" s="215"/>
      <c r="L75" s="317">
        <f t="shared" si="15"/>
        <v>1814.8068247478191</v>
      </c>
      <c r="M75" s="318">
        <f t="shared" si="7"/>
        <v>-683.48545443786793</v>
      </c>
      <c r="N75" s="41">
        <f t="shared" si="8"/>
        <v>0.62338390779809671</v>
      </c>
      <c r="O75" s="44"/>
      <c r="P75" s="317">
        <f>IF(D75=0,0,SUM($L$52:L75))</f>
        <v>34434.691364020509</v>
      </c>
      <c r="Q75" s="317">
        <f>IF(D75=0,0,SUM($J$52:J75))</f>
        <v>38161.863331520755</v>
      </c>
      <c r="R75" s="321">
        <f t="shared" si="9"/>
        <v>3727.171967500246</v>
      </c>
      <c r="S75" s="198">
        <f t="shared" si="16"/>
        <v>1.1082388666737006</v>
      </c>
      <c r="T75" s="212"/>
      <c r="U75" s="317">
        <f>IF(D75=0,0,SUM($L$21:L75))</f>
        <v>78729.598016186588</v>
      </c>
      <c r="V75" s="317">
        <f>IF(D75=0,0,SUM($J$21:J75))</f>
        <v>90765.064569421796</v>
      </c>
      <c r="W75" s="331">
        <f t="shared" si="10"/>
        <v>12035.466553235208</v>
      </c>
      <c r="X75" s="200">
        <f t="shared" si="17"/>
        <v>1.1528709260113426</v>
      </c>
      <c r="Y75" s="201">
        <f t="shared" si="28"/>
        <v>46077</v>
      </c>
      <c r="Z75" s="202">
        <f t="shared" si="28"/>
        <v>46077</v>
      </c>
      <c r="AA75" s="246">
        <v>8</v>
      </c>
      <c r="AB75" s="243" t="s">
        <v>221</v>
      </c>
      <c r="AC75" s="336">
        <f>IFERROR(AVERAGEIFS(J233:J263,D233:D263,1,G233:G263,"sat"),0)</f>
        <v>3082.812216784484</v>
      </c>
      <c r="AD75" s="275">
        <f>COUNTIFS(D233:D263,1,G233:G263,"sat")</f>
        <v>4</v>
      </c>
      <c r="AE75" s="335">
        <f>($I$14*'2024(¥)'!AI74)/AD75</f>
        <v>1650.4376860412824</v>
      </c>
      <c r="AF75" s="334">
        <f t="shared" si="27"/>
        <v>6601.7507441651296</v>
      </c>
      <c r="AG75" s="273" t="s">
        <v>197</v>
      </c>
      <c r="AH75" s="203"/>
      <c r="AI75" s="18"/>
      <c r="AJ75" s="18"/>
      <c r="AK75" s="18"/>
      <c r="AL75" s="18"/>
      <c r="AM75" s="18"/>
      <c r="AN75" s="18"/>
    </row>
    <row r="76" spans="1:40" ht="20">
      <c r="A76" s="18"/>
      <c r="B76" s="151"/>
      <c r="C76" s="55">
        <v>56</v>
      </c>
      <c r="D76" s="54">
        <v>1</v>
      </c>
      <c r="E76" s="190">
        <f t="shared" si="12"/>
        <v>2</v>
      </c>
      <c r="F76" s="191">
        <f t="shared" si="13"/>
        <v>46078</v>
      </c>
      <c r="G76" s="192" t="str">
        <f t="shared" si="14"/>
        <v>Wed</v>
      </c>
      <c r="H76" s="193"/>
      <c r="I76" s="194"/>
      <c r="J76" s="307">
        <f>332790/B13</f>
        <v>3016.0413268080479</v>
      </c>
      <c r="K76" s="215"/>
      <c r="L76" s="317">
        <f t="shared" si="15"/>
        <v>2504.1389198722622</v>
      </c>
      <c r="M76" s="318">
        <f t="shared" si="7"/>
        <v>511.90240693578562</v>
      </c>
      <c r="N76" s="41">
        <f t="shared" si="8"/>
        <v>1.2044225273899334</v>
      </c>
      <c r="O76" s="56"/>
      <c r="P76" s="317">
        <f>IF(D76=0,0,SUM($L$52:L76))</f>
        <v>36938.83028389277</v>
      </c>
      <c r="Q76" s="317">
        <f>IF(D76=0,0,SUM($J$52:J76))</f>
        <v>41177.9046583288</v>
      </c>
      <c r="R76" s="321">
        <f t="shared" si="9"/>
        <v>4239.0743744360298</v>
      </c>
      <c r="S76" s="198">
        <f t="shared" si="16"/>
        <v>1.1147593018473161</v>
      </c>
      <c r="T76" s="207"/>
      <c r="U76" s="317">
        <f>IF(D76=0,0,SUM($L$21:L76))</f>
        <v>81233.736936058849</v>
      </c>
      <c r="V76" s="317">
        <f>IF(D76=0,0,SUM($J$21:J76))</f>
        <v>93781.105896229841</v>
      </c>
      <c r="W76" s="331">
        <f t="shared" si="10"/>
        <v>12547.368960170992</v>
      </c>
      <c r="X76" s="200">
        <f t="shared" si="17"/>
        <v>1.1544600732826971</v>
      </c>
      <c r="Y76" s="201">
        <f t="shared" si="28"/>
        <v>46078</v>
      </c>
      <c r="Z76" s="202">
        <f t="shared" si="28"/>
        <v>46078</v>
      </c>
      <c r="AA76" s="246">
        <v>8</v>
      </c>
      <c r="AB76" s="243" t="s">
        <v>222</v>
      </c>
      <c r="AC76" s="336">
        <f>IFERROR(AVERAGEIFS(J233:J263,D233:D263,1,G233:G263,"sun"),0)</f>
        <v>0</v>
      </c>
      <c r="AD76" s="275">
        <f>IFERROR(COUNTIFS(D233:D263,1,G233:G263,"sun"),0)</f>
        <v>0</v>
      </c>
      <c r="AE76" s="335">
        <f>IFERROR(($I$14*'2024(¥)'!AI75)/AD76,0)</f>
        <v>0</v>
      </c>
      <c r="AF76" s="337">
        <f>SUM(AF70:AF75)</f>
        <v>47580.206634040245</v>
      </c>
      <c r="AG76" s="272">
        <f>I14</f>
        <v>47580.206634040238</v>
      </c>
      <c r="AH76" s="270"/>
      <c r="AI76" s="18"/>
      <c r="AJ76" s="18"/>
      <c r="AK76" s="18"/>
      <c r="AL76" s="18"/>
      <c r="AM76" s="18"/>
      <c r="AN76" s="18"/>
    </row>
    <row r="77" spans="1:40" ht="20">
      <c r="A77" s="18"/>
      <c r="B77" s="151"/>
      <c r="C77" s="55">
        <v>57</v>
      </c>
      <c r="D77" s="54">
        <v>1</v>
      </c>
      <c r="E77" s="190">
        <f t="shared" si="12"/>
        <v>2</v>
      </c>
      <c r="F77" s="191">
        <f t="shared" si="13"/>
        <v>46079</v>
      </c>
      <c r="G77" s="192" t="str">
        <f t="shared" si="14"/>
        <v>Thu</v>
      </c>
      <c r="H77" s="193"/>
      <c r="I77" s="194"/>
      <c r="J77" s="307">
        <f>236070/B13</f>
        <v>2139.4779771615008</v>
      </c>
      <c r="K77" s="215"/>
      <c r="L77" s="317">
        <f t="shared" si="15"/>
        <v>2471.2866908728442</v>
      </c>
      <c r="M77" s="318">
        <f t="shared" si="7"/>
        <v>-331.80871371134344</v>
      </c>
      <c r="N77" s="41">
        <f t="shared" si="8"/>
        <v>0.86573443100033431</v>
      </c>
      <c r="O77" s="56"/>
      <c r="P77" s="317">
        <f>IF(D77=0,0,SUM($L$52:L77))</f>
        <v>39410.116974765617</v>
      </c>
      <c r="Q77" s="317">
        <f>IF(D77=0,0,SUM($J$52:J77))</f>
        <v>43317.382635490299</v>
      </c>
      <c r="R77" s="321">
        <f t="shared" si="9"/>
        <v>3907.2656607246827</v>
      </c>
      <c r="S77" s="198">
        <f t="shared" si="16"/>
        <v>1.0991437214770643</v>
      </c>
      <c r="T77" s="207"/>
      <c r="U77" s="317">
        <f>IF(D77=0,0,SUM($L$21:L77))</f>
        <v>83705.023626931696</v>
      </c>
      <c r="V77" s="317">
        <f>IF(D77=0,0,SUM($J$21:J77))</f>
        <v>95920.583873391341</v>
      </c>
      <c r="W77" s="331">
        <f t="shared" si="10"/>
        <v>12215.560246459645</v>
      </c>
      <c r="X77" s="200">
        <f t="shared" si="17"/>
        <v>1.1459358078781947</v>
      </c>
      <c r="Y77" s="201">
        <f t="shared" si="28"/>
        <v>46079</v>
      </c>
      <c r="Z77" s="202">
        <f t="shared" si="28"/>
        <v>46079</v>
      </c>
      <c r="AA77" s="246">
        <v>9</v>
      </c>
      <c r="AB77" s="136" t="s">
        <v>216</v>
      </c>
      <c r="AC77" s="336">
        <f>IFERROR(AVERAGEIFS(J264:J293,D264:D293,1,G264:G293,"mon"),0)</f>
        <v>1825.711437375385</v>
      </c>
      <c r="AD77" s="275">
        <f>COUNTIFS(D264:D293,1,G264:G293,"Mon")</f>
        <v>4</v>
      </c>
      <c r="AE77" s="335">
        <f>($I$15*'2024(¥)'!AI76)/AD77</f>
        <v>1777.8901862108053</v>
      </c>
      <c r="AF77" s="334">
        <f t="shared" ref="AF77:AF82" si="29">AD77*AE77</f>
        <v>7111.5607448432211</v>
      </c>
      <c r="AG77" s="203" t="s">
        <v>136</v>
      </c>
      <c r="AH77" s="203"/>
      <c r="AI77" s="18"/>
      <c r="AJ77" s="18"/>
      <c r="AK77" s="18"/>
      <c r="AL77" s="18"/>
      <c r="AM77" s="18"/>
      <c r="AN77" s="18"/>
    </row>
    <row r="78" spans="1:40" ht="20">
      <c r="A78" s="18"/>
      <c r="B78" s="151"/>
      <c r="C78" s="55">
        <v>58</v>
      </c>
      <c r="D78" s="54">
        <v>1</v>
      </c>
      <c r="E78" s="190">
        <f t="shared" si="12"/>
        <v>2</v>
      </c>
      <c r="F78" s="191">
        <f t="shared" si="13"/>
        <v>46080</v>
      </c>
      <c r="G78" s="192" t="str">
        <f t="shared" si="14"/>
        <v>Fri</v>
      </c>
      <c r="H78" s="193"/>
      <c r="I78" s="194"/>
      <c r="J78" s="307">
        <f>346880/B13</f>
        <v>3143.73753851731</v>
      </c>
      <c r="K78" s="215"/>
      <c r="L78" s="317">
        <f t="shared" si="15"/>
        <v>1803.5831367140688</v>
      </c>
      <c r="M78" s="318">
        <f t="shared" si="7"/>
        <v>1340.1544018032412</v>
      </c>
      <c r="N78" s="41">
        <f t="shared" si="8"/>
        <v>1.7430510823276246</v>
      </c>
      <c r="O78" s="56"/>
      <c r="P78" s="317">
        <f>IF(D78=0,0,SUM($L$52:L78))</f>
        <v>41213.700111479688</v>
      </c>
      <c r="Q78" s="317">
        <f>IF(D78=0,0,SUM($J$52:J78))</f>
        <v>46461.120174007607</v>
      </c>
      <c r="R78" s="321">
        <f t="shared" si="9"/>
        <v>5247.4200625279191</v>
      </c>
      <c r="S78" s="198">
        <f t="shared" si="16"/>
        <v>1.1273222265492804</v>
      </c>
      <c r="T78" s="207"/>
      <c r="U78" s="317">
        <f>IF(D78=0,0,SUM($L$21:L78))</f>
        <v>85508.606763645759</v>
      </c>
      <c r="V78" s="317">
        <f>IF(D78=0,0,SUM($J$21:J78))</f>
        <v>99064.321411908648</v>
      </c>
      <c r="W78" s="331">
        <f t="shared" si="10"/>
        <v>13555.714648262889</v>
      </c>
      <c r="X78" s="200">
        <f t="shared" si="17"/>
        <v>1.1585304118652315</v>
      </c>
      <c r="Y78" s="201">
        <f t="shared" si="28"/>
        <v>46080</v>
      </c>
      <c r="Z78" s="202">
        <f t="shared" si="28"/>
        <v>46080</v>
      </c>
      <c r="AA78" s="246">
        <v>9</v>
      </c>
      <c r="AB78" s="243" t="s">
        <v>217</v>
      </c>
      <c r="AC78" s="336">
        <f>IFERROR(AVERAGEIFS(J264:J293,D264:D293,1,G264:G293,"tue"),0)</f>
        <v>1920.3597969911184</v>
      </c>
      <c r="AD78" s="275">
        <f>COUNTIFS(D264:D293,1,G264:G293,"tue")</f>
        <v>4</v>
      </c>
      <c r="AE78" s="335">
        <f>($I$15*'2024(¥)'!AI77)/AD78</f>
        <v>2939.7458081114423</v>
      </c>
      <c r="AF78" s="334">
        <f t="shared" si="29"/>
        <v>11758.983232445769</v>
      </c>
      <c r="AG78" s="203"/>
      <c r="AH78" s="203"/>
      <c r="AI78" s="18"/>
      <c r="AJ78" s="18"/>
      <c r="AK78" s="18"/>
      <c r="AL78" s="18"/>
      <c r="AM78" s="18"/>
      <c r="AN78" s="18"/>
    </row>
    <row r="79" spans="1:40" ht="21" thickBot="1">
      <c r="A79" s="18"/>
      <c r="B79" s="151"/>
      <c r="C79" s="216">
        <v>59</v>
      </c>
      <c r="D79" s="38">
        <v>1</v>
      </c>
      <c r="E79" s="217">
        <f t="shared" si="12"/>
        <v>2</v>
      </c>
      <c r="F79" s="218">
        <f t="shared" si="13"/>
        <v>46081</v>
      </c>
      <c r="G79" s="219" t="str">
        <f t="shared" si="14"/>
        <v>Sat</v>
      </c>
      <c r="H79" s="233"/>
      <c r="I79" s="221"/>
      <c r="J79" s="312">
        <f>377320/B13</f>
        <v>3419.6121080297262</v>
      </c>
      <c r="K79" s="223"/>
      <c r="L79" s="317">
        <f t="shared" si="15"/>
        <v>1155.341034070419</v>
      </c>
      <c r="M79" s="320">
        <f t="shared" si="7"/>
        <v>2264.2710739593072</v>
      </c>
      <c r="N79" s="225">
        <f t="shared" si="8"/>
        <v>2.9598291821956511</v>
      </c>
      <c r="O79" s="226"/>
      <c r="P79" s="322">
        <f>IF(D79=0,0,SUM($L$52:L79))</f>
        <v>42369.041145550109</v>
      </c>
      <c r="Q79" s="323">
        <f>IF(D79=0,0,SUM($J$52:J79))</f>
        <v>49880.73228203733</v>
      </c>
      <c r="R79" s="320">
        <f t="shared" si="9"/>
        <v>7511.6911364872212</v>
      </c>
      <c r="S79" s="228">
        <f t="shared" si="16"/>
        <v>1.1772919786096256</v>
      </c>
      <c r="T79" s="229"/>
      <c r="U79" s="332">
        <f>IF(D79=0,0,SUM($L$21:L79))</f>
        <v>86663.947797716173</v>
      </c>
      <c r="V79" s="323">
        <f>IF(D79=0,0,SUM($J$21:J79))</f>
        <v>102483.93351993838</v>
      </c>
      <c r="W79" s="333">
        <f t="shared" si="10"/>
        <v>15819.985722222205</v>
      </c>
      <c r="X79" s="230">
        <f t="shared" si="17"/>
        <v>1.1825440234865356</v>
      </c>
      <c r="Y79" s="201">
        <f t="shared" si="28"/>
        <v>46081</v>
      </c>
      <c r="Z79" s="202">
        <f t="shared" si="28"/>
        <v>46081</v>
      </c>
      <c r="AA79" s="246">
        <v>9</v>
      </c>
      <c r="AB79" s="243" t="s">
        <v>218</v>
      </c>
      <c r="AC79" s="336">
        <f>IFERROR(AVERAGEIFS(J264:J293,D264:D293,1,G264:G293,"wed"),0)</f>
        <v>2330.9316657603767</v>
      </c>
      <c r="AD79" s="275">
        <f>COUNTIFS(D264:D293,1,G264:G293,"wed")</f>
        <v>4</v>
      </c>
      <c r="AE79" s="335">
        <f>($I$15*'2024(¥)'!AI78)/AD79</f>
        <v>1982.8424601081722</v>
      </c>
      <c r="AF79" s="334">
        <f t="shared" si="29"/>
        <v>7931.3698404326888</v>
      </c>
      <c r="AG79" s="203"/>
      <c r="AH79" s="203"/>
      <c r="AI79" s="18"/>
      <c r="AJ79" s="18"/>
      <c r="AK79" s="18"/>
      <c r="AL79" s="18"/>
      <c r="AM79" s="18"/>
      <c r="AN79" s="18"/>
    </row>
    <row r="80" spans="1:40" ht="21" thickTop="1">
      <c r="A80" s="18"/>
      <c r="B80" s="151"/>
      <c r="C80" s="55">
        <v>60</v>
      </c>
      <c r="D80" s="62">
        <v>0</v>
      </c>
      <c r="E80" s="190">
        <f t="shared" si="12"/>
        <v>3</v>
      </c>
      <c r="F80" s="191">
        <f t="shared" si="13"/>
        <v>46082</v>
      </c>
      <c r="G80" s="192" t="str">
        <f t="shared" si="14"/>
        <v>Sun</v>
      </c>
      <c r="H80" s="193"/>
      <c r="I80" s="194"/>
      <c r="J80" s="307"/>
      <c r="K80" s="215"/>
      <c r="L80" s="317">
        <f t="shared" si="15"/>
        <v>0</v>
      </c>
      <c r="M80" s="321">
        <f t="shared" si="7"/>
        <v>0</v>
      </c>
      <c r="N80" s="60" t="str">
        <f t="shared" si="8"/>
        <v>¥0</v>
      </c>
      <c r="O80" s="56"/>
      <c r="P80" s="317">
        <f>IF(D80=0,0,$L$80)</f>
        <v>0</v>
      </c>
      <c r="Q80" s="317">
        <f>IF(D80=0,0,$J$80)</f>
        <v>0</v>
      </c>
      <c r="R80" s="321">
        <f t="shared" si="9"/>
        <v>0</v>
      </c>
      <c r="S80" s="231">
        <f t="shared" si="16"/>
        <v>0</v>
      </c>
      <c r="T80" s="207"/>
      <c r="U80" s="317">
        <f>IF(D80=0,0,SUM($L$21:L80))</f>
        <v>0</v>
      </c>
      <c r="V80" s="317">
        <f>IF(D80=0,0,SUM($J$21:J80))</f>
        <v>0</v>
      </c>
      <c r="W80" s="331">
        <f t="shared" si="10"/>
        <v>0</v>
      </c>
      <c r="X80" s="232">
        <f t="shared" si="17"/>
        <v>0</v>
      </c>
      <c r="Y80" s="201">
        <f t="shared" si="28"/>
        <v>46082</v>
      </c>
      <c r="Z80" s="202">
        <f t="shared" si="28"/>
        <v>46082</v>
      </c>
      <c r="AA80" s="246">
        <v>9</v>
      </c>
      <c r="AB80" s="243" t="s">
        <v>219</v>
      </c>
      <c r="AC80" s="336">
        <f>IFERROR(AVERAGEIFS(J264:J293,D264:D293,1,G264:G293,"thu"),0)</f>
        <v>2199.8821823454773</v>
      </c>
      <c r="AD80" s="275">
        <f>COUNTIFS(D264:D293,1,G264:G293,"thu")</f>
        <v>4</v>
      </c>
      <c r="AE80" s="335">
        <f>($I$15*'2024(¥)'!AI79)/AD80</f>
        <v>2234.8793803746735</v>
      </c>
      <c r="AF80" s="334">
        <f t="shared" si="29"/>
        <v>8939.5175214986939</v>
      </c>
      <c r="AG80" s="203"/>
      <c r="AH80" s="203"/>
      <c r="AI80" s="18"/>
      <c r="AJ80" s="18"/>
      <c r="AK80" s="18"/>
      <c r="AL80" s="18"/>
      <c r="AM80" s="18"/>
      <c r="AN80" s="18"/>
    </row>
    <row r="81" spans="1:40" ht="20">
      <c r="A81" s="18"/>
      <c r="B81" s="151"/>
      <c r="C81" s="55">
        <v>61</v>
      </c>
      <c r="D81" s="54">
        <v>1</v>
      </c>
      <c r="E81" s="190">
        <f t="shared" si="12"/>
        <v>3</v>
      </c>
      <c r="F81" s="191">
        <f t="shared" si="13"/>
        <v>46083</v>
      </c>
      <c r="G81" s="192" t="str">
        <f t="shared" si="14"/>
        <v>Mon</v>
      </c>
      <c r="H81" s="193"/>
      <c r="I81" s="194"/>
      <c r="J81" s="307">
        <f>67720/B13</f>
        <v>613.73935109661045</v>
      </c>
      <c r="K81" s="215"/>
      <c r="L81" s="317">
        <f t="shared" si="15"/>
        <v>1605.9351072495901</v>
      </c>
      <c r="M81" s="318">
        <f t="shared" si="7"/>
        <v>-992.1957561529797</v>
      </c>
      <c r="N81" s="41">
        <f t="shared" si="8"/>
        <v>0.38216945898127419</v>
      </c>
      <c r="O81" s="44"/>
      <c r="P81" s="317">
        <f>IF(D81=0,0,SUM($L$80:L81))</f>
        <v>1605.9351072495901</v>
      </c>
      <c r="Q81" s="317">
        <f>IF(D81=0,0,SUM($J$80:J81))</f>
        <v>613.73935109661045</v>
      </c>
      <c r="R81" s="321">
        <f t="shared" si="9"/>
        <v>-992.1957561529797</v>
      </c>
      <c r="S81" s="198">
        <f t="shared" si="16"/>
        <v>0.38216945898127419</v>
      </c>
      <c r="T81" s="212"/>
      <c r="U81" s="317">
        <f>IF(D81=0,0,SUM($L$21:L81))</f>
        <v>88269.882904965765</v>
      </c>
      <c r="V81" s="317">
        <f>IF(D81=0,0,SUM($J$21:J81))</f>
        <v>103097.67287103499</v>
      </c>
      <c r="W81" s="331">
        <f t="shared" si="10"/>
        <v>14827.78996606922</v>
      </c>
      <c r="X81" s="200">
        <f t="shared" si="17"/>
        <v>1.1679824361162154</v>
      </c>
      <c r="Y81" s="201">
        <f t="shared" si="28"/>
        <v>46083</v>
      </c>
      <c r="Z81" s="202">
        <f t="shared" si="28"/>
        <v>46083</v>
      </c>
      <c r="AA81" s="246">
        <v>9</v>
      </c>
      <c r="AB81" s="243" t="s">
        <v>220</v>
      </c>
      <c r="AC81" s="336">
        <f>IFERROR(AVERAGEIFS(J264:J293,D264:D293,1,G264:G293,"fri"),0)</f>
        <v>2584.1716512597422</v>
      </c>
      <c r="AD81" s="275">
        <f>COUNTIFS(D264:D293,1,G264:G293,"fri")</f>
        <v>4</v>
      </c>
      <c r="AE81" s="335">
        <f>($I$15*'2024(¥)'!AI80)/AD81</f>
        <v>3320.1441445705423</v>
      </c>
      <c r="AF81" s="334">
        <f t="shared" si="29"/>
        <v>13280.576578282169</v>
      </c>
      <c r="AG81" s="203"/>
      <c r="AH81" s="203"/>
      <c r="AI81" s="18"/>
      <c r="AJ81" s="18"/>
      <c r="AK81" s="18"/>
      <c r="AL81" s="18"/>
      <c r="AM81" s="18"/>
      <c r="AN81" s="18"/>
    </row>
    <row r="82" spans="1:40" ht="20">
      <c r="A82" s="18"/>
      <c r="B82" s="151"/>
      <c r="C82" s="55">
        <v>62</v>
      </c>
      <c r="D82" s="54">
        <v>1</v>
      </c>
      <c r="E82" s="190">
        <f t="shared" si="12"/>
        <v>3</v>
      </c>
      <c r="F82" s="191">
        <f t="shared" si="13"/>
        <v>46084</v>
      </c>
      <c r="G82" s="192" t="str">
        <f t="shared" si="14"/>
        <v>Tue</v>
      </c>
      <c r="H82" s="193"/>
      <c r="I82" s="194"/>
      <c r="J82" s="307">
        <f>179600/B13</f>
        <v>1627.6962117092623</v>
      </c>
      <c r="K82" s="215"/>
      <c r="L82" s="317">
        <f t="shared" si="15"/>
        <v>1851.4589743862257</v>
      </c>
      <c r="M82" s="318">
        <f t="shared" si="7"/>
        <v>-223.76276267696335</v>
      </c>
      <c r="N82" s="41">
        <f t="shared" si="8"/>
        <v>0.8791424677659182</v>
      </c>
      <c r="O82" s="56"/>
      <c r="P82" s="317">
        <f>IF(D82=0,0,SUM($L$80:L82))</f>
        <v>3457.3940816358158</v>
      </c>
      <c r="Q82" s="317">
        <f>IF(D82=0,0,SUM($J$80:J82))</f>
        <v>2241.4355628058729</v>
      </c>
      <c r="R82" s="321">
        <f t="shared" si="9"/>
        <v>-1215.9585188299429</v>
      </c>
      <c r="S82" s="198">
        <f t="shared" si="16"/>
        <v>0.6483020187693993</v>
      </c>
      <c r="T82" s="207"/>
      <c r="U82" s="317">
        <f>IF(D82=0,0,SUM($L$21:L82))</f>
        <v>90121.341879351996</v>
      </c>
      <c r="V82" s="317">
        <f>IF(D82=0,0,SUM($J$21:J82))</f>
        <v>104725.36908274425</v>
      </c>
      <c r="W82" s="331">
        <f t="shared" si="10"/>
        <v>14604.027203392252</v>
      </c>
      <c r="X82" s="200">
        <f t="shared" si="17"/>
        <v>1.1620484881699062</v>
      </c>
      <c r="Y82" s="201">
        <f t="shared" si="28"/>
        <v>46084</v>
      </c>
      <c r="Z82" s="202">
        <f t="shared" si="28"/>
        <v>46084</v>
      </c>
      <c r="AA82" s="246">
        <v>9</v>
      </c>
      <c r="AB82" s="243" t="s">
        <v>221</v>
      </c>
      <c r="AC82" s="336">
        <f>IFERROR(AVERAGEIFS(J264:J293,D264:D293,1,G264:G293,"sat"),0)</f>
        <v>3247.7569331158238</v>
      </c>
      <c r="AD82" s="275">
        <f>COUNTIFS(D264:D293,1,G264:G293,"sat")</f>
        <v>4</v>
      </c>
      <c r="AE82" s="335">
        <f>($I$15*'2024(¥)'!AI81)/AD82</f>
        <v>1338.8427732072885</v>
      </c>
      <c r="AF82" s="334">
        <f t="shared" si="29"/>
        <v>5355.3710928291539</v>
      </c>
      <c r="AG82" s="273" t="s">
        <v>198</v>
      </c>
      <c r="AH82" s="203"/>
      <c r="AI82" s="18"/>
      <c r="AJ82" s="18"/>
      <c r="AK82" s="18"/>
      <c r="AL82" s="18"/>
      <c r="AM82" s="18"/>
      <c r="AN82" s="18"/>
    </row>
    <row r="83" spans="1:40" ht="20">
      <c r="A83" s="18"/>
      <c r="B83" s="151"/>
      <c r="C83" s="55">
        <v>63</v>
      </c>
      <c r="D83" s="54">
        <v>1</v>
      </c>
      <c r="E83" s="190">
        <f t="shared" si="12"/>
        <v>3</v>
      </c>
      <c r="F83" s="191">
        <f t="shared" si="13"/>
        <v>46085</v>
      </c>
      <c r="G83" s="192" t="str">
        <f t="shared" si="14"/>
        <v>Wed</v>
      </c>
      <c r="H83" s="193"/>
      <c r="I83" s="194"/>
      <c r="J83" s="307">
        <f>161920/B13</f>
        <v>1467.4642015588181</v>
      </c>
      <c r="K83" s="215"/>
      <c r="L83" s="317">
        <f t="shared" si="15"/>
        <v>1932.8954991647802</v>
      </c>
      <c r="M83" s="318">
        <f t="shared" si="7"/>
        <v>-465.43129760596207</v>
      </c>
      <c r="N83" s="41">
        <f t="shared" si="8"/>
        <v>0.759205141815955</v>
      </c>
      <c r="O83" s="56"/>
      <c r="P83" s="317">
        <f>IF(D83=0,0,SUM($L$80:L83))</f>
        <v>5390.289580800596</v>
      </c>
      <c r="Q83" s="317">
        <f>IF(D83=0,0,SUM($J$80:J83))</f>
        <v>3708.8997643646908</v>
      </c>
      <c r="R83" s="321">
        <f t="shared" si="9"/>
        <v>-1681.3898164359052</v>
      </c>
      <c r="S83" s="198">
        <f t="shared" si="16"/>
        <v>0.68807059597971065</v>
      </c>
      <c r="T83" s="207"/>
      <c r="U83" s="317">
        <f>IF(D83=0,0,SUM($L$21:L83))</f>
        <v>92054.237378516773</v>
      </c>
      <c r="V83" s="317">
        <f>IF(D83=0,0,SUM($J$21:J83))</f>
        <v>106192.83328430307</v>
      </c>
      <c r="W83" s="331">
        <f t="shared" si="10"/>
        <v>14138.595905786293</v>
      </c>
      <c r="X83" s="200">
        <f t="shared" si="17"/>
        <v>1.1535898434273042</v>
      </c>
      <c r="Y83" s="201">
        <f t="shared" si="28"/>
        <v>46085</v>
      </c>
      <c r="Z83" s="202">
        <f t="shared" si="28"/>
        <v>46085</v>
      </c>
      <c r="AA83" s="246">
        <v>9</v>
      </c>
      <c r="AB83" s="243" t="s">
        <v>222</v>
      </c>
      <c r="AC83" s="336">
        <f>IFERROR(AVERAGEIFS(J264:J293,D264:D293,1,G264:G293,"sun"),0)</f>
        <v>0</v>
      </c>
      <c r="AD83" s="275">
        <f>IFERROR(COUNTIFS(D264:D293,1,G264:G293,"sun"),0)</f>
        <v>0</v>
      </c>
      <c r="AE83" s="335">
        <f>IFERROR(($I$15*'2024(¥)'!AI82)/AD83,0)</f>
        <v>0</v>
      </c>
      <c r="AF83" s="337">
        <f>SUM(AF77:AF82)</f>
        <v>54377.379010331701</v>
      </c>
      <c r="AG83" s="272">
        <f>I15</f>
        <v>54377.379010331701</v>
      </c>
      <c r="AH83" s="270"/>
      <c r="AI83" s="18"/>
      <c r="AJ83" s="18"/>
      <c r="AK83" s="18"/>
      <c r="AL83" s="18"/>
      <c r="AM83" s="18"/>
      <c r="AN83" s="18"/>
    </row>
    <row r="84" spans="1:40" ht="20">
      <c r="A84" s="18"/>
      <c r="B84" s="151"/>
      <c r="C84" s="55">
        <v>64</v>
      </c>
      <c r="D84" s="54">
        <v>1</v>
      </c>
      <c r="E84" s="190">
        <f t="shared" si="12"/>
        <v>3</v>
      </c>
      <c r="F84" s="191">
        <f t="shared" si="13"/>
        <v>46086</v>
      </c>
      <c r="G84" s="192" t="str">
        <f t="shared" si="14"/>
        <v>Thu</v>
      </c>
      <c r="H84" s="193"/>
      <c r="I84" s="194"/>
      <c r="J84" s="307">
        <f>211040/B13</f>
        <v>1912.6336777234003</v>
      </c>
      <c r="K84" s="215"/>
      <c r="L84" s="317">
        <f t="shared" si="15"/>
        <v>2705.7030005488227</v>
      </c>
      <c r="M84" s="318">
        <f t="shared" si="7"/>
        <v>-793.06932282542243</v>
      </c>
      <c r="N84" s="41">
        <f t="shared" si="8"/>
        <v>0.70688973525011545</v>
      </c>
      <c r="O84" s="56"/>
      <c r="P84" s="317">
        <f>IF(D84=0,0,SUM($L$80:L84))</f>
        <v>8095.9925813494192</v>
      </c>
      <c r="Q84" s="317">
        <f>IF(D84=0,0,SUM($J$80:J84))</f>
        <v>5621.5334420880909</v>
      </c>
      <c r="R84" s="321">
        <f t="shared" si="9"/>
        <v>-2474.4591392613283</v>
      </c>
      <c r="S84" s="198">
        <f t="shared" si="16"/>
        <v>0.69436000411343113</v>
      </c>
      <c r="T84" s="207"/>
      <c r="U84" s="317">
        <f>IF(D84=0,0,SUM($L$21:L84))</f>
        <v>94759.940379065592</v>
      </c>
      <c r="V84" s="317">
        <f>IF(D84=0,0,SUM($J$21:J84))</f>
        <v>108105.46696202646</v>
      </c>
      <c r="W84" s="331">
        <f t="shared" si="10"/>
        <v>13345.526582960869</v>
      </c>
      <c r="X84" s="200">
        <f t="shared" si="17"/>
        <v>1.1408351095365312</v>
      </c>
      <c r="Y84" s="201">
        <f t="shared" si="28"/>
        <v>46086</v>
      </c>
      <c r="Z84" s="202">
        <f t="shared" si="28"/>
        <v>46086</v>
      </c>
      <c r="AA84" s="246">
        <v>10</v>
      </c>
      <c r="AB84" s="136" t="s">
        <v>216</v>
      </c>
      <c r="AC84" s="336">
        <f>IFERROR(AVERAGEIFS(J294:J324,D294:D324,1,G294:G324,"mon"),0)</f>
        <v>1514.6592350915353</v>
      </c>
      <c r="AD84" s="275">
        <f>COUNTIFS(D294:D324,1,G294:G324,"Mon")</f>
        <v>4</v>
      </c>
      <c r="AE84" s="335">
        <f>($I$16*'2024(¥)'!AI83)/AD84</f>
        <v>2053.0100555917702</v>
      </c>
      <c r="AF84" s="334">
        <f t="shared" ref="AF84:AF89" si="30">AD84*AE84</f>
        <v>8212.0402223670808</v>
      </c>
      <c r="AG84" s="203" t="s">
        <v>137</v>
      </c>
      <c r="AH84" s="203"/>
      <c r="AI84" s="18"/>
      <c r="AJ84" s="18"/>
      <c r="AK84" s="18"/>
      <c r="AL84" s="18"/>
      <c r="AM84" s="18"/>
      <c r="AN84" s="18"/>
    </row>
    <row r="85" spans="1:40" ht="20">
      <c r="A85" s="18"/>
      <c r="B85" s="151"/>
      <c r="C85" s="55">
        <v>65</v>
      </c>
      <c r="D85" s="54">
        <v>1</v>
      </c>
      <c r="E85" s="190">
        <f t="shared" si="12"/>
        <v>3</v>
      </c>
      <c r="F85" s="191">
        <f t="shared" si="13"/>
        <v>46087</v>
      </c>
      <c r="G85" s="192" t="str">
        <f t="shared" si="14"/>
        <v>Fri</v>
      </c>
      <c r="H85" s="193"/>
      <c r="I85" s="194"/>
      <c r="J85" s="307">
        <f>347450/B13</f>
        <v>3148.9033895232915</v>
      </c>
      <c r="K85" s="215"/>
      <c r="L85" s="317">
        <f t="shared" si="15"/>
        <v>4714.3493285973536</v>
      </c>
      <c r="M85" s="318">
        <f t="shared" ref="M85:M148" si="31">IF(D85=0,0,J85-L85)</f>
        <v>-1565.4459390740622</v>
      </c>
      <c r="N85" s="41">
        <f t="shared" si="8"/>
        <v>0.66794019069014887</v>
      </c>
      <c r="O85" s="56"/>
      <c r="P85" s="317">
        <f>IF(D85=0,0,SUM($L$80:L85))</f>
        <v>12810.341909946772</v>
      </c>
      <c r="Q85" s="317">
        <f>IF(D85=0,0,SUM($J$80:J85))</f>
        <v>8770.4368316113832</v>
      </c>
      <c r="R85" s="321">
        <f t="shared" ref="R85:R148" si="32">IF(D85=0,0,Q85-P85)</f>
        <v>-4039.9050783353887</v>
      </c>
      <c r="S85" s="198">
        <f t="shared" si="16"/>
        <v>0.68463721681007228</v>
      </c>
      <c r="T85" s="207"/>
      <c r="U85" s="317">
        <f>IF(D85=0,0,SUM($L$21:L85))</f>
        <v>99474.289707662945</v>
      </c>
      <c r="V85" s="317">
        <f>IF(D85=0,0,SUM($J$21:J85))</f>
        <v>111254.37035154975</v>
      </c>
      <c r="W85" s="331">
        <f t="shared" ref="W85:W148" si="33">IF(D85=0,0,V85-U85)</f>
        <v>11780.080643886802</v>
      </c>
      <c r="X85" s="200">
        <f t="shared" si="17"/>
        <v>1.1184233702849886</v>
      </c>
      <c r="Y85" s="201">
        <f t="shared" si="28"/>
        <v>46087</v>
      </c>
      <c r="Z85" s="202">
        <f t="shared" si="28"/>
        <v>46087</v>
      </c>
      <c r="AA85" s="246">
        <v>10</v>
      </c>
      <c r="AB85" s="243" t="s">
        <v>217</v>
      </c>
      <c r="AC85" s="336">
        <f>IFERROR(AVERAGEIFS(J294:J324,D294:D324,1,G294:G324,"tue"),0)</f>
        <v>2996.7373572593801</v>
      </c>
      <c r="AD85" s="275">
        <f>COUNTIFS(D294:D324,1,G294:G324,"tue")</f>
        <v>3</v>
      </c>
      <c r="AE85" s="335">
        <f>($I$16*'2024(¥)'!AI84)/AD85</f>
        <v>3848.1484790795243</v>
      </c>
      <c r="AF85" s="334">
        <f t="shared" si="30"/>
        <v>11544.445437238574</v>
      </c>
      <c r="AG85" s="203"/>
      <c r="AH85" s="203"/>
      <c r="AI85" s="18"/>
      <c r="AJ85" s="18"/>
      <c r="AK85" s="18"/>
      <c r="AL85" s="18"/>
      <c r="AM85" s="18"/>
      <c r="AN85" s="18"/>
    </row>
    <row r="86" spans="1:40" ht="20">
      <c r="A86" s="18"/>
      <c r="B86" s="151"/>
      <c r="C86" s="55">
        <v>66</v>
      </c>
      <c r="D86" s="54">
        <v>1</v>
      </c>
      <c r="E86" s="190">
        <f t="shared" ref="E86:E149" si="34">MONTH(Y86)</f>
        <v>3</v>
      </c>
      <c r="F86" s="191">
        <f t="shared" ref="F86:F149" si="35">F85+1</f>
        <v>46088</v>
      </c>
      <c r="G86" s="192" t="str">
        <f t="shared" ref="G86:G149" si="36">TEXT(Z86,"ddd")</f>
        <v>Sat</v>
      </c>
      <c r="H86" s="193"/>
      <c r="I86" s="194"/>
      <c r="J86" s="307">
        <f>346310/B13</f>
        <v>3138.5716875113285</v>
      </c>
      <c r="K86" s="215"/>
      <c r="L86" s="317">
        <f t="shared" ref="L86:L149" si="37">IF(D86=0,0,IFERROR(SUMIFS($AE$21:$AE$104,$AA$21:$AA$104,$E86,$AB$21:$AB$104,$G86),0))</f>
        <v>1664.6726857341598</v>
      </c>
      <c r="M86" s="318">
        <f t="shared" si="31"/>
        <v>1473.8990017771687</v>
      </c>
      <c r="N86" s="41">
        <f t="shared" si="8"/>
        <v>1.8853986819199502</v>
      </c>
      <c r="O86" s="56"/>
      <c r="P86" s="317">
        <f>IF(D86=0,0,SUM($L$80:L86))</f>
        <v>14475.014595680932</v>
      </c>
      <c r="Q86" s="317">
        <f>IF(D86=0,0,SUM($J$80:J86))</f>
        <v>11909.008519122712</v>
      </c>
      <c r="R86" s="321">
        <f t="shared" si="32"/>
        <v>-2566.0060765582202</v>
      </c>
      <c r="S86" s="198">
        <f t="shared" ref="S86:S149" si="38">IF(D86=0,0,Q86/P86)</f>
        <v>0.82272860178504637</v>
      </c>
      <c r="T86" s="207"/>
      <c r="U86" s="317">
        <f>IF(D86=0,0,SUM($L$21:L86))</f>
        <v>101138.9623933971</v>
      </c>
      <c r="V86" s="317">
        <f>IF(D86=0,0,SUM($J$21:J86))</f>
        <v>114392.94203906108</v>
      </c>
      <c r="W86" s="331">
        <f t="shared" si="33"/>
        <v>13253.979645663974</v>
      </c>
      <c r="X86" s="200">
        <f t="shared" ref="X86:X149" si="39">IF(D86=0,0,V86/U86)</f>
        <v>1.1310472179268596</v>
      </c>
      <c r="Y86" s="201">
        <f t="shared" si="28"/>
        <v>46088</v>
      </c>
      <c r="Z86" s="202">
        <f t="shared" si="28"/>
        <v>46088</v>
      </c>
      <c r="AA86" s="246">
        <v>10</v>
      </c>
      <c r="AB86" s="243" t="s">
        <v>218</v>
      </c>
      <c r="AC86" s="336">
        <f>IFERROR(AVERAGEIFS(J294:J324,D294:D324,1,G294:G324,"wed"),0)</f>
        <v>3001.0195758564437</v>
      </c>
      <c r="AD86" s="275">
        <f>COUNTIFS(D294:D324,1,G294:G324,"wed")</f>
        <v>4</v>
      </c>
      <c r="AE86" s="335">
        <f>($I$16*'2024(¥)'!AI85)/AD86</f>
        <v>3113.5010676187776</v>
      </c>
      <c r="AF86" s="334">
        <f t="shared" si="30"/>
        <v>12454.00427047511</v>
      </c>
      <c r="AG86" s="203"/>
      <c r="AH86" s="203"/>
      <c r="AI86" s="18"/>
      <c r="AJ86" s="18"/>
      <c r="AK86" s="18"/>
      <c r="AL86" s="18"/>
      <c r="AM86" s="18"/>
      <c r="AN86" s="18"/>
    </row>
    <row r="87" spans="1:40" ht="20">
      <c r="A87" s="18"/>
      <c r="B87" s="151"/>
      <c r="C87" s="55">
        <v>67</v>
      </c>
      <c r="D87" s="54">
        <v>0</v>
      </c>
      <c r="E87" s="190">
        <f t="shared" si="34"/>
        <v>3</v>
      </c>
      <c r="F87" s="191">
        <f t="shared" si="35"/>
        <v>46089</v>
      </c>
      <c r="G87" s="192" t="str">
        <f t="shared" si="36"/>
        <v>Sun</v>
      </c>
      <c r="H87" s="193"/>
      <c r="I87" s="194"/>
      <c r="J87" s="307"/>
      <c r="K87" s="215"/>
      <c r="L87" s="317">
        <f t="shared" si="37"/>
        <v>0</v>
      </c>
      <c r="M87" s="318">
        <f>IF(D87=0,0,J87-L87)</f>
        <v>0</v>
      </c>
      <c r="N87" s="41" t="str">
        <f>IFERROR(J87/L87,"¥0")</f>
        <v>¥0</v>
      </c>
      <c r="O87" s="56"/>
      <c r="P87" s="317">
        <f>IF(D87=0,0,SUM($L$80:L87))</f>
        <v>0</v>
      </c>
      <c r="Q87" s="317">
        <f>IF(D87=0,0,SUM($J$80:J87))</f>
        <v>0</v>
      </c>
      <c r="R87" s="321">
        <f t="shared" si="32"/>
        <v>0</v>
      </c>
      <c r="S87" s="198">
        <f t="shared" si="38"/>
        <v>0</v>
      </c>
      <c r="T87" s="207"/>
      <c r="U87" s="317">
        <f>IF(D87=0,0,SUM($L$21:L87))</f>
        <v>0</v>
      </c>
      <c r="V87" s="317">
        <f>IF(D87=0,0,SUM($J$21:J87))</f>
        <v>0</v>
      </c>
      <c r="W87" s="331">
        <f t="shared" si="33"/>
        <v>0</v>
      </c>
      <c r="X87" s="200">
        <f t="shared" si="39"/>
        <v>0</v>
      </c>
      <c r="Y87" s="201">
        <f t="shared" ref="Y87:Z102" si="40">Y86+1</f>
        <v>46089</v>
      </c>
      <c r="Z87" s="202">
        <f t="shared" si="40"/>
        <v>46089</v>
      </c>
      <c r="AA87" s="246">
        <v>10</v>
      </c>
      <c r="AB87" s="243" t="s">
        <v>219</v>
      </c>
      <c r="AC87" s="336">
        <f>IFERROR(AVERAGEIFS(J294:J324,D294:D324,1,G294:G324,"thu"),0)</f>
        <v>2851.3141199927495</v>
      </c>
      <c r="AD87" s="275">
        <f>COUNTIFS(D294:D324,1,G294:G324,"thu")</f>
        <v>5</v>
      </c>
      <c r="AE87" s="335">
        <f>($I$16*'2024(¥)'!AI86)/AD87</f>
        <v>2904.5696416076271</v>
      </c>
      <c r="AF87" s="334">
        <f t="shared" si="30"/>
        <v>14522.848208038136</v>
      </c>
      <c r="AG87" s="203"/>
      <c r="AH87" s="203"/>
      <c r="AI87" s="18"/>
      <c r="AJ87" s="18"/>
      <c r="AK87" s="18"/>
      <c r="AL87" s="18"/>
      <c r="AM87" s="18"/>
      <c r="AN87" s="18"/>
    </row>
    <row r="88" spans="1:40" ht="20">
      <c r="A88" s="18"/>
      <c r="B88" s="151"/>
      <c r="C88" s="55">
        <v>68</v>
      </c>
      <c r="D88" s="54">
        <v>1</v>
      </c>
      <c r="E88" s="190">
        <f t="shared" si="34"/>
        <v>3</v>
      </c>
      <c r="F88" s="191">
        <f t="shared" si="35"/>
        <v>46090</v>
      </c>
      <c r="G88" s="192" t="str">
        <f t="shared" si="36"/>
        <v>Mon</v>
      </c>
      <c r="H88" s="193"/>
      <c r="I88" s="194"/>
      <c r="J88" s="307">
        <f>60610/B13</f>
        <v>549.30215696936739</v>
      </c>
      <c r="K88" s="215"/>
      <c r="L88" s="317">
        <f t="shared" si="37"/>
        <v>1605.9351072495901</v>
      </c>
      <c r="M88" s="318">
        <f>IF(D88=0,0,J88-L88)</f>
        <v>-1056.6329502802228</v>
      </c>
      <c r="N88" s="41">
        <f>IFERROR(J88/L88,"¥0")</f>
        <v>0.34204505181416173</v>
      </c>
      <c r="O88" s="44"/>
      <c r="P88" s="317">
        <f>IF(D88=0,0,SUM($L$80:L88))</f>
        <v>16080.949702930522</v>
      </c>
      <c r="Q88" s="317">
        <f>IF(D88=0,0,SUM($J$80:J88))</f>
        <v>12458.310676092078</v>
      </c>
      <c r="R88" s="321">
        <f t="shared" si="32"/>
        <v>-3622.6390268384439</v>
      </c>
      <c r="S88" s="198">
        <f t="shared" si="38"/>
        <v>0.77472480831289026</v>
      </c>
      <c r="T88" s="212"/>
      <c r="U88" s="317">
        <f>IF(D88=0,0,SUM($L$21:L88))</f>
        <v>102744.89750064669</v>
      </c>
      <c r="V88" s="317">
        <f>IF(D88=0,0,SUM($J$21:J88))</f>
        <v>114942.24419603044</v>
      </c>
      <c r="W88" s="331">
        <f t="shared" si="33"/>
        <v>12197.346695383749</v>
      </c>
      <c r="X88" s="200">
        <f t="shared" si="39"/>
        <v>1.1187148655757526</v>
      </c>
      <c r="Y88" s="201">
        <f t="shared" si="40"/>
        <v>46090</v>
      </c>
      <c r="Z88" s="202">
        <f t="shared" si="40"/>
        <v>46090</v>
      </c>
      <c r="AA88" s="246">
        <v>10</v>
      </c>
      <c r="AB88" s="243" t="s">
        <v>220</v>
      </c>
      <c r="AC88" s="336">
        <f>IFERROR(AVERAGEIFS(J294:J324,D294:D324,1,G294:G324,"fri"),0)</f>
        <v>2915.733188326989</v>
      </c>
      <c r="AD88" s="275">
        <f>COUNTIFS(D294:D324,1,G294:G324,"fri")</f>
        <v>5</v>
      </c>
      <c r="AE88" s="335">
        <f>($I$16*'2024(¥)'!AI87)/AD88</f>
        <v>2341.5016355078496</v>
      </c>
      <c r="AF88" s="334">
        <f t="shared" si="30"/>
        <v>11707.508177539248</v>
      </c>
      <c r="AG88" s="203"/>
      <c r="AH88" s="203"/>
      <c r="AI88" s="18"/>
      <c r="AJ88" s="18"/>
      <c r="AK88" s="18"/>
      <c r="AL88" s="18"/>
      <c r="AM88" s="18"/>
      <c r="AN88" s="18"/>
    </row>
    <row r="89" spans="1:40" ht="20">
      <c r="A89" s="18"/>
      <c r="B89" s="151"/>
      <c r="C89" s="55">
        <v>69</v>
      </c>
      <c r="D89" s="54">
        <v>1</v>
      </c>
      <c r="E89" s="190">
        <f t="shared" si="34"/>
        <v>3</v>
      </c>
      <c r="F89" s="191">
        <f t="shared" si="35"/>
        <v>46091</v>
      </c>
      <c r="G89" s="192" t="str">
        <f t="shared" si="36"/>
        <v>Tue</v>
      </c>
      <c r="H89" s="193"/>
      <c r="I89" s="194"/>
      <c r="J89" s="307">
        <f>273200/B13</f>
        <v>2475.9833242704367</v>
      </c>
      <c r="K89" s="215"/>
      <c r="L89" s="317">
        <f t="shared" si="37"/>
        <v>1851.4589743862257</v>
      </c>
      <c r="M89" s="318">
        <f t="shared" si="31"/>
        <v>624.52434988421101</v>
      </c>
      <c r="N89" s="41">
        <f t="shared" si="8"/>
        <v>1.337314711545929</v>
      </c>
      <c r="O89" s="56"/>
      <c r="P89" s="317">
        <f>IF(D89=0,0,SUM($L$80:L89))</f>
        <v>17932.408677316747</v>
      </c>
      <c r="Q89" s="317">
        <f>IF(D89=0,0,SUM($J$80:J89))</f>
        <v>14934.294000362515</v>
      </c>
      <c r="R89" s="321">
        <f t="shared" si="32"/>
        <v>-2998.114676954232</v>
      </c>
      <c r="S89" s="198">
        <f t="shared" si="38"/>
        <v>0.83281026375744838</v>
      </c>
      <c r="T89" s="207"/>
      <c r="U89" s="317">
        <f>IF(D89=0,0,SUM($L$21:L89))</f>
        <v>104596.35647503292</v>
      </c>
      <c r="V89" s="317">
        <f>IF(D89=0,0,SUM($J$21:J89))</f>
        <v>117418.22752030088</v>
      </c>
      <c r="W89" s="331">
        <f t="shared" si="33"/>
        <v>12821.871045267952</v>
      </c>
      <c r="X89" s="200">
        <f t="shared" si="39"/>
        <v>1.1225842990843427</v>
      </c>
      <c r="Y89" s="201">
        <f t="shared" si="40"/>
        <v>46091</v>
      </c>
      <c r="Z89" s="202">
        <f t="shared" si="40"/>
        <v>46091</v>
      </c>
      <c r="AA89" s="246">
        <v>10</v>
      </c>
      <c r="AB89" s="243" t="s">
        <v>221</v>
      </c>
      <c r="AC89" s="336">
        <f>IFERROR(AVERAGEIFS(J294:J324,D294:D324,1,G294:G324,"sat"),0)</f>
        <v>2968.0623527279317</v>
      </c>
      <c r="AD89" s="275">
        <f>COUNTIFS(D294:D324,1,G294:G324,"sat")</f>
        <v>5</v>
      </c>
      <c r="AE89" s="335">
        <f>($I$16*'2024(¥)'!AI88)/AD89</f>
        <v>1271.7727343307608</v>
      </c>
      <c r="AF89" s="334">
        <f t="shared" si="30"/>
        <v>6358.863671653804</v>
      </c>
      <c r="AG89" s="273" t="s">
        <v>199</v>
      </c>
      <c r="AH89" s="203"/>
      <c r="AI89" s="18"/>
      <c r="AJ89" s="18"/>
      <c r="AK89" s="18"/>
      <c r="AL89" s="18"/>
      <c r="AM89" s="18"/>
      <c r="AN89" s="18"/>
    </row>
    <row r="90" spans="1:40" ht="20">
      <c r="A90" s="18"/>
      <c r="B90" s="151"/>
      <c r="C90" s="55">
        <v>70</v>
      </c>
      <c r="D90" s="54">
        <v>1</v>
      </c>
      <c r="E90" s="190">
        <f t="shared" si="34"/>
        <v>3</v>
      </c>
      <c r="F90" s="191">
        <f t="shared" si="35"/>
        <v>46092</v>
      </c>
      <c r="G90" s="192" t="str">
        <f t="shared" si="36"/>
        <v>Wed</v>
      </c>
      <c r="H90" s="193"/>
      <c r="I90" s="194"/>
      <c r="J90" s="307">
        <f>262880/B13</f>
        <v>2382.4542323726664</v>
      </c>
      <c r="K90" s="215"/>
      <c r="L90" s="317">
        <f t="shared" si="37"/>
        <v>1932.8954991647802</v>
      </c>
      <c r="M90" s="318">
        <f t="shared" si="31"/>
        <v>449.55873320788623</v>
      </c>
      <c r="N90" s="41">
        <f t="shared" si="8"/>
        <v>1.2325830513869707</v>
      </c>
      <c r="O90" s="56"/>
      <c r="P90" s="317">
        <f>IF(D90=0,0,SUM($L$80:L90))</f>
        <v>19865.304176481528</v>
      </c>
      <c r="Q90" s="317">
        <f>IF(D90=0,0,SUM($J$80:J90))</f>
        <v>17316.748232735183</v>
      </c>
      <c r="R90" s="321">
        <f t="shared" si="32"/>
        <v>-2548.5559437463453</v>
      </c>
      <c r="S90" s="198">
        <f t="shared" si="38"/>
        <v>0.87170818422385032</v>
      </c>
      <c r="T90" s="207"/>
      <c r="U90" s="317">
        <f>IF(D90=0,0,SUM($L$21:L90))</f>
        <v>106529.2519741977</v>
      </c>
      <c r="V90" s="317">
        <f>IF(D90=0,0,SUM($J$21:J90))</f>
        <v>119800.68175267354</v>
      </c>
      <c r="W90" s="331">
        <f t="shared" si="33"/>
        <v>13271.429778475838</v>
      </c>
      <c r="X90" s="200">
        <f t="shared" si="39"/>
        <v>1.1245801461338552</v>
      </c>
      <c r="Y90" s="201">
        <f t="shared" si="40"/>
        <v>46092</v>
      </c>
      <c r="Z90" s="202">
        <f t="shared" si="40"/>
        <v>46092</v>
      </c>
      <c r="AA90" s="246">
        <v>10</v>
      </c>
      <c r="AB90" s="243" t="s">
        <v>222</v>
      </c>
      <c r="AC90" s="336">
        <f>IFERROR(AVERAGEIFS(J294:J324,D294:D324,1,G294:G324,"sun"),0)</f>
        <v>0</v>
      </c>
      <c r="AD90" s="275">
        <f>IFERROR(COUNTIFS(D294:D324,1,G294:G324,"sun"),0)</f>
        <v>0</v>
      </c>
      <c r="AE90" s="335">
        <f>IFERROR(($I$16*'2024(¥)'!AI89)/AD90,0)</f>
        <v>0</v>
      </c>
      <c r="AF90" s="337">
        <f>SUM(AF84:AF89)</f>
        <v>64799.709987311951</v>
      </c>
      <c r="AG90" s="272">
        <f>I16</f>
        <v>64799.709987311951</v>
      </c>
      <c r="AH90" s="270"/>
      <c r="AI90" s="18"/>
      <c r="AJ90" s="18"/>
      <c r="AK90" s="18"/>
      <c r="AL90" s="18"/>
      <c r="AM90" s="18"/>
      <c r="AN90" s="18"/>
    </row>
    <row r="91" spans="1:40" ht="20">
      <c r="A91" s="18"/>
      <c r="B91" s="151"/>
      <c r="C91" s="55">
        <v>71</v>
      </c>
      <c r="D91" s="54">
        <v>1</v>
      </c>
      <c r="E91" s="190">
        <f t="shared" si="34"/>
        <v>3</v>
      </c>
      <c r="F91" s="191">
        <f t="shared" si="35"/>
        <v>46093</v>
      </c>
      <c r="G91" s="192" t="str">
        <f t="shared" si="36"/>
        <v>Thu</v>
      </c>
      <c r="H91" s="193"/>
      <c r="I91" s="194"/>
      <c r="J91" s="307">
        <f>298290/B13</f>
        <v>2703.3713974986404</v>
      </c>
      <c r="K91" s="215"/>
      <c r="L91" s="317">
        <f t="shared" si="37"/>
        <v>2705.7030005488227</v>
      </c>
      <c r="M91" s="318">
        <f t="shared" si="31"/>
        <v>-2.3316030501823661</v>
      </c>
      <c r="N91" s="41">
        <f t="shared" si="8"/>
        <v>0.99913826349392032</v>
      </c>
      <c r="O91" s="56"/>
      <c r="P91" s="317">
        <f>IF(D91=0,0,SUM($L$80:L91))</f>
        <v>22571.007177030351</v>
      </c>
      <c r="Q91" s="317">
        <f>IF(D91=0,0,SUM($J$80:J91))</f>
        <v>20020.119630233821</v>
      </c>
      <c r="R91" s="321">
        <f t="shared" si="32"/>
        <v>-2550.8875467965299</v>
      </c>
      <c r="S91" s="198">
        <f t="shared" si="38"/>
        <v>0.88698388482227453</v>
      </c>
      <c r="T91" s="207"/>
      <c r="U91" s="317">
        <f>IF(D91=0,0,SUM($L$21:L91))</f>
        <v>109234.95497474652</v>
      </c>
      <c r="V91" s="317">
        <f>IF(D91=0,0,SUM($J$21:J91))</f>
        <v>122504.05315017219</v>
      </c>
      <c r="W91" s="331">
        <f t="shared" si="33"/>
        <v>13269.098175425665</v>
      </c>
      <c r="X91" s="200">
        <f t="shared" si="39"/>
        <v>1.1214730044837138</v>
      </c>
      <c r="Y91" s="201">
        <f t="shared" si="40"/>
        <v>46093</v>
      </c>
      <c r="Z91" s="202">
        <f t="shared" si="40"/>
        <v>46093</v>
      </c>
      <c r="AA91" s="246">
        <v>11</v>
      </c>
      <c r="AB91" s="136" t="s">
        <v>216</v>
      </c>
      <c r="AC91" s="336">
        <f>IFERROR(AVERAGEIFS(J325:J354,D325:D354,1,G325:G354,"mon"),0)</f>
        <v>1814.138118542686</v>
      </c>
      <c r="AD91" s="275">
        <f>COUNTIFS(D325:D354,1,G325:G354,"Mon")</f>
        <v>5</v>
      </c>
      <c r="AE91" s="335">
        <f>($I$17*'2024(¥)'!AI90)/AD91</f>
        <v>992.15188882816528</v>
      </c>
      <c r="AF91" s="334">
        <f t="shared" ref="AF91:AF96" si="41">AD91*AE91</f>
        <v>4960.7594441408264</v>
      </c>
      <c r="AG91" s="203" t="s">
        <v>138</v>
      </c>
      <c r="AH91" s="203"/>
      <c r="AI91" s="18"/>
      <c r="AJ91" s="18"/>
      <c r="AK91" s="18"/>
      <c r="AL91" s="18"/>
      <c r="AM91" s="18"/>
      <c r="AN91" s="18"/>
    </row>
    <row r="92" spans="1:40" ht="20">
      <c r="A92" s="18"/>
      <c r="B92" s="151"/>
      <c r="C92" s="55">
        <v>72</v>
      </c>
      <c r="D92" s="54">
        <v>1</v>
      </c>
      <c r="E92" s="190">
        <f t="shared" si="34"/>
        <v>3</v>
      </c>
      <c r="F92" s="191">
        <f t="shared" si="35"/>
        <v>46094</v>
      </c>
      <c r="G92" s="192" t="str">
        <f t="shared" si="36"/>
        <v>Fri</v>
      </c>
      <c r="H92" s="193"/>
      <c r="I92" s="194"/>
      <c r="J92" s="307">
        <f>302800/B13</f>
        <v>2744.2450607214064</v>
      </c>
      <c r="K92" s="215"/>
      <c r="L92" s="317">
        <f t="shared" si="37"/>
        <v>4714.3493285973536</v>
      </c>
      <c r="M92" s="318">
        <f t="shared" si="31"/>
        <v>-1970.1042678759472</v>
      </c>
      <c r="N92" s="41">
        <f t="shared" si="8"/>
        <v>0.58210473374867477</v>
      </c>
      <c r="O92" s="56"/>
      <c r="P92" s="317">
        <f>IF(D92=0,0,SUM($L$80:L92))</f>
        <v>27285.356505627704</v>
      </c>
      <c r="Q92" s="317">
        <f>IF(D92=0,0,SUM($J$80:J92))</f>
        <v>22764.364690955226</v>
      </c>
      <c r="R92" s="321">
        <f t="shared" si="32"/>
        <v>-4520.9918146724776</v>
      </c>
      <c r="S92" s="198">
        <f t="shared" si="38"/>
        <v>0.83430702788361932</v>
      </c>
      <c r="T92" s="207"/>
      <c r="U92" s="317">
        <f>IF(D92=0,0,SUM($L$21:L92))</f>
        <v>113949.30430334387</v>
      </c>
      <c r="V92" s="317">
        <f>IF(D92=0,0,SUM($J$21:J92))</f>
        <v>125248.2982108936</v>
      </c>
      <c r="W92" s="331">
        <f t="shared" si="33"/>
        <v>11298.993907549724</v>
      </c>
      <c r="X92" s="200">
        <f t="shared" si="39"/>
        <v>1.0991580771521934</v>
      </c>
      <c r="Y92" s="201">
        <f t="shared" si="40"/>
        <v>46094</v>
      </c>
      <c r="Z92" s="202">
        <f t="shared" si="40"/>
        <v>46094</v>
      </c>
      <c r="AA92" s="246">
        <v>11</v>
      </c>
      <c r="AB92" s="243" t="s">
        <v>217</v>
      </c>
      <c r="AC92" s="336">
        <f>IFERROR(AVERAGEIFS(J325:J354,D325:D354,1,G325:G354,"tue"),0)</f>
        <v>2726.6177270255575</v>
      </c>
      <c r="AD92" s="275">
        <f>COUNTIFS(D325:D354,1,G325:G354,"tue")</f>
        <v>2</v>
      </c>
      <c r="AE92" s="335">
        <f>($I$17*'2024(¥)'!AI91)/AD92</f>
        <v>4343.4663415539108</v>
      </c>
      <c r="AF92" s="334">
        <f t="shared" si="41"/>
        <v>8686.9326831078215</v>
      </c>
      <c r="AG92" s="203"/>
      <c r="AH92" s="203"/>
      <c r="AI92" s="18"/>
      <c r="AJ92" s="18"/>
      <c r="AK92" s="18"/>
      <c r="AL92" s="18"/>
      <c r="AM92" s="18"/>
      <c r="AN92" s="18"/>
    </row>
    <row r="93" spans="1:40" ht="20">
      <c r="A93" s="18"/>
      <c r="B93" s="151"/>
      <c r="C93" s="55">
        <v>73</v>
      </c>
      <c r="D93" s="54">
        <v>1</v>
      </c>
      <c r="E93" s="190">
        <f t="shared" si="34"/>
        <v>3</v>
      </c>
      <c r="F93" s="191">
        <f t="shared" si="35"/>
        <v>46095</v>
      </c>
      <c r="G93" s="192" t="str">
        <f t="shared" si="36"/>
        <v>Sat</v>
      </c>
      <c r="H93" s="193"/>
      <c r="I93" s="194"/>
      <c r="J93" s="307">
        <f>336320/B13</f>
        <v>3048.0333514591262</v>
      </c>
      <c r="K93" s="215"/>
      <c r="L93" s="317">
        <f t="shared" si="37"/>
        <v>1664.6726857341598</v>
      </c>
      <c r="M93" s="318">
        <f t="shared" si="31"/>
        <v>1383.3606657249663</v>
      </c>
      <c r="N93" s="41">
        <f t="shared" si="8"/>
        <v>1.8310106110228341</v>
      </c>
      <c r="O93" s="56"/>
      <c r="P93" s="317">
        <f>IF(D93=0,0,SUM($L$80:L93))</f>
        <v>28950.029191361864</v>
      </c>
      <c r="Q93" s="317">
        <f>IF(D93=0,0,SUM($J$80:J93))</f>
        <v>25812.398042414352</v>
      </c>
      <c r="R93" s="321">
        <f t="shared" si="32"/>
        <v>-3137.631148947512</v>
      </c>
      <c r="S93" s="198">
        <f t="shared" si="38"/>
        <v>0.89161906787010348</v>
      </c>
      <c r="T93" s="207"/>
      <c r="U93" s="317">
        <f>IF(D93=0,0,SUM($L$21:L93))</f>
        <v>115613.97698907803</v>
      </c>
      <c r="V93" s="317">
        <f>IF(D93=0,0,SUM($J$21:J93))</f>
        <v>128296.33156235273</v>
      </c>
      <c r="W93" s="331">
        <f t="shared" si="33"/>
        <v>12682.354573274701</v>
      </c>
      <c r="X93" s="200">
        <f t="shared" si="39"/>
        <v>1.1096956864867022</v>
      </c>
      <c r="Y93" s="201">
        <f t="shared" si="40"/>
        <v>46095</v>
      </c>
      <c r="Z93" s="202">
        <f t="shared" si="40"/>
        <v>46095</v>
      </c>
      <c r="AA93" s="246">
        <v>11</v>
      </c>
      <c r="AB93" s="243" t="s">
        <v>218</v>
      </c>
      <c r="AC93" s="336">
        <f>IFERROR(AVERAGEIFS(J325:J354,D325:D354,1,G325:G354,"wed"),0)</f>
        <v>2776.2144281312303</v>
      </c>
      <c r="AD93" s="275">
        <f>COUNTIFS(D325:D354,1,G325:G354,"wed")</f>
        <v>4</v>
      </c>
      <c r="AE93" s="335">
        <f>($I$17*'2024(¥)'!AI92)/AD93</f>
        <v>2504.0838897517933</v>
      </c>
      <c r="AF93" s="334">
        <f t="shared" si="41"/>
        <v>10016.335559007173</v>
      </c>
      <c r="AG93" s="203"/>
      <c r="AH93" s="203"/>
      <c r="AI93" s="18"/>
      <c r="AJ93" s="18"/>
      <c r="AK93" s="18"/>
      <c r="AL93" s="18"/>
      <c r="AM93" s="18"/>
      <c r="AN93" s="18"/>
    </row>
    <row r="94" spans="1:40" ht="20">
      <c r="A94" s="18"/>
      <c r="B94" s="151"/>
      <c r="C94" s="55">
        <v>74</v>
      </c>
      <c r="D94" s="54">
        <v>0</v>
      </c>
      <c r="E94" s="190">
        <f t="shared" si="34"/>
        <v>3</v>
      </c>
      <c r="F94" s="191">
        <f t="shared" si="35"/>
        <v>46096</v>
      </c>
      <c r="G94" s="192" t="str">
        <f t="shared" si="36"/>
        <v>Sun</v>
      </c>
      <c r="H94" s="193"/>
      <c r="I94" s="194"/>
      <c r="J94" s="307"/>
      <c r="K94" s="215"/>
      <c r="L94" s="317">
        <f t="shared" si="37"/>
        <v>0</v>
      </c>
      <c r="M94" s="318">
        <f t="shared" si="31"/>
        <v>0</v>
      </c>
      <c r="N94" s="41" t="str">
        <f t="shared" si="8"/>
        <v>¥0</v>
      </c>
      <c r="O94" s="56"/>
      <c r="P94" s="317">
        <f>IF(D94=0,0,SUM($L$80:L94))</f>
        <v>0</v>
      </c>
      <c r="Q94" s="317">
        <f>IF(D94=0,0,SUM($J$80:J94))</f>
        <v>0</v>
      </c>
      <c r="R94" s="321">
        <f t="shared" si="32"/>
        <v>0</v>
      </c>
      <c r="S94" s="198">
        <f t="shared" si="38"/>
        <v>0</v>
      </c>
      <c r="T94" s="207"/>
      <c r="U94" s="317">
        <f>IF(D94=0,0,SUM($L$21:L94))</f>
        <v>0</v>
      </c>
      <c r="V94" s="317">
        <f>IF(D94=0,0,SUM($J$21:J94))</f>
        <v>0</v>
      </c>
      <c r="W94" s="331">
        <f t="shared" si="33"/>
        <v>0</v>
      </c>
      <c r="X94" s="200">
        <f t="shared" si="39"/>
        <v>0</v>
      </c>
      <c r="Y94" s="201">
        <f t="shared" si="40"/>
        <v>46096</v>
      </c>
      <c r="Z94" s="202">
        <f t="shared" si="40"/>
        <v>46096</v>
      </c>
      <c r="AA94" s="246">
        <v>11</v>
      </c>
      <c r="AB94" s="243" t="s">
        <v>219</v>
      </c>
      <c r="AC94" s="336">
        <f>IFERROR(AVERAGEIFS(J325:J354,D325:D354,1,G325:G354,"thu"),0)</f>
        <v>2399.0846474533259</v>
      </c>
      <c r="AD94" s="275">
        <f>COUNTIFS(D325:D354,1,G325:G354,"thu")</f>
        <v>4</v>
      </c>
      <c r="AE94" s="335">
        <f>($I$17*'2024(¥)'!AI93)/AD94</f>
        <v>2439.3722153693907</v>
      </c>
      <c r="AF94" s="334">
        <f t="shared" si="41"/>
        <v>9757.4888614775628</v>
      </c>
      <c r="AG94" s="203"/>
      <c r="AH94" s="203"/>
      <c r="AI94" s="18"/>
      <c r="AJ94" s="18"/>
      <c r="AK94" s="18"/>
      <c r="AL94" s="18"/>
      <c r="AM94" s="18"/>
      <c r="AN94" s="18"/>
    </row>
    <row r="95" spans="1:40" ht="20">
      <c r="A95" s="18"/>
      <c r="B95" s="151"/>
      <c r="C95" s="55">
        <v>75</v>
      </c>
      <c r="D95" s="54">
        <v>1</v>
      </c>
      <c r="E95" s="190">
        <f t="shared" si="34"/>
        <v>3</v>
      </c>
      <c r="F95" s="191">
        <f t="shared" si="35"/>
        <v>46097</v>
      </c>
      <c r="G95" s="192" t="str">
        <f t="shared" si="36"/>
        <v>Mon</v>
      </c>
      <c r="H95" s="193"/>
      <c r="I95" s="194"/>
      <c r="J95" s="307">
        <f>54330/B13</f>
        <v>492.38716693855355</v>
      </c>
      <c r="K95" s="215"/>
      <c r="L95" s="317">
        <f t="shared" si="37"/>
        <v>1605.9351072495901</v>
      </c>
      <c r="M95" s="318">
        <f t="shared" si="31"/>
        <v>-1113.5479403110367</v>
      </c>
      <c r="N95" s="41">
        <f t="shared" si="8"/>
        <v>0.30660464717148006</v>
      </c>
      <c r="O95" s="44"/>
      <c r="P95" s="317">
        <f>IF(D95=0,0,SUM($L$80:L95))</f>
        <v>30555.964298611456</v>
      </c>
      <c r="Q95" s="317">
        <f>IF(D95=0,0,SUM($J$80:J95))</f>
        <v>26304.785209352907</v>
      </c>
      <c r="R95" s="321">
        <f t="shared" si="32"/>
        <v>-4251.1790892585486</v>
      </c>
      <c r="S95" s="198">
        <f t="shared" si="38"/>
        <v>0.86087236365007358</v>
      </c>
      <c r="T95" s="212"/>
      <c r="U95" s="317">
        <f>IF(D95=0,0,SUM($L$21:L95))</f>
        <v>117219.91209632762</v>
      </c>
      <c r="V95" s="317">
        <f>IF(D95=0,0,SUM($J$21:J95))</f>
        <v>128788.71872929129</v>
      </c>
      <c r="W95" s="331">
        <f t="shared" si="33"/>
        <v>11568.806632963664</v>
      </c>
      <c r="X95" s="200">
        <f t="shared" si="39"/>
        <v>1.0986931863884764</v>
      </c>
      <c r="Y95" s="201">
        <f t="shared" si="40"/>
        <v>46097</v>
      </c>
      <c r="Z95" s="202">
        <f t="shared" si="40"/>
        <v>46097</v>
      </c>
      <c r="AA95" s="246">
        <v>11</v>
      </c>
      <c r="AB95" s="243" t="s">
        <v>220</v>
      </c>
      <c r="AC95" s="336">
        <f>IFERROR(AVERAGEIFS(J325:J354,D325:D354,1,G325:G354,"fri"),0)</f>
        <v>2678.0179445350732</v>
      </c>
      <c r="AD95" s="275">
        <f>COUNTIFS(D325:D354,1,G325:G354,"fri")</f>
        <v>4</v>
      </c>
      <c r="AE95" s="335">
        <f>($I$17*'2024(¥)'!AI94)/AD95</f>
        <v>3905.0447476131349</v>
      </c>
      <c r="AF95" s="334">
        <f t="shared" si="41"/>
        <v>15620.178990452539</v>
      </c>
      <c r="AG95" s="203"/>
      <c r="AH95" s="203"/>
      <c r="AI95" s="18"/>
      <c r="AJ95" s="18"/>
      <c r="AK95" s="18"/>
      <c r="AL95" s="18"/>
      <c r="AM95" s="18"/>
      <c r="AN95" s="18"/>
    </row>
    <row r="96" spans="1:40" ht="20">
      <c r="A96" s="18"/>
      <c r="B96" s="151"/>
      <c r="C96" s="55">
        <v>76</v>
      </c>
      <c r="D96" s="54">
        <v>1</v>
      </c>
      <c r="E96" s="190">
        <f t="shared" si="34"/>
        <v>3</v>
      </c>
      <c r="F96" s="191">
        <f t="shared" si="35"/>
        <v>46098</v>
      </c>
      <c r="G96" s="192" t="str">
        <f t="shared" si="36"/>
        <v>Tue</v>
      </c>
      <c r="H96" s="193"/>
      <c r="I96" s="194"/>
      <c r="J96" s="307">
        <f>189690/B13</f>
        <v>1719.1408374116368</v>
      </c>
      <c r="K96" s="215"/>
      <c r="L96" s="317">
        <f t="shared" si="37"/>
        <v>1851.4589743862257</v>
      </c>
      <c r="M96" s="318">
        <f t="shared" si="31"/>
        <v>-132.31813697458892</v>
      </c>
      <c r="N96" s="41">
        <f t="shared" si="8"/>
        <v>0.92853304404519499</v>
      </c>
      <c r="O96" s="56"/>
      <c r="P96" s="317">
        <f>IF(D96=0,0,SUM($L$80:L96))</f>
        <v>32407.423272997683</v>
      </c>
      <c r="Q96" s="317">
        <f>IF(D96=0,0,SUM($J$80:J96))</f>
        <v>28023.926046764544</v>
      </c>
      <c r="R96" s="321">
        <f t="shared" si="32"/>
        <v>-4383.4972262331394</v>
      </c>
      <c r="S96" s="198">
        <f t="shared" si="38"/>
        <v>0.86473786609608272</v>
      </c>
      <c r="T96" s="207"/>
      <c r="U96" s="317">
        <f>IF(D96=0,0,SUM($L$21:L96))</f>
        <v>119071.37107071385</v>
      </c>
      <c r="V96" s="317">
        <f>IF(D96=0,0,SUM($J$21:J96))</f>
        <v>130507.85956670293</v>
      </c>
      <c r="W96" s="331">
        <f t="shared" si="33"/>
        <v>11436.488495989077</v>
      </c>
      <c r="X96" s="200">
        <f t="shared" si="39"/>
        <v>1.0960473402896922</v>
      </c>
      <c r="Y96" s="201">
        <f t="shared" si="40"/>
        <v>46098</v>
      </c>
      <c r="Z96" s="202">
        <f t="shared" si="40"/>
        <v>46098</v>
      </c>
      <c r="AA96" s="246">
        <v>11</v>
      </c>
      <c r="AB96" s="243" t="s">
        <v>221</v>
      </c>
      <c r="AC96" s="336">
        <f>IFERROR(AVERAGEIFS(J325:J354,D325:D354,1,G325:G354,"sat"),0)</f>
        <v>4083.7864781584194</v>
      </c>
      <c r="AD96" s="275">
        <f>COUNTIFS(D325:D354,1,G325:G354,"sat")</f>
        <v>4</v>
      </c>
      <c r="AE96" s="335">
        <f>($I$17*'2024(¥)'!AI95)/AD96</f>
        <v>2070.2812088013561</v>
      </c>
      <c r="AF96" s="334">
        <f t="shared" si="41"/>
        <v>8281.1248352054245</v>
      </c>
      <c r="AG96" s="273" t="s">
        <v>200</v>
      </c>
      <c r="AH96" s="203"/>
      <c r="AI96" s="18"/>
      <c r="AJ96" s="18"/>
      <c r="AK96" s="18"/>
      <c r="AL96" s="18"/>
      <c r="AM96" s="18"/>
      <c r="AN96" s="18"/>
    </row>
    <row r="97" spans="1:40" ht="20">
      <c r="A97" s="18"/>
      <c r="B97" s="151"/>
      <c r="C97" s="55">
        <v>77</v>
      </c>
      <c r="D97" s="54">
        <v>1</v>
      </c>
      <c r="E97" s="190">
        <f t="shared" si="34"/>
        <v>3</v>
      </c>
      <c r="F97" s="191">
        <f t="shared" si="35"/>
        <v>46099</v>
      </c>
      <c r="G97" s="192" t="str">
        <f t="shared" si="36"/>
        <v>Wed</v>
      </c>
      <c r="H97" s="193"/>
      <c r="I97" s="194"/>
      <c r="J97" s="307">
        <f>281760/B13</f>
        <v>2553.5617183251766</v>
      </c>
      <c r="K97" s="215"/>
      <c r="L97" s="317">
        <f t="shared" si="37"/>
        <v>1932.8954991647802</v>
      </c>
      <c r="M97" s="318">
        <f t="shared" si="31"/>
        <v>620.66621916039639</v>
      </c>
      <c r="N97" s="41">
        <f t="shared" si="8"/>
        <v>1.3211069710848782</v>
      </c>
      <c r="O97" s="56"/>
      <c r="P97" s="317">
        <f>IF(D97=0,0,SUM($L$80:L97))</f>
        <v>34340.318772162464</v>
      </c>
      <c r="Q97" s="317">
        <f>IF(D97=0,0,SUM($J$80:J97))</f>
        <v>30577.487765089722</v>
      </c>
      <c r="R97" s="321">
        <f t="shared" si="32"/>
        <v>-3762.8310070727421</v>
      </c>
      <c r="S97" s="198">
        <f t="shared" si="38"/>
        <v>0.89042527438262942</v>
      </c>
      <c r="T97" s="207"/>
      <c r="U97" s="317">
        <f>IF(D97=0,0,SUM($L$21:L97))</f>
        <v>121004.26656987863</v>
      </c>
      <c r="V97" s="317">
        <f>IF(D97=0,0,SUM($J$21:J97))</f>
        <v>133061.4212850281</v>
      </c>
      <c r="W97" s="331">
        <f t="shared" si="33"/>
        <v>12057.154715149474</v>
      </c>
      <c r="X97" s="200">
        <f t="shared" si="39"/>
        <v>1.0996423932555022</v>
      </c>
      <c r="Y97" s="201">
        <f t="shared" si="40"/>
        <v>46099</v>
      </c>
      <c r="Z97" s="202">
        <f t="shared" si="40"/>
        <v>46099</v>
      </c>
      <c r="AA97" s="246">
        <v>11</v>
      </c>
      <c r="AB97" s="243" t="s">
        <v>222</v>
      </c>
      <c r="AC97" s="336">
        <f>IFERROR(AVERAGEIFS(J325:J354,D325:D354,1,G325:G354,"sun"),0)</f>
        <v>0</v>
      </c>
      <c r="AD97" s="275">
        <f>IFERROR(COUNTIFS(D325:D354,1,G325:G354,"sun"),0)</f>
        <v>0</v>
      </c>
      <c r="AE97" s="335">
        <f>IFERROR(($I$17*'2024(¥)'!AI96)/AD97,0)</f>
        <v>0</v>
      </c>
      <c r="AF97" s="337">
        <f>SUM(AF91:AF96)</f>
        <v>57322.82037339134</v>
      </c>
      <c r="AG97" s="272">
        <f>I17</f>
        <v>57322.820373391347</v>
      </c>
      <c r="AH97" s="270"/>
      <c r="AI97" s="18"/>
      <c r="AJ97" s="18"/>
      <c r="AK97" s="18"/>
      <c r="AL97" s="18"/>
      <c r="AM97" s="18"/>
      <c r="AN97" s="18"/>
    </row>
    <row r="98" spans="1:40" ht="20">
      <c r="A98" s="18"/>
      <c r="B98" s="151"/>
      <c r="C98" s="55">
        <v>78</v>
      </c>
      <c r="D98" s="54">
        <v>1</v>
      </c>
      <c r="E98" s="190">
        <f t="shared" si="34"/>
        <v>3</v>
      </c>
      <c r="F98" s="191">
        <f t="shared" si="35"/>
        <v>46100</v>
      </c>
      <c r="G98" s="192" t="str">
        <f t="shared" si="36"/>
        <v>Thu</v>
      </c>
      <c r="H98" s="193"/>
      <c r="I98" s="194"/>
      <c r="J98" s="307">
        <f>307610/B13</f>
        <v>2787.8375928946889</v>
      </c>
      <c r="K98" s="215"/>
      <c r="L98" s="317">
        <f t="shared" si="37"/>
        <v>2705.7030005488227</v>
      </c>
      <c r="M98" s="318">
        <f t="shared" si="31"/>
        <v>82.134592345866167</v>
      </c>
      <c r="N98" s="41">
        <f t="shared" si="8"/>
        <v>1.0303561005510236</v>
      </c>
      <c r="O98" s="56"/>
      <c r="P98" s="317">
        <f>IF(D98=0,0,SUM($L$80:L98))</f>
        <v>37046.021772711283</v>
      </c>
      <c r="Q98" s="317">
        <f>IF(D98=0,0,SUM($J$80:J98))</f>
        <v>33365.325357984409</v>
      </c>
      <c r="R98" s="321">
        <f t="shared" si="32"/>
        <v>-3680.6964147268736</v>
      </c>
      <c r="S98" s="198">
        <f t="shared" si="38"/>
        <v>0.90064529904697799</v>
      </c>
      <c r="T98" s="207"/>
      <c r="U98" s="317">
        <f>IF(D98=0,0,SUM($L$21:L98))</f>
        <v>123709.96957042745</v>
      </c>
      <c r="V98" s="317">
        <f>IF(D98=0,0,SUM($J$21:J98))</f>
        <v>135849.25887792278</v>
      </c>
      <c r="W98" s="331">
        <f t="shared" si="33"/>
        <v>12139.289307495332</v>
      </c>
      <c r="X98" s="200">
        <f t="shared" si="39"/>
        <v>1.0981270090813862</v>
      </c>
      <c r="Y98" s="201">
        <f t="shared" si="40"/>
        <v>46100</v>
      </c>
      <c r="Z98" s="202">
        <f t="shared" si="40"/>
        <v>46100</v>
      </c>
      <c r="AA98" s="246">
        <v>12</v>
      </c>
      <c r="AB98" s="136" t="s">
        <v>216</v>
      </c>
      <c r="AC98" s="336">
        <f>IFERROR(AVERAGEIFS(J355:J385,D355:D385,1,G355:G385,"mon"),0)</f>
        <v>1868.9052021025918</v>
      </c>
      <c r="AD98" s="275">
        <f>COUNTIFS(D355:D385,1,G355:G385,"Mon")</f>
        <v>4</v>
      </c>
      <c r="AE98" s="335">
        <f>($I$18*'2024(¥)'!AI97)/AD98</f>
        <v>2246.9075539571895</v>
      </c>
      <c r="AF98" s="334">
        <f t="shared" ref="AF98:AF103" si="42">AD98*AE98</f>
        <v>8987.6302158287581</v>
      </c>
      <c r="AG98" s="203" t="s">
        <v>139</v>
      </c>
      <c r="AH98" s="203"/>
      <c r="AI98" s="18"/>
      <c r="AJ98" s="18"/>
      <c r="AK98" s="18"/>
      <c r="AL98" s="18"/>
      <c r="AM98" s="18"/>
      <c r="AN98" s="18"/>
    </row>
    <row r="99" spans="1:40" ht="20">
      <c r="A99" s="18"/>
      <c r="B99" s="151"/>
      <c r="C99" s="55">
        <v>79</v>
      </c>
      <c r="D99" s="54">
        <v>0</v>
      </c>
      <c r="E99" s="190">
        <f t="shared" si="34"/>
        <v>3</v>
      </c>
      <c r="F99" s="191">
        <f t="shared" si="35"/>
        <v>46101</v>
      </c>
      <c r="G99" s="192" t="str">
        <f t="shared" si="36"/>
        <v>Fri</v>
      </c>
      <c r="H99" s="193"/>
      <c r="I99" s="194"/>
      <c r="J99" s="307"/>
      <c r="K99" s="215"/>
      <c r="L99" s="317">
        <f t="shared" si="37"/>
        <v>0</v>
      </c>
      <c r="M99" s="318">
        <f t="shared" si="31"/>
        <v>0</v>
      </c>
      <c r="N99" s="41" t="str">
        <f t="shared" si="8"/>
        <v>¥0</v>
      </c>
      <c r="O99" s="44"/>
      <c r="P99" s="317">
        <f>IF(D99=0,0,SUM($L$80:L99))</f>
        <v>0</v>
      </c>
      <c r="Q99" s="317">
        <f>IF(D99=0,0,SUM($J$80:J99))</f>
        <v>0</v>
      </c>
      <c r="R99" s="321">
        <f t="shared" si="32"/>
        <v>0</v>
      </c>
      <c r="S99" s="198">
        <f t="shared" si="38"/>
        <v>0</v>
      </c>
      <c r="T99" s="212"/>
      <c r="U99" s="317">
        <f>IF(D99=0,0,SUM($L$21:L99))</f>
        <v>0</v>
      </c>
      <c r="V99" s="317">
        <f>IF(D99=0,0,SUM($J$21:J99))</f>
        <v>0</v>
      </c>
      <c r="W99" s="331">
        <f t="shared" si="33"/>
        <v>0</v>
      </c>
      <c r="X99" s="200">
        <f t="shared" si="39"/>
        <v>0</v>
      </c>
      <c r="Y99" s="201">
        <f t="shared" si="40"/>
        <v>46101</v>
      </c>
      <c r="Z99" s="202">
        <f t="shared" si="40"/>
        <v>46101</v>
      </c>
      <c r="AA99" s="246">
        <v>12</v>
      </c>
      <c r="AB99" s="243" t="s">
        <v>217</v>
      </c>
      <c r="AC99" s="336">
        <f>IFERROR(AVERAGEIFS(J355:J385,D355:D385,1,G355:G385,"tue"),0)</f>
        <v>2827.0572775058909</v>
      </c>
      <c r="AD99" s="275">
        <f>COUNTIFS(D355:D385,1,G355:G385,"tue")</f>
        <v>4</v>
      </c>
      <c r="AE99" s="335">
        <f>($I$18*'2024(¥)'!AI98)/AD99</f>
        <v>2472.7976205528121</v>
      </c>
      <c r="AF99" s="334">
        <f t="shared" si="42"/>
        <v>9891.1904822112483</v>
      </c>
      <c r="AG99" s="203"/>
      <c r="AH99" s="203"/>
      <c r="AI99" s="18"/>
      <c r="AJ99" s="18"/>
      <c r="AK99" s="18"/>
      <c r="AL99" s="18"/>
      <c r="AM99" s="18"/>
      <c r="AN99" s="18"/>
    </row>
    <row r="100" spans="1:40" ht="20">
      <c r="A100" s="18"/>
      <c r="B100" s="151"/>
      <c r="C100" s="55">
        <v>80</v>
      </c>
      <c r="D100" s="54">
        <v>1</v>
      </c>
      <c r="E100" s="190">
        <f t="shared" si="34"/>
        <v>3</v>
      </c>
      <c r="F100" s="191">
        <f t="shared" si="35"/>
        <v>46102</v>
      </c>
      <c r="G100" s="192" t="str">
        <f t="shared" si="36"/>
        <v>Sat</v>
      </c>
      <c r="H100" s="193"/>
      <c r="I100" s="194"/>
      <c r="J100" s="307">
        <f>275060/B13</f>
        <v>2492.8403117636394</v>
      </c>
      <c r="K100" s="215"/>
      <c r="L100" s="317">
        <f t="shared" si="37"/>
        <v>1664.6726857341598</v>
      </c>
      <c r="M100" s="318">
        <f t="shared" si="31"/>
        <v>828.16762602947961</v>
      </c>
      <c r="N100" s="41">
        <f t="shared" si="8"/>
        <v>1.4974957738699475</v>
      </c>
      <c r="O100" s="56"/>
      <c r="P100" s="317">
        <f>IF(D100=0,0,SUM($L$80:L100))</f>
        <v>38710.69445844544</v>
      </c>
      <c r="Q100" s="317">
        <f>IF(D100=0,0,SUM($J$80:J100))</f>
        <v>35858.16566974805</v>
      </c>
      <c r="R100" s="321">
        <f t="shared" si="32"/>
        <v>-2852.5287886973892</v>
      </c>
      <c r="S100" s="198">
        <f t="shared" si="38"/>
        <v>0.92631160901131659</v>
      </c>
      <c r="T100" s="207"/>
      <c r="U100" s="317">
        <f>IF(D100=0,0,SUM($L$21:L100))</f>
        <v>125374.64225616161</v>
      </c>
      <c r="V100" s="317">
        <f>IF(D100=0,0,SUM($J$21:J100))</f>
        <v>138342.09918968641</v>
      </c>
      <c r="W100" s="331">
        <f t="shared" si="33"/>
        <v>12967.456933524809</v>
      </c>
      <c r="X100" s="200">
        <f t="shared" si="39"/>
        <v>1.1034296624913202</v>
      </c>
      <c r="Y100" s="201">
        <f t="shared" si="40"/>
        <v>46102</v>
      </c>
      <c r="Z100" s="202">
        <f t="shared" si="40"/>
        <v>46102</v>
      </c>
      <c r="AA100" s="246">
        <v>12</v>
      </c>
      <c r="AB100" s="243" t="s">
        <v>218</v>
      </c>
      <c r="AC100" s="336">
        <f>IFERROR(AVERAGEIFS(J355:J385,D355:D385,1,G355:G385,"wed"),0)</f>
        <v>2866.3653253579841</v>
      </c>
      <c r="AD100" s="275">
        <f>COUNTIFS(D355:D385,1,G355:G385,"wed")</f>
        <v>4</v>
      </c>
      <c r="AE100" s="335">
        <f>($I$18*'2024(¥)'!AI99)/AD100</f>
        <v>3073.9375165438773</v>
      </c>
      <c r="AF100" s="334">
        <f t="shared" si="42"/>
        <v>12295.750066175509</v>
      </c>
      <c r="AG100" s="203"/>
      <c r="AH100" s="203"/>
      <c r="AI100" s="18"/>
      <c r="AJ100" s="18"/>
      <c r="AK100" s="18"/>
      <c r="AL100" s="18"/>
      <c r="AM100" s="18"/>
      <c r="AN100" s="18"/>
    </row>
    <row r="101" spans="1:40" ht="20">
      <c r="A101" s="18"/>
      <c r="B101" s="151"/>
      <c r="C101" s="55">
        <v>81</v>
      </c>
      <c r="D101" s="54">
        <v>0</v>
      </c>
      <c r="E101" s="190">
        <f t="shared" si="34"/>
        <v>3</v>
      </c>
      <c r="F101" s="191">
        <f t="shared" si="35"/>
        <v>46103</v>
      </c>
      <c r="G101" s="192" t="str">
        <f t="shared" si="36"/>
        <v>Sun</v>
      </c>
      <c r="H101" s="193"/>
      <c r="I101" s="194"/>
      <c r="J101" s="307"/>
      <c r="K101" s="215"/>
      <c r="L101" s="317">
        <f t="shared" si="37"/>
        <v>0</v>
      </c>
      <c r="M101" s="318">
        <f t="shared" si="31"/>
        <v>0</v>
      </c>
      <c r="N101" s="41" t="str">
        <f t="shared" si="8"/>
        <v>¥0</v>
      </c>
      <c r="O101" s="56"/>
      <c r="P101" s="317">
        <f>IF(D101=0,0,SUM($L$80:L101))</f>
        <v>0</v>
      </c>
      <c r="Q101" s="317">
        <f>IF(D101=0,0,SUM($J$80:J101))</f>
        <v>0</v>
      </c>
      <c r="R101" s="321">
        <f t="shared" si="32"/>
        <v>0</v>
      </c>
      <c r="S101" s="198">
        <f t="shared" si="38"/>
        <v>0</v>
      </c>
      <c r="T101" s="207"/>
      <c r="U101" s="317">
        <f>IF(D101=0,0,SUM($L$21:L101))</f>
        <v>0</v>
      </c>
      <c r="V101" s="317">
        <f>IF(D101=0,0,SUM($J$21:J101))</f>
        <v>0</v>
      </c>
      <c r="W101" s="331">
        <f t="shared" si="33"/>
        <v>0</v>
      </c>
      <c r="X101" s="200">
        <f t="shared" si="39"/>
        <v>0</v>
      </c>
      <c r="Y101" s="201">
        <f t="shared" si="40"/>
        <v>46103</v>
      </c>
      <c r="Z101" s="202">
        <f t="shared" si="40"/>
        <v>46103</v>
      </c>
      <c r="AA101" s="246">
        <v>12</v>
      </c>
      <c r="AB101" s="243" t="s">
        <v>219</v>
      </c>
      <c r="AC101" s="336">
        <f>IFERROR(AVERAGEIFS(J355:J385,D355:D385,1,G355:G385,"thu"),0)</f>
        <v>3407.2321914083741</v>
      </c>
      <c r="AD101" s="275">
        <f>COUNTIFS(D355:D385,1,G355:G385,"thu")</f>
        <v>4</v>
      </c>
      <c r="AE101" s="335">
        <f>($I$18*'2024(¥)'!AI100)/AD101</f>
        <v>2661.1053114286965</v>
      </c>
      <c r="AF101" s="334">
        <f t="shared" si="42"/>
        <v>10644.421245714786</v>
      </c>
      <c r="AG101" s="203"/>
      <c r="AH101" s="203"/>
      <c r="AI101" s="18"/>
      <c r="AJ101" s="18"/>
      <c r="AK101" s="18"/>
      <c r="AL101" s="18"/>
      <c r="AM101" s="18"/>
      <c r="AN101" s="18"/>
    </row>
    <row r="102" spans="1:40" ht="20">
      <c r="A102" s="18"/>
      <c r="B102" s="151"/>
      <c r="C102" s="55">
        <v>82</v>
      </c>
      <c r="D102" s="54">
        <v>1</v>
      </c>
      <c r="E102" s="190">
        <f t="shared" si="34"/>
        <v>3</v>
      </c>
      <c r="F102" s="191">
        <f t="shared" si="35"/>
        <v>46104</v>
      </c>
      <c r="G102" s="192" t="str">
        <f t="shared" si="36"/>
        <v>Mon</v>
      </c>
      <c r="H102" s="193"/>
      <c r="I102" s="194"/>
      <c r="J102" s="307">
        <f>97560/B13</f>
        <v>884.17618270799346</v>
      </c>
      <c r="K102" s="215"/>
      <c r="L102" s="317">
        <f t="shared" si="37"/>
        <v>1605.9351072495901</v>
      </c>
      <c r="M102" s="318">
        <f t="shared" si="31"/>
        <v>-721.75892454159668</v>
      </c>
      <c r="N102" s="41">
        <f t="shared" si="8"/>
        <v>0.55056781479936667</v>
      </c>
      <c r="O102" s="44"/>
      <c r="P102" s="317">
        <f>IF(D102=0,0,SUM($L$80:L102))</f>
        <v>40316.629565695031</v>
      </c>
      <c r="Q102" s="317">
        <f>IF(D102=0,0,SUM($J$80:J102))</f>
        <v>36742.34185245604</v>
      </c>
      <c r="R102" s="321">
        <f t="shared" si="32"/>
        <v>-3574.2877132389913</v>
      </c>
      <c r="S102" s="198">
        <f t="shared" si="38"/>
        <v>0.91134458034457544</v>
      </c>
      <c r="T102" s="212"/>
      <c r="U102" s="317">
        <f>IF(D102=0,0,SUM($L$21:L102))</f>
        <v>126980.5773634112</v>
      </c>
      <c r="V102" s="317">
        <f>IF(D102=0,0,SUM($J$21:J102))</f>
        <v>139226.27537239442</v>
      </c>
      <c r="W102" s="331">
        <f t="shared" si="33"/>
        <v>12245.698008983221</v>
      </c>
      <c r="X102" s="200">
        <f t="shared" si="39"/>
        <v>1.0964375675654452</v>
      </c>
      <c r="Y102" s="201">
        <f t="shared" si="40"/>
        <v>46104</v>
      </c>
      <c r="Z102" s="202">
        <f t="shared" si="40"/>
        <v>46104</v>
      </c>
      <c r="AA102" s="246">
        <v>12</v>
      </c>
      <c r="AB102" s="243" t="s">
        <v>220</v>
      </c>
      <c r="AC102" s="336">
        <f>IFERROR(AVERAGEIFS(J355:J385,D355:D385,1,G355:G385,"fri"),0)</f>
        <v>3218.7556643103135</v>
      </c>
      <c r="AD102" s="275">
        <f>COUNTIFS(D355:D385,1,G355:G385,"fri")</f>
        <v>4</v>
      </c>
      <c r="AE102" s="335">
        <f>($I$18*'2024(¥)'!AI101)/AD102</f>
        <v>3313.1862474948566</v>
      </c>
      <c r="AF102" s="334">
        <f t="shared" si="42"/>
        <v>13252.744989979426</v>
      </c>
      <c r="AG102" s="203"/>
      <c r="AH102" s="203"/>
      <c r="AI102" s="18"/>
      <c r="AJ102" s="18"/>
      <c r="AK102" s="18"/>
      <c r="AL102" s="18"/>
      <c r="AM102" s="18"/>
      <c r="AN102" s="18"/>
    </row>
    <row r="103" spans="1:40" ht="20">
      <c r="A103" s="18"/>
      <c r="B103" s="151"/>
      <c r="C103" s="55">
        <v>83</v>
      </c>
      <c r="D103" s="54">
        <v>1</v>
      </c>
      <c r="E103" s="190">
        <f t="shared" si="34"/>
        <v>3</v>
      </c>
      <c r="F103" s="191">
        <f t="shared" si="35"/>
        <v>46105</v>
      </c>
      <c r="G103" s="192" t="str">
        <f t="shared" si="36"/>
        <v>Tue</v>
      </c>
      <c r="H103" s="193"/>
      <c r="I103" s="194"/>
      <c r="J103" s="307">
        <f>322520/B13</f>
        <v>2922.9653797353635</v>
      </c>
      <c r="K103" s="215"/>
      <c r="L103" s="317">
        <f t="shared" si="37"/>
        <v>1851.4589743862257</v>
      </c>
      <c r="M103" s="318">
        <f t="shared" si="31"/>
        <v>1071.5064053491378</v>
      </c>
      <c r="N103" s="41">
        <f t="shared" si="8"/>
        <v>1.5787362399992424</v>
      </c>
      <c r="O103" s="56"/>
      <c r="P103" s="317">
        <f>IF(D103=0,0,SUM($L$80:L103))</f>
        <v>42168.088540081255</v>
      </c>
      <c r="Q103" s="317">
        <f>IF(D103=0,0,SUM($J$80:J103))</f>
        <v>39665.307232191401</v>
      </c>
      <c r="R103" s="321">
        <f t="shared" si="32"/>
        <v>-2502.7813078898544</v>
      </c>
      <c r="S103" s="198">
        <f t="shared" si="38"/>
        <v>0.94064750396473551</v>
      </c>
      <c r="T103" s="207"/>
      <c r="U103" s="317">
        <f>IF(D103=0,0,SUM($L$21:L103))</f>
        <v>128832.03633779743</v>
      </c>
      <c r="V103" s="317">
        <f>IF(D103=0,0,SUM($J$21:J103))</f>
        <v>142149.24075212979</v>
      </c>
      <c r="W103" s="331">
        <f t="shared" si="33"/>
        <v>13317.204414332358</v>
      </c>
      <c r="X103" s="200">
        <f t="shared" si="39"/>
        <v>1.1033687333747848</v>
      </c>
      <c r="Y103" s="201">
        <f t="shared" ref="Y103:Z118" si="43">Y102+1</f>
        <v>46105</v>
      </c>
      <c r="Z103" s="202">
        <f t="shared" si="43"/>
        <v>46105</v>
      </c>
      <c r="AA103" s="246">
        <v>12</v>
      </c>
      <c r="AB103" s="243" t="s">
        <v>221</v>
      </c>
      <c r="AC103" s="336">
        <f>IFERROR(AVERAGEIFS(J355:J385,D355:D385,1,G355:G385,"sat"),0)</f>
        <v>3384.6746420155882</v>
      </c>
      <c r="AD103" s="275">
        <f>COUNTIFS(D355:D385,1,G355:G385,"sat")</f>
        <v>4</v>
      </c>
      <c r="AE103" s="335">
        <f>($I$18*'2024(¥)'!AI102)/AD103</f>
        <v>1865.5622154929315</v>
      </c>
      <c r="AF103" s="334">
        <f t="shared" si="42"/>
        <v>7462.248861971726</v>
      </c>
      <c r="AG103" s="273" t="s">
        <v>201</v>
      </c>
      <c r="AH103" s="203"/>
      <c r="AI103" s="18"/>
      <c r="AJ103" s="18"/>
      <c r="AK103" s="18"/>
      <c r="AL103" s="18"/>
      <c r="AM103" s="18"/>
      <c r="AN103" s="18"/>
    </row>
    <row r="104" spans="1:40" ht="20">
      <c r="A104" s="18"/>
      <c r="B104" s="151"/>
      <c r="C104" s="55">
        <v>84</v>
      </c>
      <c r="D104" s="54">
        <v>1</v>
      </c>
      <c r="E104" s="190">
        <f t="shared" si="34"/>
        <v>3</v>
      </c>
      <c r="F104" s="191">
        <f t="shared" si="35"/>
        <v>46106</v>
      </c>
      <c r="G104" s="192" t="str">
        <f t="shared" si="36"/>
        <v>Wed</v>
      </c>
      <c r="H104" s="193"/>
      <c r="I104" s="194"/>
      <c r="J104" s="307">
        <f>255200/B13</f>
        <v>2312.8511872394415</v>
      </c>
      <c r="K104" s="215"/>
      <c r="L104" s="317">
        <f t="shared" si="37"/>
        <v>1932.8954991647802</v>
      </c>
      <c r="M104" s="318">
        <f t="shared" si="31"/>
        <v>379.95568807466134</v>
      </c>
      <c r="N104" s="41">
        <f t="shared" si="8"/>
        <v>1.1965733213403638</v>
      </c>
      <c r="O104" s="56"/>
      <c r="P104" s="317">
        <f>IF(D104=0,0,SUM($L$80:L104))</f>
        <v>44100.984039246032</v>
      </c>
      <c r="Q104" s="317">
        <f>IF(D104=0,0,SUM($J$80:J104))</f>
        <v>41978.158419430845</v>
      </c>
      <c r="R104" s="321">
        <f t="shared" si="32"/>
        <v>-2122.8256198151867</v>
      </c>
      <c r="S104" s="198">
        <f t="shared" si="38"/>
        <v>0.95186443871805548</v>
      </c>
      <c r="T104" s="207"/>
      <c r="U104" s="317">
        <f>IF(D104=0,0,SUM($L$21:L104))</f>
        <v>130764.93183696221</v>
      </c>
      <c r="V104" s="317">
        <f>IF(D104=0,0,SUM($J$21:J104))</f>
        <v>144462.09193936922</v>
      </c>
      <c r="W104" s="331">
        <f t="shared" si="33"/>
        <v>13697.160102407011</v>
      </c>
      <c r="X104" s="200">
        <f t="shared" si="39"/>
        <v>1.1047464324723133</v>
      </c>
      <c r="Y104" s="201">
        <f t="shared" si="43"/>
        <v>46106</v>
      </c>
      <c r="Z104" s="202">
        <f t="shared" si="43"/>
        <v>46106</v>
      </c>
      <c r="AA104" s="246">
        <v>12</v>
      </c>
      <c r="AB104" s="243" t="s">
        <v>222</v>
      </c>
      <c r="AC104" s="336">
        <f>IFERROR(AVERAGEIFS(J355:J385,D355:D385,1,G355:G385,"sun"),0)</f>
        <v>0</v>
      </c>
      <c r="AD104" s="275">
        <f>IFERROR(COUNTIFS(D355:D385,1,G355:G385,"sun"),0)</f>
        <v>0</v>
      </c>
      <c r="AE104" s="335">
        <f>IFERROR(($I$18*'2024(¥)'!AI103)/AD104,0)</f>
        <v>0</v>
      </c>
      <c r="AF104" s="337">
        <f>SUM(AF98:AF103)</f>
        <v>62533.985861881454</v>
      </c>
      <c r="AG104" s="272">
        <f>I18</f>
        <v>62533.985861881454</v>
      </c>
      <c r="AH104" s="270"/>
      <c r="AI104" s="18"/>
      <c r="AJ104" s="18"/>
      <c r="AK104" s="18"/>
      <c r="AL104" s="18"/>
      <c r="AM104" s="18"/>
      <c r="AN104" s="18"/>
    </row>
    <row r="105" spans="1:40" ht="20">
      <c r="A105" s="18"/>
      <c r="B105" s="151"/>
      <c r="C105" s="55">
        <v>85</v>
      </c>
      <c r="D105" s="54">
        <v>1</v>
      </c>
      <c r="E105" s="190">
        <f t="shared" si="34"/>
        <v>3</v>
      </c>
      <c r="F105" s="191">
        <f t="shared" si="35"/>
        <v>46107</v>
      </c>
      <c r="G105" s="192" t="str">
        <f t="shared" si="36"/>
        <v>Thu</v>
      </c>
      <c r="H105" s="193"/>
      <c r="I105" s="194"/>
      <c r="J105" s="307">
        <f>328120/B13</f>
        <v>2973.7176001450061</v>
      </c>
      <c r="K105" s="215"/>
      <c r="L105" s="317">
        <f t="shared" si="37"/>
        <v>2705.7030005488227</v>
      </c>
      <c r="M105" s="318">
        <f t="shared" si="31"/>
        <v>268.01459959618342</v>
      </c>
      <c r="N105" s="41">
        <f t="shared" si="8"/>
        <v>1.0990554393966445</v>
      </c>
      <c r="O105" s="56"/>
      <c r="P105" s="317">
        <f>IF(D105=0,0,SUM($L$80:L105))</f>
        <v>46806.687039794851</v>
      </c>
      <c r="Q105" s="317">
        <f>IF(D105=0,0,SUM($J$80:J105))</f>
        <v>44951.876019575851</v>
      </c>
      <c r="R105" s="321">
        <f t="shared" si="32"/>
        <v>-1854.8110202190001</v>
      </c>
      <c r="S105" s="198">
        <f t="shared" si="38"/>
        <v>0.96037294802253259</v>
      </c>
      <c r="T105" s="207"/>
      <c r="U105" s="317">
        <f>IF(D105=0,0,SUM($L$21:L105))</f>
        <v>133470.63483751102</v>
      </c>
      <c r="V105" s="317">
        <f>IF(D105=0,0,SUM($J$21:J105))</f>
        <v>147435.80953951422</v>
      </c>
      <c r="W105" s="331">
        <f t="shared" si="33"/>
        <v>13965.174702003191</v>
      </c>
      <c r="X105" s="200">
        <f t="shared" si="39"/>
        <v>1.1046310652452098</v>
      </c>
      <c r="Y105" s="201">
        <f t="shared" si="43"/>
        <v>46107</v>
      </c>
      <c r="Z105" s="202">
        <f t="shared" si="43"/>
        <v>46107</v>
      </c>
      <c r="AA105" s="18"/>
      <c r="AB105" s="244"/>
      <c r="AC105" s="247"/>
      <c r="AD105" s="142"/>
      <c r="AE105" s="18"/>
      <c r="AF105" s="18"/>
      <c r="AG105" s="203"/>
      <c r="AH105" s="203"/>
      <c r="AI105" s="18"/>
      <c r="AJ105" s="18"/>
      <c r="AK105" s="18"/>
      <c r="AL105" s="18"/>
      <c r="AM105" s="18"/>
      <c r="AN105" s="18"/>
    </row>
    <row r="106" spans="1:40" ht="20">
      <c r="A106" s="18"/>
      <c r="B106" s="151"/>
      <c r="C106" s="55">
        <v>86</v>
      </c>
      <c r="D106" s="54">
        <v>1</v>
      </c>
      <c r="E106" s="190">
        <f t="shared" si="34"/>
        <v>3</v>
      </c>
      <c r="F106" s="191">
        <f t="shared" si="35"/>
        <v>46108</v>
      </c>
      <c r="G106" s="192" t="str">
        <f t="shared" si="36"/>
        <v>Fri</v>
      </c>
      <c r="H106" s="193"/>
      <c r="I106" s="194"/>
      <c r="J106" s="307">
        <f>334920/B13</f>
        <v>3035.3452963567156</v>
      </c>
      <c r="K106" s="215"/>
      <c r="L106" s="317">
        <f t="shared" si="37"/>
        <v>4714.3493285973536</v>
      </c>
      <c r="M106" s="318">
        <f t="shared" si="31"/>
        <v>-1679.004032240638</v>
      </c>
      <c r="N106" s="41">
        <f t="shared" si="8"/>
        <v>0.64385243536032422</v>
      </c>
      <c r="O106" s="56"/>
      <c r="P106" s="317">
        <f>IF(D106=0,0,SUM($L$80:L106))</f>
        <v>51521.036368392204</v>
      </c>
      <c r="Q106" s="317">
        <f>IF(D106=0,0,SUM($J$80:J106))</f>
        <v>47987.221315932569</v>
      </c>
      <c r="R106" s="321">
        <f t="shared" si="32"/>
        <v>-3533.8150524596349</v>
      </c>
      <c r="S106" s="198">
        <f t="shared" si="38"/>
        <v>0.93141024906425207</v>
      </c>
      <c r="T106" s="207"/>
      <c r="U106" s="317">
        <f>IF(D106=0,0,SUM($L$21:L106))</f>
        <v>138184.98416610839</v>
      </c>
      <c r="V106" s="317">
        <f>IF(D106=0,0,SUM($J$21:J106))</f>
        <v>150471.15483587093</v>
      </c>
      <c r="W106" s="331">
        <f t="shared" si="33"/>
        <v>12286.170669762534</v>
      </c>
      <c r="X106" s="200">
        <f t="shared" si="39"/>
        <v>1.0889110401097826</v>
      </c>
      <c r="Y106" s="201">
        <f t="shared" si="43"/>
        <v>46108</v>
      </c>
      <c r="Z106" s="202">
        <f t="shared" si="43"/>
        <v>46108</v>
      </c>
      <c r="AA106" s="18"/>
      <c r="AB106" s="244"/>
      <c r="AC106" s="247"/>
      <c r="AD106" s="142"/>
      <c r="AE106" s="18"/>
      <c r="AF106" s="18"/>
      <c r="AG106" s="203"/>
      <c r="AH106" s="203"/>
      <c r="AI106" s="18"/>
      <c r="AJ106" s="18"/>
      <c r="AK106" s="18"/>
      <c r="AL106" s="18"/>
      <c r="AM106" s="18"/>
      <c r="AN106" s="18"/>
    </row>
    <row r="107" spans="1:40" ht="20">
      <c r="A107" s="18"/>
      <c r="B107" s="151"/>
      <c r="C107" s="55">
        <v>87</v>
      </c>
      <c r="D107" s="54">
        <v>1</v>
      </c>
      <c r="E107" s="190">
        <f t="shared" si="34"/>
        <v>3</v>
      </c>
      <c r="F107" s="191">
        <f t="shared" si="35"/>
        <v>46109</v>
      </c>
      <c r="G107" s="192" t="str">
        <f t="shared" si="36"/>
        <v>Sat</v>
      </c>
      <c r="H107" s="193"/>
      <c r="I107" s="194"/>
      <c r="J107" s="307">
        <f>375510/B13</f>
        <v>3403.2082653616094</v>
      </c>
      <c r="K107" s="215"/>
      <c r="L107" s="317">
        <f t="shared" si="37"/>
        <v>1664.6726857341598</v>
      </c>
      <c r="M107" s="318">
        <f t="shared" si="31"/>
        <v>1738.5355796274496</v>
      </c>
      <c r="N107" s="41">
        <f t="shared" si="8"/>
        <v>2.0443708210786884</v>
      </c>
      <c r="O107" s="56"/>
      <c r="P107" s="317">
        <f>IF(D107=0,0,SUM($L$80:L107))</f>
        <v>53185.709054126361</v>
      </c>
      <c r="Q107" s="317">
        <f>IF(D107=0,0,SUM($J$80:J107))</f>
        <v>51390.429581294178</v>
      </c>
      <c r="R107" s="321">
        <f t="shared" si="32"/>
        <v>-1795.2794728321824</v>
      </c>
      <c r="S107" s="198">
        <f t="shared" si="38"/>
        <v>0.96624507777070057</v>
      </c>
      <c r="T107" s="207"/>
      <c r="U107" s="317">
        <f>IF(D107=0,0,SUM($L$21:L107))</f>
        <v>139849.65685184256</v>
      </c>
      <c r="V107" s="317">
        <f>IF(D107=0,0,SUM($J$21:J107))</f>
        <v>153874.36310123253</v>
      </c>
      <c r="W107" s="331">
        <f t="shared" si="33"/>
        <v>14024.706249389972</v>
      </c>
      <c r="X107" s="200">
        <f t="shared" si="39"/>
        <v>1.1002841663333347</v>
      </c>
      <c r="Y107" s="201">
        <f t="shared" si="43"/>
        <v>46109</v>
      </c>
      <c r="Z107" s="202">
        <f t="shared" si="43"/>
        <v>46109</v>
      </c>
      <c r="AA107" s="18"/>
      <c r="AB107" s="244"/>
      <c r="AC107" s="247"/>
      <c r="AD107" s="142"/>
      <c r="AE107" s="18"/>
      <c r="AF107" s="18"/>
      <c r="AG107" s="203"/>
      <c r="AH107" s="203"/>
      <c r="AI107" s="18"/>
      <c r="AJ107" s="18"/>
      <c r="AK107" s="18"/>
      <c r="AL107" s="18"/>
      <c r="AM107" s="18"/>
      <c r="AN107" s="18"/>
    </row>
    <row r="108" spans="1:40" ht="20">
      <c r="A108" s="18"/>
      <c r="B108" s="151"/>
      <c r="C108" s="55">
        <v>88</v>
      </c>
      <c r="D108" s="54">
        <v>0</v>
      </c>
      <c r="E108" s="190">
        <f t="shared" si="34"/>
        <v>3</v>
      </c>
      <c r="F108" s="191">
        <f t="shared" si="35"/>
        <v>46110</v>
      </c>
      <c r="G108" s="192" t="str">
        <f t="shared" si="36"/>
        <v>Sun</v>
      </c>
      <c r="H108" s="193"/>
      <c r="I108" s="194"/>
      <c r="J108" s="307"/>
      <c r="K108" s="215"/>
      <c r="L108" s="317">
        <f t="shared" si="37"/>
        <v>0</v>
      </c>
      <c r="M108" s="318">
        <f t="shared" si="31"/>
        <v>0</v>
      </c>
      <c r="N108" s="41" t="str">
        <f t="shared" si="8"/>
        <v>¥0</v>
      </c>
      <c r="O108" s="56"/>
      <c r="P108" s="317">
        <f>IF(D108=0,0,SUM($L$80:L108))</f>
        <v>0</v>
      </c>
      <c r="Q108" s="317">
        <f>IF(D108=0,0,SUM($J$80:J108))</f>
        <v>0</v>
      </c>
      <c r="R108" s="321">
        <f t="shared" si="32"/>
        <v>0</v>
      </c>
      <c r="S108" s="198">
        <f t="shared" si="38"/>
        <v>0</v>
      </c>
      <c r="T108" s="207"/>
      <c r="U108" s="317">
        <f>IF(D108=0,0,SUM($L$21:L108))</f>
        <v>0</v>
      </c>
      <c r="V108" s="317">
        <f>IF(D108=0,0,SUM($J$21:J108))</f>
        <v>0</v>
      </c>
      <c r="W108" s="331">
        <f t="shared" si="33"/>
        <v>0</v>
      </c>
      <c r="X108" s="200">
        <f t="shared" si="39"/>
        <v>0</v>
      </c>
      <c r="Y108" s="201">
        <f t="shared" si="43"/>
        <v>46110</v>
      </c>
      <c r="Z108" s="202">
        <f t="shared" si="43"/>
        <v>46110</v>
      </c>
      <c r="AA108" s="18"/>
      <c r="AB108" s="244"/>
      <c r="AC108" s="247"/>
      <c r="AD108" s="142"/>
      <c r="AE108" s="18"/>
      <c r="AF108" s="18"/>
      <c r="AG108" s="203"/>
      <c r="AH108" s="203"/>
      <c r="AI108" s="18"/>
      <c r="AJ108" s="18"/>
      <c r="AK108" s="18"/>
      <c r="AL108" s="18"/>
      <c r="AM108" s="18"/>
      <c r="AN108" s="18"/>
    </row>
    <row r="109" spans="1:40" ht="20">
      <c r="A109" s="18"/>
      <c r="B109" s="151"/>
      <c r="C109" s="55">
        <v>89</v>
      </c>
      <c r="D109" s="54">
        <v>1</v>
      </c>
      <c r="E109" s="190">
        <f t="shared" si="34"/>
        <v>3</v>
      </c>
      <c r="F109" s="191">
        <f t="shared" si="35"/>
        <v>46111</v>
      </c>
      <c r="G109" s="192" t="str">
        <f t="shared" si="36"/>
        <v>Mon</v>
      </c>
      <c r="H109" s="193"/>
      <c r="I109" s="194"/>
      <c r="J109" s="307">
        <f>83110/B13</f>
        <v>753.21732825811125</v>
      </c>
      <c r="K109" s="215"/>
      <c r="L109" s="317">
        <f t="shared" si="37"/>
        <v>1605.9351072495901</v>
      </c>
      <c r="M109" s="318">
        <f t="shared" si="31"/>
        <v>-852.71777899147889</v>
      </c>
      <c r="N109" s="41">
        <f t="shared" si="8"/>
        <v>0.46902102386198613</v>
      </c>
      <c r="O109" s="44"/>
      <c r="P109" s="317">
        <f>IF(D109=0,0,SUM($L$80:L109))</f>
        <v>54791.644161375953</v>
      </c>
      <c r="Q109" s="317">
        <f>IF(D109=0,0,SUM($J$80:J109))</f>
        <v>52143.646909552292</v>
      </c>
      <c r="R109" s="321">
        <f t="shared" si="32"/>
        <v>-2647.9972518236609</v>
      </c>
      <c r="S109" s="198">
        <f t="shared" si="38"/>
        <v>0.9516715131959792</v>
      </c>
      <c r="T109" s="212"/>
      <c r="U109" s="317">
        <f>IF(D109=0,0,SUM($L$21:L109))</f>
        <v>141455.59195909215</v>
      </c>
      <c r="V109" s="317">
        <f>IF(D109=0,0,SUM($J$21:J109))</f>
        <v>154627.58042949066</v>
      </c>
      <c r="W109" s="331">
        <f t="shared" si="33"/>
        <v>13171.988470398501</v>
      </c>
      <c r="X109" s="200">
        <f t="shared" si="39"/>
        <v>1.0931174815217466</v>
      </c>
      <c r="Y109" s="201">
        <f t="shared" si="43"/>
        <v>46111</v>
      </c>
      <c r="Z109" s="202">
        <f t="shared" si="43"/>
        <v>46111</v>
      </c>
      <c r="AA109" s="18"/>
      <c r="AB109" s="244"/>
      <c r="AC109" s="247"/>
      <c r="AD109" s="142"/>
      <c r="AE109" s="18"/>
      <c r="AF109" s="18"/>
      <c r="AG109" s="203"/>
      <c r="AH109" s="203"/>
      <c r="AI109" s="18"/>
      <c r="AJ109" s="18"/>
      <c r="AK109" s="18"/>
      <c r="AL109" s="18"/>
      <c r="AM109" s="18"/>
      <c r="AN109" s="18"/>
    </row>
    <row r="110" spans="1:40" ht="21" thickBot="1">
      <c r="A110" s="18"/>
      <c r="B110" s="151"/>
      <c r="C110" s="39">
        <v>90</v>
      </c>
      <c r="D110" s="38">
        <v>1</v>
      </c>
      <c r="E110" s="217">
        <f t="shared" si="34"/>
        <v>3</v>
      </c>
      <c r="F110" s="218">
        <f t="shared" si="35"/>
        <v>46112</v>
      </c>
      <c r="G110" s="219" t="str">
        <f t="shared" si="36"/>
        <v>Tue</v>
      </c>
      <c r="H110" s="233"/>
      <c r="I110" s="221"/>
      <c r="J110" s="312">
        <f>390560/B13</f>
        <v>3539.6048577125248</v>
      </c>
      <c r="K110" s="223"/>
      <c r="L110" s="317">
        <f t="shared" si="37"/>
        <v>1851.4589743862257</v>
      </c>
      <c r="M110" s="320">
        <f t="shared" si="31"/>
        <v>1688.1458833262991</v>
      </c>
      <c r="N110" s="234">
        <f t="shared" si="8"/>
        <v>1.9117922172085577</v>
      </c>
      <c r="O110" s="226"/>
      <c r="P110" s="322">
        <f>IF(D110=0,0,SUM($L$80:L110))</f>
        <v>56643.103135762176</v>
      </c>
      <c r="Q110" s="323">
        <f>IF(D110=0,0,SUM($J$80:J110))</f>
        <v>55683.251767264817</v>
      </c>
      <c r="R110" s="320">
        <f t="shared" si="32"/>
        <v>-959.85136849735864</v>
      </c>
      <c r="S110" s="228">
        <f t="shared" si="38"/>
        <v>0.98305440000000022</v>
      </c>
      <c r="T110" s="229"/>
      <c r="U110" s="332">
        <f>IF(D110=0,0,SUM($L$21:L110))</f>
        <v>143307.05093347837</v>
      </c>
      <c r="V110" s="323">
        <f>IF(D110=0,0,SUM($J$21:J110))</f>
        <v>158167.18528720317</v>
      </c>
      <c r="W110" s="333">
        <f t="shared" si="33"/>
        <v>14860.134353724803</v>
      </c>
      <c r="X110" s="230">
        <f t="shared" si="39"/>
        <v>1.1036943699345452</v>
      </c>
      <c r="Y110" s="201">
        <f t="shared" si="43"/>
        <v>46112</v>
      </c>
      <c r="Z110" s="202">
        <f t="shared" si="43"/>
        <v>46112</v>
      </c>
      <c r="AA110" s="18"/>
      <c r="AB110" s="244"/>
      <c r="AC110" s="247"/>
      <c r="AD110" s="142"/>
      <c r="AE110" s="18"/>
      <c r="AF110" s="18"/>
      <c r="AG110" s="203"/>
      <c r="AH110" s="203"/>
      <c r="AI110" s="18"/>
      <c r="AJ110" s="18"/>
      <c r="AK110" s="18"/>
      <c r="AL110" s="18"/>
      <c r="AM110" s="18"/>
      <c r="AN110" s="18"/>
    </row>
    <row r="111" spans="1:40" ht="21" thickTop="1">
      <c r="A111" s="18"/>
      <c r="B111" s="151"/>
      <c r="C111" s="55">
        <v>91</v>
      </c>
      <c r="D111" s="62">
        <v>1</v>
      </c>
      <c r="E111" s="190">
        <f t="shared" si="34"/>
        <v>4</v>
      </c>
      <c r="F111" s="191">
        <f t="shared" si="35"/>
        <v>46113</v>
      </c>
      <c r="G111" s="192" t="str">
        <f t="shared" si="36"/>
        <v>Wed</v>
      </c>
      <c r="H111" s="193"/>
      <c r="I111" s="194"/>
      <c r="J111" s="307">
        <f>332310/B13</f>
        <v>3011.6911364872212</v>
      </c>
      <c r="K111" s="215"/>
      <c r="L111" s="317">
        <f t="shared" si="37"/>
        <v>2731.606998945108</v>
      </c>
      <c r="M111" s="321">
        <f t="shared" si="31"/>
        <v>280.08413754211324</v>
      </c>
      <c r="N111" s="60">
        <f t="shared" si="8"/>
        <v>1.1025345657886643</v>
      </c>
      <c r="O111" s="56"/>
      <c r="P111" s="317">
        <f>IF(D111=0,0,$L$111)</f>
        <v>2731.606998945108</v>
      </c>
      <c r="Q111" s="317">
        <f>IF(D111=0,0,$J$111)</f>
        <v>3011.6911364872212</v>
      </c>
      <c r="R111" s="321">
        <f t="shared" si="32"/>
        <v>280.08413754211324</v>
      </c>
      <c r="S111" s="231">
        <f t="shared" si="38"/>
        <v>1.1025345657886643</v>
      </c>
      <c r="T111" s="207"/>
      <c r="U111" s="317">
        <f>IF(D111=0,0,SUM($L$21:L111))</f>
        <v>146038.65793242349</v>
      </c>
      <c r="V111" s="317">
        <f>IF(D111=0,0,SUM($J$21:J111))</f>
        <v>161178.87642369041</v>
      </c>
      <c r="W111" s="331">
        <f t="shared" si="33"/>
        <v>15140.218491266918</v>
      </c>
      <c r="X111" s="232">
        <f t="shared" si="39"/>
        <v>1.1036726761640931</v>
      </c>
      <c r="Y111" s="201">
        <f t="shared" si="43"/>
        <v>46113</v>
      </c>
      <c r="Z111" s="202">
        <f t="shared" si="43"/>
        <v>46113</v>
      </c>
      <c r="AA111" s="18"/>
      <c r="AB111" s="244"/>
      <c r="AC111" s="247"/>
      <c r="AD111" s="142"/>
      <c r="AE111" s="18"/>
      <c r="AF111" s="18"/>
      <c r="AG111" s="203"/>
      <c r="AH111" s="203"/>
      <c r="AI111" s="18"/>
      <c r="AJ111" s="18"/>
      <c r="AK111" s="18"/>
      <c r="AL111" s="18"/>
      <c r="AM111" s="18"/>
      <c r="AN111" s="18"/>
    </row>
    <row r="112" spans="1:40" ht="20">
      <c r="A112" s="18"/>
      <c r="B112" s="151"/>
      <c r="C112" s="55">
        <v>92</v>
      </c>
      <c r="D112" s="54">
        <v>1</v>
      </c>
      <c r="E112" s="190">
        <f t="shared" si="34"/>
        <v>4</v>
      </c>
      <c r="F112" s="191">
        <f t="shared" si="35"/>
        <v>46114</v>
      </c>
      <c r="G112" s="192" t="str">
        <f t="shared" si="36"/>
        <v>Thu</v>
      </c>
      <c r="H112" s="193"/>
      <c r="I112" s="194"/>
      <c r="J112" s="307">
        <f>242970/B13</f>
        <v>2202.0119630233821</v>
      </c>
      <c r="K112" s="215"/>
      <c r="L112" s="317">
        <f t="shared" si="37"/>
        <v>2075.7824167379185</v>
      </c>
      <c r="M112" s="318">
        <f t="shared" si="31"/>
        <v>126.22954628546358</v>
      </c>
      <c r="N112" s="41">
        <f t="shared" si="8"/>
        <v>1.0608105865372117</v>
      </c>
      <c r="O112" s="56"/>
      <c r="P112" s="317">
        <f>IF(D112=0,0,SUM($L$111:L112))</f>
        <v>4807.3894156830265</v>
      </c>
      <c r="Q112" s="317">
        <f>IF(D112=0,0,SUM($J$111:J112))</f>
        <v>5213.7030995106034</v>
      </c>
      <c r="R112" s="321">
        <f t="shared" si="32"/>
        <v>406.31368382757682</v>
      </c>
      <c r="S112" s="198">
        <f t="shared" si="38"/>
        <v>1.0845185710360949</v>
      </c>
      <c r="T112" s="207"/>
      <c r="U112" s="317">
        <f>IF(D112=0,0,SUM($L$21:L112))</f>
        <v>148114.44034916142</v>
      </c>
      <c r="V112" s="317">
        <f>IF(D112=0,0,SUM($J$21:J112))</f>
        <v>163380.88838671381</v>
      </c>
      <c r="W112" s="331">
        <f t="shared" si="33"/>
        <v>15266.448037552385</v>
      </c>
      <c r="X112" s="200">
        <f t="shared" si="39"/>
        <v>1.1030719759772485</v>
      </c>
      <c r="Y112" s="201">
        <f t="shared" si="43"/>
        <v>46114</v>
      </c>
      <c r="Z112" s="202">
        <f t="shared" si="43"/>
        <v>46114</v>
      </c>
      <c r="AA112" s="18"/>
      <c r="AB112" s="244"/>
      <c r="AC112" s="247"/>
      <c r="AD112" s="142"/>
      <c r="AE112" s="18"/>
      <c r="AF112" s="18"/>
      <c r="AG112" s="203"/>
      <c r="AH112" s="203"/>
      <c r="AI112" s="18"/>
      <c r="AJ112" s="18"/>
      <c r="AK112" s="18"/>
      <c r="AL112" s="18"/>
      <c r="AM112" s="18"/>
      <c r="AN112" s="18"/>
    </row>
    <row r="113" spans="1:40" ht="20">
      <c r="A113" s="18"/>
      <c r="B113" s="151"/>
      <c r="C113" s="55">
        <v>93</v>
      </c>
      <c r="D113" s="54">
        <v>1</v>
      </c>
      <c r="E113" s="190">
        <f t="shared" si="34"/>
        <v>4</v>
      </c>
      <c r="F113" s="191">
        <f t="shared" si="35"/>
        <v>46115</v>
      </c>
      <c r="G113" s="192" t="str">
        <f t="shared" si="36"/>
        <v>Fri</v>
      </c>
      <c r="H113" s="193"/>
      <c r="I113" s="194"/>
      <c r="J113" s="307">
        <f>353310/B13</f>
        <v>3202.0119630233821</v>
      </c>
      <c r="K113" s="215"/>
      <c r="L113" s="317">
        <f t="shared" si="37"/>
        <v>3090.1473320374894</v>
      </c>
      <c r="M113" s="318">
        <f t="shared" si="31"/>
        <v>111.86463098589275</v>
      </c>
      <c r="N113" s="41">
        <f t="shared" si="8"/>
        <v>1.0362004199042947</v>
      </c>
      <c r="O113" s="56"/>
      <c r="P113" s="317">
        <f>IF(D113=0,0,SUM($L$111:L113))</f>
        <v>7897.5367477205164</v>
      </c>
      <c r="Q113" s="317">
        <f>IF(D113=0,0,SUM($J$111:J113))</f>
        <v>8415.7150625339855</v>
      </c>
      <c r="R113" s="321">
        <f t="shared" si="32"/>
        <v>518.17831481346911</v>
      </c>
      <c r="S113" s="198">
        <f t="shared" si="38"/>
        <v>1.0656126500409171</v>
      </c>
      <c r="T113" s="207"/>
      <c r="U113" s="317">
        <f>IF(D113=0,0,SUM($L$21:L113))</f>
        <v>151204.5876811989</v>
      </c>
      <c r="V113" s="317">
        <f>IF(D113=0,0,SUM($J$21:J113))</f>
        <v>166582.9003497372</v>
      </c>
      <c r="W113" s="331">
        <f t="shared" si="33"/>
        <v>15378.312668538303</v>
      </c>
      <c r="X113" s="200">
        <f t="shared" si="39"/>
        <v>1.1017053311964453</v>
      </c>
      <c r="Y113" s="201">
        <f t="shared" si="43"/>
        <v>46115</v>
      </c>
      <c r="Z113" s="202">
        <f t="shared" si="43"/>
        <v>46115</v>
      </c>
      <c r="AA113" s="18"/>
      <c r="AB113" s="244"/>
      <c r="AC113" s="247"/>
      <c r="AD113" s="142"/>
      <c r="AE113" s="18"/>
      <c r="AF113" s="18"/>
      <c r="AG113" s="203"/>
      <c r="AH113" s="203"/>
      <c r="AI113" s="18"/>
      <c r="AJ113" s="18"/>
      <c r="AK113" s="18"/>
      <c r="AL113" s="18"/>
      <c r="AM113" s="18"/>
      <c r="AN113" s="18"/>
    </row>
    <row r="114" spans="1:40" ht="20">
      <c r="A114" s="18"/>
      <c r="B114" s="151"/>
      <c r="C114" s="55">
        <v>94</v>
      </c>
      <c r="D114" s="54">
        <v>1</v>
      </c>
      <c r="E114" s="190">
        <f t="shared" si="34"/>
        <v>4</v>
      </c>
      <c r="F114" s="191">
        <f t="shared" si="35"/>
        <v>46116</v>
      </c>
      <c r="G114" s="192" t="str">
        <f t="shared" si="36"/>
        <v>Sat</v>
      </c>
      <c r="H114" s="193"/>
      <c r="I114" s="194"/>
      <c r="J114" s="307">
        <f>364780/B13</f>
        <v>3305.9633858981329</v>
      </c>
      <c r="K114" s="215"/>
      <c r="L114" s="317">
        <f t="shared" si="37"/>
        <v>1881.8934726855011</v>
      </c>
      <c r="M114" s="318">
        <f t="shared" si="31"/>
        <v>1424.0699132126317</v>
      </c>
      <c r="N114" s="41">
        <f t="shared" si="8"/>
        <v>1.7567218516255623</v>
      </c>
      <c r="O114" s="56"/>
      <c r="P114" s="317">
        <f>IF(D114=0,0,SUM($L$111:L114))</f>
        <v>9779.4302204060168</v>
      </c>
      <c r="Q114" s="317">
        <f>IF(D114=0,0,SUM($J$111:J114))</f>
        <v>11721.678448432118</v>
      </c>
      <c r="R114" s="321">
        <f t="shared" si="32"/>
        <v>1942.2482280261011</v>
      </c>
      <c r="S114" s="198">
        <f t="shared" si="38"/>
        <v>1.1986054590351649</v>
      </c>
      <c r="T114" s="207"/>
      <c r="U114" s="317">
        <f>IF(D114=0,0,SUM($L$21:L114))</f>
        <v>153086.48115388441</v>
      </c>
      <c r="V114" s="317">
        <f>IF(D114=0,0,SUM($J$21:J114))</f>
        <v>169888.86373563533</v>
      </c>
      <c r="W114" s="331">
        <f t="shared" si="33"/>
        <v>16802.382581750921</v>
      </c>
      <c r="X114" s="200">
        <f t="shared" si="39"/>
        <v>1.1097574551005647</v>
      </c>
      <c r="Y114" s="201">
        <f t="shared" si="43"/>
        <v>46116</v>
      </c>
      <c r="Z114" s="202">
        <f t="shared" si="43"/>
        <v>46116</v>
      </c>
      <c r="AA114" s="18"/>
      <c r="AB114" s="244"/>
      <c r="AC114" s="247"/>
      <c r="AD114" s="142"/>
      <c r="AE114" s="18"/>
      <c r="AF114" s="18"/>
      <c r="AG114" s="203"/>
      <c r="AH114" s="203"/>
      <c r="AI114" s="18"/>
      <c r="AJ114" s="18"/>
      <c r="AK114" s="18"/>
      <c r="AL114" s="18"/>
      <c r="AM114" s="18"/>
      <c r="AN114" s="18"/>
    </row>
    <row r="115" spans="1:40" ht="20">
      <c r="A115" s="18"/>
      <c r="B115" s="151"/>
      <c r="C115" s="55">
        <v>95</v>
      </c>
      <c r="D115" s="54">
        <v>0</v>
      </c>
      <c r="E115" s="190">
        <f t="shared" si="34"/>
        <v>4</v>
      </c>
      <c r="F115" s="191">
        <f t="shared" si="35"/>
        <v>46117</v>
      </c>
      <c r="G115" s="192" t="str">
        <f t="shared" si="36"/>
        <v>Sun</v>
      </c>
      <c r="H115" s="193"/>
      <c r="I115" s="194"/>
      <c r="J115" s="307"/>
      <c r="K115" s="215"/>
      <c r="L115" s="317">
        <f t="shared" si="37"/>
        <v>0</v>
      </c>
      <c r="M115" s="318">
        <f t="shared" si="31"/>
        <v>0</v>
      </c>
      <c r="N115" s="41" t="str">
        <f t="shared" si="8"/>
        <v>¥0</v>
      </c>
      <c r="O115" s="56"/>
      <c r="P115" s="317">
        <f>IF(D115=0,0,SUM($L$111:L115))</f>
        <v>0</v>
      </c>
      <c r="Q115" s="317">
        <f>IF(D115=0,0,SUM($J$111:J115))</f>
        <v>0</v>
      </c>
      <c r="R115" s="321">
        <f t="shared" si="32"/>
        <v>0</v>
      </c>
      <c r="S115" s="198">
        <f t="shared" si="38"/>
        <v>0</v>
      </c>
      <c r="T115" s="207"/>
      <c r="U115" s="317">
        <f>IF(D115=0,0,SUM($L$21:L115))</f>
        <v>0</v>
      </c>
      <c r="V115" s="317">
        <f>IF(D115=0,0,SUM($J$21:J115))</f>
        <v>0</v>
      </c>
      <c r="W115" s="331">
        <f t="shared" si="33"/>
        <v>0</v>
      </c>
      <c r="X115" s="200">
        <f t="shared" si="39"/>
        <v>0</v>
      </c>
      <c r="Y115" s="201">
        <f t="shared" si="43"/>
        <v>46117</v>
      </c>
      <c r="Z115" s="202">
        <f t="shared" si="43"/>
        <v>46117</v>
      </c>
      <c r="AA115" s="18"/>
      <c r="AB115" s="244"/>
      <c r="AC115" s="247"/>
      <c r="AD115" s="142"/>
      <c r="AE115" s="18"/>
      <c r="AF115" s="18"/>
      <c r="AG115" s="203"/>
      <c r="AH115" s="203"/>
      <c r="AI115" s="18"/>
      <c r="AJ115" s="18"/>
      <c r="AK115" s="18"/>
      <c r="AL115" s="18"/>
      <c r="AM115" s="18"/>
      <c r="AN115" s="18"/>
    </row>
    <row r="116" spans="1:40" ht="20">
      <c r="A116" s="18"/>
      <c r="B116" s="151"/>
      <c r="C116" s="55">
        <v>96</v>
      </c>
      <c r="D116" s="54">
        <v>1</v>
      </c>
      <c r="E116" s="190">
        <f t="shared" si="34"/>
        <v>4</v>
      </c>
      <c r="F116" s="191">
        <f t="shared" si="35"/>
        <v>46118</v>
      </c>
      <c r="G116" s="192" t="str">
        <f t="shared" si="36"/>
        <v>Mon</v>
      </c>
      <c r="H116" s="193"/>
      <c r="I116" s="194"/>
      <c r="J116" s="307">
        <f>81370/B13</f>
        <v>737.44788834511508</v>
      </c>
      <c r="K116" s="215"/>
      <c r="L116" s="317">
        <f t="shared" si="37"/>
        <v>2131.1312640979108</v>
      </c>
      <c r="M116" s="318">
        <f t="shared" si="31"/>
        <v>-1393.6833757527957</v>
      </c>
      <c r="N116" s="41">
        <f t="shared" si="8"/>
        <v>0.34603588280483993</v>
      </c>
      <c r="O116" s="44"/>
      <c r="P116" s="317">
        <f>IF(D116=0,0,SUM($L$111:L116))</f>
        <v>11910.561484503927</v>
      </c>
      <c r="Q116" s="317">
        <f>IF(D116=0,0,SUM($J$111:J116))</f>
        <v>12459.126336777234</v>
      </c>
      <c r="R116" s="321">
        <f t="shared" si="32"/>
        <v>548.56485227330631</v>
      </c>
      <c r="S116" s="198">
        <f t="shared" si="38"/>
        <v>1.0460570102414575</v>
      </c>
      <c r="T116" s="212"/>
      <c r="U116" s="317">
        <f>IF(D116=0,0,SUM($L$21:L116))</f>
        <v>155217.61241798231</v>
      </c>
      <c r="V116" s="317">
        <f>IF(D116=0,0,SUM($J$21:J116))</f>
        <v>170626.31162398044</v>
      </c>
      <c r="W116" s="331">
        <f t="shared" si="33"/>
        <v>15408.699205998128</v>
      </c>
      <c r="X116" s="200">
        <f t="shared" si="39"/>
        <v>1.0992715901627474</v>
      </c>
      <c r="Y116" s="201">
        <f t="shared" si="43"/>
        <v>46118</v>
      </c>
      <c r="Z116" s="202">
        <f t="shared" si="43"/>
        <v>46118</v>
      </c>
      <c r="AA116" s="18"/>
      <c r="AB116" s="244"/>
      <c r="AC116" s="247"/>
      <c r="AD116" s="142"/>
      <c r="AE116" s="18"/>
      <c r="AF116" s="18"/>
      <c r="AG116" s="203"/>
      <c r="AH116" s="203"/>
      <c r="AI116" s="18"/>
      <c r="AJ116" s="18"/>
      <c r="AK116" s="18"/>
      <c r="AL116" s="18"/>
      <c r="AM116" s="18"/>
      <c r="AN116" s="18"/>
    </row>
    <row r="117" spans="1:40" ht="20">
      <c r="A117" s="18"/>
      <c r="B117" s="151"/>
      <c r="C117" s="55">
        <v>97</v>
      </c>
      <c r="D117" s="54">
        <v>1</v>
      </c>
      <c r="E117" s="190">
        <f t="shared" si="34"/>
        <v>4</v>
      </c>
      <c r="F117" s="191">
        <f t="shared" si="35"/>
        <v>46119</v>
      </c>
      <c r="G117" s="192" t="str">
        <f t="shared" si="36"/>
        <v>Tue</v>
      </c>
      <c r="H117" s="193"/>
      <c r="I117" s="194"/>
      <c r="J117" s="307">
        <f>188390/B13</f>
        <v>1707.3590719593981</v>
      </c>
      <c r="K117" s="215"/>
      <c r="L117" s="317">
        <f t="shared" si="37"/>
        <v>3147.3462736461952</v>
      </c>
      <c r="M117" s="318">
        <f t="shared" si="31"/>
        <v>-1439.9872016867971</v>
      </c>
      <c r="N117" s="41">
        <f t="shared" si="8"/>
        <v>0.54247576323447422</v>
      </c>
      <c r="O117" s="56"/>
      <c r="P117" s="317">
        <f>IF(D117=0,0,SUM($L$111:L117))</f>
        <v>15057.907758150122</v>
      </c>
      <c r="Q117" s="317">
        <f>IF(D117=0,0,SUM($J$111:J117))</f>
        <v>14166.485408736631</v>
      </c>
      <c r="R117" s="321">
        <f t="shared" si="32"/>
        <v>-891.42234941349125</v>
      </c>
      <c r="S117" s="198">
        <f t="shared" si="38"/>
        <v>0.94080038450687098</v>
      </c>
      <c r="T117" s="207"/>
      <c r="U117" s="317">
        <f>IF(D117=0,0,SUM($L$21:L117))</f>
        <v>158364.9586916285</v>
      </c>
      <c r="V117" s="317">
        <f>IF(D117=0,0,SUM($J$21:J117))</f>
        <v>172333.67069593983</v>
      </c>
      <c r="W117" s="331">
        <f t="shared" si="33"/>
        <v>13968.712004311325</v>
      </c>
      <c r="X117" s="200">
        <f t="shared" si="39"/>
        <v>1.0882058260849958</v>
      </c>
      <c r="Y117" s="201">
        <f t="shared" si="43"/>
        <v>46119</v>
      </c>
      <c r="Z117" s="202">
        <f t="shared" si="43"/>
        <v>46119</v>
      </c>
      <c r="AA117" s="18"/>
      <c r="AB117" s="244"/>
      <c r="AC117" s="247"/>
      <c r="AD117" s="142"/>
      <c r="AE117" s="18"/>
      <c r="AF117" s="18"/>
      <c r="AG117" s="203"/>
      <c r="AH117" s="203"/>
      <c r="AI117" s="18"/>
      <c r="AJ117" s="18"/>
      <c r="AK117" s="18"/>
      <c r="AL117" s="18"/>
      <c r="AM117" s="18"/>
      <c r="AN117" s="18"/>
    </row>
    <row r="118" spans="1:40" ht="20">
      <c r="A118" s="18"/>
      <c r="B118" s="151"/>
      <c r="C118" s="55">
        <v>98</v>
      </c>
      <c r="D118" s="54">
        <v>1</v>
      </c>
      <c r="E118" s="190">
        <f t="shared" si="34"/>
        <v>4</v>
      </c>
      <c r="F118" s="191">
        <f t="shared" si="35"/>
        <v>46120</v>
      </c>
      <c r="G118" s="192" t="str">
        <f t="shared" si="36"/>
        <v>Wed</v>
      </c>
      <c r="H118" s="193"/>
      <c r="I118" s="194"/>
      <c r="J118" s="307">
        <f>327820/B13</f>
        <v>2970.9987311944897</v>
      </c>
      <c r="K118" s="215"/>
      <c r="L118" s="317">
        <f t="shared" si="37"/>
        <v>2731.606998945108</v>
      </c>
      <c r="M118" s="318">
        <f t="shared" si="31"/>
        <v>239.39173224938168</v>
      </c>
      <c r="N118" s="41">
        <f t="shared" si="8"/>
        <v>1.0876376917842976</v>
      </c>
      <c r="O118" s="56"/>
      <c r="P118" s="317">
        <f>IF(D118=0,0,SUM($L$111:L118))</f>
        <v>17789.514757095232</v>
      </c>
      <c r="Q118" s="317">
        <f>IF(D118=0,0,SUM($J$111:J118))</f>
        <v>17137.484139931119</v>
      </c>
      <c r="R118" s="321">
        <f t="shared" si="32"/>
        <v>-652.03061716411321</v>
      </c>
      <c r="S118" s="198">
        <f t="shared" si="38"/>
        <v>0.96334747596732195</v>
      </c>
      <c r="T118" s="207"/>
      <c r="U118" s="317">
        <f>IF(D118=0,0,SUM($L$21:L118))</f>
        <v>161096.56569057363</v>
      </c>
      <c r="V118" s="317">
        <f>IF(D118=0,0,SUM($J$21:J118))</f>
        <v>175304.66942713433</v>
      </c>
      <c r="W118" s="331">
        <f t="shared" si="33"/>
        <v>14208.103736560704</v>
      </c>
      <c r="X118" s="200">
        <f t="shared" si="39"/>
        <v>1.088196192610654</v>
      </c>
      <c r="Y118" s="201">
        <f t="shared" si="43"/>
        <v>46120</v>
      </c>
      <c r="Z118" s="202">
        <f t="shared" si="43"/>
        <v>46120</v>
      </c>
      <c r="AA118" s="18"/>
      <c r="AB118" s="244"/>
      <c r="AC118" s="247"/>
      <c r="AD118" s="142"/>
      <c r="AE118" s="18"/>
      <c r="AF118" s="18"/>
      <c r="AG118" s="203"/>
      <c r="AH118" s="203"/>
      <c r="AI118" s="18"/>
      <c r="AJ118" s="18"/>
      <c r="AK118" s="18"/>
      <c r="AL118" s="18"/>
      <c r="AM118" s="18"/>
      <c r="AN118" s="18"/>
    </row>
    <row r="119" spans="1:40" ht="20">
      <c r="A119" s="18"/>
      <c r="B119" s="151"/>
      <c r="C119" s="55">
        <v>99</v>
      </c>
      <c r="D119" s="54">
        <v>1</v>
      </c>
      <c r="E119" s="190">
        <f t="shared" si="34"/>
        <v>4</v>
      </c>
      <c r="F119" s="191">
        <f t="shared" si="35"/>
        <v>46121</v>
      </c>
      <c r="G119" s="192" t="str">
        <f t="shared" si="36"/>
        <v>Thu</v>
      </c>
      <c r="H119" s="193"/>
      <c r="I119" s="194"/>
      <c r="J119" s="307">
        <f>248000/B13</f>
        <v>2247.5983324270437</v>
      </c>
      <c r="K119" s="215"/>
      <c r="L119" s="317">
        <f t="shared" si="37"/>
        <v>2075.7824167379185</v>
      </c>
      <c r="M119" s="318">
        <f t="shared" si="31"/>
        <v>171.81591568912518</v>
      </c>
      <c r="N119" s="41">
        <f t="shared" si="8"/>
        <v>1.0827716403721797</v>
      </c>
      <c r="O119" s="56"/>
      <c r="P119" s="317">
        <f>IF(D119=0,0,SUM($L$111:L119))</f>
        <v>19865.297173833151</v>
      </c>
      <c r="Q119" s="317">
        <f>IF(D119=0,0,SUM($J$111:J119))</f>
        <v>19385.082472358161</v>
      </c>
      <c r="R119" s="321">
        <f t="shared" si="32"/>
        <v>-480.21470147498985</v>
      </c>
      <c r="S119" s="198">
        <f t="shared" si="38"/>
        <v>0.97582645266905266</v>
      </c>
      <c r="T119" s="207"/>
      <c r="U119" s="317">
        <f>IF(D119=0,0,SUM($L$21:L119))</f>
        <v>163172.34810731155</v>
      </c>
      <c r="V119" s="317">
        <f>IF(D119=0,0,SUM($J$21:J119))</f>
        <v>177552.26775956136</v>
      </c>
      <c r="W119" s="331">
        <f t="shared" si="33"/>
        <v>14379.91965224981</v>
      </c>
      <c r="X119" s="200">
        <f t="shared" si="39"/>
        <v>1.0881271846550418</v>
      </c>
      <c r="Y119" s="201">
        <f t="shared" ref="Y119:Z134" si="44">Y118+1</f>
        <v>46121</v>
      </c>
      <c r="Z119" s="202">
        <f t="shared" si="44"/>
        <v>46121</v>
      </c>
      <c r="AA119" s="18"/>
      <c r="AB119" s="244"/>
      <c r="AC119" s="247"/>
      <c r="AD119" s="142"/>
      <c r="AE119" s="18"/>
      <c r="AF119" s="18"/>
      <c r="AG119" s="203"/>
      <c r="AH119" s="203"/>
      <c r="AI119" s="18"/>
      <c r="AJ119" s="18"/>
      <c r="AK119" s="18"/>
      <c r="AL119" s="18"/>
      <c r="AM119" s="18"/>
      <c r="AN119" s="18"/>
    </row>
    <row r="120" spans="1:40" ht="20">
      <c r="A120" s="18"/>
      <c r="B120" s="151"/>
      <c r="C120" s="55">
        <v>100</v>
      </c>
      <c r="D120" s="54">
        <v>1</v>
      </c>
      <c r="E120" s="190">
        <f t="shared" si="34"/>
        <v>4</v>
      </c>
      <c r="F120" s="191">
        <f t="shared" si="35"/>
        <v>46122</v>
      </c>
      <c r="G120" s="192" t="str">
        <f t="shared" si="36"/>
        <v>Fri</v>
      </c>
      <c r="H120" s="193"/>
      <c r="I120" s="194"/>
      <c r="J120" s="307">
        <f>333790/B13</f>
        <v>3025.1042233097696</v>
      </c>
      <c r="K120" s="215"/>
      <c r="L120" s="317">
        <f t="shared" si="37"/>
        <v>3090.1473320374894</v>
      </c>
      <c r="M120" s="318">
        <f t="shared" si="31"/>
        <v>-65.043108727719755</v>
      </c>
      <c r="N120" s="41">
        <f t="shared" si="8"/>
        <v>0.97895145385031412</v>
      </c>
      <c r="O120" s="56"/>
      <c r="P120" s="317">
        <f>IF(D120=0,0,SUM($L$111:L120))</f>
        <v>22955.444505870641</v>
      </c>
      <c r="Q120" s="317">
        <f>IF(D120=0,0,SUM($J$111:J120))</f>
        <v>22410.18669566793</v>
      </c>
      <c r="R120" s="321">
        <f t="shared" si="32"/>
        <v>-545.25781020271097</v>
      </c>
      <c r="S120" s="198">
        <f t="shared" si="38"/>
        <v>0.97624712472619446</v>
      </c>
      <c r="T120" s="207"/>
      <c r="U120" s="317">
        <f>IF(D120=0,0,SUM($L$21:L120))</f>
        <v>166262.49543934903</v>
      </c>
      <c r="V120" s="317">
        <f>IF(D120=0,0,SUM($J$21:J120))</f>
        <v>180577.37198287115</v>
      </c>
      <c r="W120" s="331">
        <f t="shared" si="33"/>
        <v>14314.876543522114</v>
      </c>
      <c r="X120" s="200">
        <f t="shared" si="39"/>
        <v>1.0860980493868748</v>
      </c>
      <c r="Y120" s="201">
        <f t="shared" si="44"/>
        <v>46122</v>
      </c>
      <c r="Z120" s="202">
        <f t="shared" si="44"/>
        <v>46122</v>
      </c>
      <c r="AA120" s="18"/>
      <c r="AB120" s="244"/>
      <c r="AC120" s="247"/>
      <c r="AD120" s="142"/>
      <c r="AE120" s="18"/>
      <c r="AF120" s="18"/>
      <c r="AG120" s="203"/>
      <c r="AH120" s="203"/>
      <c r="AI120" s="18"/>
      <c r="AJ120" s="18"/>
      <c r="AK120" s="18"/>
      <c r="AL120" s="18"/>
      <c r="AM120" s="18"/>
      <c r="AN120" s="18"/>
    </row>
    <row r="121" spans="1:40" ht="20">
      <c r="A121" s="18"/>
      <c r="B121" s="151"/>
      <c r="C121" s="55">
        <v>101</v>
      </c>
      <c r="D121" s="54">
        <v>1</v>
      </c>
      <c r="E121" s="190">
        <f t="shared" si="34"/>
        <v>4</v>
      </c>
      <c r="F121" s="191">
        <f t="shared" si="35"/>
        <v>46123</v>
      </c>
      <c r="G121" s="192" t="str">
        <f t="shared" si="36"/>
        <v>Sat</v>
      </c>
      <c r="H121" s="193"/>
      <c r="I121" s="194"/>
      <c r="J121" s="307">
        <f>352720/B13</f>
        <v>3196.6648540873662</v>
      </c>
      <c r="K121" s="215"/>
      <c r="L121" s="317">
        <f t="shared" si="37"/>
        <v>1881.8934726855011</v>
      </c>
      <c r="M121" s="318">
        <f t="shared" si="31"/>
        <v>1314.771381401865</v>
      </c>
      <c r="N121" s="41">
        <f t="shared" si="8"/>
        <v>1.6986428299396028</v>
      </c>
      <c r="O121" s="56"/>
      <c r="P121" s="317">
        <f>IF(D121=0,0,SUM($L$111:L121))</f>
        <v>24837.337978556141</v>
      </c>
      <c r="Q121" s="317">
        <f>IF(D121=0,0,SUM($J$111:J121))</f>
        <v>25606.851549755294</v>
      </c>
      <c r="R121" s="321">
        <f t="shared" si="32"/>
        <v>769.51357119915338</v>
      </c>
      <c r="S121" s="198">
        <f t="shared" si="38"/>
        <v>1.0309821274672644</v>
      </c>
      <c r="T121" s="207"/>
      <c r="U121" s="317">
        <f>IF(D121=0,0,SUM($L$21:L121))</f>
        <v>168144.38891203454</v>
      </c>
      <c r="V121" s="317">
        <f>IF(D121=0,0,SUM($J$21:J121))</f>
        <v>183774.03683695852</v>
      </c>
      <c r="W121" s="331">
        <f t="shared" si="33"/>
        <v>15629.647924923978</v>
      </c>
      <c r="X121" s="200">
        <f t="shared" si="39"/>
        <v>1.0929537287925837</v>
      </c>
      <c r="Y121" s="201">
        <f t="shared" si="44"/>
        <v>46123</v>
      </c>
      <c r="Z121" s="202">
        <f t="shared" si="44"/>
        <v>46123</v>
      </c>
      <c r="AA121" s="18"/>
      <c r="AB121" s="244"/>
      <c r="AC121" s="247"/>
      <c r="AD121" s="142"/>
      <c r="AE121" s="18"/>
      <c r="AF121" s="18"/>
      <c r="AG121" s="203"/>
      <c r="AH121" s="203"/>
      <c r="AI121" s="18"/>
      <c r="AJ121" s="18"/>
      <c r="AK121" s="18"/>
      <c r="AL121" s="18"/>
      <c r="AM121" s="18"/>
      <c r="AN121" s="18"/>
    </row>
    <row r="122" spans="1:40" ht="20">
      <c r="A122" s="18"/>
      <c r="B122" s="151"/>
      <c r="C122" s="55">
        <v>102</v>
      </c>
      <c r="D122" s="54">
        <v>0</v>
      </c>
      <c r="E122" s="190">
        <f t="shared" si="34"/>
        <v>4</v>
      </c>
      <c r="F122" s="191">
        <f t="shared" si="35"/>
        <v>46124</v>
      </c>
      <c r="G122" s="192" t="str">
        <f t="shared" si="36"/>
        <v>Sun</v>
      </c>
      <c r="H122" s="193"/>
      <c r="I122" s="194"/>
      <c r="J122" s="307"/>
      <c r="K122" s="215"/>
      <c r="L122" s="317">
        <f t="shared" si="37"/>
        <v>0</v>
      </c>
      <c r="M122" s="318">
        <f t="shared" si="31"/>
        <v>0</v>
      </c>
      <c r="N122" s="41" t="str">
        <f t="shared" si="8"/>
        <v>¥0</v>
      </c>
      <c r="O122" s="56"/>
      <c r="P122" s="317">
        <f>IF(D122=0,0,SUM($L$111:L122))</f>
        <v>0</v>
      </c>
      <c r="Q122" s="317">
        <f>IF(D122=0,0,SUM($J$111:J122))</f>
        <v>0</v>
      </c>
      <c r="R122" s="321">
        <f t="shared" si="32"/>
        <v>0</v>
      </c>
      <c r="S122" s="198">
        <f t="shared" si="38"/>
        <v>0</v>
      </c>
      <c r="T122" s="207"/>
      <c r="U122" s="317">
        <f>IF(D122=0,0,SUM($L$21:L122))</f>
        <v>0</v>
      </c>
      <c r="V122" s="317">
        <f>IF(D122=0,0,SUM($J$21:J122))</f>
        <v>0</v>
      </c>
      <c r="W122" s="331">
        <f t="shared" si="33"/>
        <v>0</v>
      </c>
      <c r="X122" s="200">
        <f t="shared" si="39"/>
        <v>0</v>
      </c>
      <c r="Y122" s="201">
        <f t="shared" si="44"/>
        <v>46124</v>
      </c>
      <c r="Z122" s="202">
        <f t="shared" si="44"/>
        <v>46124</v>
      </c>
      <c r="AA122" s="18"/>
      <c r="AB122" s="244"/>
      <c r="AC122" s="247"/>
      <c r="AD122" s="142"/>
      <c r="AE122" s="18"/>
      <c r="AF122" s="18"/>
      <c r="AG122" s="203"/>
      <c r="AH122" s="203"/>
      <c r="AI122" s="18"/>
      <c r="AJ122" s="18"/>
      <c r="AK122" s="18"/>
      <c r="AL122" s="18"/>
      <c r="AM122" s="18"/>
      <c r="AN122" s="18"/>
    </row>
    <row r="123" spans="1:40" ht="20">
      <c r="A123" s="18"/>
      <c r="B123" s="151"/>
      <c r="C123" s="55">
        <v>103</v>
      </c>
      <c r="D123" s="54">
        <v>1</v>
      </c>
      <c r="E123" s="190">
        <f t="shared" si="34"/>
        <v>4</v>
      </c>
      <c r="F123" s="191">
        <f t="shared" si="35"/>
        <v>46125</v>
      </c>
      <c r="G123" s="192" t="str">
        <f t="shared" si="36"/>
        <v>Mon</v>
      </c>
      <c r="H123" s="193"/>
      <c r="I123" s="194"/>
      <c r="J123" s="307">
        <f>96750/B13</f>
        <v>876.83523654159865</v>
      </c>
      <c r="K123" s="215"/>
      <c r="L123" s="317">
        <f t="shared" si="37"/>
        <v>2131.1312640979108</v>
      </c>
      <c r="M123" s="318">
        <f t="shared" si="31"/>
        <v>-1254.2960275563123</v>
      </c>
      <c r="N123" s="41">
        <f t="shared" si="8"/>
        <v>0.41144121496089792</v>
      </c>
      <c r="O123" s="44"/>
      <c r="P123" s="317">
        <f>IF(D123=0,0,SUM($L$111:L123))</f>
        <v>26968.469242654053</v>
      </c>
      <c r="Q123" s="317">
        <f>IF(D123=0,0,SUM($J$111:J123))</f>
        <v>26483.686786296894</v>
      </c>
      <c r="R123" s="321">
        <f t="shared" si="32"/>
        <v>-484.78245635715939</v>
      </c>
      <c r="S123" s="198">
        <f t="shared" si="38"/>
        <v>0.98202410185037814</v>
      </c>
      <c r="T123" s="212"/>
      <c r="U123" s="317">
        <f>IF(D123=0,0,SUM($L$21:L123))</f>
        <v>170275.52017613244</v>
      </c>
      <c r="V123" s="317">
        <f>IF(D123=0,0,SUM($J$21:J123))</f>
        <v>184650.87207350013</v>
      </c>
      <c r="W123" s="331">
        <f t="shared" si="33"/>
        <v>14375.351897367684</v>
      </c>
      <c r="X123" s="200">
        <f t="shared" si="39"/>
        <v>1.0844240668447107</v>
      </c>
      <c r="Y123" s="201">
        <f t="shared" si="44"/>
        <v>46125</v>
      </c>
      <c r="Z123" s="202">
        <f t="shared" si="44"/>
        <v>46125</v>
      </c>
      <c r="AA123" s="18"/>
      <c r="AB123" s="244"/>
      <c r="AC123" s="247"/>
      <c r="AD123" s="142"/>
      <c r="AE123" s="18"/>
      <c r="AF123" s="18"/>
      <c r="AG123" s="203"/>
      <c r="AH123" s="203"/>
      <c r="AI123" s="18"/>
      <c r="AJ123" s="18"/>
      <c r="AK123" s="18"/>
      <c r="AL123" s="18"/>
      <c r="AM123" s="18"/>
      <c r="AN123" s="18"/>
    </row>
    <row r="124" spans="1:40" ht="20">
      <c r="A124" s="18"/>
      <c r="B124" s="151"/>
      <c r="C124" s="55">
        <v>104</v>
      </c>
      <c r="D124" s="54">
        <v>1</v>
      </c>
      <c r="E124" s="190">
        <f t="shared" si="34"/>
        <v>4</v>
      </c>
      <c r="F124" s="191">
        <f t="shared" si="35"/>
        <v>46126</v>
      </c>
      <c r="G124" s="192" t="str">
        <f t="shared" si="36"/>
        <v>Tue</v>
      </c>
      <c r="H124" s="193"/>
      <c r="I124" s="194"/>
      <c r="J124" s="307">
        <f>252260/B13</f>
        <v>2286.2062715243792</v>
      </c>
      <c r="K124" s="215"/>
      <c r="L124" s="317">
        <f t="shared" si="37"/>
        <v>3147.3462736461952</v>
      </c>
      <c r="M124" s="318">
        <f t="shared" si="31"/>
        <v>-861.140002121816</v>
      </c>
      <c r="N124" s="41">
        <f t="shared" si="8"/>
        <v>0.72639171948366943</v>
      </c>
      <c r="O124" s="56"/>
      <c r="P124" s="317">
        <f>IF(D124=0,0,SUM($L$111:L124))</f>
        <v>30115.815516300248</v>
      </c>
      <c r="Q124" s="317">
        <f>IF(D124=0,0,SUM($J$111:J124))</f>
        <v>28769.893057821275</v>
      </c>
      <c r="R124" s="321">
        <f t="shared" si="32"/>
        <v>-1345.9224584789736</v>
      </c>
      <c r="S124" s="198">
        <f t="shared" si="38"/>
        <v>0.95530845054650804</v>
      </c>
      <c r="T124" s="207"/>
      <c r="U124" s="317">
        <f>IF(D124=0,0,SUM($L$21:L124))</f>
        <v>173422.86644977864</v>
      </c>
      <c r="V124" s="317">
        <f>IF(D124=0,0,SUM($J$21:J124))</f>
        <v>186937.07834502449</v>
      </c>
      <c r="W124" s="331">
        <f t="shared" si="33"/>
        <v>13514.211895245855</v>
      </c>
      <c r="X124" s="200">
        <f t="shared" si="39"/>
        <v>1.0779263552258227</v>
      </c>
      <c r="Y124" s="201">
        <f t="shared" si="44"/>
        <v>46126</v>
      </c>
      <c r="Z124" s="202">
        <f t="shared" si="44"/>
        <v>46126</v>
      </c>
      <c r="AA124" s="18"/>
      <c r="AB124" s="244"/>
      <c r="AC124" s="247"/>
      <c r="AD124" s="142"/>
      <c r="AE124" s="18"/>
      <c r="AF124" s="18"/>
      <c r="AG124" s="203"/>
      <c r="AH124" s="203"/>
      <c r="AI124" s="18"/>
      <c r="AJ124" s="18"/>
      <c r="AK124" s="18"/>
      <c r="AL124" s="18"/>
      <c r="AM124" s="18"/>
      <c r="AN124" s="18"/>
    </row>
    <row r="125" spans="1:40" ht="20">
      <c r="A125" s="18"/>
      <c r="B125" s="151"/>
      <c r="C125" s="55">
        <v>105</v>
      </c>
      <c r="D125" s="54">
        <v>1</v>
      </c>
      <c r="E125" s="190">
        <f t="shared" si="34"/>
        <v>4</v>
      </c>
      <c r="F125" s="191">
        <f t="shared" si="35"/>
        <v>46127</v>
      </c>
      <c r="G125" s="192" t="str">
        <f t="shared" si="36"/>
        <v>Wed</v>
      </c>
      <c r="H125" s="193"/>
      <c r="I125" s="194"/>
      <c r="J125" s="307">
        <f>320850/B13</f>
        <v>2907.8303425774875</v>
      </c>
      <c r="K125" s="215"/>
      <c r="L125" s="317">
        <f t="shared" si="37"/>
        <v>2731.606998945108</v>
      </c>
      <c r="M125" s="318">
        <f t="shared" si="31"/>
        <v>176.22334363237951</v>
      </c>
      <c r="N125" s="41">
        <f t="shared" si="8"/>
        <v>1.0645127002897685</v>
      </c>
      <c r="O125" s="56"/>
      <c r="P125" s="317">
        <f>IF(D125=0,0,SUM($L$111:L125))</f>
        <v>32847.422515245358</v>
      </c>
      <c r="Q125" s="317">
        <f>IF(D125=0,0,SUM($J$111:J125))</f>
        <v>31677.723400398761</v>
      </c>
      <c r="R125" s="321">
        <f t="shared" si="32"/>
        <v>-1169.6991148465968</v>
      </c>
      <c r="S125" s="198">
        <f t="shared" si="38"/>
        <v>0.964389926962954</v>
      </c>
      <c r="T125" s="207"/>
      <c r="U125" s="317">
        <f>IF(D125=0,0,SUM($L$21:L125))</f>
        <v>176154.47344872376</v>
      </c>
      <c r="V125" s="317">
        <f>IF(D125=0,0,SUM($J$21:J125))</f>
        <v>189844.90868760197</v>
      </c>
      <c r="W125" s="331">
        <f t="shared" si="33"/>
        <v>13690.435238878214</v>
      </c>
      <c r="X125" s="200">
        <f t="shared" si="39"/>
        <v>1.0777183512337161</v>
      </c>
      <c r="Y125" s="201">
        <f t="shared" si="44"/>
        <v>46127</v>
      </c>
      <c r="Z125" s="202">
        <f t="shared" si="44"/>
        <v>46127</v>
      </c>
      <c r="AA125" s="18"/>
      <c r="AB125" s="244"/>
      <c r="AC125" s="247"/>
      <c r="AD125" s="142"/>
      <c r="AE125" s="18"/>
      <c r="AF125" s="18"/>
      <c r="AG125" s="203"/>
      <c r="AH125" s="203"/>
      <c r="AI125" s="18"/>
      <c r="AJ125" s="18"/>
      <c r="AK125" s="18"/>
      <c r="AL125" s="18"/>
      <c r="AM125" s="18"/>
      <c r="AN125" s="18"/>
    </row>
    <row r="126" spans="1:40" ht="20">
      <c r="A126" s="18"/>
      <c r="B126" s="151"/>
      <c r="C126" s="55">
        <v>106</v>
      </c>
      <c r="D126" s="54">
        <v>1</v>
      </c>
      <c r="E126" s="190">
        <f t="shared" si="34"/>
        <v>4</v>
      </c>
      <c r="F126" s="191">
        <f t="shared" si="35"/>
        <v>46128</v>
      </c>
      <c r="G126" s="192" t="str">
        <f t="shared" si="36"/>
        <v>Thu</v>
      </c>
      <c r="H126" s="193"/>
      <c r="I126" s="194"/>
      <c r="J126" s="307">
        <f>282460/B13</f>
        <v>2559.9057458763818</v>
      </c>
      <c r="K126" s="215"/>
      <c r="L126" s="317">
        <f t="shared" si="37"/>
        <v>2075.7824167379185</v>
      </c>
      <c r="M126" s="318">
        <f t="shared" si="31"/>
        <v>484.1233291384633</v>
      </c>
      <c r="N126" s="41">
        <f t="shared" si="8"/>
        <v>1.2332245062077656</v>
      </c>
      <c r="O126" s="56"/>
      <c r="P126" s="317">
        <f>IF(D126=0,0,SUM($L$111:L126))</f>
        <v>34923.204931983273</v>
      </c>
      <c r="Q126" s="317">
        <f>IF(D126=0,0,SUM($J$111:J126))</f>
        <v>34237.62914627514</v>
      </c>
      <c r="R126" s="321">
        <f t="shared" si="32"/>
        <v>-685.57578570813348</v>
      </c>
      <c r="S126" s="198">
        <f t="shared" si="38"/>
        <v>0.98036904725544616</v>
      </c>
      <c r="T126" s="207"/>
      <c r="U126" s="317">
        <f>IF(D126=0,0,SUM($L$21:L126))</f>
        <v>178230.25586546169</v>
      </c>
      <c r="V126" s="317">
        <f>IF(D126=0,0,SUM($J$21:J126))</f>
        <v>192404.81443347834</v>
      </c>
      <c r="W126" s="331">
        <f t="shared" si="33"/>
        <v>14174.558568016655</v>
      </c>
      <c r="X126" s="200">
        <f t="shared" si="39"/>
        <v>1.0795294743823765</v>
      </c>
      <c r="Y126" s="201">
        <f t="shared" si="44"/>
        <v>46128</v>
      </c>
      <c r="Z126" s="202">
        <f t="shared" si="44"/>
        <v>46128</v>
      </c>
      <c r="AA126" s="18"/>
      <c r="AB126" s="244"/>
      <c r="AC126" s="247"/>
      <c r="AD126" s="142"/>
      <c r="AE126" s="18"/>
      <c r="AF126" s="18"/>
      <c r="AG126" s="203"/>
      <c r="AH126" s="203"/>
      <c r="AI126" s="18"/>
      <c r="AJ126" s="18"/>
      <c r="AK126" s="18"/>
      <c r="AL126" s="18"/>
      <c r="AM126" s="18"/>
      <c r="AN126" s="18"/>
    </row>
    <row r="127" spans="1:40" ht="20">
      <c r="A127" s="18"/>
      <c r="B127" s="151"/>
      <c r="C127" s="55">
        <v>107</v>
      </c>
      <c r="D127" s="54">
        <v>1</v>
      </c>
      <c r="E127" s="190">
        <f t="shared" si="34"/>
        <v>4</v>
      </c>
      <c r="F127" s="191">
        <f t="shared" si="35"/>
        <v>46129</v>
      </c>
      <c r="G127" s="192" t="str">
        <f t="shared" si="36"/>
        <v>Fri</v>
      </c>
      <c r="H127" s="193"/>
      <c r="I127" s="194"/>
      <c r="J127" s="307">
        <f>349940/B13</f>
        <v>3171.4700018125791</v>
      </c>
      <c r="K127" s="215"/>
      <c r="L127" s="317">
        <f t="shared" si="37"/>
        <v>3090.1473320374894</v>
      </c>
      <c r="M127" s="318">
        <f t="shared" si="31"/>
        <v>81.322669775089707</v>
      </c>
      <c r="N127" s="41">
        <f t="shared" si="8"/>
        <v>1.026316761318131</v>
      </c>
      <c r="O127" s="56"/>
      <c r="P127" s="317">
        <f>IF(D127=0,0,SUM($L$111:L127))</f>
        <v>38013.352264020759</v>
      </c>
      <c r="Q127" s="317">
        <f>IF(D127=0,0,SUM($J$111:J127))</f>
        <v>37409.09914808772</v>
      </c>
      <c r="R127" s="321">
        <f t="shared" si="32"/>
        <v>-604.25311593303923</v>
      </c>
      <c r="S127" s="198">
        <f t="shared" si="38"/>
        <v>0.98410418760923224</v>
      </c>
      <c r="T127" s="207"/>
      <c r="U127" s="317">
        <f>IF(D127=0,0,SUM($L$21:L127))</f>
        <v>181320.40319749917</v>
      </c>
      <c r="V127" s="317">
        <f>IF(D127=0,0,SUM($J$21:J127))</f>
        <v>195576.28443529093</v>
      </c>
      <c r="W127" s="331">
        <f t="shared" si="33"/>
        <v>14255.881237791764</v>
      </c>
      <c r="X127" s="200">
        <f t="shared" si="39"/>
        <v>1.0786225983750095</v>
      </c>
      <c r="Y127" s="201">
        <f t="shared" si="44"/>
        <v>46129</v>
      </c>
      <c r="Z127" s="202">
        <f t="shared" si="44"/>
        <v>46129</v>
      </c>
      <c r="AA127" s="18"/>
      <c r="AB127" s="244"/>
      <c r="AC127" s="247"/>
      <c r="AD127" s="142"/>
      <c r="AE127" s="18"/>
      <c r="AF127" s="18"/>
      <c r="AG127" s="203"/>
      <c r="AH127" s="203"/>
      <c r="AI127" s="18"/>
      <c r="AJ127" s="18"/>
      <c r="AK127" s="18"/>
      <c r="AL127" s="18"/>
      <c r="AM127" s="18"/>
      <c r="AN127" s="18"/>
    </row>
    <row r="128" spans="1:40" ht="20">
      <c r="A128" s="18"/>
      <c r="B128" s="151"/>
      <c r="C128" s="55">
        <v>108</v>
      </c>
      <c r="D128" s="54">
        <v>1</v>
      </c>
      <c r="E128" s="190">
        <f t="shared" si="34"/>
        <v>4</v>
      </c>
      <c r="F128" s="191">
        <f t="shared" si="35"/>
        <v>46130</v>
      </c>
      <c r="G128" s="192" t="str">
        <f t="shared" si="36"/>
        <v>Sat</v>
      </c>
      <c r="H128" s="193"/>
      <c r="I128" s="194"/>
      <c r="J128" s="307">
        <f>350530/B13</f>
        <v>3176.817110748595</v>
      </c>
      <c r="K128" s="215"/>
      <c r="L128" s="317">
        <f t="shared" si="37"/>
        <v>1881.8934726855011</v>
      </c>
      <c r="M128" s="318">
        <f t="shared" si="31"/>
        <v>1294.9236380630939</v>
      </c>
      <c r="N128" s="41">
        <f t="shared" si="8"/>
        <v>1.6880961419220031</v>
      </c>
      <c r="O128" s="56"/>
      <c r="P128" s="317">
        <f>IF(D128=0,0,SUM($L$111:L128))</f>
        <v>39895.24573670626</v>
      </c>
      <c r="Q128" s="317">
        <f>IF(D128=0,0,SUM($J$111:J128))</f>
        <v>40585.916258836318</v>
      </c>
      <c r="R128" s="321">
        <f t="shared" si="32"/>
        <v>690.67052213005809</v>
      </c>
      <c r="S128" s="198">
        <f t="shared" si="38"/>
        <v>1.0173121009628121</v>
      </c>
      <c r="T128" s="207"/>
      <c r="U128" s="317">
        <f>IF(D128=0,0,SUM($L$21:L128))</f>
        <v>183202.29667018467</v>
      </c>
      <c r="V128" s="317">
        <f>IF(D128=0,0,SUM($J$21:J128))</f>
        <v>198753.10154603951</v>
      </c>
      <c r="W128" s="331">
        <f t="shared" si="33"/>
        <v>15550.804875854839</v>
      </c>
      <c r="X128" s="200">
        <f t="shared" si="39"/>
        <v>1.0848832419598464</v>
      </c>
      <c r="Y128" s="201">
        <f t="shared" si="44"/>
        <v>46130</v>
      </c>
      <c r="Z128" s="202">
        <f t="shared" si="44"/>
        <v>46130</v>
      </c>
      <c r="AA128" s="18"/>
      <c r="AB128" s="244"/>
      <c r="AC128" s="247"/>
      <c r="AD128" s="142"/>
      <c r="AE128" s="18"/>
      <c r="AF128" s="18"/>
      <c r="AG128" s="203"/>
      <c r="AH128" s="203"/>
      <c r="AI128" s="18"/>
      <c r="AJ128" s="18"/>
      <c r="AK128" s="18"/>
      <c r="AL128" s="18"/>
      <c r="AM128" s="18"/>
      <c r="AN128" s="18"/>
    </row>
    <row r="129" spans="1:40" ht="20">
      <c r="A129" s="18"/>
      <c r="B129" s="151"/>
      <c r="C129" s="55">
        <v>109</v>
      </c>
      <c r="D129" s="54">
        <v>0</v>
      </c>
      <c r="E129" s="190">
        <f t="shared" si="34"/>
        <v>4</v>
      </c>
      <c r="F129" s="191">
        <f t="shared" si="35"/>
        <v>46131</v>
      </c>
      <c r="G129" s="192" t="str">
        <f t="shared" si="36"/>
        <v>Sun</v>
      </c>
      <c r="H129" s="193"/>
      <c r="I129" s="194"/>
      <c r="J129" s="307"/>
      <c r="K129" s="215"/>
      <c r="L129" s="317">
        <f t="shared" si="37"/>
        <v>0</v>
      </c>
      <c r="M129" s="318">
        <f t="shared" si="31"/>
        <v>0</v>
      </c>
      <c r="N129" s="41" t="str">
        <f t="shared" si="8"/>
        <v>¥0</v>
      </c>
      <c r="O129" s="56"/>
      <c r="P129" s="317">
        <f>IF(D129=0,0,SUM($L$111:L129))</f>
        <v>0</v>
      </c>
      <c r="Q129" s="317">
        <f>IF(D129=0,0,SUM($J$111:J129))</f>
        <v>0</v>
      </c>
      <c r="R129" s="321">
        <f t="shared" si="32"/>
        <v>0</v>
      </c>
      <c r="S129" s="198">
        <f t="shared" si="38"/>
        <v>0</v>
      </c>
      <c r="T129" s="207"/>
      <c r="U129" s="317">
        <f>IF(D129=0,0,SUM($L$21:L129))</f>
        <v>0</v>
      </c>
      <c r="V129" s="317">
        <f>IF(D129=0,0,SUM($J$21:J129))</f>
        <v>0</v>
      </c>
      <c r="W129" s="331">
        <f t="shared" si="33"/>
        <v>0</v>
      </c>
      <c r="X129" s="200">
        <f t="shared" si="39"/>
        <v>0</v>
      </c>
      <c r="Y129" s="201">
        <f t="shared" si="44"/>
        <v>46131</v>
      </c>
      <c r="Z129" s="202">
        <f t="shared" si="44"/>
        <v>46131</v>
      </c>
      <c r="AA129" s="18"/>
      <c r="AB129" s="244"/>
      <c r="AC129" s="247"/>
      <c r="AD129" s="142"/>
      <c r="AE129" s="18"/>
      <c r="AF129" s="18"/>
      <c r="AG129" s="203"/>
      <c r="AH129" s="203"/>
      <c r="AI129" s="18"/>
      <c r="AJ129" s="18"/>
      <c r="AK129" s="18"/>
      <c r="AL129" s="18"/>
      <c r="AM129" s="18"/>
      <c r="AN129" s="18"/>
    </row>
    <row r="130" spans="1:40" ht="20">
      <c r="A130" s="18"/>
      <c r="B130" s="151"/>
      <c r="C130" s="55">
        <v>110</v>
      </c>
      <c r="D130" s="54">
        <v>1</v>
      </c>
      <c r="E130" s="190">
        <f t="shared" si="34"/>
        <v>4</v>
      </c>
      <c r="F130" s="191">
        <f t="shared" si="35"/>
        <v>46132</v>
      </c>
      <c r="G130" s="192" t="str">
        <f t="shared" si="36"/>
        <v>Mon</v>
      </c>
      <c r="H130" s="193"/>
      <c r="I130" s="194"/>
      <c r="J130" s="307">
        <f>131870/B13</f>
        <v>1195.1241616820735</v>
      </c>
      <c r="K130" s="215"/>
      <c r="L130" s="317">
        <f t="shared" si="37"/>
        <v>2131.1312640979108</v>
      </c>
      <c r="M130" s="318">
        <f t="shared" si="31"/>
        <v>-936.00710241583738</v>
      </c>
      <c r="N130" s="41">
        <f t="shared" si="8"/>
        <v>0.56079331283610967</v>
      </c>
      <c r="O130" s="44"/>
      <c r="P130" s="317">
        <f>IF(D130=0,0,SUM($L$111:L130))</f>
        <v>42026.377000804168</v>
      </c>
      <c r="Q130" s="317">
        <f>IF(D130=0,0,SUM($J$111:J130))</f>
        <v>41781.040420518388</v>
      </c>
      <c r="R130" s="321">
        <f t="shared" si="32"/>
        <v>-245.33658028578066</v>
      </c>
      <c r="S130" s="198">
        <f t="shared" si="38"/>
        <v>0.99416231905307739</v>
      </c>
      <c r="T130" s="212"/>
      <c r="U130" s="317">
        <f>IF(D130=0,0,SUM($L$21:L130))</f>
        <v>185333.42793428258</v>
      </c>
      <c r="V130" s="317">
        <f>IF(D130=0,0,SUM($J$21:J130))</f>
        <v>199948.22570772158</v>
      </c>
      <c r="W130" s="331">
        <f t="shared" si="33"/>
        <v>14614.797773439001</v>
      </c>
      <c r="X130" s="200">
        <f t="shared" si="39"/>
        <v>1.078856782267154</v>
      </c>
      <c r="Y130" s="201">
        <f t="shared" si="44"/>
        <v>46132</v>
      </c>
      <c r="Z130" s="202">
        <f t="shared" si="44"/>
        <v>46132</v>
      </c>
      <c r="AA130" s="18"/>
      <c r="AB130" s="244"/>
      <c r="AC130" s="247"/>
      <c r="AD130" s="142"/>
      <c r="AE130" s="18"/>
      <c r="AF130" s="18"/>
      <c r="AG130" s="203"/>
      <c r="AH130" s="203"/>
      <c r="AI130" s="18"/>
      <c r="AJ130" s="18"/>
      <c r="AK130" s="18"/>
      <c r="AL130" s="18"/>
      <c r="AM130" s="18"/>
      <c r="AN130" s="18"/>
    </row>
    <row r="131" spans="1:40" ht="20">
      <c r="A131" s="18"/>
      <c r="B131" s="151"/>
      <c r="C131" s="55">
        <v>111</v>
      </c>
      <c r="D131" s="54">
        <v>1</v>
      </c>
      <c r="E131" s="190">
        <f t="shared" si="34"/>
        <v>4</v>
      </c>
      <c r="F131" s="191">
        <f t="shared" si="35"/>
        <v>46133</v>
      </c>
      <c r="G131" s="192" t="str">
        <f t="shared" si="36"/>
        <v>Tue</v>
      </c>
      <c r="H131" s="193"/>
      <c r="I131" s="194"/>
      <c r="J131" s="307">
        <f>275300/B13</f>
        <v>2495.015406924053</v>
      </c>
      <c r="K131" s="215"/>
      <c r="L131" s="317">
        <f t="shared" si="37"/>
        <v>3147.3462736461952</v>
      </c>
      <c r="M131" s="318">
        <f t="shared" si="31"/>
        <v>-652.33086672214222</v>
      </c>
      <c r="N131" s="41">
        <f t="shared" si="8"/>
        <v>0.7927362260122659</v>
      </c>
      <c r="O131" s="56"/>
      <c r="P131" s="317">
        <f>IF(D131=0,0,SUM($L$111:L131))</f>
        <v>45173.723274450364</v>
      </c>
      <c r="Q131" s="317">
        <f>IF(D131=0,0,SUM($J$111:J131))</f>
        <v>44276.05582744244</v>
      </c>
      <c r="R131" s="321">
        <f t="shared" si="32"/>
        <v>-897.66744700792333</v>
      </c>
      <c r="S131" s="198">
        <f t="shared" si="38"/>
        <v>0.980128548591087</v>
      </c>
      <c r="T131" s="207"/>
      <c r="U131" s="317">
        <f>IF(D131=0,0,SUM($L$21:L131))</f>
        <v>188480.77420792877</v>
      </c>
      <c r="V131" s="317">
        <f>IF(D131=0,0,SUM($J$21:J131))</f>
        <v>202443.24111464564</v>
      </c>
      <c r="W131" s="331">
        <f t="shared" si="33"/>
        <v>13962.466906716872</v>
      </c>
      <c r="X131" s="200">
        <f t="shared" si="39"/>
        <v>1.0740789980590473</v>
      </c>
      <c r="Y131" s="201">
        <f t="shared" si="44"/>
        <v>46133</v>
      </c>
      <c r="Z131" s="202">
        <f t="shared" si="44"/>
        <v>46133</v>
      </c>
      <c r="AA131" s="18"/>
      <c r="AB131" s="244"/>
      <c r="AC131" s="247"/>
      <c r="AD131" s="142"/>
      <c r="AE131" s="18"/>
      <c r="AF131" s="18"/>
      <c r="AG131" s="203"/>
      <c r="AH131" s="203"/>
      <c r="AI131" s="18"/>
      <c r="AJ131" s="18"/>
      <c r="AK131" s="18"/>
      <c r="AL131" s="18"/>
      <c r="AM131" s="18"/>
      <c r="AN131" s="18"/>
    </row>
    <row r="132" spans="1:40" ht="20">
      <c r="A132" s="18"/>
      <c r="B132" s="151"/>
      <c r="C132" s="55">
        <v>112</v>
      </c>
      <c r="D132" s="54">
        <v>1</v>
      </c>
      <c r="E132" s="190">
        <f t="shared" si="34"/>
        <v>4</v>
      </c>
      <c r="F132" s="191">
        <f t="shared" si="35"/>
        <v>46134</v>
      </c>
      <c r="G132" s="192" t="str">
        <f t="shared" si="36"/>
        <v>Wed</v>
      </c>
      <c r="H132" s="193"/>
      <c r="I132" s="194"/>
      <c r="J132" s="307">
        <f>215300/B13</f>
        <v>1951.2416168207358</v>
      </c>
      <c r="K132" s="215"/>
      <c r="L132" s="317">
        <f t="shared" si="37"/>
        <v>2731.606998945108</v>
      </c>
      <c r="M132" s="318">
        <f>IF(D132=0,0,J132-L132)</f>
        <v>-780.36538212437222</v>
      </c>
      <c r="N132" s="41">
        <f>IFERROR(J132/L132,"¥0")</f>
        <v>0.71432003856128146</v>
      </c>
      <c r="O132" s="56"/>
      <c r="P132" s="317">
        <f>IF(D132=0,0,SUM($L$111:L132))</f>
        <v>47905.33027339547</v>
      </c>
      <c r="Q132" s="317">
        <f>IF(D132=0,0,SUM($J$111:J132))</f>
        <v>46227.297444263175</v>
      </c>
      <c r="R132" s="321">
        <f t="shared" si="32"/>
        <v>-1678.0328291322949</v>
      </c>
      <c r="S132" s="198">
        <f t="shared" si="38"/>
        <v>0.96497189729084909</v>
      </c>
      <c r="T132" s="207"/>
      <c r="U132" s="317">
        <f>IF(D132=0,0,SUM($L$21:L132))</f>
        <v>191212.38120687389</v>
      </c>
      <c r="V132" s="317">
        <f>IF(D132=0,0,SUM($J$21:J132))</f>
        <v>204394.48273146639</v>
      </c>
      <c r="W132" s="331">
        <f t="shared" si="33"/>
        <v>13182.101524592494</v>
      </c>
      <c r="X132" s="200">
        <f t="shared" si="39"/>
        <v>1.0689395814297751</v>
      </c>
      <c r="Y132" s="201">
        <f t="shared" si="44"/>
        <v>46134</v>
      </c>
      <c r="Z132" s="202">
        <f t="shared" si="44"/>
        <v>46134</v>
      </c>
      <c r="AA132" s="18"/>
      <c r="AB132" s="244"/>
      <c r="AC132" s="247"/>
      <c r="AD132" s="142"/>
      <c r="AE132" s="18"/>
      <c r="AF132" s="18"/>
      <c r="AG132" s="203"/>
      <c r="AH132" s="203"/>
      <c r="AI132" s="18"/>
      <c r="AJ132" s="18"/>
      <c r="AK132" s="18"/>
      <c r="AL132" s="18"/>
      <c r="AM132" s="18"/>
      <c r="AN132" s="18"/>
    </row>
    <row r="133" spans="1:40" ht="20">
      <c r="A133" s="18"/>
      <c r="B133" s="151"/>
      <c r="C133" s="55">
        <v>113</v>
      </c>
      <c r="D133" s="54">
        <v>1</v>
      </c>
      <c r="E133" s="190">
        <f t="shared" si="34"/>
        <v>4</v>
      </c>
      <c r="F133" s="191">
        <f t="shared" si="35"/>
        <v>46135</v>
      </c>
      <c r="G133" s="192" t="str">
        <f t="shared" si="36"/>
        <v>Thu</v>
      </c>
      <c r="H133" s="193"/>
      <c r="I133" s="194"/>
      <c r="J133" s="307">
        <f>334180/B13</f>
        <v>3028.6387529454414</v>
      </c>
      <c r="K133" s="215"/>
      <c r="L133" s="317">
        <f t="shared" si="37"/>
        <v>2075.7824167379185</v>
      </c>
      <c r="M133" s="318">
        <f>IF(D133=0,0,J133-L133)</f>
        <v>952.85633620752287</v>
      </c>
      <c r="N133" s="41">
        <f>IFERROR(J133/L133,"¥0")</f>
        <v>1.4590347854015122</v>
      </c>
      <c r="O133" s="56"/>
      <c r="P133" s="317">
        <f>IF(D133=0,0,SUM($L$111:L133))</f>
        <v>49981.112690133392</v>
      </c>
      <c r="Q133" s="317">
        <f>IF(D133=0,0,SUM($J$111:J133))</f>
        <v>49255.936197208619</v>
      </c>
      <c r="R133" s="321">
        <f t="shared" si="32"/>
        <v>-725.1764929247729</v>
      </c>
      <c r="S133" s="198">
        <f t="shared" si="38"/>
        <v>0.98549098941793012</v>
      </c>
      <c r="T133" s="207"/>
      <c r="U133" s="317">
        <f>IF(D133=0,0,SUM($L$21:L133))</f>
        <v>193288.16362361182</v>
      </c>
      <c r="V133" s="317">
        <f>IF(D133=0,0,SUM($J$21:J133))</f>
        <v>207423.12148441182</v>
      </c>
      <c r="W133" s="331">
        <f t="shared" si="33"/>
        <v>14134.957860800001</v>
      </c>
      <c r="X133" s="200">
        <f t="shared" si="39"/>
        <v>1.0731289365877823</v>
      </c>
      <c r="Y133" s="201">
        <f t="shared" si="44"/>
        <v>46135</v>
      </c>
      <c r="Z133" s="202">
        <f t="shared" si="44"/>
        <v>46135</v>
      </c>
      <c r="AA133" s="18"/>
      <c r="AB133" s="244"/>
      <c r="AC133" s="247"/>
      <c r="AD133" s="142"/>
      <c r="AE133" s="18"/>
      <c r="AF133" s="18"/>
      <c r="AG133" s="203"/>
      <c r="AH133" s="203"/>
      <c r="AI133" s="18"/>
      <c r="AJ133" s="18"/>
      <c r="AK133" s="18"/>
      <c r="AL133" s="18"/>
      <c r="AM133" s="18"/>
      <c r="AN133" s="18"/>
    </row>
    <row r="134" spans="1:40" ht="20">
      <c r="A134" s="18"/>
      <c r="B134" s="151"/>
      <c r="C134" s="55">
        <v>114</v>
      </c>
      <c r="D134" s="54">
        <v>1</v>
      </c>
      <c r="E134" s="190">
        <f t="shared" si="34"/>
        <v>4</v>
      </c>
      <c r="F134" s="191">
        <f t="shared" si="35"/>
        <v>46136</v>
      </c>
      <c r="G134" s="192" t="str">
        <f t="shared" si="36"/>
        <v>Fri</v>
      </c>
      <c r="H134" s="193"/>
      <c r="I134" s="194"/>
      <c r="J134" s="307">
        <f>351760/B13</f>
        <v>3187.9644734457133</v>
      </c>
      <c r="K134" s="215"/>
      <c r="L134" s="317">
        <f t="shared" si="37"/>
        <v>3090.1473320374894</v>
      </c>
      <c r="M134" s="318">
        <f t="shared" si="31"/>
        <v>97.817141408223961</v>
      </c>
      <c r="N134" s="41">
        <f t="shared" si="8"/>
        <v>1.0316545235219345</v>
      </c>
      <c r="O134" s="56"/>
      <c r="P134" s="317">
        <f>IF(D134=0,0,SUM($L$111:L134))</f>
        <v>53071.260022170878</v>
      </c>
      <c r="Q134" s="317">
        <f>IF(D134=0,0,SUM($J$111:J134))</f>
        <v>52443.90067065433</v>
      </c>
      <c r="R134" s="321">
        <f t="shared" si="32"/>
        <v>-627.35935151654849</v>
      </c>
      <c r="S134" s="198">
        <f t="shared" si="38"/>
        <v>0.98817892487846593</v>
      </c>
      <c r="T134" s="207"/>
      <c r="U134" s="317">
        <f>IF(D134=0,0,SUM($L$21:L134))</f>
        <v>196378.3109556493</v>
      </c>
      <c r="V134" s="317">
        <f>IF(D134=0,0,SUM($J$21:J134))</f>
        <v>210611.08595785755</v>
      </c>
      <c r="W134" s="331">
        <f t="shared" si="33"/>
        <v>14232.775002208247</v>
      </c>
      <c r="X134" s="200">
        <f t="shared" si="39"/>
        <v>1.072476308269209</v>
      </c>
      <c r="Y134" s="201">
        <f t="shared" si="44"/>
        <v>46136</v>
      </c>
      <c r="Z134" s="202">
        <f t="shared" si="44"/>
        <v>46136</v>
      </c>
      <c r="AA134" s="18"/>
      <c r="AB134" s="244"/>
      <c r="AC134" s="247"/>
      <c r="AD134" s="142"/>
      <c r="AE134" s="18"/>
      <c r="AF134" s="18"/>
      <c r="AG134" s="203"/>
      <c r="AH134" s="203"/>
      <c r="AI134" s="18"/>
      <c r="AJ134" s="18"/>
      <c r="AK134" s="18"/>
      <c r="AL134" s="18"/>
      <c r="AM134" s="18"/>
      <c r="AN134" s="18"/>
    </row>
    <row r="135" spans="1:40" ht="20">
      <c r="A135" s="18"/>
      <c r="B135" s="151"/>
      <c r="C135" s="55">
        <v>115</v>
      </c>
      <c r="D135" s="54">
        <v>1</v>
      </c>
      <c r="E135" s="190">
        <f t="shared" si="34"/>
        <v>4</v>
      </c>
      <c r="F135" s="191">
        <f t="shared" si="35"/>
        <v>46137</v>
      </c>
      <c r="G135" s="192" t="str">
        <f t="shared" si="36"/>
        <v>Sat</v>
      </c>
      <c r="H135" s="193"/>
      <c r="I135" s="194"/>
      <c r="J135" s="307">
        <f>321050/B13</f>
        <v>2909.6429218778321</v>
      </c>
      <c r="K135" s="215"/>
      <c r="L135" s="317">
        <f t="shared" si="37"/>
        <v>1881.8934726855011</v>
      </c>
      <c r="M135" s="318">
        <f t="shared" si="31"/>
        <v>1027.749449192331</v>
      </c>
      <c r="N135" s="41">
        <f t="shared" si="8"/>
        <v>1.5461252000229913</v>
      </c>
      <c r="O135" s="56"/>
      <c r="P135" s="317">
        <f>IF(D135=0,0,SUM($L$111:L135))</f>
        <v>54953.153494856379</v>
      </c>
      <c r="Q135" s="317">
        <f>IF(D135=0,0,SUM($J$111:J135))</f>
        <v>55353.543592532165</v>
      </c>
      <c r="R135" s="321">
        <f t="shared" si="32"/>
        <v>400.39009767578682</v>
      </c>
      <c r="S135" s="198">
        <f t="shared" si="38"/>
        <v>1.007286025864071</v>
      </c>
      <c r="T135" s="207"/>
      <c r="U135" s="317">
        <f>IF(D135=0,0,SUM($L$21:L135))</f>
        <v>198260.20442833481</v>
      </c>
      <c r="V135" s="317">
        <f>IF(D135=0,0,SUM($J$21:J135))</f>
        <v>213520.72887973537</v>
      </c>
      <c r="W135" s="331">
        <f t="shared" si="33"/>
        <v>15260.524451400561</v>
      </c>
      <c r="X135" s="200">
        <f t="shared" si="39"/>
        <v>1.0769722017356074</v>
      </c>
      <c r="Y135" s="201">
        <f t="shared" ref="Y135:Z150" si="45">Y134+1</f>
        <v>46137</v>
      </c>
      <c r="Z135" s="202">
        <f t="shared" si="45"/>
        <v>46137</v>
      </c>
      <c r="AA135" s="18"/>
      <c r="AB135" s="244"/>
      <c r="AC135" s="247"/>
      <c r="AD135" s="142"/>
      <c r="AE135" s="18"/>
      <c r="AF135" s="18"/>
      <c r="AG135" s="203"/>
      <c r="AH135" s="203"/>
      <c r="AI135" s="18"/>
      <c r="AJ135" s="18"/>
      <c r="AK135" s="18"/>
      <c r="AL135" s="18"/>
      <c r="AM135" s="18"/>
      <c r="AN135" s="18"/>
    </row>
    <row r="136" spans="1:40" ht="20">
      <c r="A136" s="18"/>
      <c r="B136" s="151"/>
      <c r="C136" s="55">
        <v>116</v>
      </c>
      <c r="D136" s="54">
        <v>0</v>
      </c>
      <c r="E136" s="190">
        <f t="shared" si="34"/>
        <v>4</v>
      </c>
      <c r="F136" s="191">
        <f t="shared" si="35"/>
        <v>46138</v>
      </c>
      <c r="G136" s="192" t="str">
        <f t="shared" si="36"/>
        <v>Sun</v>
      </c>
      <c r="H136" s="193"/>
      <c r="I136" s="194"/>
      <c r="J136" s="307"/>
      <c r="K136" s="215"/>
      <c r="L136" s="317">
        <f t="shared" si="37"/>
        <v>0</v>
      </c>
      <c r="M136" s="318">
        <f t="shared" si="31"/>
        <v>0</v>
      </c>
      <c r="N136" s="41" t="str">
        <f t="shared" si="8"/>
        <v>¥0</v>
      </c>
      <c r="O136" s="56"/>
      <c r="P136" s="317">
        <v>43886</v>
      </c>
      <c r="Q136" s="317">
        <f>IF(D136=0,0,SUM($J$111:J136))</f>
        <v>0</v>
      </c>
      <c r="R136" s="321">
        <f t="shared" si="32"/>
        <v>0</v>
      </c>
      <c r="S136" s="198">
        <f t="shared" si="38"/>
        <v>0</v>
      </c>
      <c r="T136" s="207"/>
      <c r="U136" s="317">
        <f>IF(D136=0,0,SUM($L$21:L136))</f>
        <v>0</v>
      </c>
      <c r="V136" s="317">
        <f>IF(D136=0,0,SUM($J$21:J136))</f>
        <v>0</v>
      </c>
      <c r="W136" s="331">
        <f t="shared" si="33"/>
        <v>0</v>
      </c>
      <c r="X136" s="200">
        <f t="shared" si="39"/>
        <v>0</v>
      </c>
      <c r="Y136" s="201">
        <f t="shared" si="45"/>
        <v>46138</v>
      </c>
      <c r="Z136" s="202">
        <f t="shared" si="45"/>
        <v>46138</v>
      </c>
      <c r="AA136" s="18"/>
      <c r="AB136" s="244"/>
      <c r="AC136" s="247"/>
      <c r="AD136" s="142"/>
      <c r="AE136" s="18"/>
      <c r="AF136" s="18"/>
      <c r="AG136" s="203"/>
      <c r="AH136" s="203"/>
      <c r="AI136" s="18"/>
      <c r="AJ136" s="18"/>
      <c r="AK136" s="18"/>
      <c r="AL136" s="18"/>
      <c r="AM136" s="18"/>
      <c r="AN136" s="18"/>
    </row>
    <row r="137" spans="1:40" ht="20">
      <c r="A137" s="18"/>
      <c r="B137" s="151"/>
      <c r="C137" s="55">
        <v>117</v>
      </c>
      <c r="D137" s="54">
        <v>1</v>
      </c>
      <c r="E137" s="190">
        <f t="shared" si="34"/>
        <v>4</v>
      </c>
      <c r="F137" s="191">
        <f t="shared" si="35"/>
        <v>46139</v>
      </c>
      <c r="G137" s="192" t="str">
        <f t="shared" si="36"/>
        <v>Mon</v>
      </c>
      <c r="H137" s="193"/>
      <c r="I137" s="194"/>
      <c r="J137" s="307">
        <f>61970/B13</f>
        <v>561.62769621170924</v>
      </c>
      <c r="K137" s="215"/>
      <c r="L137" s="317">
        <f t="shared" si="37"/>
        <v>2131.1312640979108</v>
      </c>
      <c r="M137" s="318">
        <f t="shared" si="31"/>
        <v>-1569.5035678862016</v>
      </c>
      <c r="N137" s="41">
        <f t="shared" si="8"/>
        <v>0.26353500869381752</v>
      </c>
      <c r="O137" s="44"/>
      <c r="P137" s="317">
        <v>13930</v>
      </c>
      <c r="Q137" s="317">
        <f>IF(D137=0,0,SUM($J$111:J137))</f>
        <v>55915.171288743877</v>
      </c>
      <c r="R137" s="321">
        <f t="shared" si="32"/>
        <v>41985.171288743877</v>
      </c>
      <c r="S137" s="198">
        <f t="shared" si="38"/>
        <v>4.0140108606420588</v>
      </c>
      <c r="T137" s="212"/>
      <c r="U137" s="317">
        <f>IF(D137=0,0,SUM($L$21:L137))</f>
        <v>200391.33569243271</v>
      </c>
      <c r="V137" s="317">
        <f>IF(D137=0,0,SUM($J$21:J137))</f>
        <v>214082.35657594708</v>
      </c>
      <c r="W137" s="331">
        <f t="shared" si="33"/>
        <v>13691.020883514371</v>
      </c>
      <c r="X137" s="200">
        <f t="shared" si="39"/>
        <v>1.0683214213638847</v>
      </c>
      <c r="Y137" s="201">
        <f t="shared" si="45"/>
        <v>46139</v>
      </c>
      <c r="Z137" s="202">
        <f t="shared" si="45"/>
        <v>46139</v>
      </c>
      <c r="AA137" s="18"/>
      <c r="AB137" s="244"/>
      <c r="AC137" s="247"/>
      <c r="AD137" s="142"/>
      <c r="AE137" s="18"/>
      <c r="AF137" s="18"/>
      <c r="AG137" s="203"/>
      <c r="AH137" s="203"/>
      <c r="AI137" s="18"/>
      <c r="AJ137" s="18"/>
      <c r="AK137" s="18"/>
      <c r="AL137" s="18"/>
      <c r="AM137" s="18"/>
      <c r="AN137" s="18"/>
    </row>
    <row r="138" spans="1:40" ht="20">
      <c r="A138" s="18"/>
      <c r="B138" s="151"/>
      <c r="C138" s="55">
        <v>118</v>
      </c>
      <c r="D138" s="54">
        <v>1</v>
      </c>
      <c r="E138" s="190">
        <f t="shared" si="34"/>
        <v>4</v>
      </c>
      <c r="F138" s="191">
        <f t="shared" si="35"/>
        <v>46140</v>
      </c>
      <c r="G138" s="192" t="str">
        <f t="shared" si="36"/>
        <v>Tue</v>
      </c>
      <c r="H138" s="193"/>
      <c r="I138" s="194"/>
      <c r="J138" s="307">
        <f>324030/B13</f>
        <v>2936.6503534529634</v>
      </c>
      <c r="K138" s="215"/>
      <c r="L138" s="317">
        <f t="shared" si="37"/>
        <v>3147.3462736461952</v>
      </c>
      <c r="M138" s="318">
        <f t="shared" si="31"/>
        <v>-210.69592019323181</v>
      </c>
      <c r="N138" s="41">
        <f t="shared" si="8"/>
        <v>0.93305600913459674</v>
      </c>
      <c r="O138" s="56"/>
      <c r="P138" s="317">
        <v>0</v>
      </c>
      <c r="Q138" s="317">
        <f>IF(D138=0,0,SUM($J$111:J138))</f>
        <v>58851.821642196839</v>
      </c>
      <c r="R138" s="321">
        <f t="shared" si="32"/>
        <v>58851.821642196839</v>
      </c>
      <c r="S138" s="198" t="e">
        <f t="shared" si="38"/>
        <v>#DIV/0!</v>
      </c>
      <c r="T138" s="207"/>
      <c r="U138" s="317">
        <f>IF(D138=0,0,SUM($L$21:L138))</f>
        <v>203538.6819660789</v>
      </c>
      <c r="V138" s="317">
        <f>IF(D138=0,0,SUM($J$21:J138))</f>
        <v>217019.00692940006</v>
      </c>
      <c r="W138" s="331">
        <f t="shared" si="33"/>
        <v>13480.324963321153</v>
      </c>
      <c r="X138" s="200">
        <f t="shared" si="39"/>
        <v>1.0662297939296264</v>
      </c>
      <c r="Y138" s="201">
        <f t="shared" si="45"/>
        <v>46140</v>
      </c>
      <c r="Z138" s="202">
        <f t="shared" si="45"/>
        <v>46140</v>
      </c>
      <c r="AA138" s="18"/>
      <c r="AB138" s="244"/>
      <c r="AC138" s="247"/>
      <c r="AD138" s="142"/>
      <c r="AE138" s="18"/>
      <c r="AF138" s="18"/>
      <c r="AG138" s="203"/>
      <c r="AH138" s="203"/>
      <c r="AI138" s="18"/>
      <c r="AJ138" s="18"/>
      <c r="AK138" s="18"/>
      <c r="AL138" s="18"/>
      <c r="AM138" s="18"/>
      <c r="AN138" s="18"/>
    </row>
    <row r="139" spans="1:40" ht="20">
      <c r="A139" s="18"/>
      <c r="B139" s="151"/>
      <c r="C139" s="55">
        <v>119</v>
      </c>
      <c r="D139" s="54">
        <v>0</v>
      </c>
      <c r="E139" s="190">
        <f t="shared" si="34"/>
        <v>4</v>
      </c>
      <c r="F139" s="191">
        <f t="shared" si="35"/>
        <v>46141</v>
      </c>
      <c r="G139" s="192" t="str">
        <f t="shared" si="36"/>
        <v>Wed</v>
      </c>
      <c r="H139" s="193" t="s">
        <v>171</v>
      </c>
      <c r="I139" s="194"/>
      <c r="J139" s="307"/>
      <c r="K139" s="215"/>
      <c r="L139" s="317">
        <f t="shared" si="37"/>
        <v>0</v>
      </c>
      <c r="M139" s="318">
        <f t="shared" si="31"/>
        <v>0</v>
      </c>
      <c r="N139" s="41" t="str">
        <f t="shared" si="8"/>
        <v>¥0</v>
      </c>
      <c r="O139" s="44"/>
      <c r="P139" s="317">
        <v>0</v>
      </c>
      <c r="Q139" s="317">
        <f>IF(D139=0,0,SUM($J$111:J139))</f>
        <v>0</v>
      </c>
      <c r="R139" s="321">
        <f t="shared" si="32"/>
        <v>0</v>
      </c>
      <c r="S139" s="198">
        <f t="shared" si="38"/>
        <v>0</v>
      </c>
      <c r="T139" s="212"/>
      <c r="U139" s="317">
        <f>IF(D139=0,0,SUM($L$21:L139))</f>
        <v>0</v>
      </c>
      <c r="V139" s="317">
        <f>IF(D139=0,0,SUM($J$21:J139))</f>
        <v>0</v>
      </c>
      <c r="W139" s="331">
        <f t="shared" si="33"/>
        <v>0</v>
      </c>
      <c r="X139" s="200">
        <f t="shared" si="39"/>
        <v>0</v>
      </c>
      <c r="Y139" s="201">
        <f t="shared" si="45"/>
        <v>46141</v>
      </c>
      <c r="Z139" s="202">
        <f t="shared" si="45"/>
        <v>46141</v>
      </c>
      <c r="AA139" s="18"/>
      <c r="AB139" s="244"/>
      <c r="AC139" s="247"/>
      <c r="AD139" s="142"/>
      <c r="AE139" s="18"/>
      <c r="AF139" s="18"/>
      <c r="AG139" s="203"/>
      <c r="AH139" s="203"/>
      <c r="AI139" s="18"/>
      <c r="AJ139" s="18"/>
      <c r="AK139" s="18"/>
      <c r="AL139" s="18"/>
      <c r="AM139" s="18"/>
      <c r="AN139" s="18"/>
    </row>
    <row r="140" spans="1:40" ht="21" thickBot="1">
      <c r="A140" s="18"/>
      <c r="B140" s="151"/>
      <c r="C140" s="216">
        <v>120</v>
      </c>
      <c r="D140" s="38">
        <v>1</v>
      </c>
      <c r="E140" s="217">
        <f t="shared" si="34"/>
        <v>4</v>
      </c>
      <c r="F140" s="218">
        <f t="shared" si="35"/>
        <v>46142</v>
      </c>
      <c r="G140" s="219" t="str">
        <f t="shared" si="36"/>
        <v>Thu</v>
      </c>
      <c r="H140" s="233"/>
      <c r="I140" s="221"/>
      <c r="J140" s="312">
        <f>269570/B13</f>
        <v>2443.0850099691861</v>
      </c>
      <c r="K140" s="223"/>
      <c r="L140" s="317">
        <f t="shared" si="37"/>
        <v>2075.7824167379185</v>
      </c>
      <c r="M140" s="320">
        <f t="shared" si="31"/>
        <v>367.30259323126756</v>
      </c>
      <c r="N140" s="234">
        <f t="shared" si="8"/>
        <v>1.1769465769964857</v>
      </c>
      <c r="O140" s="226"/>
      <c r="P140" s="322">
        <v>0</v>
      </c>
      <c r="Q140" s="323">
        <f>IF(D140=0,0,SUM($J$111:J140))</f>
        <v>61294.906652166028</v>
      </c>
      <c r="R140" s="320">
        <f t="shared" si="32"/>
        <v>61294.906652166028</v>
      </c>
      <c r="S140" s="228" t="e">
        <f t="shared" si="38"/>
        <v>#DIV/0!</v>
      </c>
      <c r="T140" s="229"/>
      <c r="U140" s="332">
        <f>IF(D140=0,0,SUM($L$21:L140))</f>
        <v>205614.46438281683</v>
      </c>
      <c r="V140" s="323">
        <f>IF(D140=0,0,SUM($J$21:J140))</f>
        <v>219462.09193936925</v>
      </c>
      <c r="W140" s="333">
        <f t="shared" si="33"/>
        <v>13847.627556552412</v>
      </c>
      <c r="X140" s="230">
        <f t="shared" si="39"/>
        <v>1.0673475360700824</v>
      </c>
      <c r="Y140" s="201">
        <f t="shared" si="45"/>
        <v>46142</v>
      </c>
      <c r="Z140" s="202">
        <f t="shared" si="45"/>
        <v>46142</v>
      </c>
      <c r="AA140" s="18"/>
      <c r="AB140" s="244"/>
      <c r="AC140" s="247"/>
      <c r="AD140" s="142"/>
      <c r="AE140" s="18"/>
      <c r="AF140" s="18"/>
      <c r="AG140" s="203"/>
      <c r="AH140" s="203"/>
      <c r="AI140" s="18"/>
      <c r="AJ140" s="18"/>
      <c r="AK140" s="18"/>
      <c r="AL140" s="18"/>
      <c r="AM140" s="18"/>
      <c r="AN140" s="18"/>
    </row>
    <row r="141" spans="1:40" ht="21" thickTop="1">
      <c r="A141" s="18"/>
      <c r="B141" s="151"/>
      <c r="C141" s="55">
        <v>121</v>
      </c>
      <c r="D141" s="62">
        <v>1</v>
      </c>
      <c r="E141" s="190">
        <f t="shared" si="34"/>
        <v>5</v>
      </c>
      <c r="F141" s="191">
        <f t="shared" si="35"/>
        <v>46143</v>
      </c>
      <c r="G141" s="192" t="str">
        <f t="shared" si="36"/>
        <v>Fri</v>
      </c>
      <c r="H141" s="193"/>
      <c r="I141" s="194"/>
      <c r="J141" s="307">
        <f>234876/B13</f>
        <v>2128.6568787384449</v>
      </c>
      <c r="K141" s="215"/>
      <c r="L141" s="317">
        <f t="shared" si="37"/>
        <v>2366.8711785254509</v>
      </c>
      <c r="M141" s="321">
        <f t="shared" si="31"/>
        <v>-238.21429978700598</v>
      </c>
      <c r="N141" s="60">
        <f t="shared" si="8"/>
        <v>0.89935476761544231</v>
      </c>
      <c r="O141" s="56"/>
      <c r="P141" s="317">
        <v>0</v>
      </c>
      <c r="Q141" s="317">
        <f>IF(D141=0,0,$J$141)</f>
        <v>2128.6568787384449</v>
      </c>
      <c r="R141" s="321">
        <f t="shared" si="32"/>
        <v>2128.6568787384449</v>
      </c>
      <c r="S141" s="231" t="e">
        <f t="shared" si="38"/>
        <v>#DIV/0!</v>
      </c>
      <c r="T141" s="207"/>
      <c r="U141" s="317">
        <f>IF(D141=0,0,SUM($L$21:L141))</f>
        <v>207981.33556134228</v>
      </c>
      <c r="V141" s="317">
        <f>IF(D141=0,0,SUM($J$21:J141))</f>
        <v>221590.74881810768</v>
      </c>
      <c r="W141" s="331">
        <f t="shared" si="33"/>
        <v>13609.413256765401</v>
      </c>
      <c r="X141" s="232">
        <f t="shared" si="39"/>
        <v>1.0654357431643255</v>
      </c>
      <c r="Y141" s="201">
        <f t="shared" si="45"/>
        <v>46143</v>
      </c>
      <c r="Z141" s="202">
        <f t="shared" si="45"/>
        <v>46143</v>
      </c>
      <c r="AA141" s="18"/>
      <c r="AB141" s="244"/>
      <c r="AC141" s="247"/>
      <c r="AD141" s="142"/>
      <c r="AE141" s="18"/>
      <c r="AF141" s="18"/>
      <c r="AG141" s="203"/>
      <c r="AH141" s="203"/>
      <c r="AI141" s="18"/>
      <c r="AJ141" s="18"/>
      <c r="AK141" s="18"/>
      <c r="AL141" s="18"/>
      <c r="AM141" s="18"/>
      <c r="AN141" s="18"/>
    </row>
    <row r="142" spans="1:40" ht="20">
      <c r="A142" s="18"/>
      <c r="B142" s="151"/>
      <c r="C142" s="55">
        <v>122</v>
      </c>
      <c r="D142" s="54">
        <v>1</v>
      </c>
      <c r="E142" s="190">
        <f t="shared" si="34"/>
        <v>5</v>
      </c>
      <c r="F142" s="191">
        <f t="shared" si="35"/>
        <v>46144</v>
      </c>
      <c r="G142" s="192" t="str">
        <f t="shared" si="36"/>
        <v>Sat</v>
      </c>
      <c r="H142" s="193"/>
      <c r="I142" s="194"/>
      <c r="J142" s="307">
        <f>334578/B13</f>
        <v>3032.2457857531267</v>
      </c>
      <c r="K142" s="215"/>
      <c r="L142" s="317">
        <f t="shared" si="37"/>
        <v>701.85367556631979</v>
      </c>
      <c r="M142" s="318">
        <f t="shared" si="31"/>
        <v>2330.3921101868068</v>
      </c>
      <c r="N142" s="41">
        <f t="shared" si="8"/>
        <v>4.3203389699518677</v>
      </c>
      <c r="O142" s="56"/>
      <c r="P142" s="317">
        <v>21683</v>
      </c>
      <c r="Q142" s="317">
        <f>IF(D142=0,0,SUM($J$141:J142))</f>
        <v>5160.9026644915721</v>
      </c>
      <c r="R142" s="321">
        <f t="shared" si="32"/>
        <v>-16522.097335508428</v>
      </c>
      <c r="S142" s="198">
        <f t="shared" si="38"/>
        <v>0.23801608008539279</v>
      </c>
      <c r="T142" s="207"/>
      <c r="U142" s="317">
        <f>IF(D142=0,0,SUM($L$21:L142))</f>
        <v>208683.1892369086</v>
      </c>
      <c r="V142" s="317">
        <f>IF(D142=0,0,SUM($J$21:J142))</f>
        <v>224622.9946038608</v>
      </c>
      <c r="W142" s="331">
        <f t="shared" si="33"/>
        <v>15939.805366952205</v>
      </c>
      <c r="X142" s="200">
        <f t="shared" si="39"/>
        <v>1.0763827954960783</v>
      </c>
      <c r="Y142" s="201">
        <f t="shared" si="45"/>
        <v>46144</v>
      </c>
      <c r="Z142" s="202">
        <f t="shared" si="45"/>
        <v>46144</v>
      </c>
      <c r="AA142" s="18"/>
      <c r="AB142" s="244"/>
      <c r="AC142" s="247"/>
      <c r="AD142" s="142"/>
      <c r="AE142" s="18"/>
      <c r="AF142" s="18"/>
      <c r="AG142" s="203"/>
      <c r="AH142" s="203"/>
      <c r="AI142" s="18"/>
      <c r="AJ142" s="18"/>
      <c r="AK142" s="18"/>
      <c r="AL142" s="18"/>
      <c r="AM142" s="18"/>
      <c r="AN142" s="18"/>
    </row>
    <row r="143" spans="1:40" ht="20">
      <c r="A143" s="18"/>
      <c r="B143" s="151"/>
      <c r="C143" s="55">
        <v>123</v>
      </c>
      <c r="D143" s="54">
        <v>0</v>
      </c>
      <c r="E143" s="190">
        <f t="shared" si="34"/>
        <v>5</v>
      </c>
      <c r="F143" s="191">
        <f t="shared" si="35"/>
        <v>46145</v>
      </c>
      <c r="G143" s="192" t="str">
        <f t="shared" si="36"/>
        <v>Sun</v>
      </c>
      <c r="H143" s="193" t="s">
        <v>172</v>
      </c>
      <c r="I143" s="194"/>
      <c r="J143" s="307"/>
      <c r="K143" s="215"/>
      <c r="L143" s="317">
        <f t="shared" si="37"/>
        <v>0</v>
      </c>
      <c r="M143" s="318">
        <f t="shared" si="31"/>
        <v>0</v>
      </c>
      <c r="N143" s="41" t="str">
        <f t="shared" si="8"/>
        <v>¥0</v>
      </c>
      <c r="O143" s="44"/>
      <c r="P143" s="317">
        <v>22550</v>
      </c>
      <c r="Q143" s="317">
        <f>IF(D143=0,0,SUM($J$141:J143))</f>
        <v>0</v>
      </c>
      <c r="R143" s="321">
        <f t="shared" si="32"/>
        <v>0</v>
      </c>
      <c r="S143" s="198">
        <f t="shared" si="38"/>
        <v>0</v>
      </c>
      <c r="T143" s="212"/>
      <c r="U143" s="317">
        <f>IF(D143=0,0,SUM($L$21:L143))</f>
        <v>0</v>
      </c>
      <c r="V143" s="317">
        <f>IF(D143=0,0,SUM($J$21:J143))</f>
        <v>0</v>
      </c>
      <c r="W143" s="331">
        <f t="shared" si="33"/>
        <v>0</v>
      </c>
      <c r="X143" s="200">
        <f t="shared" si="39"/>
        <v>0</v>
      </c>
      <c r="Y143" s="201">
        <f t="shared" si="45"/>
        <v>46145</v>
      </c>
      <c r="Z143" s="202">
        <f t="shared" si="45"/>
        <v>46145</v>
      </c>
      <c r="AA143" s="18"/>
      <c r="AB143" s="244"/>
      <c r="AC143" s="247"/>
      <c r="AD143" s="142"/>
      <c r="AE143" s="18"/>
      <c r="AF143" s="18"/>
      <c r="AG143" s="203"/>
      <c r="AH143" s="203"/>
      <c r="AI143" s="18"/>
      <c r="AJ143" s="18"/>
      <c r="AK143" s="18"/>
      <c r="AL143" s="18"/>
      <c r="AM143" s="18"/>
      <c r="AN143" s="18"/>
    </row>
    <row r="144" spans="1:40" ht="20">
      <c r="A144" s="18"/>
      <c r="B144" s="151"/>
      <c r="C144" s="55">
        <v>124</v>
      </c>
      <c r="D144" s="54">
        <v>0</v>
      </c>
      <c r="E144" s="190">
        <f t="shared" si="34"/>
        <v>5</v>
      </c>
      <c r="F144" s="191">
        <f t="shared" si="35"/>
        <v>46146</v>
      </c>
      <c r="G144" s="192" t="str">
        <f t="shared" si="36"/>
        <v>Mon</v>
      </c>
      <c r="H144" s="193" t="s">
        <v>173</v>
      </c>
      <c r="I144" s="194"/>
      <c r="J144" s="307"/>
      <c r="K144" s="215"/>
      <c r="L144" s="317">
        <f t="shared" si="37"/>
        <v>0</v>
      </c>
      <c r="M144" s="318">
        <f t="shared" si="31"/>
        <v>0</v>
      </c>
      <c r="N144" s="41" t="str">
        <f t="shared" si="8"/>
        <v>¥0</v>
      </c>
      <c r="O144" s="44"/>
      <c r="P144" s="317">
        <v>34995</v>
      </c>
      <c r="Q144" s="317">
        <f>IF(D144=0,0,SUM($J$141:J144))</f>
        <v>0</v>
      </c>
      <c r="R144" s="321">
        <f t="shared" si="32"/>
        <v>0</v>
      </c>
      <c r="S144" s="198">
        <f t="shared" si="38"/>
        <v>0</v>
      </c>
      <c r="T144" s="212"/>
      <c r="U144" s="317">
        <f>IF(D144=0,0,SUM($L$21:L144))</f>
        <v>0</v>
      </c>
      <c r="V144" s="317">
        <f>IF(D144=0,0,SUM($J$21:J144))</f>
        <v>0</v>
      </c>
      <c r="W144" s="331">
        <f t="shared" si="33"/>
        <v>0</v>
      </c>
      <c r="X144" s="200">
        <f t="shared" si="39"/>
        <v>0</v>
      </c>
      <c r="Y144" s="201">
        <f t="shared" si="45"/>
        <v>46146</v>
      </c>
      <c r="Z144" s="202">
        <f t="shared" si="45"/>
        <v>46146</v>
      </c>
      <c r="AA144" s="18"/>
      <c r="AB144" s="244"/>
      <c r="AC144" s="247"/>
      <c r="AD144" s="142"/>
      <c r="AE144" s="18"/>
      <c r="AF144" s="18"/>
      <c r="AG144" s="203"/>
      <c r="AH144" s="203"/>
      <c r="AI144" s="18"/>
      <c r="AJ144" s="18"/>
      <c r="AK144" s="18"/>
      <c r="AL144" s="18"/>
      <c r="AM144" s="18"/>
      <c r="AN144" s="18"/>
    </row>
    <row r="145" spans="1:40" ht="20">
      <c r="A145" s="18"/>
      <c r="B145" s="151"/>
      <c r="C145" s="55">
        <v>125</v>
      </c>
      <c r="D145" s="54">
        <v>0</v>
      </c>
      <c r="E145" s="190">
        <f t="shared" si="34"/>
        <v>5</v>
      </c>
      <c r="F145" s="191">
        <f t="shared" si="35"/>
        <v>46147</v>
      </c>
      <c r="G145" s="192" t="str">
        <f t="shared" si="36"/>
        <v>Tue</v>
      </c>
      <c r="H145" s="193" t="s">
        <v>174</v>
      </c>
      <c r="I145" s="194"/>
      <c r="J145" s="307"/>
      <c r="K145" s="215"/>
      <c r="L145" s="317">
        <f t="shared" si="37"/>
        <v>0</v>
      </c>
      <c r="M145" s="318">
        <f t="shared" si="31"/>
        <v>0</v>
      </c>
      <c r="N145" s="41" t="str">
        <f t="shared" si="8"/>
        <v>¥0</v>
      </c>
      <c r="O145" s="44"/>
      <c r="P145" s="317">
        <v>0</v>
      </c>
      <c r="Q145" s="317">
        <f>IF(D145=0,0,SUM($J$141:J145))</f>
        <v>0</v>
      </c>
      <c r="R145" s="321">
        <f t="shared" si="32"/>
        <v>0</v>
      </c>
      <c r="S145" s="198">
        <f t="shared" si="38"/>
        <v>0</v>
      </c>
      <c r="T145" s="212"/>
      <c r="U145" s="317">
        <f>IF(D145=0,0,SUM($L$21:L145))</f>
        <v>0</v>
      </c>
      <c r="V145" s="317">
        <f>IF(D145=0,0,SUM($J$21:J145))</f>
        <v>0</v>
      </c>
      <c r="W145" s="331">
        <f t="shared" si="33"/>
        <v>0</v>
      </c>
      <c r="X145" s="200">
        <f t="shared" si="39"/>
        <v>0</v>
      </c>
      <c r="Y145" s="201">
        <f t="shared" si="45"/>
        <v>46147</v>
      </c>
      <c r="Z145" s="202">
        <f t="shared" si="45"/>
        <v>46147</v>
      </c>
      <c r="AA145" s="18"/>
      <c r="AB145" s="244"/>
      <c r="AC145" s="247"/>
      <c r="AD145" s="142"/>
      <c r="AE145" s="18"/>
      <c r="AF145" s="18"/>
      <c r="AG145" s="203"/>
      <c r="AH145" s="203"/>
      <c r="AI145" s="18"/>
      <c r="AJ145" s="18"/>
      <c r="AK145" s="18"/>
      <c r="AL145" s="18"/>
      <c r="AM145" s="18"/>
      <c r="AN145" s="18"/>
    </row>
    <row r="146" spans="1:40" ht="20">
      <c r="A146" s="18"/>
      <c r="B146" s="151"/>
      <c r="C146" s="55">
        <v>126</v>
      </c>
      <c r="D146" s="54">
        <v>0</v>
      </c>
      <c r="E146" s="190">
        <f t="shared" si="34"/>
        <v>5</v>
      </c>
      <c r="F146" s="191">
        <f t="shared" si="35"/>
        <v>46148</v>
      </c>
      <c r="G146" s="192" t="str">
        <f t="shared" si="36"/>
        <v>Wed</v>
      </c>
      <c r="H146" s="193" t="s">
        <v>175</v>
      </c>
      <c r="I146" s="194"/>
      <c r="J146" s="307"/>
      <c r="K146" s="215"/>
      <c r="L146" s="317">
        <f t="shared" si="37"/>
        <v>0</v>
      </c>
      <c r="M146" s="318">
        <f t="shared" si="31"/>
        <v>0</v>
      </c>
      <c r="N146" s="41" t="str">
        <f t="shared" si="8"/>
        <v>¥0</v>
      </c>
      <c r="O146" s="44"/>
      <c r="P146" s="317">
        <v>0</v>
      </c>
      <c r="Q146" s="317">
        <f>IF(D146=0,0,SUM($J$141:J146))</f>
        <v>0</v>
      </c>
      <c r="R146" s="321">
        <f t="shared" si="32"/>
        <v>0</v>
      </c>
      <c r="S146" s="198">
        <f t="shared" si="38"/>
        <v>0</v>
      </c>
      <c r="T146" s="212"/>
      <c r="U146" s="317">
        <f>IF(D146=0,0,SUM($L$21:L146))</f>
        <v>0</v>
      </c>
      <c r="V146" s="317">
        <f>IF(D146=0,0,SUM($J$21:J146))</f>
        <v>0</v>
      </c>
      <c r="W146" s="331">
        <f t="shared" si="33"/>
        <v>0</v>
      </c>
      <c r="X146" s="200">
        <f t="shared" si="39"/>
        <v>0</v>
      </c>
      <c r="Y146" s="201">
        <f t="shared" si="45"/>
        <v>46148</v>
      </c>
      <c r="Z146" s="202">
        <f t="shared" si="45"/>
        <v>46148</v>
      </c>
      <c r="AA146" s="18"/>
      <c r="AB146" s="244"/>
      <c r="AC146" s="247"/>
      <c r="AD146" s="142"/>
      <c r="AE146" s="18"/>
      <c r="AF146" s="18"/>
      <c r="AG146" s="203"/>
      <c r="AH146" s="203"/>
      <c r="AI146" s="18"/>
      <c r="AJ146" s="18"/>
      <c r="AK146" s="18"/>
      <c r="AL146" s="18"/>
      <c r="AM146" s="18"/>
      <c r="AN146" s="18"/>
    </row>
    <row r="147" spans="1:40" ht="20">
      <c r="A147" s="18"/>
      <c r="B147" s="151"/>
      <c r="C147" s="55">
        <v>127</v>
      </c>
      <c r="D147" s="54">
        <v>1</v>
      </c>
      <c r="E147" s="190">
        <f t="shared" si="34"/>
        <v>5</v>
      </c>
      <c r="F147" s="191">
        <f t="shared" si="35"/>
        <v>46149</v>
      </c>
      <c r="G147" s="192" t="str">
        <f t="shared" si="36"/>
        <v>Thu</v>
      </c>
      <c r="H147" s="193"/>
      <c r="I147" s="194"/>
      <c r="J147" s="307">
        <f>456990/B13</f>
        <v>4141.6530723219139</v>
      </c>
      <c r="K147" s="215"/>
      <c r="L147" s="317">
        <f t="shared" si="37"/>
        <v>2328.9391960475646</v>
      </c>
      <c r="M147" s="318">
        <f t="shared" si="31"/>
        <v>1812.7138762743493</v>
      </c>
      <c r="N147" s="41">
        <f t="shared" si="8"/>
        <v>1.7783431526897311</v>
      </c>
      <c r="O147" s="56"/>
      <c r="P147" s="317">
        <v>2860</v>
      </c>
      <c r="Q147" s="317">
        <f>IF(D147=0,0,SUM($J$141:J147))</f>
        <v>9302.5557368134869</v>
      </c>
      <c r="R147" s="321">
        <f t="shared" si="32"/>
        <v>6442.5557368134869</v>
      </c>
      <c r="S147" s="198">
        <f t="shared" si="38"/>
        <v>3.2526418660187018</v>
      </c>
      <c r="T147" s="207"/>
      <c r="U147" s="317">
        <f>IF(D147=0,0,SUM($L$21:L147))</f>
        <v>211012.12843295617</v>
      </c>
      <c r="V147" s="317">
        <f>IF(D147=0,0,SUM($J$21:J147))</f>
        <v>228764.64767618271</v>
      </c>
      <c r="W147" s="331">
        <f t="shared" si="33"/>
        <v>17752.519243226532</v>
      </c>
      <c r="X147" s="200">
        <f t="shared" si="39"/>
        <v>1.0841303264180238</v>
      </c>
      <c r="Y147" s="201">
        <f t="shared" si="45"/>
        <v>46149</v>
      </c>
      <c r="Z147" s="202">
        <f t="shared" si="45"/>
        <v>46149</v>
      </c>
      <c r="AA147" s="18"/>
      <c r="AB147" s="244"/>
      <c r="AC147" s="247"/>
      <c r="AD147" s="142"/>
      <c r="AE147" s="18"/>
      <c r="AF147" s="18"/>
      <c r="AG147" s="203"/>
      <c r="AH147" s="203"/>
      <c r="AI147" s="18"/>
      <c r="AJ147" s="18"/>
      <c r="AK147" s="18"/>
      <c r="AL147" s="18"/>
      <c r="AM147" s="18"/>
      <c r="AN147" s="18"/>
    </row>
    <row r="148" spans="1:40" ht="20">
      <c r="A148" s="18"/>
      <c r="B148" s="151"/>
      <c r="C148" s="55">
        <v>128</v>
      </c>
      <c r="D148" s="54">
        <v>1</v>
      </c>
      <c r="E148" s="190">
        <f t="shared" si="34"/>
        <v>5</v>
      </c>
      <c r="F148" s="191">
        <f t="shared" si="35"/>
        <v>46150</v>
      </c>
      <c r="G148" s="192" t="str">
        <f t="shared" si="36"/>
        <v>Fri</v>
      </c>
      <c r="H148" s="193"/>
      <c r="I148" s="194"/>
      <c r="J148" s="307">
        <f>236550/B13</f>
        <v>2143.8281674823274</v>
      </c>
      <c r="K148" s="215"/>
      <c r="L148" s="317">
        <f t="shared" si="37"/>
        <v>2366.8711785254509</v>
      </c>
      <c r="M148" s="318">
        <f t="shared" si="31"/>
        <v>-223.04301104312344</v>
      </c>
      <c r="N148" s="41">
        <f t="shared" si="8"/>
        <v>0.90576461741273218</v>
      </c>
      <c r="O148" s="56"/>
      <c r="P148" s="317">
        <v>23745</v>
      </c>
      <c r="Q148" s="317">
        <f>IF(D148=0,0,SUM($J$141:J148))</f>
        <v>11446.383904295813</v>
      </c>
      <c r="R148" s="321">
        <f t="shared" si="32"/>
        <v>-12298.616095704187</v>
      </c>
      <c r="S148" s="198">
        <f t="shared" si="38"/>
        <v>0.48205449165280329</v>
      </c>
      <c r="T148" s="207"/>
      <c r="U148" s="317">
        <f>IF(D148=0,0,SUM($L$21:L148))</f>
        <v>213378.99961148162</v>
      </c>
      <c r="V148" s="317">
        <f>IF(D148=0,0,SUM($J$21:J148))</f>
        <v>230908.47584366504</v>
      </c>
      <c r="W148" s="331">
        <f t="shared" si="33"/>
        <v>17529.476232183428</v>
      </c>
      <c r="X148" s="200">
        <f t="shared" si="39"/>
        <v>1.0821518343609302</v>
      </c>
      <c r="Y148" s="201">
        <f t="shared" si="45"/>
        <v>46150</v>
      </c>
      <c r="Z148" s="202">
        <f t="shared" si="45"/>
        <v>46150</v>
      </c>
      <c r="AA148" s="18"/>
      <c r="AB148" s="244"/>
      <c r="AC148" s="247"/>
      <c r="AD148" s="142"/>
      <c r="AE148" s="18"/>
      <c r="AF148" s="18"/>
      <c r="AG148" s="203"/>
      <c r="AH148" s="203"/>
      <c r="AI148" s="18"/>
      <c r="AJ148" s="18"/>
      <c r="AK148" s="18"/>
      <c r="AL148" s="18"/>
      <c r="AM148" s="18"/>
      <c r="AN148" s="18"/>
    </row>
    <row r="149" spans="1:40" ht="20">
      <c r="A149" s="18"/>
      <c r="B149" s="151"/>
      <c r="C149" s="55">
        <v>129</v>
      </c>
      <c r="D149" s="54">
        <v>1</v>
      </c>
      <c r="E149" s="190">
        <f t="shared" si="34"/>
        <v>5</v>
      </c>
      <c r="F149" s="191">
        <f t="shared" si="35"/>
        <v>46151</v>
      </c>
      <c r="G149" s="192" t="str">
        <f t="shared" si="36"/>
        <v>Sat</v>
      </c>
      <c r="H149" s="193"/>
      <c r="I149" s="194"/>
      <c r="J149" s="307">
        <f>445678/B13</f>
        <v>4039.1335870944354</v>
      </c>
      <c r="K149" s="215"/>
      <c r="L149" s="317">
        <f t="shared" si="37"/>
        <v>701.85367556631979</v>
      </c>
      <c r="M149" s="318">
        <f t="shared" ref="M149:M212" si="46">IF(D149=0,0,J149-L149)</f>
        <v>3337.2799115281155</v>
      </c>
      <c r="N149" s="41">
        <f t="shared" si="8"/>
        <v>5.7549511069173969</v>
      </c>
      <c r="O149" s="56"/>
      <c r="P149" s="317">
        <v>18175</v>
      </c>
      <c r="Q149" s="317">
        <f>IF(D149=0,0,SUM($J$141:J149))</f>
        <v>15485.517491390248</v>
      </c>
      <c r="R149" s="321">
        <f t="shared" ref="R149:R212" si="47">IF(D149=0,0,Q149-P149)</f>
        <v>-2689.4825086097517</v>
      </c>
      <c r="S149" s="198">
        <f t="shared" si="38"/>
        <v>0.85202297064045385</v>
      </c>
      <c r="T149" s="207"/>
      <c r="U149" s="317">
        <f>IF(D149=0,0,SUM($L$21:L149))</f>
        <v>214080.85328704794</v>
      </c>
      <c r="V149" s="317">
        <f>IF(D149=0,0,SUM($J$21:J149))</f>
        <v>234947.60943075948</v>
      </c>
      <c r="W149" s="331">
        <f t="shared" ref="W149:W212" si="48">IF(D149=0,0,V149-U149)</f>
        <v>20866.756143711536</v>
      </c>
      <c r="X149" s="200">
        <f t="shared" si="39"/>
        <v>1.0974713797302207</v>
      </c>
      <c r="Y149" s="201">
        <f t="shared" si="45"/>
        <v>46151</v>
      </c>
      <c r="Z149" s="202">
        <f t="shared" si="45"/>
        <v>46151</v>
      </c>
      <c r="AA149" s="18"/>
      <c r="AB149" s="244"/>
      <c r="AC149" s="247"/>
      <c r="AD149" s="142"/>
      <c r="AE149" s="18"/>
      <c r="AF149" s="18"/>
      <c r="AG149" s="203"/>
      <c r="AH149" s="203"/>
      <c r="AI149" s="18"/>
      <c r="AJ149" s="18"/>
      <c r="AK149" s="18"/>
      <c r="AL149" s="18"/>
      <c r="AM149" s="18"/>
      <c r="AN149" s="18"/>
    </row>
    <row r="150" spans="1:40" ht="20">
      <c r="A150" s="18"/>
      <c r="B150" s="151"/>
      <c r="C150" s="55">
        <v>130</v>
      </c>
      <c r="D150" s="54">
        <v>0</v>
      </c>
      <c r="E150" s="190">
        <f t="shared" ref="E150:E213" si="49">MONTH(Y150)</f>
        <v>5</v>
      </c>
      <c r="F150" s="191">
        <f t="shared" ref="F150:F213" si="50">F149+1</f>
        <v>46152</v>
      </c>
      <c r="G150" s="192" t="str">
        <f t="shared" ref="G150:G213" si="51">TEXT(Z150,"ddd")</f>
        <v>Sun</v>
      </c>
      <c r="H150" s="193"/>
      <c r="I150" s="194"/>
      <c r="J150" s="307"/>
      <c r="K150" s="215"/>
      <c r="L150" s="317">
        <f t="shared" ref="L150:L213" si="52">IF(D150=0,0,IFERROR(SUMIFS($AE$21:$AE$104,$AA$21:$AA$104,$E150,$AB$21:$AB$104,$G150),0))</f>
        <v>0</v>
      </c>
      <c r="M150" s="318">
        <f t="shared" si="46"/>
        <v>0</v>
      </c>
      <c r="N150" s="41" t="str">
        <f t="shared" si="8"/>
        <v>¥0</v>
      </c>
      <c r="O150" s="56"/>
      <c r="P150" s="317">
        <v>28564</v>
      </c>
      <c r="Q150" s="317">
        <f>IF(D150=0,0,SUM($J$141:J150))</f>
        <v>0</v>
      </c>
      <c r="R150" s="321">
        <f t="shared" si="47"/>
        <v>0</v>
      </c>
      <c r="S150" s="198">
        <f t="shared" ref="S150:S213" si="53">IF(D150=0,0,Q150/P150)</f>
        <v>0</v>
      </c>
      <c r="T150" s="207"/>
      <c r="U150" s="317">
        <f>IF(D150=0,0,SUM($L$21:L150))</f>
        <v>0</v>
      </c>
      <c r="V150" s="317">
        <f>IF(D150=0,0,SUM($J$21:J150))</f>
        <v>0</v>
      </c>
      <c r="W150" s="331">
        <f t="shared" si="48"/>
        <v>0</v>
      </c>
      <c r="X150" s="200">
        <f t="shared" ref="X150:X213" si="54">IF(D150=0,0,V150/U150)</f>
        <v>0</v>
      </c>
      <c r="Y150" s="201">
        <f t="shared" si="45"/>
        <v>46152</v>
      </c>
      <c r="Z150" s="202">
        <f t="shared" si="45"/>
        <v>46152</v>
      </c>
      <c r="AA150" s="18"/>
      <c r="AB150" s="244"/>
      <c r="AC150" s="247"/>
      <c r="AD150" s="142"/>
      <c r="AE150" s="18"/>
      <c r="AF150" s="18"/>
      <c r="AG150" s="203"/>
      <c r="AH150" s="203"/>
      <c r="AI150" s="18"/>
      <c r="AJ150" s="18"/>
      <c r="AK150" s="18"/>
      <c r="AL150" s="18"/>
      <c r="AM150" s="18"/>
      <c r="AN150" s="18"/>
    </row>
    <row r="151" spans="1:40" ht="20">
      <c r="A151" s="18"/>
      <c r="B151" s="151"/>
      <c r="C151" s="55">
        <v>131</v>
      </c>
      <c r="D151" s="54">
        <v>1</v>
      </c>
      <c r="E151" s="190">
        <f t="shared" si="49"/>
        <v>5</v>
      </c>
      <c r="F151" s="191">
        <f t="shared" si="50"/>
        <v>46153</v>
      </c>
      <c r="G151" s="192" t="str">
        <f t="shared" si="51"/>
        <v>Mon</v>
      </c>
      <c r="H151" s="193"/>
      <c r="I151" s="194"/>
      <c r="J151" s="307">
        <f>156789/B13</f>
        <v>1420.9624796084829</v>
      </c>
      <c r="K151" s="215"/>
      <c r="L151" s="317">
        <f t="shared" si="52"/>
        <v>2016.9248666403266</v>
      </c>
      <c r="M151" s="318">
        <f t="shared" si="46"/>
        <v>-595.96238703184372</v>
      </c>
      <c r="N151" s="41">
        <f t="shared" si="8"/>
        <v>0.70451929227063259</v>
      </c>
      <c r="O151" s="44"/>
      <c r="P151" s="317">
        <v>43891</v>
      </c>
      <c r="Q151" s="317">
        <f>IF(D151=0,0,SUM($J$141:J151))</f>
        <v>16906.479970998731</v>
      </c>
      <c r="R151" s="321">
        <f t="shared" si="47"/>
        <v>-26984.520029001269</v>
      </c>
      <c r="S151" s="198">
        <f t="shared" si="53"/>
        <v>0.3851924078056716</v>
      </c>
      <c r="T151" s="212"/>
      <c r="U151" s="317">
        <f>IF(D151=0,0,SUM($L$21:L151))</f>
        <v>216097.77815368827</v>
      </c>
      <c r="V151" s="317">
        <f>IF(D151=0,0,SUM($J$21:J151))</f>
        <v>236368.57191036796</v>
      </c>
      <c r="W151" s="331">
        <f t="shared" si="48"/>
        <v>20270.79375667969</v>
      </c>
      <c r="X151" s="200">
        <f t="shared" si="54"/>
        <v>1.0938038046011891</v>
      </c>
      <c r="Y151" s="201">
        <f t="shared" ref="Y151:Z166" si="55">Y150+1</f>
        <v>46153</v>
      </c>
      <c r="Z151" s="202">
        <f t="shared" si="55"/>
        <v>46153</v>
      </c>
      <c r="AA151" s="18"/>
      <c r="AB151" s="244"/>
      <c r="AC151" s="247"/>
      <c r="AD151" s="142"/>
      <c r="AE151" s="18"/>
      <c r="AF151" s="18"/>
      <c r="AG151" s="203"/>
      <c r="AH151" s="203"/>
      <c r="AI151" s="18"/>
      <c r="AJ151" s="18"/>
      <c r="AK151" s="18"/>
      <c r="AL151" s="18"/>
      <c r="AM151" s="18"/>
      <c r="AN151" s="18"/>
    </row>
    <row r="152" spans="1:40" ht="20">
      <c r="A152" s="18"/>
      <c r="B152" s="151"/>
      <c r="C152" s="55">
        <v>132</v>
      </c>
      <c r="D152" s="54">
        <v>1</v>
      </c>
      <c r="E152" s="190">
        <f t="shared" si="49"/>
        <v>5</v>
      </c>
      <c r="F152" s="191">
        <f t="shared" si="50"/>
        <v>46154</v>
      </c>
      <c r="G152" s="192" t="str">
        <f t="shared" si="51"/>
        <v>Tue</v>
      </c>
      <c r="H152" s="193"/>
      <c r="I152" s="194"/>
      <c r="J152" s="307">
        <f>321456/B13</f>
        <v>2913.3224578575314</v>
      </c>
      <c r="K152" s="215"/>
      <c r="L152" s="317">
        <f t="shared" si="52"/>
        <v>2614.8625202369585</v>
      </c>
      <c r="M152" s="318">
        <f t="shared" si="46"/>
        <v>298.45993762057287</v>
      </c>
      <c r="N152" s="41">
        <f t="shared" si="8"/>
        <v>1.1141398200902457</v>
      </c>
      <c r="O152" s="56"/>
      <c r="P152" s="317">
        <v>22286</v>
      </c>
      <c r="Q152" s="317">
        <f>IF(D152=0,0,SUM($J$141:J152))</f>
        <v>19819.802428856263</v>
      </c>
      <c r="R152" s="321">
        <f t="shared" si="47"/>
        <v>-2466.1975711437372</v>
      </c>
      <c r="S152" s="198">
        <f t="shared" si="53"/>
        <v>0.88933870720884245</v>
      </c>
      <c r="T152" s="207"/>
      <c r="U152" s="317">
        <f>IF(D152=0,0,SUM($L$21:L152))</f>
        <v>218712.64067392523</v>
      </c>
      <c r="V152" s="317">
        <f>IF(D152=0,0,SUM($J$21:J152))</f>
        <v>239281.89436822548</v>
      </c>
      <c r="W152" s="331">
        <f t="shared" si="48"/>
        <v>20569.253694300249</v>
      </c>
      <c r="X152" s="200">
        <f t="shared" si="54"/>
        <v>1.0940469358831737</v>
      </c>
      <c r="Y152" s="201">
        <f t="shared" si="55"/>
        <v>46154</v>
      </c>
      <c r="Z152" s="202">
        <f t="shared" si="55"/>
        <v>46154</v>
      </c>
      <c r="AA152" s="18"/>
      <c r="AB152" s="244"/>
      <c r="AC152" s="247"/>
      <c r="AD152" s="142"/>
      <c r="AE152" s="18"/>
      <c r="AF152" s="18"/>
      <c r="AG152" s="203"/>
      <c r="AH152" s="203"/>
      <c r="AI152" s="18"/>
      <c r="AJ152" s="18"/>
      <c r="AK152" s="18"/>
      <c r="AL152" s="18"/>
      <c r="AM152" s="18"/>
      <c r="AN152" s="18"/>
    </row>
    <row r="153" spans="1:40" ht="20">
      <c r="A153" s="18"/>
      <c r="B153" s="151"/>
      <c r="C153" s="55">
        <v>133</v>
      </c>
      <c r="D153" s="54">
        <v>1</v>
      </c>
      <c r="E153" s="190">
        <f t="shared" si="49"/>
        <v>5</v>
      </c>
      <c r="F153" s="191">
        <f t="shared" si="50"/>
        <v>46155</v>
      </c>
      <c r="G153" s="192" t="str">
        <f t="shared" si="51"/>
        <v>Wed</v>
      </c>
      <c r="H153" s="193"/>
      <c r="I153" s="194"/>
      <c r="J153" s="307">
        <f>287654/B13</f>
        <v>2606.9784303063257</v>
      </c>
      <c r="K153" s="215"/>
      <c r="L153" s="317">
        <f t="shared" si="52"/>
        <v>4518.9705565400836</v>
      </c>
      <c r="M153" s="318">
        <f t="shared" si="46"/>
        <v>-1911.992126233758</v>
      </c>
      <c r="N153" s="41">
        <f t="shared" si="8"/>
        <v>0.57689652935077751</v>
      </c>
      <c r="O153" s="56"/>
      <c r="P153" s="317">
        <v>0</v>
      </c>
      <c r="Q153" s="317">
        <f>IF(D153=0,0,SUM($J$141:J153))</f>
        <v>22426.780859162587</v>
      </c>
      <c r="R153" s="321">
        <f t="shared" si="47"/>
        <v>22426.780859162587</v>
      </c>
      <c r="S153" s="198" t="e">
        <f t="shared" si="53"/>
        <v>#DIV/0!</v>
      </c>
      <c r="T153" s="207"/>
      <c r="U153" s="317">
        <f>IF(D153=0,0,SUM($L$21:L153))</f>
        <v>223231.61123046532</v>
      </c>
      <c r="V153" s="317">
        <f>IF(D153=0,0,SUM($J$21:J153))</f>
        <v>241888.87279853181</v>
      </c>
      <c r="W153" s="331">
        <f t="shared" si="48"/>
        <v>18657.261568066489</v>
      </c>
      <c r="X153" s="200">
        <f t="shared" si="54"/>
        <v>1.0835780446381522</v>
      </c>
      <c r="Y153" s="201">
        <f t="shared" si="55"/>
        <v>46155</v>
      </c>
      <c r="Z153" s="202">
        <f t="shared" si="55"/>
        <v>46155</v>
      </c>
      <c r="AA153" s="18"/>
      <c r="AB153" s="244"/>
      <c r="AC153" s="247"/>
      <c r="AD153" s="142"/>
      <c r="AE153" s="18"/>
      <c r="AF153" s="18"/>
      <c r="AG153" s="203"/>
      <c r="AH153" s="203"/>
      <c r="AI153" s="18"/>
      <c r="AJ153" s="18"/>
      <c r="AK153" s="18"/>
      <c r="AL153" s="18"/>
      <c r="AM153" s="18"/>
      <c r="AN153" s="18"/>
    </row>
    <row r="154" spans="1:40" ht="20">
      <c r="A154" s="18"/>
      <c r="B154" s="151"/>
      <c r="C154" s="55">
        <v>134</v>
      </c>
      <c r="D154" s="54">
        <v>1</v>
      </c>
      <c r="E154" s="190">
        <f t="shared" si="49"/>
        <v>5</v>
      </c>
      <c r="F154" s="191">
        <f t="shared" si="50"/>
        <v>46156</v>
      </c>
      <c r="G154" s="192" t="str">
        <f t="shared" si="51"/>
        <v>Thu</v>
      </c>
      <c r="H154" s="193"/>
      <c r="I154" s="194"/>
      <c r="J154" s="307">
        <f>321990/B13</f>
        <v>2918.1620445894505</v>
      </c>
      <c r="K154" s="215"/>
      <c r="L154" s="317">
        <f t="shared" si="52"/>
        <v>2328.9391960475646</v>
      </c>
      <c r="M154" s="318">
        <f t="shared" si="46"/>
        <v>589.22284854188592</v>
      </c>
      <c r="N154" s="41">
        <f t="shared" si="8"/>
        <v>1.2530005289712389</v>
      </c>
      <c r="O154" s="56"/>
      <c r="P154" s="317">
        <v>25499</v>
      </c>
      <c r="Q154" s="317">
        <f>IF(D154=0,0,SUM($J$141:J154))</f>
        <v>25344.942903752039</v>
      </c>
      <c r="R154" s="321">
        <f t="shared" si="47"/>
        <v>-154.05709624796145</v>
      </c>
      <c r="S154" s="198">
        <f t="shared" si="53"/>
        <v>0.99395830831609233</v>
      </c>
      <c r="T154" s="207"/>
      <c r="U154" s="317">
        <f>IF(D154=0,0,SUM($L$21:L154))</f>
        <v>225560.5504265129</v>
      </c>
      <c r="V154" s="317">
        <f>IF(D154=0,0,SUM($J$21:J154))</f>
        <v>244807.03484312125</v>
      </c>
      <c r="W154" s="331">
        <f t="shared" si="48"/>
        <v>19246.484416608349</v>
      </c>
      <c r="X154" s="200">
        <f t="shared" si="54"/>
        <v>1.0853273517031907</v>
      </c>
      <c r="Y154" s="201">
        <f t="shared" si="55"/>
        <v>46156</v>
      </c>
      <c r="Z154" s="202">
        <f t="shared" si="55"/>
        <v>46156</v>
      </c>
      <c r="AA154" s="18"/>
      <c r="AB154" s="244"/>
      <c r="AC154" s="247"/>
      <c r="AD154" s="142"/>
      <c r="AE154" s="18"/>
      <c r="AF154" s="18"/>
      <c r="AG154" s="203"/>
      <c r="AH154" s="203"/>
      <c r="AI154" s="18"/>
      <c r="AJ154" s="18"/>
      <c r="AK154" s="18"/>
      <c r="AL154" s="18"/>
      <c r="AM154" s="18"/>
      <c r="AN154" s="18"/>
    </row>
    <row r="155" spans="1:40" ht="20">
      <c r="A155" s="18"/>
      <c r="B155" s="151"/>
      <c r="C155" s="55">
        <v>135</v>
      </c>
      <c r="D155" s="54">
        <v>1</v>
      </c>
      <c r="E155" s="190">
        <f t="shared" si="49"/>
        <v>5</v>
      </c>
      <c r="F155" s="191">
        <f t="shared" si="50"/>
        <v>46157</v>
      </c>
      <c r="G155" s="192" t="str">
        <f t="shared" si="51"/>
        <v>Fri</v>
      </c>
      <c r="H155" s="193"/>
      <c r="I155" s="194"/>
      <c r="J155" s="307">
        <f>289765/B13</f>
        <v>2626.1102048214607</v>
      </c>
      <c r="K155" s="215"/>
      <c r="L155" s="317">
        <f t="shared" si="52"/>
        <v>2366.8711785254509</v>
      </c>
      <c r="M155" s="318">
        <f t="shared" si="46"/>
        <v>259.2390262960098</v>
      </c>
      <c r="N155" s="41">
        <f t="shared" si="8"/>
        <v>1.1095281520380482</v>
      </c>
      <c r="O155" s="56"/>
      <c r="P155" s="317">
        <v>32399</v>
      </c>
      <c r="Q155" s="317">
        <f>IF(D155=0,0,SUM($J$141:J155))</f>
        <v>27971.053108573498</v>
      </c>
      <c r="R155" s="321">
        <f t="shared" si="47"/>
        <v>-4427.9468914265017</v>
      </c>
      <c r="S155" s="198">
        <f t="shared" si="53"/>
        <v>0.86333075430024064</v>
      </c>
      <c r="T155" s="207"/>
      <c r="U155" s="317">
        <f>IF(D155=0,0,SUM($L$21:L155))</f>
        <v>227927.42160503834</v>
      </c>
      <c r="V155" s="317">
        <f>IF(D155=0,0,SUM($J$21:J155))</f>
        <v>247433.1450479427</v>
      </c>
      <c r="W155" s="331">
        <f t="shared" si="48"/>
        <v>19505.72344290436</v>
      </c>
      <c r="X155" s="200">
        <f t="shared" si="54"/>
        <v>1.0855786605470608</v>
      </c>
      <c r="Y155" s="201">
        <f t="shared" si="55"/>
        <v>46157</v>
      </c>
      <c r="Z155" s="202">
        <f t="shared" si="55"/>
        <v>46157</v>
      </c>
      <c r="AA155" s="18"/>
      <c r="AB155" s="244"/>
      <c r="AC155" s="247"/>
      <c r="AD155" s="142"/>
      <c r="AE155" s="18"/>
      <c r="AF155" s="18"/>
      <c r="AG155" s="203"/>
      <c r="AH155" s="203"/>
      <c r="AI155" s="18"/>
      <c r="AJ155" s="18"/>
      <c r="AK155" s="18"/>
      <c r="AL155" s="18"/>
      <c r="AM155" s="18"/>
      <c r="AN155" s="18"/>
    </row>
    <row r="156" spans="1:40" ht="20">
      <c r="A156" s="18"/>
      <c r="B156" s="151"/>
      <c r="C156" s="55">
        <v>136</v>
      </c>
      <c r="D156" s="54">
        <v>1</v>
      </c>
      <c r="E156" s="190">
        <f t="shared" si="49"/>
        <v>5</v>
      </c>
      <c r="F156" s="191">
        <f t="shared" si="50"/>
        <v>46158</v>
      </c>
      <c r="G156" s="192" t="str">
        <f t="shared" si="51"/>
        <v>Sat</v>
      </c>
      <c r="H156" s="193"/>
      <c r="I156" s="194"/>
      <c r="J156" s="307">
        <f>287990/B13</f>
        <v>2610.0235635309045</v>
      </c>
      <c r="K156" s="215"/>
      <c r="L156" s="317">
        <f t="shared" si="52"/>
        <v>701.85367556631979</v>
      </c>
      <c r="M156" s="318">
        <f t="shared" si="46"/>
        <v>1908.1698879645846</v>
      </c>
      <c r="N156" s="41">
        <f t="shared" si="8"/>
        <v>3.7187574196642892</v>
      </c>
      <c r="O156" s="56"/>
      <c r="P156" s="317">
        <v>17486</v>
      </c>
      <c r="Q156" s="317">
        <f>IF(D156=0,0,SUM($J$141:J156))</f>
        <v>30581.076672104402</v>
      </c>
      <c r="R156" s="321">
        <f t="shared" si="47"/>
        <v>13095.076672104402</v>
      </c>
      <c r="S156" s="198">
        <f t="shared" si="53"/>
        <v>1.7488892069143545</v>
      </c>
      <c r="T156" s="207"/>
      <c r="U156" s="317">
        <f>IF(D156=0,0,SUM($L$21:L156))</f>
        <v>228629.27528060466</v>
      </c>
      <c r="V156" s="317">
        <f>IF(D156=0,0,SUM($J$21:J156))</f>
        <v>250043.16861147361</v>
      </c>
      <c r="W156" s="331">
        <f t="shared" si="48"/>
        <v>21413.893330868945</v>
      </c>
      <c r="X156" s="200">
        <f t="shared" si="54"/>
        <v>1.0936620793841336</v>
      </c>
      <c r="Y156" s="201">
        <f t="shared" si="55"/>
        <v>46158</v>
      </c>
      <c r="Z156" s="202">
        <f t="shared" si="55"/>
        <v>46158</v>
      </c>
      <c r="AA156" s="18"/>
      <c r="AB156" s="244"/>
      <c r="AC156" s="247"/>
      <c r="AD156" s="142"/>
      <c r="AE156" s="18"/>
      <c r="AF156" s="18"/>
      <c r="AG156" s="203"/>
      <c r="AH156" s="203"/>
      <c r="AI156" s="18"/>
      <c r="AJ156" s="18"/>
      <c r="AK156" s="18"/>
      <c r="AL156" s="18"/>
      <c r="AM156" s="18"/>
      <c r="AN156" s="18"/>
    </row>
    <row r="157" spans="1:40" ht="20">
      <c r="A157" s="18"/>
      <c r="B157" s="151"/>
      <c r="C157" s="55">
        <v>137</v>
      </c>
      <c r="D157" s="54">
        <v>0</v>
      </c>
      <c r="E157" s="190">
        <f t="shared" si="49"/>
        <v>5</v>
      </c>
      <c r="F157" s="191">
        <f t="shared" si="50"/>
        <v>46159</v>
      </c>
      <c r="G157" s="192" t="str">
        <f t="shared" si="51"/>
        <v>Sun</v>
      </c>
      <c r="H157" s="193"/>
      <c r="I157" s="194"/>
      <c r="J157" s="307"/>
      <c r="K157" s="215"/>
      <c r="L157" s="317">
        <f t="shared" si="52"/>
        <v>0</v>
      </c>
      <c r="M157" s="318">
        <f t="shared" si="46"/>
        <v>0</v>
      </c>
      <c r="N157" s="41" t="str">
        <f t="shared" si="8"/>
        <v>¥0</v>
      </c>
      <c r="O157" s="56"/>
      <c r="P157" s="317">
        <v>2760</v>
      </c>
      <c r="Q157" s="317">
        <f>IF(D157=0,0,SUM($J$141:J157))</f>
        <v>0</v>
      </c>
      <c r="R157" s="321">
        <f t="shared" si="47"/>
        <v>0</v>
      </c>
      <c r="S157" s="198">
        <f t="shared" si="53"/>
        <v>0</v>
      </c>
      <c r="T157" s="207"/>
      <c r="U157" s="317">
        <f>IF(D157=0,0,SUM($L$21:L157))</f>
        <v>0</v>
      </c>
      <c r="V157" s="317">
        <f>IF(D157=0,0,SUM($J$21:J157))</f>
        <v>0</v>
      </c>
      <c r="W157" s="331">
        <f t="shared" si="48"/>
        <v>0</v>
      </c>
      <c r="X157" s="200">
        <f t="shared" si="54"/>
        <v>0</v>
      </c>
      <c r="Y157" s="201">
        <f t="shared" si="55"/>
        <v>46159</v>
      </c>
      <c r="Z157" s="202">
        <f t="shared" si="55"/>
        <v>46159</v>
      </c>
      <c r="AA157" s="18"/>
      <c r="AB157" s="244"/>
      <c r="AC157" s="247"/>
      <c r="AD157" s="142"/>
      <c r="AE157" s="18"/>
      <c r="AF157" s="18"/>
      <c r="AG157" s="203"/>
      <c r="AH157" s="203"/>
      <c r="AI157" s="18"/>
      <c r="AJ157" s="18"/>
      <c r="AK157" s="18"/>
      <c r="AL157" s="18"/>
      <c r="AM157" s="18"/>
      <c r="AN157" s="18"/>
    </row>
    <row r="158" spans="1:40" ht="20">
      <c r="A158" s="18"/>
      <c r="B158" s="151"/>
      <c r="C158" s="55">
        <v>138</v>
      </c>
      <c r="D158" s="54">
        <v>1</v>
      </c>
      <c r="E158" s="190">
        <f t="shared" si="49"/>
        <v>5</v>
      </c>
      <c r="F158" s="191">
        <f t="shared" si="50"/>
        <v>46160</v>
      </c>
      <c r="G158" s="192" t="str">
        <f t="shared" si="51"/>
        <v>Mon</v>
      </c>
      <c r="H158" s="193"/>
      <c r="I158" s="194"/>
      <c r="J158" s="307">
        <f>456990/B13</f>
        <v>4141.6530723219139</v>
      </c>
      <c r="K158" s="215"/>
      <c r="L158" s="317">
        <f t="shared" si="52"/>
        <v>2016.9248666403266</v>
      </c>
      <c r="M158" s="318">
        <f t="shared" si="46"/>
        <v>2124.7282056815875</v>
      </c>
      <c r="N158" s="41">
        <f t="shared" si="8"/>
        <v>2.0534493578934514</v>
      </c>
      <c r="O158" s="44"/>
      <c r="P158" s="317">
        <v>0</v>
      </c>
      <c r="Q158" s="317">
        <f>IF(D158=0,0,SUM($J$141:J158))</f>
        <v>34722.729744426317</v>
      </c>
      <c r="R158" s="321">
        <f t="shared" si="47"/>
        <v>34722.729744426317</v>
      </c>
      <c r="S158" s="198" t="e">
        <f t="shared" si="53"/>
        <v>#DIV/0!</v>
      </c>
      <c r="T158" s="212"/>
      <c r="U158" s="317">
        <f>IF(D158=0,0,SUM($L$21:L158))</f>
        <v>230646.20014724499</v>
      </c>
      <c r="V158" s="317">
        <f>IF(D158=0,0,SUM($J$21:J158))</f>
        <v>254184.82168379551</v>
      </c>
      <c r="W158" s="331">
        <f t="shared" si="48"/>
        <v>23538.62153655052</v>
      </c>
      <c r="X158" s="200">
        <f t="shared" si="54"/>
        <v>1.1020551022367739</v>
      </c>
      <c r="Y158" s="201">
        <f t="shared" si="55"/>
        <v>46160</v>
      </c>
      <c r="Z158" s="202">
        <f t="shared" si="55"/>
        <v>46160</v>
      </c>
      <c r="AA158" s="18"/>
      <c r="AB158" s="244"/>
      <c r="AC158" s="247"/>
      <c r="AD158" s="142"/>
      <c r="AE158" s="18"/>
      <c r="AF158" s="18"/>
      <c r="AG158" s="203"/>
      <c r="AH158" s="203"/>
      <c r="AI158" s="18"/>
      <c r="AJ158" s="18"/>
      <c r="AK158" s="18"/>
      <c r="AL158" s="18"/>
      <c r="AM158" s="18"/>
      <c r="AN158" s="18"/>
    </row>
    <row r="159" spans="1:40" ht="20">
      <c r="A159" s="18"/>
      <c r="B159" s="151"/>
      <c r="C159" s="55">
        <v>139</v>
      </c>
      <c r="D159" s="54">
        <v>1</v>
      </c>
      <c r="E159" s="190">
        <f t="shared" si="49"/>
        <v>5</v>
      </c>
      <c r="F159" s="191">
        <f t="shared" si="50"/>
        <v>46161</v>
      </c>
      <c r="G159" s="192" t="str">
        <f t="shared" si="51"/>
        <v>Tue</v>
      </c>
      <c r="H159" s="193"/>
      <c r="I159" s="194"/>
      <c r="J159" s="307">
        <f>345778/B13</f>
        <v>3133.7502265724124</v>
      </c>
      <c r="K159" s="215"/>
      <c r="L159" s="317">
        <f t="shared" si="52"/>
        <v>2614.8625202369585</v>
      </c>
      <c r="M159" s="318">
        <f t="shared" si="46"/>
        <v>518.88770633545391</v>
      </c>
      <c r="N159" s="41">
        <f t="shared" si="8"/>
        <v>1.198437853737883</v>
      </c>
      <c r="O159" s="56"/>
      <c r="P159" s="317">
        <v>429</v>
      </c>
      <c r="Q159" s="317">
        <f>IF(D159=0,0,SUM($J$141:J159))</f>
        <v>37856.479970998727</v>
      </c>
      <c r="R159" s="321">
        <f t="shared" si="47"/>
        <v>37427.479970998727</v>
      </c>
      <c r="S159" s="198">
        <f t="shared" si="53"/>
        <v>88.243543055941089</v>
      </c>
      <c r="T159" s="207"/>
      <c r="U159" s="317">
        <f>IF(D159=0,0,SUM($L$21:L159))</f>
        <v>233261.06266748195</v>
      </c>
      <c r="V159" s="317">
        <f>IF(D159=0,0,SUM($J$21:J159))</f>
        <v>257318.57191036793</v>
      </c>
      <c r="W159" s="331">
        <f t="shared" si="48"/>
        <v>24057.509242885979</v>
      </c>
      <c r="X159" s="200">
        <f t="shared" si="54"/>
        <v>1.1031355553634787</v>
      </c>
      <c r="Y159" s="201">
        <f t="shared" si="55"/>
        <v>46161</v>
      </c>
      <c r="Z159" s="202">
        <f t="shared" si="55"/>
        <v>46161</v>
      </c>
      <c r="AA159" s="18"/>
      <c r="AB159" s="244"/>
      <c r="AC159" s="247"/>
      <c r="AD159" s="142"/>
      <c r="AE159" s="18"/>
      <c r="AF159" s="18"/>
      <c r="AG159" s="203"/>
      <c r="AH159" s="203"/>
      <c r="AI159" s="18"/>
      <c r="AJ159" s="18"/>
      <c r="AK159" s="18"/>
      <c r="AL159" s="18"/>
      <c r="AM159" s="18"/>
      <c r="AN159" s="18"/>
    </row>
    <row r="160" spans="1:40" ht="20">
      <c r="A160" s="18"/>
      <c r="B160" s="151"/>
      <c r="C160" s="55">
        <v>140</v>
      </c>
      <c r="D160" s="54">
        <v>1</v>
      </c>
      <c r="E160" s="190">
        <f t="shared" si="49"/>
        <v>5</v>
      </c>
      <c r="F160" s="191">
        <f t="shared" si="50"/>
        <v>46162</v>
      </c>
      <c r="G160" s="192" t="str">
        <f t="shared" si="51"/>
        <v>Wed</v>
      </c>
      <c r="H160" s="193"/>
      <c r="I160" s="194"/>
      <c r="J160" s="307">
        <f>321789/B13</f>
        <v>2916.3404023926046</v>
      </c>
      <c r="K160" s="215"/>
      <c r="L160" s="317">
        <f t="shared" si="52"/>
        <v>4518.9705565400836</v>
      </c>
      <c r="M160" s="318">
        <f t="shared" si="46"/>
        <v>-1602.6301541474791</v>
      </c>
      <c r="N160" s="41">
        <f t="shared" si="8"/>
        <v>0.64535503515771497</v>
      </c>
      <c r="O160" s="56"/>
      <c r="P160" s="317">
        <v>0</v>
      </c>
      <c r="Q160" s="317">
        <f>IF(D160=0,0,SUM($J$141:J160))</f>
        <v>40772.820373391332</v>
      </c>
      <c r="R160" s="321">
        <f t="shared" si="47"/>
        <v>40772.820373391332</v>
      </c>
      <c r="S160" s="198" t="e">
        <f t="shared" si="53"/>
        <v>#DIV/0!</v>
      </c>
      <c r="T160" s="207"/>
      <c r="U160" s="317">
        <f>IF(D160=0,0,SUM($L$21:L160))</f>
        <v>237780.03322402205</v>
      </c>
      <c r="V160" s="317">
        <f>IF(D160=0,0,SUM($J$21:J160))</f>
        <v>260234.91231276054</v>
      </c>
      <c r="W160" s="331">
        <f t="shared" si="48"/>
        <v>22454.879088738497</v>
      </c>
      <c r="X160" s="200">
        <f t="shared" si="54"/>
        <v>1.0944355116124611</v>
      </c>
      <c r="Y160" s="201">
        <f t="shared" si="55"/>
        <v>46162</v>
      </c>
      <c r="Z160" s="202">
        <f t="shared" si="55"/>
        <v>46162</v>
      </c>
      <c r="AA160" s="18"/>
      <c r="AB160" s="244"/>
      <c r="AC160" s="247"/>
      <c r="AD160" s="142"/>
      <c r="AE160" s="18"/>
      <c r="AF160" s="18"/>
      <c r="AG160" s="203"/>
      <c r="AH160" s="203"/>
      <c r="AI160" s="18"/>
      <c r="AJ160" s="18"/>
      <c r="AK160" s="18"/>
      <c r="AL160" s="18"/>
      <c r="AM160" s="18"/>
      <c r="AN160" s="18"/>
    </row>
    <row r="161" spans="1:40" ht="20">
      <c r="A161" s="18"/>
      <c r="B161" s="151"/>
      <c r="C161" s="55">
        <v>141</v>
      </c>
      <c r="D161" s="54">
        <v>1</v>
      </c>
      <c r="E161" s="190">
        <f t="shared" si="49"/>
        <v>5</v>
      </c>
      <c r="F161" s="191">
        <f t="shared" si="50"/>
        <v>46163</v>
      </c>
      <c r="G161" s="192" t="str">
        <f t="shared" si="51"/>
        <v>Thu</v>
      </c>
      <c r="H161" s="193"/>
      <c r="I161" s="194"/>
      <c r="J161" s="307">
        <f>221998/B13</f>
        <v>2011.9448975892694</v>
      </c>
      <c r="K161" s="215"/>
      <c r="L161" s="317">
        <f t="shared" si="52"/>
        <v>2328.9391960475646</v>
      </c>
      <c r="M161" s="318">
        <f t="shared" si="46"/>
        <v>-316.99429845829513</v>
      </c>
      <c r="N161" s="41">
        <f t="shared" si="8"/>
        <v>0.86388897615005789</v>
      </c>
      <c r="O161" s="56"/>
      <c r="P161" s="317">
        <v>598</v>
      </c>
      <c r="Q161" s="317">
        <f>IF(D161=0,0,SUM($J$141:J161))</f>
        <v>42784.765270980599</v>
      </c>
      <c r="R161" s="321">
        <f t="shared" si="47"/>
        <v>42186.765270980599</v>
      </c>
      <c r="S161" s="198">
        <f t="shared" si="53"/>
        <v>71.546430219031109</v>
      </c>
      <c r="T161" s="207"/>
      <c r="U161" s="317">
        <f>IF(D161=0,0,SUM($L$21:L161))</f>
        <v>240108.97242006962</v>
      </c>
      <c r="V161" s="317">
        <f>IF(D161=0,0,SUM($J$21:J161))</f>
        <v>262246.85721034982</v>
      </c>
      <c r="W161" s="331">
        <f t="shared" si="48"/>
        <v>22137.884790280194</v>
      </c>
      <c r="X161" s="200">
        <f t="shared" si="54"/>
        <v>1.0921993233620193</v>
      </c>
      <c r="Y161" s="201">
        <f t="shared" si="55"/>
        <v>46163</v>
      </c>
      <c r="Z161" s="202">
        <f t="shared" si="55"/>
        <v>46163</v>
      </c>
      <c r="AA161" s="18"/>
      <c r="AB161" s="244"/>
      <c r="AC161" s="247"/>
      <c r="AD161" s="142"/>
      <c r="AE161" s="18"/>
      <c r="AF161" s="18"/>
      <c r="AG161" s="203"/>
      <c r="AH161" s="203"/>
      <c r="AI161" s="18"/>
      <c r="AJ161" s="18"/>
      <c r="AK161" s="18"/>
      <c r="AL161" s="18"/>
      <c r="AM161" s="18"/>
      <c r="AN161" s="18"/>
    </row>
    <row r="162" spans="1:40" ht="20">
      <c r="A162" s="18"/>
      <c r="B162" s="151"/>
      <c r="C162" s="55">
        <v>142</v>
      </c>
      <c r="D162" s="54">
        <v>1</v>
      </c>
      <c r="E162" s="190">
        <f t="shared" si="49"/>
        <v>5</v>
      </c>
      <c r="F162" s="191">
        <f t="shared" si="50"/>
        <v>46164</v>
      </c>
      <c r="G162" s="192" t="str">
        <f t="shared" si="51"/>
        <v>Fri</v>
      </c>
      <c r="H162" s="193"/>
      <c r="I162" s="194"/>
      <c r="J162" s="307">
        <f>276889/B13</f>
        <v>2509.4163494652889</v>
      </c>
      <c r="K162" s="215"/>
      <c r="L162" s="317">
        <f t="shared" si="52"/>
        <v>2366.8711785254509</v>
      </c>
      <c r="M162" s="318">
        <f t="shared" si="46"/>
        <v>142.54517093983804</v>
      </c>
      <c r="N162" s="41">
        <f t="shared" si="8"/>
        <v>1.0602251496545929</v>
      </c>
      <c r="O162" s="56"/>
      <c r="P162" s="317">
        <v>0</v>
      </c>
      <c r="Q162" s="317">
        <f>IF(D162=0,0,SUM($J$141:J162))</f>
        <v>45294.181620445888</v>
      </c>
      <c r="R162" s="321">
        <f t="shared" si="47"/>
        <v>45294.181620445888</v>
      </c>
      <c r="S162" s="198" t="e">
        <f t="shared" si="53"/>
        <v>#DIV/0!</v>
      </c>
      <c r="T162" s="207"/>
      <c r="U162" s="317">
        <f>IF(D162=0,0,SUM($L$21:L162))</f>
        <v>242475.84359859506</v>
      </c>
      <c r="V162" s="317">
        <f>IF(D162=0,0,SUM($J$21:J162))</f>
        <v>264756.27355981508</v>
      </c>
      <c r="W162" s="331">
        <f t="shared" si="48"/>
        <v>22280.429961220012</v>
      </c>
      <c r="X162" s="200">
        <f t="shared" si="54"/>
        <v>1.0918872149512098</v>
      </c>
      <c r="Y162" s="201">
        <f t="shared" si="55"/>
        <v>46164</v>
      </c>
      <c r="Z162" s="202">
        <f t="shared" si="55"/>
        <v>46164</v>
      </c>
      <c r="AA162" s="18"/>
      <c r="AB162" s="244"/>
      <c r="AC162" s="247"/>
      <c r="AD162" s="142"/>
      <c r="AE162" s="18"/>
      <c r="AF162" s="18"/>
      <c r="AG162" s="203"/>
      <c r="AH162" s="203"/>
      <c r="AI162" s="18"/>
      <c r="AJ162" s="18"/>
      <c r="AK162" s="18"/>
      <c r="AL162" s="18"/>
      <c r="AM162" s="18"/>
      <c r="AN162" s="18"/>
    </row>
    <row r="163" spans="1:40" ht="20">
      <c r="A163" s="18"/>
      <c r="B163" s="151"/>
      <c r="C163" s="55">
        <v>143</v>
      </c>
      <c r="D163" s="54">
        <v>1</v>
      </c>
      <c r="E163" s="190">
        <f t="shared" si="49"/>
        <v>5</v>
      </c>
      <c r="F163" s="191">
        <f t="shared" si="50"/>
        <v>46165</v>
      </c>
      <c r="G163" s="192" t="str">
        <f t="shared" si="51"/>
        <v>Sat</v>
      </c>
      <c r="H163" s="193"/>
      <c r="I163" s="194"/>
      <c r="J163" s="307">
        <f>430990/B13</f>
        <v>3906.0177632771433</v>
      </c>
      <c r="K163" s="215"/>
      <c r="L163" s="317">
        <f t="shared" si="52"/>
        <v>701.85367556631979</v>
      </c>
      <c r="M163" s="318">
        <f t="shared" si="46"/>
        <v>3204.1640877108234</v>
      </c>
      <c r="N163" s="41">
        <f t="shared" si="8"/>
        <v>5.5652878929862561</v>
      </c>
      <c r="O163" s="56"/>
      <c r="P163" s="317">
        <v>0</v>
      </c>
      <c r="Q163" s="317">
        <f>IF(D163=0,0,SUM($J$141:J163))</f>
        <v>49200.199383723033</v>
      </c>
      <c r="R163" s="321">
        <f t="shared" si="47"/>
        <v>49200.199383723033</v>
      </c>
      <c r="S163" s="198" t="e">
        <f t="shared" si="53"/>
        <v>#DIV/0!</v>
      </c>
      <c r="T163" s="207"/>
      <c r="U163" s="317">
        <f>IF(D163=0,0,SUM($L$21:L163))</f>
        <v>243177.69727416139</v>
      </c>
      <c r="V163" s="317">
        <f>IF(D163=0,0,SUM($J$21:J163))</f>
        <v>268662.29132309224</v>
      </c>
      <c r="W163" s="331">
        <f t="shared" si="48"/>
        <v>25484.594048930856</v>
      </c>
      <c r="X163" s="200">
        <f t="shared" si="54"/>
        <v>1.1047982373983878</v>
      </c>
      <c r="Y163" s="201">
        <f t="shared" si="55"/>
        <v>46165</v>
      </c>
      <c r="Z163" s="202">
        <f t="shared" si="55"/>
        <v>46165</v>
      </c>
      <c r="AA163" s="18"/>
      <c r="AB163" s="244"/>
      <c r="AC163" s="247"/>
      <c r="AD163" s="142"/>
      <c r="AE163" s="18"/>
      <c r="AF163" s="18"/>
      <c r="AG163" s="203"/>
      <c r="AH163" s="203"/>
      <c r="AI163" s="18"/>
      <c r="AJ163" s="18"/>
      <c r="AK163" s="18"/>
      <c r="AL163" s="18"/>
      <c r="AM163" s="18"/>
      <c r="AN163" s="18"/>
    </row>
    <row r="164" spans="1:40" ht="20">
      <c r="A164" s="18"/>
      <c r="B164" s="151"/>
      <c r="C164" s="55">
        <v>144</v>
      </c>
      <c r="D164" s="54">
        <v>0</v>
      </c>
      <c r="E164" s="190">
        <f t="shared" si="49"/>
        <v>5</v>
      </c>
      <c r="F164" s="191">
        <f t="shared" si="50"/>
        <v>46166</v>
      </c>
      <c r="G164" s="192" t="str">
        <f t="shared" si="51"/>
        <v>Sun</v>
      </c>
      <c r="H164" s="193"/>
      <c r="I164" s="194"/>
      <c r="J164" s="307"/>
      <c r="K164" s="215"/>
      <c r="L164" s="317">
        <f t="shared" si="52"/>
        <v>0</v>
      </c>
      <c r="M164" s="318">
        <f t="shared" si="46"/>
        <v>0</v>
      </c>
      <c r="N164" s="41" t="str">
        <f t="shared" si="8"/>
        <v>¥0</v>
      </c>
      <c r="O164" s="56"/>
      <c r="P164" s="317">
        <v>0</v>
      </c>
      <c r="Q164" s="317">
        <f>IF(D164=0,0,SUM($J$141:J164))</f>
        <v>0</v>
      </c>
      <c r="R164" s="321">
        <f t="shared" si="47"/>
        <v>0</v>
      </c>
      <c r="S164" s="198">
        <f t="shared" si="53"/>
        <v>0</v>
      </c>
      <c r="T164" s="207"/>
      <c r="U164" s="317">
        <f>IF(D164=0,0,SUM($L$21:L164))</f>
        <v>0</v>
      </c>
      <c r="V164" s="317">
        <f>IF(D164=0,0,SUM($J$21:J164))</f>
        <v>0</v>
      </c>
      <c r="W164" s="331">
        <f t="shared" si="48"/>
        <v>0</v>
      </c>
      <c r="X164" s="200">
        <f t="shared" si="54"/>
        <v>0</v>
      </c>
      <c r="Y164" s="201">
        <f t="shared" si="55"/>
        <v>46166</v>
      </c>
      <c r="Z164" s="202">
        <f t="shared" si="55"/>
        <v>46166</v>
      </c>
      <c r="AA164" s="18"/>
      <c r="AB164" s="244"/>
      <c r="AC164" s="247"/>
      <c r="AD164" s="142"/>
      <c r="AE164" s="18"/>
      <c r="AF164" s="18"/>
      <c r="AG164" s="203"/>
      <c r="AH164" s="203"/>
      <c r="AI164" s="18"/>
      <c r="AJ164" s="18"/>
      <c r="AK164" s="18"/>
      <c r="AL164" s="18"/>
      <c r="AM164" s="18"/>
      <c r="AN164" s="18"/>
    </row>
    <row r="165" spans="1:40" ht="20">
      <c r="A165" s="18"/>
      <c r="B165" s="151"/>
      <c r="C165" s="55">
        <v>145</v>
      </c>
      <c r="D165" s="54">
        <v>1</v>
      </c>
      <c r="E165" s="190">
        <f t="shared" si="49"/>
        <v>5</v>
      </c>
      <c r="F165" s="191">
        <f t="shared" si="50"/>
        <v>46167</v>
      </c>
      <c r="G165" s="192" t="str">
        <f t="shared" si="51"/>
        <v>Mon</v>
      </c>
      <c r="H165" s="193"/>
      <c r="I165" s="194"/>
      <c r="J165" s="307">
        <f>190889/B13</f>
        <v>1730.0072503172014</v>
      </c>
      <c r="K165" s="215"/>
      <c r="L165" s="317">
        <f t="shared" si="52"/>
        <v>2016.9248666403266</v>
      </c>
      <c r="M165" s="318">
        <f t="shared" si="46"/>
        <v>-286.91761632312523</v>
      </c>
      <c r="N165" s="41">
        <f t="shared" si="8"/>
        <v>0.85774501516208901</v>
      </c>
      <c r="O165" s="44"/>
      <c r="P165" s="317">
        <v>0</v>
      </c>
      <c r="Q165" s="317">
        <f>IF(D165=0,0,SUM($J$141:J165))</f>
        <v>50930.206634040238</v>
      </c>
      <c r="R165" s="321">
        <f t="shared" si="47"/>
        <v>50930.206634040238</v>
      </c>
      <c r="S165" s="198" t="e">
        <f t="shared" si="53"/>
        <v>#DIV/0!</v>
      </c>
      <c r="T165" s="212"/>
      <c r="U165" s="317">
        <f>IF(D165=0,0,SUM($L$21:L165))</f>
        <v>245194.62214080172</v>
      </c>
      <c r="V165" s="317">
        <f>IF(D165=0,0,SUM($J$21:J165))</f>
        <v>270392.29857340944</v>
      </c>
      <c r="W165" s="331">
        <f t="shared" si="48"/>
        <v>25197.676432607725</v>
      </c>
      <c r="X165" s="200">
        <f t="shared" si="54"/>
        <v>1.1027660240367674</v>
      </c>
      <c r="Y165" s="201">
        <f t="shared" si="55"/>
        <v>46167</v>
      </c>
      <c r="Z165" s="202">
        <f t="shared" si="55"/>
        <v>46167</v>
      </c>
      <c r="AA165" s="18"/>
      <c r="AB165" s="244"/>
      <c r="AC165" s="247"/>
      <c r="AD165" s="142"/>
      <c r="AE165" s="18"/>
      <c r="AF165" s="18"/>
      <c r="AG165" s="203"/>
      <c r="AH165" s="203"/>
      <c r="AI165" s="18"/>
      <c r="AJ165" s="18"/>
      <c r="AK165" s="18"/>
      <c r="AL165" s="18"/>
      <c r="AM165" s="18"/>
      <c r="AN165" s="18"/>
    </row>
    <row r="166" spans="1:40" ht="20">
      <c r="A166" s="18"/>
      <c r="B166" s="151"/>
      <c r="C166" s="55">
        <v>146</v>
      </c>
      <c r="D166" s="54">
        <v>1</v>
      </c>
      <c r="E166" s="190">
        <f t="shared" si="49"/>
        <v>5</v>
      </c>
      <c r="F166" s="191">
        <f t="shared" si="50"/>
        <v>46168</v>
      </c>
      <c r="G166" s="192" t="str">
        <f t="shared" si="51"/>
        <v>Tue</v>
      </c>
      <c r="H166" s="193"/>
      <c r="I166" s="194"/>
      <c r="J166" s="313">
        <f>300900/B13</f>
        <v>2727.0255573681347</v>
      </c>
      <c r="K166" s="215"/>
      <c r="L166" s="317">
        <f t="shared" si="52"/>
        <v>2614.8625202369585</v>
      </c>
      <c r="M166" s="318">
        <f t="shared" si="46"/>
        <v>112.16303713117622</v>
      </c>
      <c r="N166" s="41">
        <f t="shared" si="8"/>
        <v>1.0428944299224618</v>
      </c>
      <c r="O166" s="56"/>
      <c r="P166" s="317">
        <v>0</v>
      </c>
      <c r="Q166" s="317">
        <f>IF(D166=0,0,SUM($J$141:J166))</f>
        <v>53657.232191408373</v>
      </c>
      <c r="R166" s="321">
        <f t="shared" si="47"/>
        <v>53657.232191408373</v>
      </c>
      <c r="S166" s="198" t="e">
        <f t="shared" si="53"/>
        <v>#DIV/0!</v>
      </c>
      <c r="T166" s="207"/>
      <c r="U166" s="317">
        <f>IF(D166=0,0,SUM($L$21:L166))</f>
        <v>247809.48466103867</v>
      </c>
      <c r="V166" s="317">
        <f>IF(D166=0,0,SUM($J$21:J166))</f>
        <v>273119.32413077756</v>
      </c>
      <c r="W166" s="331">
        <f t="shared" si="48"/>
        <v>25309.839469738887</v>
      </c>
      <c r="X166" s="200">
        <f t="shared" si="54"/>
        <v>1.1021342645716665</v>
      </c>
      <c r="Y166" s="201">
        <f t="shared" si="55"/>
        <v>46168</v>
      </c>
      <c r="Z166" s="202">
        <f t="shared" si="55"/>
        <v>46168</v>
      </c>
      <c r="AA166" s="18"/>
      <c r="AB166" s="244"/>
      <c r="AC166" s="247"/>
      <c r="AD166" s="142"/>
      <c r="AE166" s="18"/>
      <c r="AF166" s="18"/>
      <c r="AG166" s="203"/>
      <c r="AH166" s="203"/>
      <c r="AI166" s="18"/>
      <c r="AJ166" s="18"/>
      <c r="AK166" s="18"/>
      <c r="AL166" s="18"/>
      <c r="AM166" s="18"/>
      <c r="AN166" s="18"/>
    </row>
    <row r="167" spans="1:40" ht="20">
      <c r="A167" s="18"/>
      <c r="B167" s="151"/>
      <c r="C167" s="55">
        <v>147</v>
      </c>
      <c r="D167" s="54">
        <v>1</v>
      </c>
      <c r="E167" s="190">
        <f t="shared" si="49"/>
        <v>5</v>
      </c>
      <c r="F167" s="191">
        <f t="shared" si="50"/>
        <v>46169</v>
      </c>
      <c r="G167" s="192" t="str">
        <f t="shared" si="51"/>
        <v>Wed</v>
      </c>
      <c r="H167" s="193"/>
      <c r="I167" s="194"/>
      <c r="J167" s="314">
        <f>278965/B13</f>
        <v>2528.2309226028638</v>
      </c>
      <c r="K167" s="215"/>
      <c r="L167" s="317">
        <f t="shared" si="52"/>
        <v>4518.9705565400836</v>
      </c>
      <c r="M167" s="318">
        <f t="shared" si="46"/>
        <v>-1990.7396339372199</v>
      </c>
      <c r="N167" s="41">
        <f t="shared" si="8"/>
        <v>0.55947054555243336</v>
      </c>
      <c r="O167" s="56"/>
      <c r="P167" s="317">
        <f>IF(D167=0,0,SUM($L$141:L167))</f>
        <v>46713.990834761891</v>
      </c>
      <c r="Q167" s="317">
        <f>IF(D167=0,0,SUM($J$141:J167))</f>
        <v>56185.46311401124</v>
      </c>
      <c r="R167" s="321">
        <f t="shared" si="47"/>
        <v>9471.4722792493485</v>
      </c>
      <c r="S167" s="198">
        <f t="shared" si="53"/>
        <v>1.2027545090881258</v>
      </c>
      <c r="T167" s="207"/>
      <c r="U167" s="317">
        <f>IF(D167=0,0,SUM($L$21:L167))</f>
        <v>252328.45521757877</v>
      </c>
      <c r="V167" s="317">
        <f>IF(D167=0,0,SUM($J$21:J167))</f>
        <v>275647.55505338043</v>
      </c>
      <c r="W167" s="331">
        <f t="shared" si="48"/>
        <v>23319.099835801666</v>
      </c>
      <c r="X167" s="200">
        <f t="shared" si="54"/>
        <v>1.0924156564732026</v>
      </c>
      <c r="Y167" s="201">
        <f t="shared" ref="Y167:Z182" si="56">Y166+1</f>
        <v>46169</v>
      </c>
      <c r="Z167" s="202">
        <f t="shared" si="56"/>
        <v>46169</v>
      </c>
      <c r="AA167" s="18"/>
      <c r="AB167" s="244"/>
      <c r="AC167" s="247"/>
      <c r="AD167" s="142"/>
      <c r="AE167" s="18"/>
      <c r="AF167" s="18"/>
      <c r="AG167" s="203"/>
      <c r="AH167" s="203"/>
      <c r="AI167" s="18"/>
      <c r="AJ167" s="18"/>
      <c r="AK167" s="18"/>
      <c r="AL167" s="18"/>
      <c r="AM167" s="18"/>
      <c r="AN167" s="18"/>
    </row>
    <row r="168" spans="1:40" ht="20">
      <c r="A168" s="18"/>
      <c r="B168" s="151"/>
      <c r="C168" s="55">
        <v>148</v>
      </c>
      <c r="D168" s="54">
        <v>1</v>
      </c>
      <c r="E168" s="190">
        <f t="shared" si="49"/>
        <v>5</v>
      </c>
      <c r="F168" s="191">
        <f t="shared" si="50"/>
        <v>46170</v>
      </c>
      <c r="G168" s="192" t="str">
        <f t="shared" si="51"/>
        <v>Thu</v>
      </c>
      <c r="H168" s="193"/>
      <c r="I168" s="194"/>
      <c r="J168" s="314">
        <f>218789/B13</f>
        <v>1982.8620627152438</v>
      </c>
      <c r="K168" s="215"/>
      <c r="L168" s="317">
        <f t="shared" si="52"/>
        <v>2328.9391960475646</v>
      </c>
      <c r="M168" s="318">
        <f t="shared" si="46"/>
        <v>-346.07713333232073</v>
      </c>
      <c r="N168" s="41">
        <f t="shared" si="8"/>
        <v>0.85140138741292726</v>
      </c>
      <c r="O168" s="56"/>
      <c r="P168" s="317">
        <f>IF(D168=0,0,SUM($L$141:L168))</f>
        <v>49042.930030809453</v>
      </c>
      <c r="Q168" s="317">
        <f>IF(D168=0,0,SUM($J$141:J168))</f>
        <v>58168.325176726481</v>
      </c>
      <c r="R168" s="321">
        <f t="shared" si="47"/>
        <v>9125.3951459170275</v>
      </c>
      <c r="S168" s="198">
        <f t="shared" si="53"/>
        <v>1.1860695341853418</v>
      </c>
      <c r="T168" s="207"/>
      <c r="U168" s="317">
        <f>IF(D168=0,0,SUM($L$21:L168))</f>
        <v>254657.39441362635</v>
      </c>
      <c r="V168" s="317">
        <f>IF(D168=0,0,SUM($J$21:J168))</f>
        <v>277630.41711609566</v>
      </c>
      <c r="W168" s="331">
        <f t="shared" si="48"/>
        <v>22973.022702469316</v>
      </c>
      <c r="X168" s="200">
        <f t="shared" si="54"/>
        <v>1.0902114888725967</v>
      </c>
      <c r="Y168" s="201">
        <f t="shared" si="56"/>
        <v>46170</v>
      </c>
      <c r="Z168" s="202">
        <f t="shared" si="56"/>
        <v>46170</v>
      </c>
      <c r="AA168" s="18"/>
      <c r="AB168" s="244"/>
      <c r="AC168" s="247"/>
      <c r="AD168" s="142"/>
      <c r="AE168" s="18"/>
      <c r="AF168" s="18"/>
      <c r="AG168" s="203"/>
      <c r="AH168" s="203"/>
      <c r="AI168" s="18"/>
      <c r="AJ168" s="18"/>
      <c r="AK168" s="18"/>
      <c r="AL168" s="18"/>
      <c r="AM168" s="18"/>
      <c r="AN168" s="18"/>
    </row>
    <row r="169" spans="1:40" ht="20">
      <c r="A169" s="18"/>
      <c r="B169" s="151"/>
      <c r="C169" s="55">
        <v>149</v>
      </c>
      <c r="D169" s="54">
        <v>1</v>
      </c>
      <c r="E169" s="190">
        <f t="shared" si="49"/>
        <v>5</v>
      </c>
      <c r="F169" s="191">
        <f t="shared" si="50"/>
        <v>46171</v>
      </c>
      <c r="G169" s="192" t="str">
        <f t="shared" si="51"/>
        <v>Fri</v>
      </c>
      <c r="H169" s="193"/>
      <c r="I169" s="194"/>
      <c r="J169" s="314">
        <f>245689/B13</f>
        <v>2226.6539786115641</v>
      </c>
      <c r="K169" s="215"/>
      <c r="L169" s="317">
        <f t="shared" si="52"/>
        <v>2366.8711785254509</v>
      </c>
      <c r="M169" s="318">
        <f t="shared" si="46"/>
        <v>-140.21719991388682</v>
      </c>
      <c r="N169" s="41">
        <f t="shared" si="8"/>
        <v>0.94075841508144886</v>
      </c>
      <c r="O169" s="56"/>
      <c r="P169" s="317">
        <f>IF(D169=0,0,SUM($L$141:L169))</f>
        <v>51409.801209334903</v>
      </c>
      <c r="Q169" s="317">
        <f>IF(D169=0,0,SUM($J$141:J169))</f>
        <v>60394.979155338042</v>
      </c>
      <c r="R169" s="321">
        <f t="shared" si="47"/>
        <v>8985.1779460031394</v>
      </c>
      <c r="S169" s="198">
        <f t="shared" si="53"/>
        <v>1.1747755823722505</v>
      </c>
      <c r="T169" s="207"/>
      <c r="U169" s="317">
        <f>IF(D169=0,0,SUM($L$21:L169))</f>
        <v>257024.26559215179</v>
      </c>
      <c r="V169" s="317">
        <f>IF(D169=0,0,SUM($J$21:J169))</f>
        <v>279857.07109470724</v>
      </c>
      <c r="W169" s="331">
        <f t="shared" si="48"/>
        <v>22832.805502555449</v>
      </c>
      <c r="X169" s="200">
        <f t="shared" si="54"/>
        <v>1.0888352134766401</v>
      </c>
      <c r="Y169" s="201">
        <f t="shared" si="56"/>
        <v>46171</v>
      </c>
      <c r="Z169" s="202">
        <f t="shared" si="56"/>
        <v>46171</v>
      </c>
      <c r="AA169" s="18"/>
      <c r="AB169" s="244"/>
      <c r="AC169" s="247"/>
      <c r="AD169" s="142"/>
      <c r="AE169" s="18"/>
      <c r="AF169" s="18"/>
      <c r="AG169" s="203"/>
      <c r="AH169" s="203"/>
      <c r="AI169" s="18"/>
      <c r="AJ169" s="18"/>
      <c r="AK169" s="18"/>
      <c r="AL169" s="18"/>
      <c r="AM169" s="18"/>
      <c r="AN169" s="18"/>
    </row>
    <row r="170" spans="1:40" ht="20">
      <c r="A170" s="18"/>
      <c r="B170" s="151"/>
      <c r="C170" s="55">
        <v>150</v>
      </c>
      <c r="D170" s="54">
        <v>1</v>
      </c>
      <c r="E170" s="190">
        <f t="shared" si="49"/>
        <v>5</v>
      </c>
      <c r="F170" s="191">
        <f t="shared" si="50"/>
        <v>46172</v>
      </c>
      <c r="G170" s="192" t="str">
        <f t="shared" si="51"/>
        <v>Sat</v>
      </c>
      <c r="H170" s="193"/>
      <c r="I170" s="194"/>
      <c r="J170" s="314">
        <f>298799/B13</f>
        <v>2707.9844118180172</v>
      </c>
      <c r="K170" s="215"/>
      <c r="L170" s="317">
        <f t="shared" si="52"/>
        <v>701.85367556631979</v>
      </c>
      <c r="M170" s="318">
        <f t="shared" si="46"/>
        <v>2006.1307362516973</v>
      </c>
      <c r="N170" s="41">
        <f t="shared" si="8"/>
        <v>3.858331880406507</v>
      </c>
      <c r="O170" s="56"/>
      <c r="P170" s="317">
        <f>IF(D170=0,0,SUM($L$141:L170))</f>
        <v>52111.654884901225</v>
      </c>
      <c r="Q170" s="317">
        <f>IF(D170=0,0,SUM($J$141:J170))</f>
        <v>63102.963567156061</v>
      </c>
      <c r="R170" s="321">
        <f t="shared" si="47"/>
        <v>10991.308682254836</v>
      </c>
      <c r="S170" s="198">
        <f t="shared" si="53"/>
        <v>1.2109184347826083</v>
      </c>
      <c r="T170" s="207"/>
      <c r="U170" s="317">
        <f>IF(D170=0,0,SUM($L$21:L170))</f>
        <v>257726.11926771811</v>
      </c>
      <c r="V170" s="317">
        <f>IF(D170=0,0,SUM($J$21:J170))</f>
        <v>282565.05550652527</v>
      </c>
      <c r="W170" s="331">
        <f t="shared" si="48"/>
        <v>24838.93623880716</v>
      </c>
      <c r="X170" s="200">
        <f t="shared" si="54"/>
        <v>1.0963772562493179</v>
      </c>
      <c r="Y170" s="201">
        <f t="shared" si="56"/>
        <v>46172</v>
      </c>
      <c r="Z170" s="202">
        <f t="shared" si="56"/>
        <v>46172</v>
      </c>
      <c r="AA170" s="18"/>
      <c r="AB170" s="244"/>
      <c r="AC170" s="247"/>
      <c r="AD170" s="142"/>
      <c r="AE170" s="18"/>
      <c r="AF170" s="18"/>
      <c r="AG170" s="203"/>
      <c r="AH170" s="203"/>
      <c r="AI170" s="18"/>
      <c r="AJ170" s="18"/>
      <c r="AK170" s="18"/>
      <c r="AL170" s="18"/>
      <c r="AM170" s="18"/>
      <c r="AN170" s="18"/>
    </row>
    <row r="171" spans="1:40" ht="21" thickBot="1">
      <c r="A171" s="18"/>
      <c r="B171" s="151"/>
      <c r="C171" s="216">
        <v>151</v>
      </c>
      <c r="D171" s="38">
        <v>0</v>
      </c>
      <c r="E171" s="217">
        <f t="shared" si="49"/>
        <v>5</v>
      </c>
      <c r="F171" s="218">
        <f t="shared" si="50"/>
        <v>46173</v>
      </c>
      <c r="G171" s="219" t="str">
        <f t="shared" si="51"/>
        <v>Sun</v>
      </c>
      <c r="H171" s="233"/>
      <c r="I171" s="221"/>
      <c r="J171" s="315"/>
      <c r="K171" s="223"/>
      <c r="L171" s="317">
        <f t="shared" si="52"/>
        <v>0</v>
      </c>
      <c r="M171" s="320">
        <f t="shared" si="46"/>
        <v>0</v>
      </c>
      <c r="N171" s="225" t="str">
        <f t="shared" si="8"/>
        <v>¥0</v>
      </c>
      <c r="O171" s="226"/>
      <c r="P171" s="322">
        <f>IF(D171=0,0,SUM($L$141:L171))</f>
        <v>0</v>
      </c>
      <c r="Q171" s="323">
        <f>IF(D171=0,0,SUM($J$141:J171))</f>
        <v>0</v>
      </c>
      <c r="R171" s="320">
        <f t="shared" si="47"/>
        <v>0</v>
      </c>
      <c r="S171" s="228">
        <f t="shared" si="53"/>
        <v>0</v>
      </c>
      <c r="T171" s="229"/>
      <c r="U171" s="332">
        <f>IF(D171=0,0,SUM($L$21:L171))</f>
        <v>0</v>
      </c>
      <c r="V171" s="323">
        <f>IF(D171=0,0,SUM($J$21:J171))</f>
        <v>0</v>
      </c>
      <c r="W171" s="333">
        <f t="shared" si="48"/>
        <v>0</v>
      </c>
      <c r="X171" s="230">
        <f t="shared" si="54"/>
        <v>0</v>
      </c>
      <c r="Y171" s="201">
        <f t="shared" si="56"/>
        <v>46173</v>
      </c>
      <c r="Z171" s="202">
        <f t="shared" si="56"/>
        <v>46173</v>
      </c>
      <c r="AA171" s="18"/>
      <c r="AB171" s="244"/>
      <c r="AC171" s="247"/>
      <c r="AD171" s="142"/>
      <c r="AE171" s="18"/>
      <c r="AF171" s="18"/>
      <c r="AG171" s="203"/>
      <c r="AH171" s="203"/>
      <c r="AI171" s="18"/>
      <c r="AJ171" s="18"/>
      <c r="AK171" s="18"/>
      <c r="AL171" s="18"/>
      <c r="AM171" s="18"/>
      <c r="AN171" s="18"/>
    </row>
    <row r="172" spans="1:40" ht="21" thickTop="1">
      <c r="A172" s="18"/>
      <c r="B172" s="151"/>
      <c r="C172" s="55">
        <v>152</v>
      </c>
      <c r="D172" s="62">
        <v>1</v>
      </c>
      <c r="E172" s="190">
        <f t="shared" si="49"/>
        <v>6</v>
      </c>
      <c r="F172" s="191">
        <f t="shared" si="50"/>
        <v>46174</v>
      </c>
      <c r="G172" s="192" t="str">
        <f t="shared" si="51"/>
        <v>Mon</v>
      </c>
      <c r="H172" s="193"/>
      <c r="I172" s="194"/>
      <c r="J172" s="307">
        <f>244300/B13</f>
        <v>2214.0656153706723</v>
      </c>
      <c r="K172" s="215"/>
      <c r="L172" s="317">
        <f t="shared" si="52"/>
        <v>1303.5572877002019</v>
      </c>
      <c r="M172" s="321">
        <f t="shared" si="46"/>
        <v>910.50832767047041</v>
      </c>
      <c r="N172" s="60">
        <f t="shared" si="8"/>
        <v>1.6984797187370513</v>
      </c>
      <c r="O172" s="44"/>
      <c r="P172" s="317">
        <f>IF(D172=0,0,$L$172)</f>
        <v>1303.5572877002019</v>
      </c>
      <c r="Q172" s="317">
        <f>IF(D172=0,0,$J$172)</f>
        <v>2214.0656153706723</v>
      </c>
      <c r="R172" s="321">
        <f t="shared" si="47"/>
        <v>910.50832767047041</v>
      </c>
      <c r="S172" s="231">
        <f t="shared" si="53"/>
        <v>1.6984797187370513</v>
      </c>
      <c r="T172" s="212"/>
      <c r="U172" s="317">
        <f>IF(D172=0,0,SUM($L$21:L172))</f>
        <v>259029.67655541832</v>
      </c>
      <c r="V172" s="317">
        <f>IF(D172=0,0,SUM($J$21:J172))</f>
        <v>284779.12112189597</v>
      </c>
      <c r="W172" s="331">
        <f t="shared" si="48"/>
        <v>25749.444566477643</v>
      </c>
      <c r="X172" s="232">
        <f t="shared" si="54"/>
        <v>1.0994073146710224</v>
      </c>
      <c r="Y172" s="201">
        <f t="shared" si="56"/>
        <v>46174</v>
      </c>
      <c r="Z172" s="202">
        <f t="shared" si="56"/>
        <v>46174</v>
      </c>
      <c r="AA172" s="18"/>
      <c r="AB172" s="244"/>
      <c r="AC172" s="247"/>
      <c r="AD172" s="142"/>
      <c r="AE172" s="18"/>
      <c r="AF172" s="18"/>
      <c r="AG172" s="203"/>
      <c r="AH172" s="203"/>
      <c r="AI172" s="18"/>
      <c r="AJ172" s="18"/>
      <c r="AK172" s="18"/>
      <c r="AL172" s="18"/>
      <c r="AM172" s="18"/>
      <c r="AN172" s="18"/>
    </row>
    <row r="173" spans="1:40" ht="20">
      <c r="A173" s="18"/>
      <c r="B173" s="151"/>
      <c r="C173" s="55">
        <v>153</v>
      </c>
      <c r="D173" s="54">
        <v>1</v>
      </c>
      <c r="E173" s="190">
        <f t="shared" si="49"/>
        <v>6</v>
      </c>
      <c r="F173" s="191">
        <f t="shared" si="50"/>
        <v>46175</v>
      </c>
      <c r="G173" s="192" t="str">
        <f t="shared" si="51"/>
        <v>Tue</v>
      </c>
      <c r="H173" s="193"/>
      <c r="I173" s="194"/>
      <c r="J173" s="307">
        <f>201400/B13</f>
        <v>1825.2673554468008</v>
      </c>
      <c r="K173" s="215"/>
      <c r="L173" s="317">
        <f t="shared" si="52"/>
        <v>1388.0235690012096</v>
      </c>
      <c r="M173" s="318">
        <f t="shared" si="46"/>
        <v>437.24378644559124</v>
      </c>
      <c r="N173" s="41">
        <f t="shared" si="8"/>
        <v>1.3150117881357173</v>
      </c>
      <c r="O173" s="56"/>
      <c r="P173" s="317">
        <f>IF(D173=0,0,SUM($L$172:L173))</f>
        <v>2691.5808567014114</v>
      </c>
      <c r="Q173" s="317">
        <f>IF(D173=0,0,SUM($J$172:J173))</f>
        <v>4039.3329708174733</v>
      </c>
      <c r="R173" s="321">
        <f t="shared" si="47"/>
        <v>1347.7521141160619</v>
      </c>
      <c r="S173" s="198">
        <f t="shared" si="53"/>
        <v>1.5007288228999223</v>
      </c>
      <c r="T173" s="207"/>
      <c r="U173" s="317">
        <f>IF(D173=0,0,SUM($L$21:L173))</f>
        <v>260417.70012441953</v>
      </c>
      <c r="V173" s="317">
        <f>IF(D173=0,0,SUM($J$21:J173))</f>
        <v>286604.38847734279</v>
      </c>
      <c r="W173" s="331">
        <f t="shared" si="48"/>
        <v>26186.688352923258</v>
      </c>
      <c r="X173" s="200">
        <f t="shared" si="54"/>
        <v>1.1005564842190529</v>
      </c>
      <c r="Y173" s="201">
        <f t="shared" si="56"/>
        <v>46175</v>
      </c>
      <c r="Z173" s="202">
        <f t="shared" si="56"/>
        <v>46175</v>
      </c>
      <c r="AA173" s="18"/>
      <c r="AB173" s="244"/>
      <c r="AC173" s="247"/>
      <c r="AD173" s="142"/>
      <c r="AE173" s="18"/>
      <c r="AF173" s="18"/>
      <c r="AG173" s="203"/>
      <c r="AH173" s="203"/>
      <c r="AI173" s="18"/>
      <c r="AJ173" s="18"/>
      <c r="AK173" s="18"/>
      <c r="AL173" s="18"/>
      <c r="AM173" s="18"/>
      <c r="AN173" s="18"/>
    </row>
    <row r="174" spans="1:40" ht="20">
      <c r="A174" s="18"/>
      <c r="B174" s="151"/>
      <c r="C174" s="55">
        <v>154</v>
      </c>
      <c r="D174" s="54">
        <v>1</v>
      </c>
      <c r="E174" s="190">
        <f t="shared" si="49"/>
        <v>6</v>
      </c>
      <c r="F174" s="191">
        <f t="shared" si="50"/>
        <v>46176</v>
      </c>
      <c r="G174" s="192" t="str">
        <f t="shared" si="51"/>
        <v>Wed</v>
      </c>
      <c r="H174" s="193"/>
      <c r="I174" s="194"/>
      <c r="J174" s="307">
        <f>221790/B13</f>
        <v>2010.0598151169113</v>
      </c>
      <c r="K174" s="215"/>
      <c r="L174" s="317">
        <f t="shared" si="52"/>
        <v>2613.8906933915891</v>
      </c>
      <c r="M174" s="318">
        <f t="shared" si="46"/>
        <v>-603.83087827467784</v>
      </c>
      <c r="N174" s="41">
        <f t="shared" si="8"/>
        <v>0.76899153441982993</v>
      </c>
      <c r="O174" s="56"/>
      <c r="P174" s="317">
        <f>IF(D174=0,0,SUM($L$172:L174))</f>
        <v>5305.4715500930006</v>
      </c>
      <c r="Q174" s="317">
        <f>IF(D174=0,0,SUM($J$172:J174))</f>
        <v>6049.3927859343848</v>
      </c>
      <c r="R174" s="321">
        <f t="shared" si="47"/>
        <v>743.92123584138426</v>
      </c>
      <c r="S174" s="198">
        <f t="shared" si="53"/>
        <v>1.1402177410278156</v>
      </c>
      <c r="T174" s="207"/>
      <c r="U174" s="317">
        <f>IF(D174=0,0,SUM($L$21:L174))</f>
        <v>263031.59081781114</v>
      </c>
      <c r="V174" s="317">
        <f>IF(D174=0,0,SUM($J$21:J174))</f>
        <v>288614.44829245971</v>
      </c>
      <c r="W174" s="331">
        <f t="shared" si="48"/>
        <v>25582.857474648568</v>
      </c>
      <c r="X174" s="200">
        <f t="shared" si="54"/>
        <v>1.0972615395554086</v>
      </c>
      <c r="Y174" s="201">
        <f t="shared" si="56"/>
        <v>46176</v>
      </c>
      <c r="Z174" s="202">
        <f t="shared" si="56"/>
        <v>46176</v>
      </c>
      <c r="AA174" s="18"/>
      <c r="AB174" s="244"/>
      <c r="AC174" s="247"/>
      <c r="AD174" s="142"/>
      <c r="AE174" s="18"/>
      <c r="AF174" s="18"/>
      <c r="AG174" s="203"/>
      <c r="AH174" s="203"/>
      <c r="AI174" s="18"/>
      <c r="AJ174" s="18"/>
      <c r="AK174" s="18"/>
      <c r="AL174" s="18"/>
      <c r="AM174" s="18"/>
      <c r="AN174" s="18"/>
    </row>
    <row r="175" spans="1:40" ht="20">
      <c r="A175" s="18"/>
      <c r="B175" s="151"/>
      <c r="C175" s="55">
        <v>155</v>
      </c>
      <c r="D175" s="54">
        <v>1</v>
      </c>
      <c r="E175" s="190">
        <f t="shared" si="49"/>
        <v>6</v>
      </c>
      <c r="F175" s="191">
        <f t="shared" si="50"/>
        <v>46177</v>
      </c>
      <c r="G175" s="192" t="str">
        <f t="shared" si="51"/>
        <v>Thu</v>
      </c>
      <c r="H175" s="193"/>
      <c r="I175" s="194"/>
      <c r="J175" s="307">
        <f>354790/B13</f>
        <v>3215.4250498459305</v>
      </c>
      <c r="K175" s="215"/>
      <c r="L175" s="317">
        <f t="shared" si="52"/>
        <v>2368.6325140670947</v>
      </c>
      <c r="M175" s="318">
        <f t="shared" si="46"/>
        <v>846.79253577883583</v>
      </c>
      <c r="N175" s="41">
        <f t="shared" si="8"/>
        <v>1.3575027070471302</v>
      </c>
      <c r="O175" s="56"/>
      <c r="P175" s="317">
        <f>IF(D175=0,0,SUM($L$172:L175))</f>
        <v>7674.1040641600957</v>
      </c>
      <c r="Q175" s="317">
        <f>IF(D175=0,0,SUM($J$172:J175))</f>
        <v>9264.8178357803154</v>
      </c>
      <c r="R175" s="321">
        <f t="shared" si="47"/>
        <v>1590.7137716202196</v>
      </c>
      <c r="S175" s="198">
        <f t="shared" si="53"/>
        <v>1.20728332041381</v>
      </c>
      <c r="T175" s="207"/>
      <c r="U175" s="317">
        <f>IF(D175=0,0,SUM($L$21:L175))</f>
        <v>265400.22333187825</v>
      </c>
      <c r="V175" s="317">
        <f>IF(D175=0,0,SUM($J$21:J175))</f>
        <v>291829.87334230565</v>
      </c>
      <c r="W175" s="331">
        <f t="shared" si="48"/>
        <v>26429.650010427402</v>
      </c>
      <c r="X175" s="200">
        <f t="shared" si="54"/>
        <v>1.0995841287494985</v>
      </c>
      <c r="Y175" s="201">
        <f t="shared" si="56"/>
        <v>46177</v>
      </c>
      <c r="Z175" s="202">
        <f t="shared" si="56"/>
        <v>46177</v>
      </c>
      <c r="AA175" s="18"/>
      <c r="AB175" s="244"/>
      <c r="AC175" s="247"/>
      <c r="AD175" s="142"/>
      <c r="AE175" s="18"/>
      <c r="AF175" s="18"/>
      <c r="AG175" s="203"/>
      <c r="AH175" s="203"/>
      <c r="AI175" s="18"/>
      <c r="AJ175" s="18"/>
      <c r="AK175" s="18"/>
      <c r="AL175" s="18"/>
      <c r="AM175" s="18"/>
      <c r="AN175" s="18"/>
    </row>
    <row r="176" spans="1:40" ht="20">
      <c r="A176" s="18"/>
      <c r="B176" s="151"/>
      <c r="C176" s="55">
        <v>156</v>
      </c>
      <c r="D176" s="54">
        <v>1</v>
      </c>
      <c r="E176" s="190">
        <f t="shared" si="49"/>
        <v>6</v>
      </c>
      <c r="F176" s="191">
        <f t="shared" si="50"/>
        <v>46178</v>
      </c>
      <c r="G176" s="192" t="str">
        <f t="shared" si="51"/>
        <v>Fri</v>
      </c>
      <c r="H176" s="193"/>
      <c r="I176" s="194"/>
      <c r="J176" s="307">
        <f>200350/B13</f>
        <v>1815.7513141199927</v>
      </c>
      <c r="K176" s="215"/>
      <c r="L176" s="317">
        <f t="shared" si="52"/>
        <v>2735.4285695561939</v>
      </c>
      <c r="M176" s="318">
        <f t="shared" si="46"/>
        <v>-919.67725543620122</v>
      </c>
      <c r="N176" s="41">
        <f t="shared" si="8"/>
        <v>0.66379043281491601</v>
      </c>
      <c r="O176" s="56"/>
      <c r="P176" s="317">
        <f>IF(D176=0,0,SUM($L$172:L176))</f>
        <v>10409.53263371629</v>
      </c>
      <c r="Q176" s="317">
        <f>IF(D176=0,0,SUM($J$172:J176))</f>
        <v>11080.569149900308</v>
      </c>
      <c r="R176" s="321">
        <f t="shared" si="47"/>
        <v>671.03651618401818</v>
      </c>
      <c r="S176" s="198">
        <f t="shared" si="53"/>
        <v>1.0644636545939192</v>
      </c>
      <c r="T176" s="207"/>
      <c r="U176" s="317">
        <f>IF(D176=0,0,SUM($L$21:L176))</f>
        <v>268135.65190143447</v>
      </c>
      <c r="V176" s="317">
        <f>IF(D176=0,0,SUM($J$21:J176))</f>
        <v>293645.62465642567</v>
      </c>
      <c r="W176" s="331">
        <f t="shared" si="48"/>
        <v>25509.972754991206</v>
      </c>
      <c r="X176" s="200">
        <f t="shared" si="54"/>
        <v>1.0951383099341394</v>
      </c>
      <c r="Y176" s="201">
        <f t="shared" si="56"/>
        <v>46178</v>
      </c>
      <c r="Z176" s="202">
        <f t="shared" si="56"/>
        <v>46178</v>
      </c>
      <c r="AA176" s="18"/>
      <c r="AB176" s="244"/>
      <c r="AC176" s="247"/>
      <c r="AD176" s="142"/>
      <c r="AE176" s="18"/>
      <c r="AF176" s="18"/>
      <c r="AG176" s="203"/>
      <c r="AH176" s="203"/>
      <c r="AI176" s="18"/>
      <c r="AJ176" s="18"/>
      <c r="AK176" s="18"/>
      <c r="AL176" s="18"/>
      <c r="AM176" s="18"/>
      <c r="AN176" s="18"/>
    </row>
    <row r="177" spans="1:40" ht="20">
      <c r="A177" s="18"/>
      <c r="B177" s="151"/>
      <c r="C177" s="55">
        <v>157</v>
      </c>
      <c r="D177" s="54">
        <v>1</v>
      </c>
      <c r="E177" s="190">
        <f t="shared" si="49"/>
        <v>6</v>
      </c>
      <c r="F177" s="191">
        <f t="shared" si="50"/>
        <v>46179</v>
      </c>
      <c r="G177" s="192" t="str">
        <f t="shared" si="51"/>
        <v>Sat</v>
      </c>
      <c r="H177" s="193"/>
      <c r="I177" s="194"/>
      <c r="J177" s="307">
        <f>380170/B13</f>
        <v>3445.4413630596337</v>
      </c>
      <c r="K177" s="215"/>
      <c r="L177" s="317">
        <f t="shared" si="52"/>
        <v>1435.6979451118025</v>
      </c>
      <c r="M177" s="318">
        <f t="shared" si="46"/>
        <v>2009.7434179478312</v>
      </c>
      <c r="N177" s="41">
        <f t="shared" si="8"/>
        <v>2.3998372183999512</v>
      </c>
      <c r="O177" s="56"/>
      <c r="P177" s="317">
        <f>IF(D177=0,0,SUM($L$172:L177))</f>
        <v>11845.230578828092</v>
      </c>
      <c r="Q177" s="317">
        <f>IF(D177=0,0,SUM($J$172:J177))</f>
        <v>14526.010512959941</v>
      </c>
      <c r="R177" s="321">
        <f t="shared" si="47"/>
        <v>2680.7799341318496</v>
      </c>
      <c r="S177" s="198">
        <f t="shared" si="53"/>
        <v>1.2263172435767875</v>
      </c>
      <c r="T177" s="207"/>
      <c r="U177" s="317">
        <f>IF(D177=0,0,SUM($L$21:L177))</f>
        <v>269571.34984654625</v>
      </c>
      <c r="V177" s="317">
        <f>IF(D177=0,0,SUM($J$21:J177))</f>
        <v>297091.0660194853</v>
      </c>
      <c r="W177" s="331">
        <f t="shared" si="48"/>
        <v>27519.71617293905</v>
      </c>
      <c r="X177" s="200">
        <f t="shared" si="54"/>
        <v>1.1020869472538706</v>
      </c>
      <c r="Y177" s="201">
        <f t="shared" si="56"/>
        <v>46179</v>
      </c>
      <c r="Z177" s="202">
        <f t="shared" si="56"/>
        <v>46179</v>
      </c>
      <c r="AA177" s="18"/>
      <c r="AB177" s="244"/>
      <c r="AC177" s="247"/>
      <c r="AD177" s="142"/>
      <c r="AE177" s="18"/>
      <c r="AF177" s="18"/>
      <c r="AG177" s="203"/>
      <c r="AH177" s="203"/>
      <c r="AI177" s="18"/>
      <c r="AJ177" s="18"/>
      <c r="AK177" s="18"/>
      <c r="AL177" s="18"/>
      <c r="AM177" s="18"/>
      <c r="AN177" s="18"/>
    </row>
    <row r="178" spans="1:40" ht="20">
      <c r="A178" s="18"/>
      <c r="B178" s="151"/>
      <c r="C178" s="55">
        <v>158</v>
      </c>
      <c r="D178" s="54">
        <v>0</v>
      </c>
      <c r="E178" s="190">
        <f t="shared" si="49"/>
        <v>6</v>
      </c>
      <c r="F178" s="191">
        <f t="shared" si="50"/>
        <v>46180</v>
      </c>
      <c r="G178" s="192" t="str">
        <f t="shared" si="51"/>
        <v>Sun</v>
      </c>
      <c r="H178" s="193"/>
      <c r="I178" s="194"/>
      <c r="J178" s="307"/>
      <c r="K178" s="215"/>
      <c r="L178" s="317">
        <f t="shared" si="52"/>
        <v>0</v>
      </c>
      <c r="M178" s="318">
        <f t="shared" si="46"/>
        <v>0</v>
      </c>
      <c r="N178" s="41" t="str">
        <f t="shared" si="8"/>
        <v>¥0</v>
      </c>
      <c r="O178" s="56"/>
      <c r="P178" s="317">
        <f>IF(D178=0,0,SUM($L$172:L178))</f>
        <v>0</v>
      </c>
      <c r="Q178" s="317">
        <f>IF(D178=0,0,SUM($J$172:J178))</f>
        <v>0</v>
      </c>
      <c r="R178" s="321">
        <f t="shared" si="47"/>
        <v>0</v>
      </c>
      <c r="S178" s="198">
        <f t="shared" si="53"/>
        <v>0</v>
      </c>
      <c r="T178" s="207"/>
      <c r="U178" s="317">
        <f>IF(D178=0,0,SUM($L$21:L178))</f>
        <v>0</v>
      </c>
      <c r="V178" s="317">
        <f>IF(D178=0,0,SUM($J$21:J178))</f>
        <v>0</v>
      </c>
      <c r="W178" s="331">
        <f t="shared" si="48"/>
        <v>0</v>
      </c>
      <c r="X178" s="200">
        <f t="shared" si="54"/>
        <v>0</v>
      </c>
      <c r="Y178" s="201">
        <f t="shared" si="56"/>
        <v>46180</v>
      </c>
      <c r="Z178" s="202">
        <f t="shared" si="56"/>
        <v>46180</v>
      </c>
      <c r="AA178" s="18"/>
      <c r="AB178" s="244"/>
      <c r="AC178" s="247"/>
      <c r="AD178" s="142"/>
      <c r="AE178" s="18"/>
      <c r="AF178" s="18"/>
      <c r="AG178" s="203"/>
      <c r="AH178" s="203"/>
      <c r="AI178" s="18"/>
      <c r="AJ178" s="18"/>
      <c r="AK178" s="18"/>
      <c r="AL178" s="18"/>
      <c r="AM178" s="18"/>
      <c r="AN178" s="18"/>
    </row>
    <row r="179" spans="1:40" ht="20">
      <c r="A179" s="18"/>
      <c r="B179" s="151"/>
      <c r="C179" s="55">
        <v>159</v>
      </c>
      <c r="D179" s="54">
        <v>1</v>
      </c>
      <c r="E179" s="190">
        <f t="shared" si="49"/>
        <v>6</v>
      </c>
      <c r="F179" s="191">
        <f t="shared" si="50"/>
        <v>46181</v>
      </c>
      <c r="G179" s="192" t="str">
        <f t="shared" si="51"/>
        <v>Mon</v>
      </c>
      <c r="H179" s="193"/>
      <c r="I179" s="194"/>
      <c r="J179" s="307">
        <f>96230/B13</f>
        <v>872.12253036070331</v>
      </c>
      <c r="K179" s="215"/>
      <c r="L179" s="317">
        <f t="shared" si="52"/>
        <v>1303.5572877002019</v>
      </c>
      <c r="M179" s="318">
        <f t="shared" si="46"/>
        <v>-431.43475733949856</v>
      </c>
      <c r="N179" s="41">
        <f t="shared" si="8"/>
        <v>0.66903276027043168</v>
      </c>
      <c r="O179" s="44"/>
      <c r="P179" s="317">
        <f>IF(D179=0,0,SUM($L$172:L179))</f>
        <v>13148.787866528293</v>
      </c>
      <c r="Q179" s="317">
        <f>IF(D179=0,0,SUM($J$172:J179))</f>
        <v>15398.133043320644</v>
      </c>
      <c r="R179" s="321">
        <f t="shared" si="47"/>
        <v>2249.3451767923507</v>
      </c>
      <c r="S179" s="198">
        <f t="shared" si="53"/>
        <v>1.1710686338258076</v>
      </c>
      <c r="T179" s="212"/>
      <c r="U179" s="317">
        <f>IF(D179=0,0,SUM($L$21:L179))</f>
        <v>270874.90713424643</v>
      </c>
      <c r="V179" s="317">
        <f>IF(D179=0,0,SUM($J$21:J179))</f>
        <v>297963.188549846</v>
      </c>
      <c r="W179" s="331">
        <f t="shared" si="48"/>
        <v>27088.281415599573</v>
      </c>
      <c r="X179" s="200">
        <f t="shared" si="54"/>
        <v>1.1000029190676364</v>
      </c>
      <c r="Y179" s="201">
        <f t="shared" si="56"/>
        <v>46181</v>
      </c>
      <c r="Z179" s="202">
        <f t="shared" si="56"/>
        <v>46181</v>
      </c>
      <c r="AA179" s="18"/>
      <c r="AB179" s="244"/>
      <c r="AC179" s="247"/>
      <c r="AD179" s="142"/>
      <c r="AE179" s="18"/>
      <c r="AF179" s="18"/>
      <c r="AG179" s="203"/>
      <c r="AH179" s="203"/>
      <c r="AI179" s="18"/>
      <c r="AJ179" s="18"/>
      <c r="AK179" s="18"/>
      <c r="AL179" s="18"/>
      <c r="AM179" s="18"/>
      <c r="AN179" s="18"/>
    </row>
    <row r="180" spans="1:40" ht="20">
      <c r="A180" s="18"/>
      <c r="B180" s="151"/>
      <c r="C180" s="55">
        <v>160</v>
      </c>
      <c r="D180" s="54">
        <v>1</v>
      </c>
      <c r="E180" s="190">
        <f t="shared" si="49"/>
        <v>6</v>
      </c>
      <c r="F180" s="191">
        <f t="shared" si="50"/>
        <v>46182</v>
      </c>
      <c r="G180" s="192" t="str">
        <f t="shared" si="51"/>
        <v>Tue</v>
      </c>
      <c r="H180" s="193"/>
      <c r="I180" s="194"/>
      <c r="J180" s="307">
        <f>297970/B13</f>
        <v>2700.4712706180894</v>
      </c>
      <c r="K180" s="215"/>
      <c r="L180" s="317">
        <f t="shared" si="52"/>
        <v>1388.0235690012096</v>
      </c>
      <c r="M180" s="318">
        <f t="shared" si="46"/>
        <v>1312.4477016168798</v>
      </c>
      <c r="N180" s="41">
        <f t="shared" si="8"/>
        <v>1.9455514523872872</v>
      </c>
      <c r="O180" s="56"/>
      <c r="P180" s="317">
        <f>IF(D180=0,0,SUM($L$172:L180))</f>
        <v>14536.811435529504</v>
      </c>
      <c r="Q180" s="317">
        <f>IF(D180=0,0,SUM($J$172:J180))</f>
        <v>18098.604313938733</v>
      </c>
      <c r="R180" s="321">
        <f t="shared" si="47"/>
        <v>3561.7928784092292</v>
      </c>
      <c r="S180" s="198">
        <f t="shared" si="53"/>
        <v>1.2450188539767277</v>
      </c>
      <c r="T180" s="207"/>
      <c r="U180" s="317">
        <f>IF(D180=0,0,SUM($L$21:L180))</f>
        <v>272262.93070324766</v>
      </c>
      <c r="V180" s="317">
        <f>IF(D180=0,0,SUM($J$21:J180))</f>
        <v>300663.65982046409</v>
      </c>
      <c r="W180" s="331">
        <f t="shared" si="48"/>
        <v>28400.729117216426</v>
      </c>
      <c r="X180" s="200">
        <f t="shared" si="54"/>
        <v>1.104313609803061</v>
      </c>
      <c r="Y180" s="201">
        <f t="shared" si="56"/>
        <v>46182</v>
      </c>
      <c r="Z180" s="202">
        <f t="shared" si="56"/>
        <v>46182</v>
      </c>
      <c r="AA180" s="18"/>
      <c r="AB180" s="244"/>
      <c r="AC180" s="247"/>
      <c r="AD180" s="142"/>
      <c r="AE180" s="18"/>
      <c r="AF180" s="18"/>
      <c r="AG180" s="203"/>
      <c r="AH180" s="203"/>
      <c r="AI180" s="18"/>
      <c r="AJ180" s="18"/>
      <c r="AK180" s="18"/>
      <c r="AL180" s="18"/>
      <c r="AM180" s="18"/>
      <c r="AN180" s="18"/>
    </row>
    <row r="181" spans="1:40" ht="20">
      <c r="A181" s="18"/>
      <c r="B181" s="151"/>
      <c r="C181" s="55">
        <v>161</v>
      </c>
      <c r="D181" s="54">
        <v>1</v>
      </c>
      <c r="E181" s="190">
        <f t="shared" si="49"/>
        <v>6</v>
      </c>
      <c r="F181" s="191">
        <f t="shared" si="50"/>
        <v>46183</v>
      </c>
      <c r="G181" s="192" t="str">
        <f t="shared" si="51"/>
        <v>Wed</v>
      </c>
      <c r="H181" s="193"/>
      <c r="I181" s="194"/>
      <c r="J181" s="307">
        <f>265260/B13</f>
        <v>2404.0239260467642</v>
      </c>
      <c r="K181" s="215"/>
      <c r="L181" s="317">
        <f t="shared" si="52"/>
        <v>2613.8906933915891</v>
      </c>
      <c r="M181" s="318">
        <f t="shared" si="46"/>
        <v>-209.86676734482489</v>
      </c>
      <c r="N181" s="41">
        <f t="shared" si="8"/>
        <v>0.91971096271339581</v>
      </c>
      <c r="O181" s="56"/>
      <c r="P181" s="317">
        <f>IF(D181=0,0,SUM($L$172:L181))</f>
        <v>17150.702128921093</v>
      </c>
      <c r="Q181" s="317">
        <f>IF(D181=0,0,SUM($J$172:J181))</f>
        <v>20502.628239985497</v>
      </c>
      <c r="R181" s="321">
        <f t="shared" si="47"/>
        <v>3351.9261110644038</v>
      </c>
      <c r="S181" s="198">
        <f t="shared" si="53"/>
        <v>1.1954395852640969</v>
      </c>
      <c r="T181" s="207"/>
      <c r="U181" s="317">
        <f>IF(D181=0,0,SUM($L$21:L181))</f>
        <v>274876.82139663928</v>
      </c>
      <c r="V181" s="317">
        <f>IF(D181=0,0,SUM($J$21:J181))</f>
        <v>303067.68374651088</v>
      </c>
      <c r="W181" s="331">
        <f t="shared" si="48"/>
        <v>28190.862349871604</v>
      </c>
      <c r="X181" s="200">
        <f t="shared" si="54"/>
        <v>1.1025581648050018</v>
      </c>
      <c r="Y181" s="201">
        <f t="shared" si="56"/>
        <v>46183</v>
      </c>
      <c r="Z181" s="202">
        <f t="shared" si="56"/>
        <v>46183</v>
      </c>
      <c r="AA181" s="18"/>
      <c r="AB181" s="244"/>
      <c r="AC181" s="247"/>
      <c r="AD181" s="142"/>
      <c r="AE181" s="18"/>
      <c r="AF181" s="18"/>
      <c r="AG181" s="203"/>
      <c r="AH181" s="203"/>
      <c r="AI181" s="18"/>
      <c r="AJ181" s="18"/>
      <c r="AK181" s="18"/>
      <c r="AL181" s="18"/>
      <c r="AM181" s="18"/>
      <c r="AN181" s="18"/>
    </row>
    <row r="182" spans="1:40" ht="20">
      <c r="A182" s="18"/>
      <c r="B182" s="151"/>
      <c r="C182" s="55">
        <v>162</v>
      </c>
      <c r="D182" s="54">
        <v>1</v>
      </c>
      <c r="E182" s="190">
        <f t="shared" si="49"/>
        <v>6</v>
      </c>
      <c r="F182" s="191">
        <f t="shared" si="50"/>
        <v>46184</v>
      </c>
      <c r="G182" s="192" t="str">
        <f t="shared" si="51"/>
        <v>Thu</v>
      </c>
      <c r="H182" s="193"/>
      <c r="I182" s="194"/>
      <c r="J182" s="307">
        <f>295230/B13</f>
        <v>2675.6389342033713</v>
      </c>
      <c r="K182" s="215"/>
      <c r="L182" s="317">
        <f t="shared" si="52"/>
        <v>2368.6325140670947</v>
      </c>
      <c r="M182" s="318">
        <f t="shared" si="46"/>
        <v>307.00642013627657</v>
      </c>
      <c r="N182" s="41">
        <f t="shared" si="8"/>
        <v>1.1296133605837939</v>
      </c>
      <c r="O182" s="56"/>
      <c r="P182" s="317">
        <f>IF(D182=0,0,SUM($L$172:L182))</f>
        <v>19519.334642988189</v>
      </c>
      <c r="Q182" s="317">
        <f>IF(D182=0,0,SUM($J$172:J182))</f>
        <v>23178.26717418887</v>
      </c>
      <c r="R182" s="321">
        <f t="shared" si="47"/>
        <v>3658.9325312006804</v>
      </c>
      <c r="S182" s="198">
        <f t="shared" si="53"/>
        <v>1.1874517035607592</v>
      </c>
      <c r="T182" s="207"/>
      <c r="U182" s="317">
        <f>IF(D182=0,0,SUM($L$21:L182))</f>
        <v>277245.45391070639</v>
      </c>
      <c r="V182" s="317">
        <f>IF(D182=0,0,SUM($J$21:J182))</f>
        <v>305743.32268071425</v>
      </c>
      <c r="W182" s="331">
        <f t="shared" si="48"/>
        <v>28497.868770007859</v>
      </c>
      <c r="X182" s="200">
        <f t="shared" si="54"/>
        <v>1.1027893095018477</v>
      </c>
      <c r="Y182" s="201">
        <f t="shared" si="56"/>
        <v>46184</v>
      </c>
      <c r="Z182" s="202">
        <f t="shared" si="56"/>
        <v>46184</v>
      </c>
      <c r="AA182" s="18"/>
      <c r="AB182" s="244"/>
      <c r="AC182" s="247"/>
      <c r="AD182" s="142"/>
      <c r="AE182" s="18"/>
      <c r="AF182" s="18"/>
      <c r="AG182" s="203"/>
      <c r="AH182" s="203"/>
      <c r="AI182" s="18"/>
      <c r="AJ182" s="18"/>
      <c r="AK182" s="18"/>
      <c r="AL182" s="18"/>
      <c r="AM182" s="18"/>
      <c r="AN182" s="18"/>
    </row>
    <row r="183" spans="1:40" ht="20">
      <c r="A183" s="18"/>
      <c r="B183" s="151"/>
      <c r="C183" s="55">
        <v>163</v>
      </c>
      <c r="D183" s="54">
        <v>1</v>
      </c>
      <c r="E183" s="190">
        <f t="shared" si="49"/>
        <v>6</v>
      </c>
      <c r="F183" s="191">
        <f t="shared" si="50"/>
        <v>46185</v>
      </c>
      <c r="G183" s="192" t="str">
        <f t="shared" si="51"/>
        <v>Fri</v>
      </c>
      <c r="H183" s="193"/>
      <c r="I183" s="194"/>
      <c r="J183" s="307">
        <f>167200/B13</f>
        <v>1515.31629508791</v>
      </c>
      <c r="K183" s="215"/>
      <c r="L183" s="317">
        <f t="shared" si="52"/>
        <v>2735.4285695561939</v>
      </c>
      <c r="M183" s="318">
        <f t="shared" si="46"/>
        <v>-1220.1122744682839</v>
      </c>
      <c r="N183" s="41">
        <f t="shared" si="8"/>
        <v>0.55395937293064124</v>
      </c>
      <c r="O183" s="56"/>
      <c r="P183" s="317">
        <f>IF(D183=0,0,SUM($L$172:L183))</f>
        <v>22254.763212544385</v>
      </c>
      <c r="Q183" s="317">
        <f>IF(D183=0,0,SUM($J$172:J183))</f>
        <v>24693.583469276778</v>
      </c>
      <c r="R183" s="321">
        <f t="shared" si="47"/>
        <v>2438.8202567323933</v>
      </c>
      <c r="S183" s="198">
        <f t="shared" si="53"/>
        <v>1.1095864392463048</v>
      </c>
      <c r="T183" s="207"/>
      <c r="U183" s="317">
        <f>IF(D183=0,0,SUM($L$21:L183))</f>
        <v>279980.8824802626</v>
      </c>
      <c r="V183" s="317">
        <f>IF(D183=0,0,SUM($J$21:J183))</f>
        <v>307258.63897580217</v>
      </c>
      <c r="W183" s="331">
        <f t="shared" si="48"/>
        <v>27277.756495539565</v>
      </c>
      <c r="X183" s="200">
        <f t="shared" si="54"/>
        <v>1.0974272109363128</v>
      </c>
      <c r="Y183" s="201">
        <f t="shared" ref="Y183:Z198" si="57">Y182+1</f>
        <v>46185</v>
      </c>
      <c r="Z183" s="202">
        <f t="shared" si="57"/>
        <v>46185</v>
      </c>
      <c r="AA183" s="18"/>
      <c r="AB183" s="244"/>
      <c r="AC183" s="247"/>
      <c r="AD183" s="142"/>
      <c r="AE183" s="18"/>
      <c r="AF183" s="18"/>
      <c r="AG183" s="203"/>
      <c r="AH183" s="203"/>
      <c r="AI183" s="18"/>
      <c r="AJ183" s="18"/>
      <c r="AK183" s="18"/>
      <c r="AL183" s="18"/>
      <c r="AM183" s="18"/>
      <c r="AN183" s="18"/>
    </row>
    <row r="184" spans="1:40" ht="20">
      <c r="A184" s="18"/>
      <c r="B184" s="151"/>
      <c r="C184" s="55">
        <v>164</v>
      </c>
      <c r="D184" s="54">
        <v>1</v>
      </c>
      <c r="E184" s="190">
        <f t="shared" si="49"/>
        <v>6</v>
      </c>
      <c r="F184" s="191">
        <f t="shared" si="50"/>
        <v>46186</v>
      </c>
      <c r="G184" s="192" t="str">
        <f t="shared" si="51"/>
        <v>Sat</v>
      </c>
      <c r="H184" s="193"/>
      <c r="I184" s="194"/>
      <c r="J184" s="307">
        <f>284950/B13</f>
        <v>2582.4723581656694</v>
      </c>
      <c r="K184" s="215"/>
      <c r="L184" s="317">
        <f t="shared" si="52"/>
        <v>1435.6979451118025</v>
      </c>
      <c r="M184" s="318">
        <f t="shared" si="46"/>
        <v>1146.774413053867</v>
      </c>
      <c r="N184" s="41">
        <f t="shared" si="8"/>
        <v>1.7987574384698057</v>
      </c>
      <c r="O184" s="56"/>
      <c r="P184" s="317">
        <f>IF(D184=0,0,SUM($L$172:L184))</f>
        <v>23690.461157656187</v>
      </c>
      <c r="Q184" s="317">
        <f>IF(D184=0,0,SUM($J$172:J184))</f>
        <v>27276.055827442447</v>
      </c>
      <c r="R184" s="321">
        <f t="shared" si="47"/>
        <v>3585.5946697862601</v>
      </c>
      <c r="S184" s="198">
        <f t="shared" si="53"/>
        <v>1.1513518308455335</v>
      </c>
      <c r="T184" s="207"/>
      <c r="U184" s="317">
        <f>IF(D184=0,0,SUM($L$21:L184))</f>
        <v>281416.58042537438</v>
      </c>
      <c r="V184" s="317">
        <f>IF(D184=0,0,SUM($J$21:J184))</f>
        <v>309841.11133396783</v>
      </c>
      <c r="W184" s="331">
        <f t="shared" si="48"/>
        <v>28424.530908593442</v>
      </c>
      <c r="X184" s="200">
        <f t="shared" si="54"/>
        <v>1.1010051748394798</v>
      </c>
      <c r="Y184" s="201">
        <f t="shared" si="57"/>
        <v>46186</v>
      </c>
      <c r="Z184" s="202">
        <f t="shared" si="57"/>
        <v>46186</v>
      </c>
      <c r="AA184" s="18"/>
      <c r="AB184" s="244"/>
      <c r="AC184" s="247"/>
      <c r="AD184" s="142"/>
      <c r="AE184" s="18"/>
      <c r="AF184" s="18"/>
      <c r="AG184" s="203"/>
      <c r="AH184" s="203"/>
      <c r="AI184" s="18"/>
      <c r="AJ184" s="18"/>
      <c r="AK184" s="18"/>
      <c r="AL184" s="18"/>
      <c r="AM184" s="18"/>
      <c r="AN184" s="18"/>
    </row>
    <row r="185" spans="1:40" ht="20">
      <c r="A185" s="18"/>
      <c r="B185" s="151"/>
      <c r="C185" s="55">
        <v>165</v>
      </c>
      <c r="D185" s="54">
        <v>0</v>
      </c>
      <c r="E185" s="190">
        <f t="shared" si="49"/>
        <v>6</v>
      </c>
      <c r="F185" s="191">
        <f t="shared" si="50"/>
        <v>46187</v>
      </c>
      <c r="G185" s="192" t="str">
        <f t="shared" si="51"/>
        <v>Sun</v>
      </c>
      <c r="H185" s="193"/>
      <c r="I185" s="194"/>
      <c r="J185" s="307">
        <f>61200/B13</f>
        <v>554.64926590538334</v>
      </c>
      <c r="K185" s="215"/>
      <c r="L185" s="317">
        <f t="shared" si="52"/>
        <v>0</v>
      </c>
      <c r="M185" s="318">
        <f t="shared" si="46"/>
        <v>0</v>
      </c>
      <c r="N185" s="41" t="str">
        <f t="shared" si="8"/>
        <v>¥0</v>
      </c>
      <c r="O185" s="56"/>
      <c r="P185" s="317">
        <f>IF(D185=0,0,SUM($L$172:L185))</f>
        <v>0</v>
      </c>
      <c r="Q185" s="317">
        <f>IF(D185=0,0,SUM($J$172:J185))</f>
        <v>0</v>
      </c>
      <c r="R185" s="321">
        <f t="shared" si="47"/>
        <v>0</v>
      </c>
      <c r="S185" s="198">
        <f t="shared" si="53"/>
        <v>0</v>
      </c>
      <c r="T185" s="207"/>
      <c r="U185" s="317">
        <f>IF(D185=0,0,SUM($L$21:L185))</f>
        <v>0</v>
      </c>
      <c r="V185" s="317">
        <f>IF(D185=0,0,SUM($J$21:J185))</f>
        <v>0</v>
      </c>
      <c r="W185" s="331">
        <f t="shared" si="48"/>
        <v>0</v>
      </c>
      <c r="X185" s="200">
        <f t="shared" si="54"/>
        <v>0</v>
      </c>
      <c r="Y185" s="201">
        <f t="shared" si="57"/>
        <v>46187</v>
      </c>
      <c r="Z185" s="202">
        <f t="shared" si="57"/>
        <v>46187</v>
      </c>
      <c r="AA185" s="18"/>
      <c r="AB185" s="244"/>
      <c r="AC185" s="247"/>
      <c r="AD185" s="142"/>
      <c r="AE185" s="18"/>
      <c r="AF185" s="18"/>
      <c r="AG185" s="203"/>
      <c r="AH185" s="203"/>
      <c r="AI185" s="18"/>
      <c r="AJ185" s="18"/>
      <c r="AK185" s="18"/>
      <c r="AL185" s="18"/>
      <c r="AM185" s="18"/>
      <c r="AN185" s="18"/>
    </row>
    <row r="186" spans="1:40" ht="20">
      <c r="A186" s="18"/>
      <c r="B186" s="151"/>
      <c r="C186" s="55">
        <v>166</v>
      </c>
      <c r="D186" s="54">
        <v>1</v>
      </c>
      <c r="E186" s="190">
        <f t="shared" si="49"/>
        <v>6</v>
      </c>
      <c r="F186" s="191">
        <f t="shared" si="50"/>
        <v>46188</v>
      </c>
      <c r="G186" s="192" t="str">
        <f t="shared" si="51"/>
        <v>Mon</v>
      </c>
      <c r="H186" s="193"/>
      <c r="I186" s="194"/>
      <c r="J186" s="307"/>
      <c r="K186" s="215"/>
      <c r="L186" s="317">
        <f t="shared" si="52"/>
        <v>1303.5572877002019</v>
      </c>
      <c r="M186" s="318">
        <f t="shared" si="46"/>
        <v>-1303.5572877002019</v>
      </c>
      <c r="N186" s="41">
        <f t="shared" si="8"/>
        <v>0</v>
      </c>
      <c r="O186" s="44"/>
      <c r="P186" s="317">
        <f>IF(D186=0,0,SUM($L$172:L186))</f>
        <v>24994.018445356389</v>
      </c>
      <c r="Q186" s="317">
        <f>IF(D186=0,0,SUM($J$172:J186))</f>
        <v>27830.705093347831</v>
      </c>
      <c r="R186" s="321">
        <f t="shared" si="47"/>
        <v>2836.6866479914424</v>
      </c>
      <c r="S186" s="198">
        <f t="shared" si="53"/>
        <v>1.1134946208907222</v>
      </c>
      <c r="T186" s="212"/>
      <c r="U186" s="317">
        <f>IF(D186=0,0,SUM($L$21:L186))</f>
        <v>282720.13771307457</v>
      </c>
      <c r="V186" s="317">
        <f>IF(D186=0,0,SUM($J$21:J186))</f>
        <v>310395.7605998732</v>
      </c>
      <c r="W186" s="331">
        <f t="shared" si="48"/>
        <v>27675.622886798636</v>
      </c>
      <c r="X186" s="200">
        <f t="shared" si="54"/>
        <v>1.0978905256295748</v>
      </c>
      <c r="Y186" s="201">
        <f t="shared" si="57"/>
        <v>46188</v>
      </c>
      <c r="Z186" s="202">
        <f t="shared" si="57"/>
        <v>46188</v>
      </c>
      <c r="AA186" s="18"/>
      <c r="AB186" s="244"/>
      <c r="AC186" s="247"/>
      <c r="AD186" s="142"/>
      <c r="AE186" s="18"/>
      <c r="AF186" s="18"/>
      <c r="AG186" s="203"/>
      <c r="AH186" s="203"/>
      <c r="AI186" s="18"/>
      <c r="AJ186" s="18"/>
      <c r="AK186" s="18"/>
      <c r="AL186" s="18"/>
      <c r="AM186" s="18"/>
      <c r="AN186" s="18"/>
    </row>
    <row r="187" spans="1:40" ht="20">
      <c r="A187" s="18"/>
      <c r="B187" s="151"/>
      <c r="C187" s="55">
        <v>167</v>
      </c>
      <c r="D187" s="54">
        <v>1</v>
      </c>
      <c r="E187" s="190">
        <f t="shared" si="49"/>
        <v>6</v>
      </c>
      <c r="F187" s="191">
        <f t="shared" si="50"/>
        <v>46189</v>
      </c>
      <c r="G187" s="192" t="str">
        <f t="shared" si="51"/>
        <v>Tue</v>
      </c>
      <c r="H187" s="193"/>
      <c r="I187" s="194"/>
      <c r="J187" s="307">
        <f>351410/B13</f>
        <v>3184.7924596701105</v>
      </c>
      <c r="K187" s="215"/>
      <c r="L187" s="317">
        <f t="shared" si="52"/>
        <v>1388.0235690012096</v>
      </c>
      <c r="M187" s="318">
        <f t="shared" si="46"/>
        <v>1796.7688906689009</v>
      </c>
      <c r="N187" s="41">
        <f t="shared" si="8"/>
        <v>2.294480101632435</v>
      </c>
      <c r="O187" s="56"/>
      <c r="P187" s="317">
        <f>IF(D187=0,0,SUM($L$172:L187))</f>
        <v>26382.042014357598</v>
      </c>
      <c r="Q187" s="317">
        <f>IF(D187=0,0,SUM($J$172:J187))</f>
        <v>31015.497553017944</v>
      </c>
      <c r="R187" s="321">
        <f t="shared" si="47"/>
        <v>4633.4555386603461</v>
      </c>
      <c r="S187" s="198">
        <f t="shared" si="53"/>
        <v>1.1756291471349616</v>
      </c>
      <c r="T187" s="207"/>
      <c r="U187" s="317">
        <f>IF(D187=0,0,SUM($L$21:L187))</f>
        <v>284108.1612820758</v>
      </c>
      <c r="V187" s="317">
        <f>IF(D187=0,0,SUM($J$21:J187))</f>
        <v>313580.55305954331</v>
      </c>
      <c r="W187" s="331">
        <f t="shared" si="48"/>
        <v>29472.391777467506</v>
      </c>
      <c r="X187" s="200">
        <f t="shared" si="54"/>
        <v>1.103736519375119</v>
      </c>
      <c r="Y187" s="201">
        <f t="shared" si="57"/>
        <v>46189</v>
      </c>
      <c r="Z187" s="202">
        <f t="shared" si="57"/>
        <v>46189</v>
      </c>
      <c r="AA187" s="18"/>
      <c r="AB187" s="244"/>
      <c r="AC187" s="247"/>
      <c r="AD187" s="142"/>
      <c r="AE187" s="18"/>
      <c r="AF187" s="18"/>
      <c r="AG187" s="203"/>
      <c r="AH187" s="203"/>
      <c r="AI187" s="18"/>
      <c r="AJ187" s="18"/>
      <c r="AK187" s="18"/>
      <c r="AL187" s="18"/>
      <c r="AM187" s="18"/>
      <c r="AN187" s="18"/>
    </row>
    <row r="188" spans="1:40" ht="20">
      <c r="A188" s="18"/>
      <c r="B188" s="151"/>
      <c r="C188" s="55">
        <v>168</v>
      </c>
      <c r="D188" s="54">
        <v>1</v>
      </c>
      <c r="E188" s="190">
        <f t="shared" si="49"/>
        <v>6</v>
      </c>
      <c r="F188" s="191">
        <f t="shared" si="50"/>
        <v>46190</v>
      </c>
      <c r="G188" s="192" t="str">
        <f t="shared" si="51"/>
        <v>Wed</v>
      </c>
      <c r="H188" s="193"/>
      <c r="I188" s="194"/>
      <c r="J188" s="307">
        <f>220490/B13</f>
        <v>1998.2780496646728</v>
      </c>
      <c r="K188" s="215"/>
      <c r="L188" s="317">
        <f t="shared" si="52"/>
        <v>2613.8906933915891</v>
      </c>
      <c r="M188" s="318">
        <f t="shared" si="46"/>
        <v>-615.6126437269163</v>
      </c>
      <c r="N188" s="41">
        <f t="shared" si="8"/>
        <v>0.76448416711406419</v>
      </c>
      <c r="O188" s="56"/>
      <c r="P188" s="317">
        <f>IF(D188=0,0,SUM($L$172:L188))</f>
        <v>28995.932707749187</v>
      </c>
      <c r="Q188" s="317">
        <f>IF(D188=0,0,SUM($J$172:J188))</f>
        <v>33013.775602682617</v>
      </c>
      <c r="R188" s="321">
        <f t="shared" si="47"/>
        <v>4017.8428949334302</v>
      </c>
      <c r="S188" s="198">
        <f t="shared" si="53"/>
        <v>1.1385657407688652</v>
      </c>
      <c r="T188" s="207"/>
      <c r="U188" s="317">
        <f>IF(D188=0,0,SUM($L$21:L188))</f>
        <v>286722.05197546742</v>
      </c>
      <c r="V188" s="317">
        <f>IF(D188=0,0,SUM($J$21:J188))</f>
        <v>315578.831109208</v>
      </c>
      <c r="W188" s="331">
        <f t="shared" si="48"/>
        <v>28856.77913374058</v>
      </c>
      <c r="X188" s="200">
        <f t="shared" si="54"/>
        <v>1.1006437381949596</v>
      </c>
      <c r="Y188" s="201">
        <f t="shared" si="57"/>
        <v>46190</v>
      </c>
      <c r="Z188" s="202">
        <f t="shared" si="57"/>
        <v>46190</v>
      </c>
      <c r="AA188" s="18"/>
      <c r="AB188" s="244"/>
      <c r="AC188" s="247"/>
      <c r="AD188" s="142"/>
      <c r="AE188" s="18"/>
      <c r="AF188" s="18"/>
      <c r="AG188" s="203"/>
      <c r="AH188" s="203"/>
      <c r="AI188" s="18"/>
      <c r="AJ188" s="18"/>
      <c r="AK188" s="18"/>
      <c r="AL188" s="18"/>
      <c r="AM188" s="18"/>
      <c r="AN188" s="18"/>
    </row>
    <row r="189" spans="1:40" ht="20">
      <c r="A189" s="18"/>
      <c r="B189" s="151"/>
      <c r="C189" s="55">
        <v>169</v>
      </c>
      <c r="D189" s="54">
        <v>1</v>
      </c>
      <c r="E189" s="190">
        <f t="shared" si="49"/>
        <v>6</v>
      </c>
      <c r="F189" s="191">
        <f t="shared" si="50"/>
        <v>46191</v>
      </c>
      <c r="G189" s="192" t="str">
        <f t="shared" si="51"/>
        <v>Thu</v>
      </c>
      <c r="H189" s="193"/>
      <c r="I189" s="194"/>
      <c r="J189" s="307">
        <f>244790/B13</f>
        <v>2218.5064346565164</v>
      </c>
      <c r="K189" s="215"/>
      <c r="L189" s="317">
        <f t="shared" si="52"/>
        <v>2368.6325140670947</v>
      </c>
      <c r="M189" s="318">
        <f t="shared" si="46"/>
        <v>-150.12607941057831</v>
      </c>
      <c r="N189" s="41">
        <f t="shared" si="8"/>
        <v>0.93661909202082083</v>
      </c>
      <c r="O189" s="56"/>
      <c r="P189" s="317">
        <f>IF(D189=0,0,SUM($L$172:L189))</f>
        <v>31364.565221816283</v>
      </c>
      <c r="Q189" s="317">
        <f>IF(D189=0,0,SUM($J$172:J189))</f>
        <v>35232.282037339137</v>
      </c>
      <c r="R189" s="321">
        <f t="shared" si="47"/>
        <v>3867.7168155228537</v>
      </c>
      <c r="S189" s="198">
        <f t="shared" si="53"/>
        <v>1.1233148550974519</v>
      </c>
      <c r="T189" s="207"/>
      <c r="U189" s="317">
        <f>IF(D189=0,0,SUM($L$21:L189))</f>
        <v>289090.68448953453</v>
      </c>
      <c r="V189" s="317">
        <f>IF(D189=0,0,SUM($J$21:J189))</f>
        <v>317797.3375438645</v>
      </c>
      <c r="W189" s="331">
        <f t="shared" si="48"/>
        <v>28706.653054329974</v>
      </c>
      <c r="X189" s="200">
        <f t="shared" si="54"/>
        <v>1.0992998204180087</v>
      </c>
      <c r="Y189" s="201">
        <f t="shared" si="57"/>
        <v>46191</v>
      </c>
      <c r="Z189" s="202">
        <f t="shared" si="57"/>
        <v>46191</v>
      </c>
      <c r="AA189" s="18"/>
      <c r="AB189" s="244"/>
      <c r="AC189" s="247"/>
      <c r="AD189" s="142"/>
      <c r="AE189" s="18"/>
      <c r="AF189" s="18"/>
      <c r="AG189" s="203"/>
      <c r="AH189" s="203"/>
      <c r="AI189" s="18"/>
      <c r="AJ189" s="18"/>
      <c r="AK189" s="18"/>
      <c r="AL189" s="18"/>
      <c r="AM189" s="18"/>
      <c r="AN189" s="18"/>
    </row>
    <row r="190" spans="1:40" ht="20">
      <c r="A190" s="18"/>
      <c r="B190" s="151"/>
      <c r="C190" s="55">
        <v>170</v>
      </c>
      <c r="D190" s="54">
        <v>1</v>
      </c>
      <c r="E190" s="190">
        <f t="shared" si="49"/>
        <v>6</v>
      </c>
      <c r="F190" s="191">
        <f t="shared" si="50"/>
        <v>46192</v>
      </c>
      <c r="G190" s="192" t="str">
        <f t="shared" si="51"/>
        <v>Fri</v>
      </c>
      <c r="H190" s="193"/>
      <c r="I190" s="194"/>
      <c r="J190" s="307">
        <f>242730/B13</f>
        <v>2199.836867862969</v>
      </c>
      <c r="K190" s="215"/>
      <c r="L190" s="317">
        <f t="shared" si="52"/>
        <v>2735.4285695561939</v>
      </c>
      <c r="M190" s="318">
        <f t="shared" si="46"/>
        <v>-535.59170169322488</v>
      </c>
      <c r="N190" s="41">
        <f t="shared" si="8"/>
        <v>0.80420190545128323</v>
      </c>
      <c r="O190" s="56"/>
      <c r="P190" s="317">
        <f>IF(D190=0,0,SUM($L$172:L190))</f>
        <v>34099.993791372479</v>
      </c>
      <c r="Q190" s="317">
        <f>IF(D190=0,0,SUM($J$172:J190))</f>
        <v>37432.118905202107</v>
      </c>
      <c r="R190" s="321">
        <f t="shared" si="47"/>
        <v>3332.1251138296284</v>
      </c>
      <c r="S190" s="198">
        <f t="shared" si="53"/>
        <v>1.0977162967892586</v>
      </c>
      <c r="T190" s="207"/>
      <c r="U190" s="317">
        <f>IF(D190=0,0,SUM($L$21:L190))</f>
        <v>291826.11305909074</v>
      </c>
      <c r="V190" s="317">
        <f>IF(D190=0,0,SUM($J$21:J190))</f>
        <v>319997.17441172746</v>
      </c>
      <c r="W190" s="331">
        <f t="shared" si="48"/>
        <v>28171.061352636723</v>
      </c>
      <c r="X190" s="200">
        <f t="shared" si="54"/>
        <v>1.0965337236525248</v>
      </c>
      <c r="Y190" s="201">
        <f t="shared" si="57"/>
        <v>46192</v>
      </c>
      <c r="Z190" s="202">
        <f t="shared" si="57"/>
        <v>46192</v>
      </c>
      <c r="AA190" s="18"/>
      <c r="AB190" s="244"/>
      <c r="AC190" s="247"/>
      <c r="AD190" s="142"/>
      <c r="AE190" s="18"/>
      <c r="AF190" s="18"/>
      <c r="AG190" s="203"/>
      <c r="AH190" s="203"/>
      <c r="AI190" s="18"/>
      <c r="AJ190" s="18"/>
      <c r="AK190" s="18"/>
      <c r="AL190" s="18"/>
      <c r="AM190" s="18"/>
      <c r="AN190" s="18"/>
    </row>
    <row r="191" spans="1:40" ht="20">
      <c r="A191" s="18"/>
      <c r="B191" s="151"/>
      <c r="C191" s="55">
        <v>171</v>
      </c>
      <c r="D191" s="54">
        <v>1</v>
      </c>
      <c r="E191" s="190">
        <f t="shared" si="49"/>
        <v>6</v>
      </c>
      <c r="F191" s="191">
        <f t="shared" si="50"/>
        <v>46193</v>
      </c>
      <c r="G191" s="192" t="str">
        <f t="shared" si="51"/>
        <v>Sat</v>
      </c>
      <c r="H191" s="193"/>
      <c r="I191" s="194"/>
      <c r="J191" s="307">
        <f>336680/B13</f>
        <v>3051.295994199746</v>
      </c>
      <c r="K191" s="215"/>
      <c r="L191" s="317">
        <f t="shared" si="52"/>
        <v>1435.6979451118025</v>
      </c>
      <c r="M191" s="318">
        <f t="shared" si="46"/>
        <v>1615.5980490879435</v>
      </c>
      <c r="N191" s="41">
        <f t="shared" si="8"/>
        <v>2.1253049811686759</v>
      </c>
      <c r="O191" s="56"/>
      <c r="P191" s="317">
        <f>IF(D191=0,0,SUM($L$172:L191))</f>
        <v>35535.691736484281</v>
      </c>
      <c r="Q191" s="317">
        <f>IF(D191=0,0,SUM($J$172:J191))</f>
        <v>40483.414899401854</v>
      </c>
      <c r="R191" s="321">
        <f t="shared" si="47"/>
        <v>4947.7231629175731</v>
      </c>
      <c r="S191" s="198">
        <f t="shared" si="53"/>
        <v>1.1392324989649147</v>
      </c>
      <c r="T191" s="207"/>
      <c r="U191" s="317">
        <f>IF(D191=0,0,SUM($L$21:L191))</f>
        <v>293261.81100420252</v>
      </c>
      <c r="V191" s="317">
        <f>IF(D191=0,0,SUM($J$21:J191))</f>
        <v>323048.47040592722</v>
      </c>
      <c r="W191" s="331">
        <f t="shared" si="48"/>
        <v>29786.659401724697</v>
      </c>
      <c r="X191" s="200">
        <f t="shared" si="54"/>
        <v>1.1015701952454282</v>
      </c>
      <c r="Y191" s="201">
        <f t="shared" si="57"/>
        <v>46193</v>
      </c>
      <c r="Z191" s="202">
        <f t="shared" si="57"/>
        <v>46193</v>
      </c>
      <c r="AA191" s="18"/>
      <c r="AB191" s="244"/>
      <c r="AC191" s="247"/>
      <c r="AD191" s="142"/>
      <c r="AE191" s="18"/>
      <c r="AF191" s="18"/>
      <c r="AG191" s="203"/>
      <c r="AH191" s="203"/>
      <c r="AI191" s="18"/>
      <c r="AJ191" s="18"/>
      <c r="AK191" s="18"/>
      <c r="AL191" s="18"/>
      <c r="AM191" s="18"/>
      <c r="AN191" s="18"/>
    </row>
    <row r="192" spans="1:40" ht="20">
      <c r="A192" s="18"/>
      <c r="B192" s="151"/>
      <c r="C192" s="55">
        <v>172</v>
      </c>
      <c r="D192" s="54">
        <v>0</v>
      </c>
      <c r="E192" s="190">
        <f t="shared" si="49"/>
        <v>6</v>
      </c>
      <c r="F192" s="191">
        <f t="shared" si="50"/>
        <v>46194</v>
      </c>
      <c r="G192" s="192" t="str">
        <f t="shared" si="51"/>
        <v>Sun</v>
      </c>
      <c r="H192" s="193"/>
      <c r="I192" s="194"/>
      <c r="J192" s="307">
        <f>55870/B13</f>
        <v>506.34402755120533</v>
      </c>
      <c r="K192" s="215"/>
      <c r="L192" s="317">
        <f t="shared" si="52"/>
        <v>0</v>
      </c>
      <c r="M192" s="318">
        <f t="shared" si="46"/>
        <v>0</v>
      </c>
      <c r="N192" s="41" t="str">
        <f t="shared" si="8"/>
        <v>¥0</v>
      </c>
      <c r="O192" s="56"/>
      <c r="P192" s="317">
        <f>IF(D192=0,0,SUM($L$172:L192))</f>
        <v>0</v>
      </c>
      <c r="Q192" s="317">
        <f>IF(D192=0,0,SUM($J$172:J192))</f>
        <v>0</v>
      </c>
      <c r="R192" s="321">
        <f t="shared" si="47"/>
        <v>0</v>
      </c>
      <c r="S192" s="198">
        <f t="shared" si="53"/>
        <v>0</v>
      </c>
      <c r="T192" s="207"/>
      <c r="U192" s="317">
        <f>IF(D192=0,0,SUM($L$21:L192))</f>
        <v>0</v>
      </c>
      <c r="V192" s="317">
        <f>IF(D192=0,0,SUM($J$21:J192))</f>
        <v>0</v>
      </c>
      <c r="W192" s="331">
        <f t="shared" si="48"/>
        <v>0</v>
      </c>
      <c r="X192" s="200">
        <f t="shared" si="54"/>
        <v>0</v>
      </c>
      <c r="Y192" s="201">
        <f t="shared" si="57"/>
        <v>46194</v>
      </c>
      <c r="Z192" s="202">
        <f t="shared" si="57"/>
        <v>46194</v>
      </c>
      <c r="AA192" s="18"/>
      <c r="AB192" s="244"/>
      <c r="AC192" s="247"/>
      <c r="AD192" s="142"/>
      <c r="AE192" s="18"/>
      <c r="AF192" s="18"/>
      <c r="AG192" s="203"/>
      <c r="AH192" s="203"/>
      <c r="AI192" s="18"/>
      <c r="AJ192" s="18"/>
      <c r="AK192" s="18"/>
      <c r="AL192" s="18"/>
      <c r="AM192" s="18"/>
      <c r="AN192" s="18"/>
    </row>
    <row r="193" spans="1:40" ht="20">
      <c r="A193" s="18"/>
      <c r="B193" s="151"/>
      <c r="C193" s="55">
        <v>173</v>
      </c>
      <c r="D193" s="54">
        <v>1</v>
      </c>
      <c r="E193" s="190">
        <f t="shared" si="49"/>
        <v>6</v>
      </c>
      <c r="F193" s="191">
        <f t="shared" si="50"/>
        <v>46195</v>
      </c>
      <c r="G193" s="192" t="str">
        <f t="shared" si="51"/>
        <v>Mon</v>
      </c>
      <c r="H193" s="193"/>
      <c r="I193" s="194"/>
      <c r="J193" s="307"/>
      <c r="K193" s="215"/>
      <c r="L193" s="317">
        <f t="shared" si="52"/>
        <v>1303.5572877002019</v>
      </c>
      <c r="M193" s="318">
        <f t="shared" si="46"/>
        <v>-1303.5572877002019</v>
      </c>
      <c r="N193" s="41">
        <f t="shared" si="8"/>
        <v>0</v>
      </c>
      <c r="O193" s="44"/>
      <c r="P193" s="317">
        <f>IF(D193=0,0,SUM($L$172:L193))</f>
        <v>36839.249024184486</v>
      </c>
      <c r="Q193" s="317">
        <f>IF(D193=0,0,SUM($J$172:J193))</f>
        <v>40989.758926953058</v>
      </c>
      <c r="R193" s="321">
        <f t="shared" si="47"/>
        <v>4150.5099027685719</v>
      </c>
      <c r="S193" s="198">
        <f t="shared" si="53"/>
        <v>1.1126654319159388</v>
      </c>
      <c r="T193" s="212"/>
      <c r="U193" s="317">
        <f>IF(D193=0,0,SUM($L$21:L193))</f>
        <v>294565.36829190271</v>
      </c>
      <c r="V193" s="317">
        <f>IF(D193=0,0,SUM($J$21:J193))</f>
        <v>323554.8144334784</v>
      </c>
      <c r="W193" s="331">
        <f t="shared" si="48"/>
        <v>28989.446141575696</v>
      </c>
      <c r="X193" s="200">
        <f t="shared" si="54"/>
        <v>1.0984143054890563</v>
      </c>
      <c r="Y193" s="201">
        <f t="shared" si="57"/>
        <v>46195</v>
      </c>
      <c r="Z193" s="202">
        <f t="shared" si="57"/>
        <v>46195</v>
      </c>
      <c r="AA193" s="18"/>
      <c r="AB193" s="244"/>
      <c r="AC193" s="247"/>
      <c r="AD193" s="142"/>
      <c r="AE193" s="18"/>
      <c r="AF193" s="18"/>
      <c r="AG193" s="203"/>
      <c r="AH193" s="203"/>
      <c r="AI193" s="18"/>
      <c r="AJ193" s="18"/>
      <c r="AK193" s="18"/>
      <c r="AL193" s="18"/>
      <c r="AM193" s="18"/>
      <c r="AN193" s="18"/>
    </row>
    <row r="194" spans="1:40" ht="20">
      <c r="A194" s="18"/>
      <c r="B194" s="151"/>
      <c r="C194" s="55">
        <v>174</v>
      </c>
      <c r="D194" s="54">
        <v>1</v>
      </c>
      <c r="E194" s="190">
        <f t="shared" si="49"/>
        <v>6</v>
      </c>
      <c r="F194" s="191">
        <f t="shared" si="50"/>
        <v>46196</v>
      </c>
      <c r="G194" s="192" t="str">
        <f t="shared" si="51"/>
        <v>Tue</v>
      </c>
      <c r="H194" s="193"/>
      <c r="I194" s="194"/>
      <c r="J194" s="307">
        <f>357190/B13</f>
        <v>3237.1760014500633</v>
      </c>
      <c r="K194" s="215"/>
      <c r="L194" s="317">
        <f t="shared" si="52"/>
        <v>1388.0235690012096</v>
      </c>
      <c r="M194" s="318">
        <f t="shared" si="46"/>
        <v>1849.1524324488537</v>
      </c>
      <c r="N194" s="41">
        <f t="shared" si="8"/>
        <v>2.3322197646683058</v>
      </c>
      <c r="O194" s="56"/>
      <c r="P194" s="317">
        <f>IF(D194=0,0,SUM($L$172:L194))</f>
        <v>38227.272593185698</v>
      </c>
      <c r="Q194" s="317">
        <f>IF(D194=0,0,SUM($J$172:J194))</f>
        <v>44226.93492840312</v>
      </c>
      <c r="R194" s="321">
        <f t="shared" si="47"/>
        <v>5999.6623352174211</v>
      </c>
      <c r="S194" s="198">
        <f t="shared" si="53"/>
        <v>1.1569471722208846</v>
      </c>
      <c r="T194" s="207"/>
      <c r="U194" s="317">
        <f>IF(D194=0,0,SUM($L$21:L194))</f>
        <v>295953.39186090394</v>
      </c>
      <c r="V194" s="317">
        <f>IF(D194=0,0,SUM($J$21:J194))</f>
        <v>326791.99043492845</v>
      </c>
      <c r="W194" s="331">
        <f t="shared" si="48"/>
        <v>30838.598574024509</v>
      </c>
      <c r="X194" s="200">
        <f t="shared" si="54"/>
        <v>1.1042008621023625</v>
      </c>
      <c r="Y194" s="201">
        <f t="shared" si="57"/>
        <v>46196</v>
      </c>
      <c r="Z194" s="202">
        <f t="shared" si="57"/>
        <v>46196</v>
      </c>
      <c r="AA194" s="18"/>
      <c r="AB194" s="244"/>
      <c r="AC194" s="247"/>
      <c r="AD194" s="142"/>
      <c r="AE194" s="18"/>
      <c r="AF194" s="18"/>
      <c r="AG194" s="203"/>
      <c r="AH194" s="203"/>
      <c r="AI194" s="18"/>
      <c r="AJ194" s="18"/>
      <c r="AK194" s="18"/>
      <c r="AL194" s="18"/>
      <c r="AM194" s="18"/>
      <c r="AN194" s="18"/>
    </row>
    <row r="195" spans="1:40" ht="20">
      <c r="A195" s="18"/>
      <c r="B195" s="151"/>
      <c r="C195" s="55">
        <v>175</v>
      </c>
      <c r="D195" s="54">
        <v>1</v>
      </c>
      <c r="E195" s="190">
        <f t="shared" si="49"/>
        <v>6</v>
      </c>
      <c r="F195" s="191">
        <f t="shared" si="50"/>
        <v>46197</v>
      </c>
      <c r="G195" s="192" t="str">
        <f t="shared" si="51"/>
        <v>Wed</v>
      </c>
      <c r="H195" s="193"/>
      <c r="I195" s="194"/>
      <c r="J195" s="307">
        <f>252030/B13</f>
        <v>2284.1218053289831</v>
      </c>
      <c r="K195" s="215"/>
      <c r="L195" s="317">
        <f t="shared" si="52"/>
        <v>2613.8906933915891</v>
      </c>
      <c r="M195" s="318">
        <f t="shared" si="46"/>
        <v>-329.76888806260604</v>
      </c>
      <c r="N195" s="41">
        <f t="shared" si="8"/>
        <v>0.87383983236318019</v>
      </c>
      <c r="O195" s="56"/>
      <c r="P195" s="317">
        <f>IF(D195=0,0,SUM($L$172:L195))</f>
        <v>40841.163286577284</v>
      </c>
      <c r="Q195" s="317">
        <f>IF(D195=0,0,SUM($J$172:J195))</f>
        <v>46511.056733732104</v>
      </c>
      <c r="R195" s="321">
        <f t="shared" si="47"/>
        <v>5669.89344715482</v>
      </c>
      <c r="S195" s="198">
        <f t="shared" si="53"/>
        <v>1.1388279125981278</v>
      </c>
      <c r="T195" s="207"/>
      <c r="U195" s="317">
        <f>IF(D195=0,0,SUM($L$21:L195))</f>
        <v>298567.28255429555</v>
      </c>
      <c r="V195" s="317">
        <f>IF(D195=0,0,SUM($J$21:J195))</f>
        <v>329076.11224025744</v>
      </c>
      <c r="W195" s="331">
        <f t="shared" si="48"/>
        <v>30508.829685961886</v>
      </c>
      <c r="X195" s="200">
        <f t="shared" si="54"/>
        <v>1.1021841021057415</v>
      </c>
      <c r="Y195" s="201">
        <f t="shared" si="57"/>
        <v>46197</v>
      </c>
      <c r="Z195" s="202">
        <f t="shared" si="57"/>
        <v>46197</v>
      </c>
      <c r="AA195" s="18"/>
      <c r="AB195" s="244"/>
      <c r="AC195" s="247"/>
      <c r="AD195" s="142"/>
      <c r="AE195" s="18"/>
      <c r="AF195" s="18"/>
      <c r="AG195" s="203"/>
      <c r="AH195" s="203"/>
      <c r="AI195" s="18"/>
      <c r="AJ195" s="18"/>
      <c r="AK195" s="18"/>
      <c r="AL195" s="18"/>
      <c r="AM195" s="18"/>
      <c r="AN195" s="18"/>
    </row>
    <row r="196" spans="1:40" ht="20">
      <c r="A196" s="18"/>
      <c r="B196" s="151"/>
      <c r="C196" s="55">
        <v>176</v>
      </c>
      <c r="D196" s="54">
        <v>1</v>
      </c>
      <c r="E196" s="190">
        <f t="shared" si="49"/>
        <v>6</v>
      </c>
      <c r="F196" s="191">
        <f t="shared" si="50"/>
        <v>46198</v>
      </c>
      <c r="G196" s="192" t="str">
        <f t="shared" si="51"/>
        <v>Thu</v>
      </c>
      <c r="H196" s="193"/>
      <c r="I196" s="194"/>
      <c r="J196" s="307">
        <f>191500/B13</f>
        <v>1735.5446800797533</v>
      </c>
      <c r="K196" s="215"/>
      <c r="L196" s="317">
        <f t="shared" si="52"/>
        <v>2368.6325140670947</v>
      </c>
      <c r="M196" s="318">
        <f t="shared" si="46"/>
        <v>-633.08783398734136</v>
      </c>
      <c r="N196" s="41">
        <f t="shared" si="8"/>
        <v>0.73272011161398409</v>
      </c>
      <c r="O196" s="56"/>
      <c r="P196" s="317">
        <f>IF(D196=0,0,SUM($L$172:L196))</f>
        <v>43209.795800644381</v>
      </c>
      <c r="Q196" s="317">
        <f>IF(D196=0,0,SUM($J$172:J196))</f>
        <v>48246.601413811855</v>
      </c>
      <c r="R196" s="321">
        <f t="shared" si="47"/>
        <v>5036.8056131674748</v>
      </c>
      <c r="S196" s="198">
        <f t="shared" si="53"/>
        <v>1.1165662905792386</v>
      </c>
      <c r="T196" s="207"/>
      <c r="U196" s="317">
        <f>IF(D196=0,0,SUM($L$21:L196))</f>
        <v>300935.91506836266</v>
      </c>
      <c r="V196" s="317">
        <f>IF(D196=0,0,SUM($J$21:J196))</f>
        <v>330811.65692033718</v>
      </c>
      <c r="W196" s="331">
        <f t="shared" si="48"/>
        <v>29875.741851974512</v>
      </c>
      <c r="X196" s="200">
        <f t="shared" si="54"/>
        <v>1.0992760928691006</v>
      </c>
      <c r="Y196" s="201">
        <f t="shared" si="57"/>
        <v>46198</v>
      </c>
      <c r="Z196" s="202">
        <f t="shared" si="57"/>
        <v>46198</v>
      </c>
      <c r="AA196" s="18"/>
      <c r="AB196" s="244"/>
      <c r="AC196" s="247"/>
      <c r="AD196" s="142"/>
      <c r="AE196" s="18"/>
      <c r="AF196" s="18"/>
      <c r="AG196" s="203"/>
      <c r="AH196" s="203"/>
      <c r="AI196" s="18"/>
      <c r="AJ196" s="18"/>
      <c r="AK196" s="18"/>
      <c r="AL196" s="18"/>
      <c r="AM196" s="18"/>
      <c r="AN196" s="18"/>
    </row>
    <row r="197" spans="1:40" ht="20">
      <c r="A197" s="18"/>
      <c r="B197" s="151"/>
      <c r="C197" s="55">
        <v>177</v>
      </c>
      <c r="D197" s="54">
        <v>1</v>
      </c>
      <c r="E197" s="190">
        <f t="shared" si="49"/>
        <v>6</v>
      </c>
      <c r="F197" s="191">
        <f t="shared" si="50"/>
        <v>46199</v>
      </c>
      <c r="G197" s="192" t="str">
        <f t="shared" si="51"/>
        <v>Fri</v>
      </c>
      <c r="H197" s="193"/>
      <c r="I197" s="194"/>
      <c r="J197" s="307">
        <f>291000/B13</f>
        <v>2637.3028820010873</v>
      </c>
      <c r="K197" s="215"/>
      <c r="L197" s="317">
        <f t="shared" si="52"/>
        <v>2735.4285695561939</v>
      </c>
      <c r="M197" s="318">
        <f t="shared" si="46"/>
        <v>-98.125687555106651</v>
      </c>
      <c r="N197" s="41">
        <f t="shared" si="8"/>
        <v>0.96412785599770678</v>
      </c>
      <c r="O197" s="56"/>
      <c r="P197" s="317">
        <f>IF(D197=0,0,SUM($L$172:L197))</f>
        <v>45945.224370200573</v>
      </c>
      <c r="Q197" s="317">
        <f>IF(D197=0,0,SUM($J$172:J197))</f>
        <v>50883.904295812943</v>
      </c>
      <c r="R197" s="321">
        <f t="shared" si="47"/>
        <v>4938.6799256123704</v>
      </c>
      <c r="S197" s="198">
        <f t="shared" si="53"/>
        <v>1.1074906041554893</v>
      </c>
      <c r="T197" s="207"/>
      <c r="U197" s="317">
        <f>IF(D197=0,0,SUM($L$21:L197))</f>
        <v>303671.34363791888</v>
      </c>
      <c r="V197" s="317">
        <f>IF(D197=0,0,SUM($J$21:J197))</f>
        <v>333448.95980233827</v>
      </c>
      <c r="W197" s="331">
        <f t="shared" si="48"/>
        <v>29777.616164419393</v>
      </c>
      <c r="X197" s="200">
        <f t="shared" si="54"/>
        <v>1.0980586966412103</v>
      </c>
      <c r="Y197" s="201">
        <f t="shared" si="57"/>
        <v>46199</v>
      </c>
      <c r="Z197" s="202">
        <f t="shared" si="57"/>
        <v>46199</v>
      </c>
      <c r="AA197" s="18"/>
      <c r="AB197" s="244"/>
      <c r="AC197" s="247"/>
      <c r="AD197" s="142"/>
      <c r="AE197" s="18"/>
      <c r="AF197" s="18"/>
      <c r="AG197" s="203"/>
      <c r="AH197" s="203"/>
      <c r="AI197" s="18"/>
      <c r="AJ197" s="18"/>
      <c r="AK197" s="18"/>
      <c r="AL197" s="18"/>
      <c r="AM197" s="18"/>
      <c r="AN197" s="18"/>
    </row>
    <row r="198" spans="1:40" ht="20">
      <c r="A198" s="18"/>
      <c r="B198" s="151"/>
      <c r="C198" s="55">
        <v>178</v>
      </c>
      <c r="D198" s="54">
        <v>1</v>
      </c>
      <c r="E198" s="190">
        <f t="shared" si="49"/>
        <v>6</v>
      </c>
      <c r="F198" s="191">
        <f t="shared" si="50"/>
        <v>46200</v>
      </c>
      <c r="G198" s="192" t="str">
        <f t="shared" si="51"/>
        <v>Sat</v>
      </c>
      <c r="H198" s="193"/>
      <c r="I198" s="194"/>
      <c r="J198" s="307">
        <f>353150/B13</f>
        <v>3200.5618995831069</v>
      </c>
      <c r="K198" s="215"/>
      <c r="L198" s="317">
        <f t="shared" si="52"/>
        <v>1435.6979451118025</v>
      </c>
      <c r="M198" s="318">
        <f t="shared" si="46"/>
        <v>1764.8639544713044</v>
      </c>
      <c r="N198" s="41">
        <f t="shared" si="8"/>
        <v>2.2292724667331529</v>
      </c>
      <c r="O198" s="56"/>
      <c r="P198" s="317">
        <f>IF(D198=0,0,SUM($L$172:L198))</f>
        <v>47380.922315312375</v>
      </c>
      <c r="Q198" s="317">
        <f>IF(D198=0,0,SUM($J$172:J198))</f>
        <v>54084.466195396053</v>
      </c>
      <c r="R198" s="321">
        <f t="shared" si="47"/>
        <v>6703.5438800836782</v>
      </c>
      <c r="S198" s="198">
        <f t="shared" si="53"/>
        <v>1.1414819204124538</v>
      </c>
      <c r="T198" s="207"/>
      <c r="U198" s="317">
        <f>IF(D198=0,0,SUM($L$21:L198))</f>
        <v>305107.04158303066</v>
      </c>
      <c r="V198" s="317">
        <f>IF(D198=0,0,SUM($J$21:J198))</f>
        <v>336649.52170192136</v>
      </c>
      <c r="W198" s="331">
        <f t="shared" si="48"/>
        <v>31542.4801188907</v>
      </c>
      <c r="X198" s="200">
        <f t="shared" si="54"/>
        <v>1.1033816851791893</v>
      </c>
      <c r="Y198" s="201">
        <f t="shared" si="57"/>
        <v>46200</v>
      </c>
      <c r="Z198" s="202">
        <f t="shared" si="57"/>
        <v>46200</v>
      </c>
      <c r="AA198" s="18"/>
      <c r="AB198" s="244"/>
      <c r="AC198" s="247"/>
      <c r="AD198" s="142"/>
      <c r="AE198" s="18"/>
      <c r="AF198" s="18"/>
      <c r="AG198" s="203"/>
      <c r="AH198" s="203"/>
      <c r="AI198" s="18"/>
      <c r="AJ198" s="18"/>
      <c r="AK198" s="18"/>
      <c r="AL198" s="18"/>
      <c r="AM198" s="18"/>
      <c r="AN198" s="18"/>
    </row>
    <row r="199" spans="1:40" ht="20">
      <c r="A199" s="18"/>
      <c r="B199" s="151"/>
      <c r="C199" s="55">
        <v>179</v>
      </c>
      <c r="D199" s="54">
        <v>0</v>
      </c>
      <c r="E199" s="190">
        <f t="shared" si="49"/>
        <v>6</v>
      </c>
      <c r="F199" s="191">
        <f t="shared" si="50"/>
        <v>46201</v>
      </c>
      <c r="G199" s="192" t="str">
        <f t="shared" si="51"/>
        <v>Sun</v>
      </c>
      <c r="H199" s="193"/>
      <c r="I199" s="194"/>
      <c r="J199" s="307"/>
      <c r="K199" s="215"/>
      <c r="L199" s="317">
        <f t="shared" si="52"/>
        <v>0</v>
      </c>
      <c r="M199" s="318">
        <f t="shared" si="46"/>
        <v>0</v>
      </c>
      <c r="N199" s="41" t="str">
        <f t="shared" si="8"/>
        <v>¥0</v>
      </c>
      <c r="O199" s="56"/>
      <c r="P199" s="317">
        <f>IF(D199=0,0,SUM($L$172:L199))</f>
        <v>0</v>
      </c>
      <c r="Q199" s="317">
        <f>IF(D199=0,0,SUM($J$172:J199))</f>
        <v>0</v>
      </c>
      <c r="R199" s="321">
        <f t="shared" si="47"/>
        <v>0</v>
      </c>
      <c r="S199" s="198">
        <f t="shared" si="53"/>
        <v>0</v>
      </c>
      <c r="T199" s="207"/>
      <c r="U199" s="317">
        <f>IF(D199=0,0,SUM($L$21:L199))</f>
        <v>0</v>
      </c>
      <c r="V199" s="317">
        <f>IF(D199=0,0,SUM($J$21:J199))</f>
        <v>0</v>
      </c>
      <c r="W199" s="331">
        <f t="shared" si="48"/>
        <v>0</v>
      </c>
      <c r="X199" s="200">
        <f t="shared" si="54"/>
        <v>0</v>
      </c>
      <c r="Y199" s="201">
        <f t="shared" ref="Y199:Z214" si="58">Y198+1</f>
        <v>46201</v>
      </c>
      <c r="Z199" s="202">
        <f t="shared" si="58"/>
        <v>46201</v>
      </c>
      <c r="AA199" s="18"/>
      <c r="AB199" s="244"/>
      <c r="AC199" s="247"/>
      <c r="AD199" s="142"/>
      <c r="AE199" s="18"/>
      <c r="AF199" s="18"/>
      <c r="AG199" s="203"/>
      <c r="AH199" s="203"/>
      <c r="AI199" s="18"/>
      <c r="AJ199" s="18"/>
      <c r="AK199" s="18"/>
      <c r="AL199" s="18"/>
      <c r="AM199" s="18"/>
      <c r="AN199" s="18"/>
    </row>
    <row r="200" spans="1:40" ht="20">
      <c r="A200" s="18"/>
      <c r="B200" s="151"/>
      <c r="C200" s="55">
        <v>180</v>
      </c>
      <c r="D200" s="54">
        <v>1</v>
      </c>
      <c r="E200" s="190">
        <f t="shared" si="49"/>
        <v>6</v>
      </c>
      <c r="F200" s="191">
        <f t="shared" si="50"/>
        <v>46202</v>
      </c>
      <c r="G200" s="192" t="str">
        <f t="shared" si="51"/>
        <v>Mon</v>
      </c>
      <c r="H200" s="193"/>
      <c r="I200" s="194"/>
      <c r="J200" s="307">
        <f>61200/B13</f>
        <v>554.64926590538334</v>
      </c>
      <c r="K200" s="215"/>
      <c r="L200" s="317">
        <f t="shared" si="52"/>
        <v>1303.5572877002019</v>
      </c>
      <c r="M200" s="318">
        <f t="shared" si="46"/>
        <v>-748.90802179481852</v>
      </c>
      <c r="N200" s="41">
        <f t="shared" si="8"/>
        <v>0.42548898398161089</v>
      </c>
      <c r="O200" s="44"/>
      <c r="P200" s="317">
        <f>IF(D200=0,0,SUM($L$172:L200))</f>
        <v>48684.47960301258</v>
      </c>
      <c r="Q200" s="317">
        <f>IF(D200=0,0,SUM($J$172:J200))</f>
        <v>54639.115461301437</v>
      </c>
      <c r="R200" s="321">
        <f t="shared" si="47"/>
        <v>5954.635858288857</v>
      </c>
      <c r="S200" s="198">
        <f t="shared" si="53"/>
        <v>1.1223107632420988</v>
      </c>
      <c r="T200" s="212"/>
      <c r="U200" s="317">
        <f>IF(D200=0,0,SUM($L$21:L200))</f>
        <v>306410.59887073084</v>
      </c>
      <c r="V200" s="317">
        <f>IF(D200=0,0,SUM($J$21:J200))</f>
        <v>337204.17096782674</v>
      </c>
      <c r="W200" s="331">
        <f t="shared" si="48"/>
        <v>30793.572097095894</v>
      </c>
      <c r="X200" s="200">
        <f t="shared" si="54"/>
        <v>1.1004977380370813</v>
      </c>
      <c r="Y200" s="201">
        <f t="shared" si="58"/>
        <v>46202</v>
      </c>
      <c r="Z200" s="202">
        <f t="shared" si="58"/>
        <v>46202</v>
      </c>
      <c r="AA200" s="18"/>
      <c r="AB200" s="244"/>
      <c r="AC200" s="247"/>
      <c r="AD200" s="142"/>
      <c r="AE200" s="18"/>
      <c r="AF200" s="18"/>
      <c r="AG200" s="203"/>
      <c r="AH200" s="203"/>
      <c r="AI200" s="18"/>
      <c r="AJ200" s="18"/>
      <c r="AK200" s="18"/>
      <c r="AL200" s="18"/>
      <c r="AM200" s="18"/>
      <c r="AN200" s="18"/>
    </row>
    <row r="201" spans="1:40" ht="21" thickBot="1">
      <c r="A201" s="18"/>
      <c r="B201" s="151"/>
      <c r="C201" s="216">
        <v>181</v>
      </c>
      <c r="D201" s="38">
        <v>1</v>
      </c>
      <c r="E201" s="217">
        <f t="shared" si="49"/>
        <v>6</v>
      </c>
      <c r="F201" s="218">
        <f t="shared" si="50"/>
        <v>46203</v>
      </c>
      <c r="G201" s="219" t="str">
        <f t="shared" si="51"/>
        <v>Tue</v>
      </c>
      <c r="H201" s="233"/>
      <c r="I201" s="221"/>
      <c r="J201" s="312">
        <f>306040/B13</f>
        <v>2773.6088453869856</v>
      </c>
      <c r="K201" s="223"/>
      <c r="L201" s="317">
        <f t="shared" si="52"/>
        <v>1388.0235690012096</v>
      </c>
      <c r="M201" s="320">
        <f t="shared" si="46"/>
        <v>1385.5852763857761</v>
      </c>
      <c r="N201" s="225">
        <f t="shared" si="8"/>
        <v>1.9982433348612458</v>
      </c>
      <c r="O201" s="226"/>
      <c r="P201" s="324">
        <f>IF(D201=0,0,SUM($L$172:L201))</f>
        <v>50072.503172013792</v>
      </c>
      <c r="Q201" s="323">
        <f>IF(D201=0,0,SUM($J$172:J201))</f>
        <v>57412.724306688426</v>
      </c>
      <c r="R201" s="320">
        <f t="shared" si="47"/>
        <v>7340.2211346746335</v>
      </c>
      <c r="S201" s="228">
        <f t="shared" si="53"/>
        <v>1.1465918552036196</v>
      </c>
      <c r="T201" s="229"/>
      <c r="U201" s="332">
        <f>IF(D201=0,0,SUM($L$21:L201))</f>
        <v>307798.62243973208</v>
      </c>
      <c r="V201" s="323">
        <f>IF(D201=0,0,SUM($J$21:J201))</f>
        <v>339977.77981321374</v>
      </c>
      <c r="W201" s="333">
        <f t="shared" si="48"/>
        <v>32179.157373481663</v>
      </c>
      <c r="X201" s="230">
        <f t="shared" si="54"/>
        <v>1.1045461383758546</v>
      </c>
      <c r="Y201" s="201">
        <f t="shared" si="58"/>
        <v>46203</v>
      </c>
      <c r="Z201" s="202">
        <f t="shared" si="58"/>
        <v>46203</v>
      </c>
      <c r="AA201" s="18"/>
      <c r="AB201" s="244"/>
      <c r="AC201" s="247"/>
      <c r="AD201" s="142"/>
      <c r="AE201" s="18"/>
      <c r="AF201" s="18"/>
      <c r="AG201" s="203"/>
      <c r="AH201" s="203"/>
      <c r="AI201" s="18"/>
      <c r="AJ201" s="18"/>
      <c r="AK201" s="18"/>
      <c r="AL201" s="18"/>
      <c r="AM201" s="18"/>
      <c r="AN201" s="18"/>
    </row>
    <row r="202" spans="1:40" ht="21" thickTop="1">
      <c r="A202" s="18"/>
      <c r="B202" s="151"/>
      <c r="C202" s="55">
        <v>182</v>
      </c>
      <c r="D202" s="62">
        <v>1</v>
      </c>
      <c r="E202" s="190">
        <f t="shared" si="49"/>
        <v>7</v>
      </c>
      <c r="F202" s="191">
        <f t="shared" si="50"/>
        <v>46204</v>
      </c>
      <c r="G202" s="192" t="str">
        <f t="shared" si="51"/>
        <v>Wed</v>
      </c>
      <c r="H202" s="193"/>
      <c r="I202" s="194"/>
      <c r="J202" s="307">
        <f>316470/B13</f>
        <v>2868.1348558999457</v>
      </c>
      <c r="K202" s="215"/>
      <c r="L202" s="317">
        <f t="shared" si="52"/>
        <v>2436.5994138323999</v>
      </c>
      <c r="M202" s="321">
        <f t="shared" si="46"/>
        <v>431.53544206754577</v>
      </c>
      <c r="N202" s="60">
        <f t="shared" si="8"/>
        <v>1.1771056167943528</v>
      </c>
      <c r="O202" s="56"/>
      <c r="P202" s="317">
        <f>IF(D202=0,0,$L$202)</f>
        <v>2436.5994138323999</v>
      </c>
      <c r="Q202" s="317">
        <f>IF(D202=0,0,$J$202)</f>
        <v>2868.1348558999457</v>
      </c>
      <c r="R202" s="321">
        <f t="shared" si="47"/>
        <v>431.53544206754577</v>
      </c>
      <c r="S202" s="231">
        <f t="shared" si="53"/>
        <v>1.1771056167943528</v>
      </c>
      <c r="T202" s="207"/>
      <c r="U202" s="317">
        <f>IF(D202=0,0,SUM($L$21:L202))</f>
        <v>310235.22185356449</v>
      </c>
      <c r="V202" s="317">
        <f>IF(D202=0,0,SUM($J$21:J202))</f>
        <v>342845.9146691137</v>
      </c>
      <c r="W202" s="331">
        <f t="shared" si="48"/>
        <v>32610.692815549206</v>
      </c>
      <c r="X202" s="232">
        <f t="shared" si="54"/>
        <v>1.1051160233216264</v>
      </c>
      <c r="Y202" s="201">
        <f t="shared" si="58"/>
        <v>46204</v>
      </c>
      <c r="Z202" s="202">
        <f t="shared" si="58"/>
        <v>46204</v>
      </c>
      <c r="AA202" s="18"/>
      <c r="AB202" s="244"/>
      <c r="AC202" s="247"/>
      <c r="AD202" s="142"/>
      <c r="AE202" s="18"/>
      <c r="AF202" s="18"/>
      <c r="AG202" s="203"/>
      <c r="AH202" s="203"/>
      <c r="AI202" s="18"/>
      <c r="AJ202" s="18"/>
      <c r="AK202" s="18"/>
      <c r="AL202" s="18"/>
      <c r="AM202" s="18"/>
      <c r="AN202" s="18"/>
    </row>
    <row r="203" spans="1:40" ht="20">
      <c r="A203" s="18"/>
      <c r="B203" s="151"/>
      <c r="C203" s="55">
        <v>183</v>
      </c>
      <c r="D203" s="54">
        <v>1</v>
      </c>
      <c r="E203" s="190">
        <f t="shared" si="49"/>
        <v>7</v>
      </c>
      <c r="F203" s="191">
        <f t="shared" si="50"/>
        <v>46205</v>
      </c>
      <c r="G203" s="192" t="str">
        <f t="shared" si="51"/>
        <v>Thu</v>
      </c>
      <c r="H203" s="193"/>
      <c r="I203" s="194"/>
      <c r="J203" s="307">
        <f>347600/B13</f>
        <v>3150.2628239985497</v>
      </c>
      <c r="K203" s="215"/>
      <c r="L203" s="317">
        <f t="shared" si="52"/>
        <v>2184.189203658771</v>
      </c>
      <c r="M203" s="318">
        <f t="shared" si="46"/>
        <v>966.0736203397787</v>
      </c>
      <c r="N203" s="41">
        <f t="shared" si="8"/>
        <v>1.4423030837811546</v>
      </c>
      <c r="O203" s="56"/>
      <c r="P203" s="317">
        <f>IF(D203=0,0,SUM($L$202:L203))</f>
        <v>4620.788617491171</v>
      </c>
      <c r="Q203" s="317">
        <f>IF(D203=0,0,SUM($J$202:J203))</f>
        <v>6018.397679898495</v>
      </c>
      <c r="R203" s="321">
        <f t="shared" si="47"/>
        <v>1397.609062407324</v>
      </c>
      <c r="S203" s="198">
        <f t="shared" si="53"/>
        <v>1.3024611550324818</v>
      </c>
      <c r="T203" s="207"/>
      <c r="U203" s="317">
        <f>IF(D203=0,0,SUM($L$21:L203))</f>
        <v>312419.41105722327</v>
      </c>
      <c r="V203" s="317">
        <f>IF(D203=0,0,SUM($J$21:J203))</f>
        <v>345996.17749311228</v>
      </c>
      <c r="W203" s="331">
        <f t="shared" si="48"/>
        <v>33576.766435889003</v>
      </c>
      <c r="X203" s="200">
        <f t="shared" si="54"/>
        <v>1.1074733683232603</v>
      </c>
      <c r="Y203" s="201">
        <f t="shared" si="58"/>
        <v>46205</v>
      </c>
      <c r="Z203" s="202">
        <f t="shared" si="58"/>
        <v>46205</v>
      </c>
      <c r="AA203" s="18"/>
      <c r="AB203" s="244"/>
      <c r="AC203" s="247"/>
      <c r="AD203" s="142"/>
      <c r="AE203" s="18"/>
      <c r="AF203" s="18"/>
      <c r="AG203" s="203"/>
      <c r="AH203" s="203"/>
      <c r="AI203" s="18"/>
      <c r="AJ203" s="18"/>
      <c r="AK203" s="18"/>
      <c r="AL203" s="18"/>
      <c r="AM203" s="18"/>
      <c r="AN203" s="18"/>
    </row>
    <row r="204" spans="1:40" ht="20">
      <c r="A204" s="18"/>
      <c r="B204" s="151"/>
      <c r="C204" s="55">
        <v>184</v>
      </c>
      <c r="D204" s="54">
        <v>1</v>
      </c>
      <c r="E204" s="190">
        <f t="shared" si="49"/>
        <v>7</v>
      </c>
      <c r="F204" s="191">
        <f t="shared" si="50"/>
        <v>46206</v>
      </c>
      <c r="G204" s="192" t="str">
        <f t="shared" si="51"/>
        <v>Fri</v>
      </c>
      <c r="H204" s="193"/>
      <c r="I204" s="194"/>
      <c r="J204" s="307">
        <f>221970/B13</f>
        <v>2011.6911364872212</v>
      </c>
      <c r="K204" s="215"/>
      <c r="L204" s="317">
        <f t="shared" si="52"/>
        <v>2621.196847294385</v>
      </c>
      <c r="M204" s="318">
        <f t="shared" si="46"/>
        <v>-609.50571080716372</v>
      </c>
      <c r="N204" s="41">
        <f t="shared" si="8"/>
        <v>0.76747045479003262</v>
      </c>
      <c r="O204" s="56"/>
      <c r="P204" s="317">
        <f>IF(D204=0,0,SUM($L$202:L204))</f>
        <v>7241.9854647855555</v>
      </c>
      <c r="Q204" s="317">
        <f>IF(D204=0,0,SUM($J$202:J204))</f>
        <v>8030.0888163857162</v>
      </c>
      <c r="R204" s="321">
        <f t="shared" si="47"/>
        <v>788.10335160016075</v>
      </c>
      <c r="S204" s="198">
        <f t="shared" si="53"/>
        <v>1.1088242106301296</v>
      </c>
      <c r="T204" s="207"/>
      <c r="U204" s="317">
        <f>IF(D204=0,0,SUM($L$21:L204))</f>
        <v>315040.60790451767</v>
      </c>
      <c r="V204" s="317">
        <f>IF(D204=0,0,SUM($J$21:J204))</f>
        <v>348007.86862959951</v>
      </c>
      <c r="W204" s="331">
        <f t="shared" si="48"/>
        <v>32967.26072508184</v>
      </c>
      <c r="X204" s="200">
        <f t="shared" si="54"/>
        <v>1.1046444804190878</v>
      </c>
      <c r="Y204" s="201">
        <f t="shared" si="58"/>
        <v>46206</v>
      </c>
      <c r="Z204" s="202">
        <f t="shared" si="58"/>
        <v>46206</v>
      </c>
      <c r="AA204" s="18"/>
      <c r="AB204" s="244"/>
      <c r="AC204" s="247"/>
      <c r="AD204" s="142"/>
      <c r="AE204" s="18"/>
      <c r="AF204" s="18"/>
      <c r="AG204" s="203"/>
      <c r="AH204" s="203"/>
      <c r="AI204" s="18"/>
      <c r="AJ204" s="18"/>
      <c r="AK204" s="18"/>
      <c r="AL204" s="18"/>
      <c r="AM204" s="18"/>
      <c r="AN204" s="18"/>
    </row>
    <row r="205" spans="1:40" ht="20">
      <c r="A205" s="18"/>
      <c r="B205" s="151"/>
      <c r="C205" s="55">
        <v>185</v>
      </c>
      <c r="D205" s="54">
        <v>1</v>
      </c>
      <c r="E205" s="190">
        <f t="shared" si="49"/>
        <v>7</v>
      </c>
      <c r="F205" s="191">
        <f t="shared" si="50"/>
        <v>46207</v>
      </c>
      <c r="G205" s="192" t="str">
        <f t="shared" si="51"/>
        <v>Sat</v>
      </c>
      <c r="H205" s="193"/>
      <c r="I205" s="194"/>
      <c r="J205" s="307">
        <f>329910/B13</f>
        <v>2989.9401848830885</v>
      </c>
      <c r="K205" s="215"/>
      <c r="L205" s="317">
        <f t="shared" si="52"/>
        <v>1342.1316357801877</v>
      </c>
      <c r="M205" s="318">
        <f t="shared" si="46"/>
        <v>1647.8085491029008</v>
      </c>
      <c r="N205" s="41">
        <f t="shared" si="8"/>
        <v>2.2277547933254858</v>
      </c>
      <c r="O205" s="56"/>
      <c r="P205" s="317">
        <f>IF(D205=0,0,SUM($L$202:L205))</f>
        <v>8584.1171005657434</v>
      </c>
      <c r="Q205" s="317">
        <f>IF(D205=0,0,SUM($J$202:J205))</f>
        <v>11020.029001268806</v>
      </c>
      <c r="R205" s="321">
        <f t="shared" si="47"/>
        <v>2435.9119007030622</v>
      </c>
      <c r="S205" s="198">
        <f t="shared" si="53"/>
        <v>1.2837696494776989</v>
      </c>
      <c r="T205" s="207"/>
      <c r="U205" s="317">
        <f>IF(D205=0,0,SUM($L$21:L205))</f>
        <v>316382.73954029789</v>
      </c>
      <c r="V205" s="317">
        <f>IF(D205=0,0,SUM($J$21:J205))</f>
        <v>350997.80881448259</v>
      </c>
      <c r="W205" s="331">
        <f t="shared" si="48"/>
        <v>34615.069274184701</v>
      </c>
      <c r="X205" s="200">
        <f t="shared" si="54"/>
        <v>1.109408842354928</v>
      </c>
      <c r="Y205" s="201">
        <f t="shared" si="58"/>
        <v>46207</v>
      </c>
      <c r="Z205" s="202">
        <f t="shared" si="58"/>
        <v>46207</v>
      </c>
      <c r="AA205" s="18"/>
      <c r="AB205" s="244"/>
      <c r="AC205" s="247"/>
      <c r="AD205" s="142"/>
      <c r="AE205" s="18"/>
      <c r="AF205" s="18"/>
      <c r="AG205" s="203"/>
      <c r="AH205" s="203"/>
      <c r="AI205" s="18"/>
      <c r="AJ205" s="18"/>
      <c r="AK205" s="18"/>
      <c r="AL205" s="18"/>
      <c r="AM205" s="18"/>
      <c r="AN205" s="18"/>
    </row>
    <row r="206" spans="1:40" ht="20">
      <c r="A206" s="18"/>
      <c r="B206" s="151"/>
      <c r="C206" s="55">
        <v>186</v>
      </c>
      <c r="D206" s="54">
        <v>0</v>
      </c>
      <c r="E206" s="190">
        <f t="shared" si="49"/>
        <v>7</v>
      </c>
      <c r="F206" s="191">
        <f t="shared" si="50"/>
        <v>46208</v>
      </c>
      <c r="G206" s="192" t="str">
        <f t="shared" si="51"/>
        <v>Sun</v>
      </c>
      <c r="H206" s="193"/>
      <c r="I206" s="194"/>
      <c r="J206" s="307"/>
      <c r="K206" s="215"/>
      <c r="L206" s="317">
        <f t="shared" si="52"/>
        <v>0</v>
      </c>
      <c r="M206" s="318">
        <f t="shared" si="46"/>
        <v>0</v>
      </c>
      <c r="N206" s="41" t="str">
        <f t="shared" si="8"/>
        <v>¥0</v>
      </c>
      <c r="O206" s="56"/>
      <c r="P206" s="317">
        <f>IF(D206=0,0,SUM($L$202:L206))</f>
        <v>0</v>
      </c>
      <c r="Q206" s="317">
        <f>IF(D206=0,0,SUM($J$202:J206))</f>
        <v>0</v>
      </c>
      <c r="R206" s="321">
        <f t="shared" si="47"/>
        <v>0</v>
      </c>
      <c r="S206" s="198">
        <f t="shared" si="53"/>
        <v>0</v>
      </c>
      <c r="T206" s="207"/>
      <c r="U206" s="317">
        <f>IF(D206=0,0,SUM($L$21:L206))</f>
        <v>0</v>
      </c>
      <c r="V206" s="317">
        <f>IF(D206=0,0,SUM($J$21:J206))</f>
        <v>0</v>
      </c>
      <c r="W206" s="331">
        <f t="shared" si="48"/>
        <v>0</v>
      </c>
      <c r="X206" s="200">
        <f t="shared" si="54"/>
        <v>0</v>
      </c>
      <c r="Y206" s="201">
        <f t="shared" si="58"/>
        <v>46208</v>
      </c>
      <c r="Z206" s="202">
        <f t="shared" si="58"/>
        <v>46208</v>
      </c>
      <c r="AA206" s="18"/>
      <c r="AB206" s="244"/>
      <c r="AC206" s="247"/>
      <c r="AD206" s="142"/>
      <c r="AE206" s="18"/>
      <c r="AF206" s="18"/>
      <c r="AG206" s="203"/>
      <c r="AH206" s="203"/>
      <c r="AI206" s="18"/>
      <c r="AJ206" s="18"/>
      <c r="AK206" s="18"/>
      <c r="AL206" s="18"/>
      <c r="AM206" s="18"/>
      <c r="AN206" s="18"/>
    </row>
    <row r="207" spans="1:40" ht="20">
      <c r="A207" s="18"/>
      <c r="B207" s="151"/>
      <c r="C207" s="55">
        <v>187</v>
      </c>
      <c r="D207" s="54">
        <v>1</v>
      </c>
      <c r="E207" s="190">
        <f t="shared" si="49"/>
        <v>7</v>
      </c>
      <c r="F207" s="191">
        <f t="shared" si="50"/>
        <v>46209</v>
      </c>
      <c r="G207" s="192" t="str">
        <f t="shared" si="51"/>
        <v>Mon</v>
      </c>
      <c r="H207" s="193"/>
      <c r="I207" s="194"/>
      <c r="J207" s="307">
        <f>76330/B13</f>
        <v>691.77088997643648</v>
      </c>
      <c r="K207" s="215"/>
      <c r="L207" s="317">
        <f t="shared" si="52"/>
        <v>2230.966290844387</v>
      </c>
      <c r="M207" s="318">
        <f t="shared" si="46"/>
        <v>-1539.1954008679504</v>
      </c>
      <c r="N207" s="41">
        <f t="shared" si="8"/>
        <v>0.31007680071876464</v>
      </c>
      <c r="O207" s="44"/>
      <c r="P207" s="317">
        <f>IF(D207=0,0,SUM($L$202:L207))</f>
        <v>10815.083391410131</v>
      </c>
      <c r="Q207" s="317">
        <f>IF(D207=0,0,SUM($J$202:J207))</f>
        <v>11711.799891245242</v>
      </c>
      <c r="R207" s="321">
        <f t="shared" si="47"/>
        <v>896.71649983511088</v>
      </c>
      <c r="S207" s="198">
        <f t="shared" si="53"/>
        <v>1.0829135076801466</v>
      </c>
      <c r="T207" s="212"/>
      <c r="U207" s="317">
        <f>IF(D207=0,0,SUM($L$21:L207))</f>
        <v>318613.70583114226</v>
      </c>
      <c r="V207" s="317">
        <f>IF(D207=0,0,SUM($J$21:J207))</f>
        <v>351689.579704459</v>
      </c>
      <c r="W207" s="331">
        <f t="shared" si="48"/>
        <v>33075.873873316741</v>
      </c>
      <c r="X207" s="200">
        <f t="shared" si="54"/>
        <v>1.103811836302002</v>
      </c>
      <c r="Y207" s="201">
        <f t="shared" si="58"/>
        <v>46209</v>
      </c>
      <c r="Z207" s="202">
        <f t="shared" si="58"/>
        <v>46209</v>
      </c>
      <c r="AA207" s="18"/>
      <c r="AB207" s="244"/>
      <c r="AC207" s="247"/>
      <c r="AD207" s="142"/>
      <c r="AE207" s="18"/>
      <c r="AF207" s="18"/>
      <c r="AG207" s="203"/>
      <c r="AH207" s="203"/>
      <c r="AI207" s="18"/>
      <c r="AJ207" s="18"/>
      <c r="AK207" s="18"/>
      <c r="AL207" s="18"/>
      <c r="AM207" s="18"/>
      <c r="AN207" s="18"/>
    </row>
    <row r="208" spans="1:40" ht="20">
      <c r="A208" s="18"/>
      <c r="B208" s="151"/>
      <c r="C208" s="55">
        <v>188</v>
      </c>
      <c r="D208" s="54">
        <v>1</v>
      </c>
      <c r="E208" s="190">
        <f t="shared" si="49"/>
        <v>7</v>
      </c>
      <c r="F208" s="191">
        <f t="shared" si="50"/>
        <v>46210</v>
      </c>
      <c r="G208" s="192" t="str">
        <f t="shared" si="51"/>
        <v>Tue</v>
      </c>
      <c r="H208" s="193"/>
      <c r="I208" s="194"/>
      <c r="J208" s="307">
        <f>94600/B13</f>
        <v>857.35000906289645</v>
      </c>
      <c r="K208" s="215"/>
      <c r="L208" s="317">
        <f t="shared" si="52"/>
        <v>2802.1694102555339</v>
      </c>
      <c r="M208" s="318">
        <f t="shared" si="46"/>
        <v>-1944.8194011926375</v>
      </c>
      <c r="N208" s="41">
        <f t="shared" si="8"/>
        <v>0.30595937773252385</v>
      </c>
      <c r="O208" s="56"/>
      <c r="P208" s="317">
        <f>IF(D208=0,0,SUM($L$202:L208))</f>
        <v>13617.252801665665</v>
      </c>
      <c r="Q208" s="317">
        <f>IF(D208=0,0,SUM($J$202:J208))</f>
        <v>12569.149900308139</v>
      </c>
      <c r="R208" s="321">
        <f t="shared" si="47"/>
        <v>-1048.1029013575262</v>
      </c>
      <c r="S208" s="198">
        <f t="shared" si="53"/>
        <v>0.9230312518521121</v>
      </c>
      <c r="T208" s="207"/>
      <c r="U208" s="317">
        <f>IF(D208=0,0,SUM($L$21:L208))</f>
        <v>321415.87524139776</v>
      </c>
      <c r="V208" s="317">
        <f>IF(D208=0,0,SUM($J$21:J208))</f>
        <v>352546.92971352191</v>
      </c>
      <c r="W208" s="331">
        <f t="shared" si="48"/>
        <v>31131.054472124146</v>
      </c>
      <c r="X208" s="200">
        <f t="shared" si="54"/>
        <v>1.0968559952079011</v>
      </c>
      <c r="Y208" s="201">
        <f t="shared" si="58"/>
        <v>46210</v>
      </c>
      <c r="Z208" s="202">
        <f t="shared" si="58"/>
        <v>46210</v>
      </c>
      <c r="AA208" s="18"/>
      <c r="AB208" s="244"/>
      <c r="AC208" s="247"/>
      <c r="AD208" s="142"/>
      <c r="AE208" s="18"/>
      <c r="AF208" s="18"/>
      <c r="AG208" s="203"/>
      <c r="AH208" s="203"/>
      <c r="AI208" s="18"/>
      <c r="AJ208" s="18"/>
      <c r="AK208" s="18"/>
      <c r="AL208" s="18"/>
      <c r="AM208" s="18"/>
      <c r="AN208" s="18"/>
    </row>
    <row r="209" spans="1:40" ht="20">
      <c r="A209" s="18"/>
      <c r="B209" s="151"/>
      <c r="C209" s="55">
        <v>189</v>
      </c>
      <c r="D209" s="54">
        <v>1</v>
      </c>
      <c r="E209" s="190">
        <f t="shared" si="49"/>
        <v>7</v>
      </c>
      <c r="F209" s="191">
        <f t="shared" si="50"/>
        <v>46211</v>
      </c>
      <c r="G209" s="192" t="str">
        <f t="shared" si="51"/>
        <v>Wed</v>
      </c>
      <c r="H209" s="193"/>
      <c r="I209" s="194"/>
      <c r="J209" s="307">
        <f>283650/B13</f>
        <v>2570.6905927134312</v>
      </c>
      <c r="K209" s="215"/>
      <c r="L209" s="317">
        <f t="shared" si="52"/>
        <v>2436.5994138323999</v>
      </c>
      <c r="M209" s="318">
        <f t="shared" si="46"/>
        <v>134.09117888103128</v>
      </c>
      <c r="N209" s="41">
        <f t="shared" si="8"/>
        <v>1.0550320984728985</v>
      </c>
      <c r="O209" s="56"/>
      <c r="P209" s="317">
        <f>IF(D209=0,0,SUM($L$202:L209))</f>
        <v>16053.852215498066</v>
      </c>
      <c r="Q209" s="317">
        <f>IF(D209=0,0,SUM($J$202:J209))</f>
        <v>15139.840493021569</v>
      </c>
      <c r="R209" s="321">
        <f t="shared" si="47"/>
        <v>-914.01172247649629</v>
      </c>
      <c r="S209" s="198">
        <f t="shared" si="53"/>
        <v>0.94306589407904684</v>
      </c>
      <c r="T209" s="207"/>
      <c r="U209" s="317">
        <f>IF(D209=0,0,SUM($L$21:L209))</f>
        <v>323852.47465523018</v>
      </c>
      <c r="V209" s="317">
        <f>IF(D209=0,0,SUM($J$21:J209))</f>
        <v>355117.62030623533</v>
      </c>
      <c r="W209" s="331">
        <f t="shared" si="48"/>
        <v>31265.14565100515</v>
      </c>
      <c r="X209" s="200">
        <f t="shared" si="54"/>
        <v>1.0965413208106243</v>
      </c>
      <c r="Y209" s="201">
        <f t="shared" si="58"/>
        <v>46211</v>
      </c>
      <c r="Z209" s="202">
        <f t="shared" si="58"/>
        <v>46211</v>
      </c>
      <c r="AA209" s="18"/>
      <c r="AB209" s="244"/>
      <c r="AC209" s="247"/>
      <c r="AD209" s="142"/>
      <c r="AE209" s="18"/>
      <c r="AF209" s="18"/>
      <c r="AG209" s="203"/>
      <c r="AH209" s="203"/>
      <c r="AI209" s="18"/>
      <c r="AJ209" s="18"/>
      <c r="AK209" s="18"/>
      <c r="AL209" s="18"/>
      <c r="AM209" s="18"/>
      <c r="AN209" s="18"/>
    </row>
    <row r="210" spans="1:40" ht="20">
      <c r="A210" s="18"/>
      <c r="B210" s="151"/>
      <c r="C210" s="55">
        <v>190</v>
      </c>
      <c r="D210" s="54">
        <v>1</v>
      </c>
      <c r="E210" s="190">
        <f t="shared" si="49"/>
        <v>7</v>
      </c>
      <c r="F210" s="191">
        <f t="shared" si="50"/>
        <v>46212</v>
      </c>
      <c r="G210" s="192" t="str">
        <f t="shared" si="51"/>
        <v>Thu</v>
      </c>
      <c r="H210" s="193"/>
      <c r="I210" s="194"/>
      <c r="J210" s="307">
        <f>221610/B13</f>
        <v>2008.4284937466014</v>
      </c>
      <c r="K210" s="215"/>
      <c r="L210" s="317">
        <f t="shared" si="52"/>
        <v>2184.189203658771</v>
      </c>
      <c r="M210" s="318">
        <f t="shared" si="46"/>
        <v>-175.76070991216966</v>
      </c>
      <c r="N210" s="41">
        <f t="shared" si="8"/>
        <v>0.91953045568682878</v>
      </c>
      <c r="O210" s="56"/>
      <c r="P210" s="317">
        <f>IF(D210=0,0,SUM($L$202:L210))</f>
        <v>18238.041419156838</v>
      </c>
      <c r="Q210" s="317">
        <f>IF(D210=0,0,SUM($J$202:J210))</f>
        <v>17148.268986768169</v>
      </c>
      <c r="R210" s="321">
        <f t="shared" si="47"/>
        <v>-1089.7724323886687</v>
      </c>
      <c r="S210" s="198">
        <f t="shared" si="53"/>
        <v>0.94024728821791159</v>
      </c>
      <c r="T210" s="207"/>
      <c r="U210" s="317">
        <f>IF(D210=0,0,SUM($L$21:L210))</f>
        <v>326036.66385888896</v>
      </c>
      <c r="V210" s="317">
        <f>IF(D210=0,0,SUM($J$21:J210))</f>
        <v>357126.04879998195</v>
      </c>
      <c r="W210" s="331">
        <f t="shared" si="48"/>
        <v>31089.384941092983</v>
      </c>
      <c r="X210" s="200">
        <f t="shared" si="54"/>
        <v>1.0953554872422222</v>
      </c>
      <c r="Y210" s="201">
        <f t="shared" si="58"/>
        <v>46212</v>
      </c>
      <c r="Z210" s="202">
        <f t="shared" si="58"/>
        <v>46212</v>
      </c>
      <c r="AA210" s="18"/>
      <c r="AB210" s="244"/>
      <c r="AC210" s="247"/>
      <c r="AD210" s="142"/>
      <c r="AE210" s="18"/>
      <c r="AF210" s="18"/>
      <c r="AG210" s="203"/>
      <c r="AH210" s="203"/>
      <c r="AI210" s="18"/>
      <c r="AJ210" s="18"/>
      <c r="AK210" s="18"/>
      <c r="AL210" s="18"/>
      <c r="AM210" s="18"/>
      <c r="AN210" s="18"/>
    </row>
    <row r="211" spans="1:40" ht="20">
      <c r="A211" s="18"/>
      <c r="B211" s="151"/>
      <c r="C211" s="55">
        <v>191</v>
      </c>
      <c r="D211" s="54">
        <v>1</v>
      </c>
      <c r="E211" s="190">
        <f t="shared" si="49"/>
        <v>7</v>
      </c>
      <c r="F211" s="191">
        <f t="shared" si="50"/>
        <v>46213</v>
      </c>
      <c r="G211" s="192" t="str">
        <f t="shared" si="51"/>
        <v>Fri</v>
      </c>
      <c r="H211" s="193"/>
      <c r="I211" s="194"/>
      <c r="J211" s="307">
        <f>308050/B13</f>
        <v>2791.8252673554466</v>
      </c>
      <c r="K211" s="215"/>
      <c r="L211" s="317">
        <f t="shared" si="52"/>
        <v>2621.196847294385</v>
      </c>
      <c r="M211" s="318">
        <f t="shared" si="46"/>
        <v>170.62842006106166</v>
      </c>
      <c r="N211" s="41">
        <f t="shared" si="8"/>
        <v>1.0650956147140134</v>
      </c>
      <c r="O211" s="56"/>
      <c r="P211" s="317">
        <f>IF(D211=0,0,SUM($L$202:L211))</f>
        <v>20859.238266451222</v>
      </c>
      <c r="Q211" s="317">
        <f>IF(D211=0,0,SUM($J$202:J211))</f>
        <v>19940.094254123615</v>
      </c>
      <c r="R211" s="321">
        <f t="shared" si="47"/>
        <v>-919.14401232760792</v>
      </c>
      <c r="S211" s="198">
        <f t="shared" si="53"/>
        <v>0.95593587835822824</v>
      </c>
      <c r="T211" s="207"/>
      <c r="U211" s="317">
        <f>IF(D211=0,0,SUM($L$21:L211))</f>
        <v>328657.86070618336</v>
      </c>
      <c r="V211" s="317">
        <f>IF(D211=0,0,SUM($J$21:J211))</f>
        <v>359917.87406733737</v>
      </c>
      <c r="W211" s="331">
        <f t="shared" si="48"/>
        <v>31260.013361154008</v>
      </c>
      <c r="X211" s="200">
        <f t="shared" si="54"/>
        <v>1.0951141509105731</v>
      </c>
      <c r="Y211" s="201">
        <f t="shared" si="58"/>
        <v>46213</v>
      </c>
      <c r="Z211" s="202">
        <f t="shared" si="58"/>
        <v>46213</v>
      </c>
      <c r="AA211" s="18"/>
      <c r="AB211" s="244"/>
      <c r="AC211" s="247"/>
      <c r="AD211" s="142"/>
      <c r="AE211" s="18"/>
      <c r="AF211" s="18"/>
      <c r="AG211" s="203"/>
      <c r="AH211" s="203"/>
      <c r="AI211" s="18"/>
      <c r="AJ211" s="18"/>
      <c r="AK211" s="18"/>
      <c r="AL211" s="18"/>
      <c r="AM211" s="18"/>
      <c r="AN211" s="18"/>
    </row>
    <row r="212" spans="1:40" ht="20">
      <c r="A212" s="18"/>
      <c r="B212" s="151"/>
      <c r="C212" s="55">
        <v>192</v>
      </c>
      <c r="D212" s="54">
        <v>1</v>
      </c>
      <c r="E212" s="190">
        <f t="shared" si="49"/>
        <v>7</v>
      </c>
      <c r="F212" s="191">
        <f t="shared" si="50"/>
        <v>46214</v>
      </c>
      <c r="G212" s="192" t="str">
        <f t="shared" si="51"/>
        <v>Sat</v>
      </c>
      <c r="H212" s="193"/>
      <c r="I212" s="194"/>
      <c r="J212" s="307">
        <f>370370/B13</f>
        <v>3356.6249773427585</v>
      </c>
      <c r="K212" s="215"/>
      <c r="L212" s="317">
        <f t="shared" si="52"/>
        <v>1342.1316357801877</v>
      </c>
      <c r="M212" s="318">
        <f t="shared" si="46"/>
        <v>2014.4933415625708</v>
      </c>
      <c r="N212" s="41">
        <f t="shared" si="8"/>
        <v>2.5009655445544547</v>
      </c>
      <c r="O212" s="56"/>
      <c r="P212" s="317">
        <f>IF(D212=0,0,SUM($L$202:L212))</f>
        <v>22201.36990223141</v>
      </c>
      <c r="Q212" s="317">
        <f>IF(D212=0,0,SUM($J$202:J212))</f>
        <v>23296.719231466373</v>
      </c>
      <c r="R212" s="321">
        <f t="shared" si="47"/>
        <v>1095.3493292349631</v>
      </c>
      <c r="S212" s="198">
        <f t="shared" si="53"/>
        <v>1.0493370154210562</v>
      </c>
      <c r="T212" s="207"/>
      <c r="U212" s="317">
        <f>IF(D212=0,0,SUM($L$21:L212))</f>
        <v>329999.99234196357</v>
      </c>
      <c r="V212" s="317">
        <f>IF(D212=0,0,SUM($J$21:J212))</f>
        <v>363274.49904468015</v>
      </c>
      <c r="W212" s="331">
        <f t="shared" si="48"/>
        <v>33274.506702716579</v>
      </c>
      <c r="X212" s="200">
        <f t="shared" si="54"/>
        <v>1.1008318408330016</v>
      </c>
      <c r="Y212" s="201">
        <f t="shared" si="58"/>
        <v>46214</v>
      </c>
      <c r="Z212" s="202">
        <f t="shared" si="58"/>
        <v>46214</v>
      </c>
      <c r="AA212" s="18"/>
      <c r="AB212" s="244"/>
      <c r="AC212" s="247"/>
      <c r="AD212" s="142"/>
      <c r="AE212" s="18"/>
      <c r="AF212" s="18"/>
      <c r="AG212" s="203"/>
      <c r="AH212" s="203"/>
      <c r="AI212" s="18"/>
      <c r="AJ212" s="18"/>
      <c r="AK212" s="18"/>
      <c r="AL212" s="18"/>
      <c r="AM212" s="18"/>
      <c r="AN212" s="18"/>
    </row>
    <row r="213" spans="1:40" ht="20">
      <c r="A213" s="18"/>
      <c r="B213" s="151"/>
      <c r="C213" s="55">
        <v>193</v>
      </c>
      <c r="D213" s="54">
        <v>0</v>
      </c>
      <c r="E213" s="190">
        <f t="shared" si="49"/>
        <v>7</v>
      </c>
      <c r="F213" s="191">
        <f t="shared" si="50"/>
        <v>46215</v>
      </c>
      <c r="G213" s="192" t="str">
        <f t="shared" si="51"/>
        <v>Sun</v>
      </c>
      <c r="H213" s="193"/>
      <c r="I213" s="194"/>
      <c r="J213" s="307"/>
      <c r="K213" s="215"/>
      <c r="L213" s="317">
        <f t="shared" si="52"/>
        <v>0</v>
      </c>
      <c r="M213" s="318">
        <f t="shared" ref="M213:M276" si="59">IF(D213=0,0,J213-L213)</f>
        <v>0</v>
      </c>
      <c r="N213" s="41" t="str">
        <f t="shared" si="8"/>
        <v>¥0</v>
      </c>
      <c r="O213" s="56"/>
      <c r="P213" s="317">
        <f>IF(D213=0,0,SUM($L$202:L213))</f>
        <v>0</v>
      </c>
      <c r="Q213" s="317">
        <f>IF(D213=0,0,SUM($J$202:J213))</f>
        <v>0</v>
      </c>
      <c r="R213" s="321">
        <f t="shared" ref="R213:R276" si="60">IF(D213=0,0,Q213-P213)</f>
        <v>0</v>
      </c>
      <c r="S213" s="198">
        <f t="shared" si="53"/>
        <v>0</v>
      </c>
      <c r="T213" s="207"/>
      <c r="U213" s="317">
        <f>IF(D213=0,0,SUM($L$21:L213))</f>
        <v>0</v>
      </c>
      <c r="V213" s="317">
        <f>IF(D213=0,0,SUM($J$21:J213))</f>
        <v>0</v>
      </c>
      <c r="W213" s="331">
        <f t="shared" ref="W213:W276" si="61">IF(D213=0,0,V213-U213)</f>
        <v>0</v>
      </c>
      <c r="X213" s="200">
        <f t="shared" si="54"/>
        <v>0</v>
      </c>
      <c r="Y213" s="201">
        <f t="shared" si="58"/>
        <v>46215</v>
      </c>
      <c r="Z213" s="202">
        <f t="shared" si="58"/>
        <v>46215</v>
      </c>
      <c r="AA213" s="18"/>
      <c r="AB213" s="244"/>
      <c r="AC213" s="247"/>
      <c r="AD213" s="142"/>
      <c r="AE213" s="18"/>
      <c r="AF213" s="18"/>
      <c r="AG213" s="203"/>
      <c r="AH213" s="203"/>
      <c r="AI213" s="18"/>
      <c r="AJ213" s="18"/>
      <c r="AK213" s="18"/>
      <c r="AL213" s="18"/>
      <c r="AM213" s="18"/>
      <c r="AN213" s="18"/>
    </row>
    <row r="214" spans="1:40" ht="20">
      <c r="A214" s="18"/>
      <c r="B214" s="151"/>
      <c r="C214" s="55">
        <v>194</v>
      </c>
      <c r="D214" s="54">
        <v>1</v>
      </c>
      <c r="E214" s="190">
        <f t="shared" ref="E214:E277" si="62">MONTH(Y214)</f>
        <v>7</v>
      </c>
      <c r="F214" s="191">
        <f t="shared" ref="F214:F277" si="63">F213+1</f>
        <v>46216</v>
      </c>
      <c r="G214" s="192" t="str">
        <f t="shared" ref="G214:G277" si="64">TEXT(Z214,"ddd")</f>
        <v>Mon</v>
      </c>
      <c r="H214" s="193"/>
      <c r="I214" s="194"/>
      <c r="J214" s="307">
        <f>84100/B13</f>
        <v>762.189595794816</v>
      </c>
      <c r="K214" s="215"/>
      <c r="L214" s="317">
        <f t="shared" ref="L214:L277" si="65">IF(D214=0,0,IFERROR(SUMIFS($AE$21:$AE$104,$AA$21:$AA$104,$E214,$AB$21:$AB$104,$G214),0))</f>
        <v>2230.966290844387</v>
      </c>
      <c r="M214" s="318">
        <f t="shared" si="59"/>
        <v>-1468.7766950495711</v>
      </c>
      <c r="N214" s="41">
        <f t="shared" si="8"/>
        <v>0.34164101847829298</v>
      </c>
      <c r="O214" s="44"/>
      <c r="P214" s="317">
        <f>IF(D214=0,0,SUM($L$202:L214))</f>
        <v>24432.336193075796</v>
      </c>
      <c r="Q214" s="317">
        <f>IF(D214=0,0,SUM($J$202:J214))</f>
        <v>24058.908827261188</v>
      </c>
      <c r="R214" s="321">
        <f t="shared" si="60"/>
        <v>-373.42736581460849</v>
      </c>
      <c r="S214" s="198">
        <f t="shared" ref="S214:S277" si="66">IF(D214=0,0,Q214/P214)</f>
        <v>0.98471585513298399</v>
      </c>
      <c r="T214" s="212"/>
      <c r="U214" s="317">
        <f>IF(D214=0,0,SUM($L$21:L214))</f>
        <v>332230.95863280795</v>
      </c>
      <c r="V214" s="317">
        <f>IF(D214=0,0,SUM($J$21:J214))</f>
        <v>364036.68864047498</v>
      </c>
      <c r="W214" s="331">
        <f t="shared" si="61"/>
        <v>31805.730007667036</v>
      </c>
      <c r="X214" s="200">
        <f t="shared" ref="X214:X277" si="67">IF(D214=0,0,V214/U214)</f>
        <v>1.0957337935590155</v>
      </c>
      <c r="Y214" s="201">
        <f t="shared" si="58"/>
        <v>46216</v>
      </c>
      <c r="Z214" s="202">
        <f t="shared" si="58"/>
        <v>46216</v>
      </c>
      <c r="AA214" s="18"/>
      <c r="AB214" s="244"/>
      <c r="AC214" s="247"/>
      <c r="AD214" s="142"/>
      <c r="AE214" s="18"/>
      <c r="AF214" s="18"/>
      <c r="AG214" s="203"/>
      <c r="AH214" s="203"/>
      <c r="AI214" s="18"/>
      <c r="AJ214" s="18"/>
      <c r="AK214" s="18"/>
      <c r="AL214" s="18"/>
      <c r="AM214" s="18"/>
      <c r="AN214" s="18"/>
    </row>
    <row r="215" spans="1:40" ht="20">
      <c r="A215" s="18"/>
      <c r="B215" s="151"/>
      <c r="C215" s="55">
        <v>195</v>
      </c>
      <c r="D215" s="54">
        <v>1</v>
      </c>
      <c r="E215" s="190">
        <f t="shared" si="62"/>
        <v>7</v>
      </c>
      <c r="F215" s="191">
        <f t="shared" si="63"/>
        <v>46217</v>
      </c>
      <c r="G215" s="192" t="str">
        <f t="shared" si="64"/>
        <v>Tue</v>
      </c>
      <c r="H215" s="193"/>
      <c r="I215" s="194"/>
      <c r="J215" s="307">
        <f>323390/B13</f>
        <v>2930.8500996918615</v>
      </c>
      <c r="K215" s="215"/>
      <c r="L215" s="317">
        <f t="shared" si="65"/>
        <v>2802.1694102555339</v>
      </c>
      <c r="M215" s="318">
        <f t="shared" si="59"/>
        <v>128.68068943632761</v>
      </c>
      <c r="N215" s="41">
        <f t="shared" si="8"/>
        <v>1.0459218093543434</v>
      </c>
      <c r="O215" s="56"/>
      <c r="P215" s="317">
        <f>IF(D215=0,0,SUM($L$202:L215))</f>
        <v>27234.50560333133</v>
      </c>
      <c r="Q215" s="317">
        <f>IF(D215=0,0,SUM($J$202:J215))</f>
        <v>26989.758926953051</v>
      </c>
      <c r="R215" s="321">
        <f t="shared" si="60"/>
        <v>-244.74667637827952</v>
      </c>
      <c r="S215" s="198">
        <f t="shared" si="66"/>
        <v>0.99101336077316782</v>
      </c>
      <c r="T215" s="207"/>
      <c r="U215" s="317">
        <f>IF(D215=0,0,SUM($L$21:L215))</f>
        <v>335033.12804306345</v>
      </c>
      <c r="V215" s="317">
        <f>IF(D215=0,0,SUM($J$21:J215))</f>
        <v>366967.53874016687</v>
      </c>
      <c r="W215" s="331">
        <f t="shared" si="61"/>
        <v>31934.41069710342</v>
      </c>
      <c r="X215" s="200">
        <f t="shared" si="67"/>
        <v>1.0953171732109988</v>
      </c>
      <c r="Y215" s="201">
        <f t="shared" ref="Y215:Z230" si="68">Y214+1</f>
        <v>46217</v>
      </c>
      <c r="Z215" s="202">
        <f t="shared" si="68"/>
        <v>46217</v>
      </c>
      <c r="AA215" s="18"/>
      <c r="AB215" s="244"/>
      <c r="AC215" s="247"/>
      <c r="AD215" s="142"/>
      <c r="AE215" s="18"/>
      <c r="AF215" s="18"/>
      <c r="AG215" s="203"/>
      <c r="AH215" s="203"/>
      <c r="AI215" s="18"/>
      <c r="AJ215" s="18"/>
      <c r="AK215" s="18"/>
      <c r="AL215" s="18"/>
      <c r="AM215" s="18"/>
      <c r="AN215" s="18"/>
    </row>
    <row r="216" spans="1:40" ht="20">
      <c r="A216" s="18"/>
      <c r="B216" s="151"/>
      <c r="C216" s="55">
        <v>196</v>
      </c>
      <c r="D216" s="54">
        <v>1</v>
      </c>
      <c r="E216" s="190">
        <f t="shared" si="62"/>
        <v>7</v>
      </c>
      <c r="F216" s="191">
        <f t="shared" si="63"/>
        <v>46218</v>
      </c>
      <c r="G216" s="192" t="str">
        <f t="shared" si="64"/>
        <v>Wed</v>
      </c>
      <c r="H216" s="193"/>
      <c r="I216" s="194"/>
      <c r="J216" s="307">
        <f>190110/B13</f>
        <v>1722.94725394236</v>
      </c>
      <c r="K216" s="215"/>
      <c r="L216" s="317">
        <f t="shared" si="65"/>
        <v>2436.5994138323999</v>
      </c>
      <c r="M216" s="318">
        <f t="shared" si="59"/>
        <v>-713.65215989003991</v>
      </c>
      <c r="N216" s="41">
        <f t="shared" si="8"/>
        <v>0.70711141279986856</v>
      </c>
      <c r="O216" s="56"/>
      <c r="P216" s="317">
        <f>IF(D216=0,0,SUM($L$202:L216))</f>
        <v>29671.105017163729</v>
      </c>
      <c r="Q216" s="317">
        <f>IF(D216=0,0,SUM($J$202:J216))</f>
        <v>28712.706180895409</v>
      </c>
      <c r="R216" s="321">
        <f t="shared" si="60"/>
        <v>-958.39883626831943</v>
      </c>
      <c r="S216" s="198">
        <f t="shared" si="66"/>
        <v>0.96769925367747789</v>
      </c>
      <c r="T216" s="207"/>
      <c r="U216" s="317">
        <f>IF(D216=0,0,SUM($L$21:L216))</f>
        <v>337469.72745689587</v>
      </c>
      <c r="V216" s="317">
        <f>IF(D216=0,0,SUM($J$21:J216))</f>
        <v>368690.48599410924</v>
      </c>
      <c r="W216" s="331">
        <f t="shared" si="61"/>
        <v>31220.758537213376</v>
      </c>
      <c r="X216" s="200">
        <f t="shared" si="67"/>
        <v>1.0925142494187161</v>
      </c>
      <c r="Y216" s="201">
        <f t="shared" si="68"/>
        <v>46218</v>
      </c>
      <c r="Z216" s="202">
        <f t="shared" si="68"/>
        <v>46218</v>
      </c>
      <c r="AA216" s="18"/>
      <c r="AB216" s="244"/>
      <c r="AC216" s="247"/>
      <c r="AD216" s="142"/>
      <c r="AE216" s="18"/>
      <c r="AF216" s="18"/>
      <c r="AG216" s="203"/>
      <c r="AH216" s="203"/>
      <c r="AI216" s="18"/>
      <c r="AJ216" s="18"/>
      <c r="AK216" s="18"/>
      <c r="AL216" s="18"/>
      <c r="AM216" s="18"/>
      <c r="AN216" s="18"/>
    </row>
    <row r="217" spans="1:40" ht="20">
      <c r="A217" s="18"/>
      <c r="B217" s="151"/>
      <c r="C217" s="55">
        <v>197</v>
      </c>
      <c r="D217" s="54">
        <v>1</v>
      </c>
      <c r="E217" s="190">
        <f t="shared" si="62"/>
        <v>7</v>
      </c>
      <c r="F217" s="191">
        <f t="shared" si="63"/>
        <v>46219</v>
      </c>
      <c r="G217" s="192" t="str">
        <f t="shared" si="64"/>
        <v>Thu</v>
      </c>
      <c r="H217" s="193"/>
      <c r="I217" s="194"/>
      <c r="J217" s="307">
        <f>243160/B13</f>
        <v>2203.7339133587093</v>
      </c>
      <c r="K217" s="215"/>
      <c r="L217" s="317">
        <f t="shared" si="65"/>
        <v>2184.189203658771</v>
      </c>
      <c r="M217" s="318">
        <f t="shared" si="59"/>
        <v>19.544709699938267</v>
      </c>
      <c r="N217" s="41">
        <f t="shared" si="8"/>
        <v>1.0089482676991528</v>
      </c>
      <c r="O217" s="56"/>
      <c r="P217" s="317">
        <f>IF(D217=0,0,SUM($L$202:L217))</f>
        <v>31855.294220822499</v>
      </c>
      <c r="Q217" s="317">
        <f>IF(D217=0,0,SUM($J$202:J217))</f>
        <v>30916.440094254118</v>
      </c>
      <c r="R217" s="321">
        <f t="shared" si="60"/>
        <v>-938.85412656838162</v>
      </c>
      <c r="S217" s="198">
        <f t="shared" si="66"/>
        <v>0.97052753240763689</v>
      </c>
      <c r="T217" s="207"/>
      <c r="U217" s="317">
        <f>IF(D217=0,0,SUM($L$21:L217))</f>
        <v>339653.91666055465</v>
      </c>
      <c r="V217" s="317">
        <f>IF(D217=0,0,SUM($J$21:J217))</f>
        <v>370894.21990746795</v>
      </c>
      <c r="W217" s="331">
        <f t="shared" si="61"/>
        <v>31240.303246913303</v>
      </c>
      <c r="X217" s="200">
        <f t="shared" si="67"/>
        <v>1.0919768673774324</v>
      </c>
      <c r="Y217" s="201">
        <f t="shared" si="68"/>
        <v>46219</v>
      </c>
      <c r="Z217" s="202">
        <f t="shared" si="68"/>
        <v>46219</v>
      </c>
      <c r="AA217" s="18"/>
      <c r="AB217" s="244"/>
      <c r="AC217" s="247"/>
      <c r="AD217" s="142"/>
      <c r="AE217" s="18"/>
      <c r="AF217" s="18"/>
      <c r="AG217" s="203"/>
      <c r="AH217" s="203"/>
      <c r="AI217" s="18"/>
      <c r="AJ217" s="18"/>
      <c r="AK217" s="18"/>
      <c r="AL217" s="18"/>
      <c r="AM217" s="18"/>
      <c r="AN217" s="18"/>
    </row>
    <row r="218" spans="1:40" ht="20">
      <c r="A218" s="18"/>
      <c r="B218" s="151"/>
      <c r="C218" s="55">
        <v>198</v>
      </c>
      <c r="D218" s="54">
        <v>1</v>
      </c>
      <c r="E218" s="190">
        <f t="shared" si="62"/>
        <v>7</v>
      </c>
      <c r="F218" s="191">
        <f t="shared" si="63"/>
        <v>46220</v>
      </c>
      <c r="G218" s="192" t="str">
        <f t="shared" si="64"/>
        <v>Fri</v>
      </c>
      <c r="H218" s="193"/>
      <c r="I218" s="194"/>
      <c r="J218" s="307">
        <f>326680/B13</f>
        <v>2960.6670291825267</v>
      </c>
      <c r="K218" s="215"/>
      <c r="L218" s="317">
        <f t="shared" si="65"/>
        <v>2621.196847294385</v>
      </c>
      <c r="M218" s="318">
        <f t="shared" si="59"/>
        <v>339.47018188814172</v>
      </c>
      <c r="N218" s="41">
        <f t="shared" si="8"/>
        <v>1.1295096101761852</v>
      </c>
      <c r="O218" s="56"/>
      <c r="P218" s="317">
        <f>IF(D218=0,0,SUM($L$202:L218))</f>
        <v>34476.491068116884</v>
      </c>
      <c r="Q218" s="317">
        <f>IF(D218=0,0,SUM($J$202:J218))</f>
        <v>33877.107123436646</v>
      </c>
      <c r="R218" s="321">
        <f t="shared" si="60"/>
        <v>-599.38394468023762</v>
      </c>
      <c r="S218" s="198">
        <f t="shared" si="66"/>
        <v>0.98261470567013309</v>
      </c>
      <c r="T218" s="207"/>
      <c r="U218" s="317">
        <f>IF(D218=0,0,SUM($L$21:L218))</f>
        <v>342275.11350784905</v>
      </c>
      <c r="V218" s="317">
        <f>IF(D218=0,0,SUM($J$21:J218))</f>
        <v>373854.8869366505</v>
      </c>
      <c r="W218" s="331">
        <f t="shared" si="61"/>
        <v>31579.773428801447</v>
      </c>
      <c r="X218" s="200">
        <f t="shared" si="67"/>
        <v>1.0922642990463205</v>
      </c>
      <c r="Y218" s="201">
        <f t="shared" si="68"/>
        <v>46220</v>
      </c>
      <c r="Z218" s="202">
        <f t="shared" si="68"/>
        <v>46220</v>
      </c>
      <c r="AA218" s="18"/>
      <c r="AB218" s="244"/>
      <c r="AC218" s="247"/>
      <c r="AD218" s="142"/>
      <c r="AE218" s="18"/>
      <c r="AF218" s="18"/>
      <c r="AG218" s="203"/>
      <c r="AH218" s="203"/>
      <c r="AI218" s="18"/>
      <c r="AJ218" s="18"/>
      <c r="AK218" s="18"/>
      <c r="AL218" s="18"/>
      <c r="AM218" s="18"/>
      <c r="AN218" s="18"/>
    </row>
    <row r="219" spans="1:40" ht="20">
      <c r="A219" s="18"/>
      <c r="B219" s="151"/>
      <c r="C219" s="55">
        <v>199</v>
      </c>
      <c r="D219" s="54">
        <v>1</v>
      </c>
      <c r="E219" s="190">
        <f t="shared" si="62"/>
        <v>7</v>
      </c>
      <c r="F219" s="191">
        <f t="shared" si="63"/>
        <v>46221</v>
      </c>
      <c r="G219" s="192" t="str">
        <f t="shared" si="64"/>
        <v>Sat</v>
      </c>
      <c r="H219" s="193"/>
      <c r="I219" s="194"/>
      <c r="J219" s="307">
        <f>256310/B13</f>
        <v>2322.911002356353</v>
      </c>
      <c r="K219" s="215"/>
      <c r="L219" s="317">
        <f t="shared" si="65"/>
        <v>1342.1316357801877</v>
      </c>
      <c r="M219" s="318">
        <f t="shared" si="59"/>
        <v>980.77936657616533</v>
      </c>
      <c r="N219" s="41">
        <f t="shared" si="8"/>
        <v>1.7307624233192547</v>
      </c>
      <c r="O219" s="56"/>
      <c r="P219" s="317">
        <f>IF(D219=0,0,SUM($L$202:L219))</f>
        <v>35818.622703897068</v>
      </c>
      <c r="Q219" s="317">
        <f>IF(D219=0,0,SUM($J$202:J219))</f>
        <v>36200.018125793002</v>
      </c>
      <c r="R219" s="321">
        <f t="shared" si="60"/>
        <v>381.3954218959334</v>
      </c>
      <c r="S219" s="198">
        <f t="shared" si="66"/>
        <v>1.0106479644694557</v>
      </c>
      <c r="T219" s="207"/>
      <c r="U219" s="317">
        <f>IF(D219=0,0,SUM($L$21:L219))</f>
        <v>343617.24514362926</v>
      </c>
      <c r="V219" s="317">
        <f>IF(D219=0,0,SUM($J$21:J219))</f>
        <v>376177.79793900682</v>
      </c>
      <c r="W219" s="331">
        <f t="shared" si="61"/>
        <v>32560.55279537756</v>
      </c>
      <c r="X219" s="200">
        <f t="shared" si="67"/>
        <v>1.0947582033659793</v>
      </c>
      <c r="Y219" s="201">
        <f t="shared" si="68"/>
        <v>46221</v>
      </c>
      <c r="Z219" s="202">
        <f t="shared" si="68"/>
        <v>46221</v>
      </c>
      <c r="AA219" s="18"/>
      <c r="AB219" s="244"/>
      <c r="AC219" s="247"/>
      <c r="AD219" s="142"/>
      <c r="AE219" s="18"/>
      <c r="AF219" s="18"/>
      <c r="AG219" s="203"/>
      <c r="AH219" s="203"/>
      <c r="AI219" s="18"/>
      <c r="AJ219" s="18"/>
      <c r="AK219" s="18"/>
      <c r="AL219" s="18"/>
      <c r="AM219" s="18"/>
      <c r="AN219" s="18"/>
    </row>
    <row r="220" spans="1:40" ht="20">
      <c r="A220" s="18"/>
      <c r="B220" s="151"/>
      <c r="C220" s="55">
        <v>200</v>
      </c>
      <c r="D220" s="54">
        <v>0</v>
      </c>
      <c r="E220" s="190">
        <f t="shared" si="62"/>
        <v>7</v>
      </c>
      <c r="F220" s="191">
        <f t="shared" si="63"/>
        <v>46222</v>
      </c>
      <c r="G220" s="192" t="str">
        <f t="shared" si="64"/>
        <v>Sun</v>
      </c>
      <c r="H220" s="193"/>
      <c r="I220" s="194"/>
      <c r="J220" s="307"/>
      <c r="K220" s="215"/>
      <c r="L220" s="317">
        <f t="shared" si="65"/>
        <v>0</v>
      </c>
      <c r="M220" s="318">
        <f t="shared" si="59"/>
        <v>0</v>
      </c>
      <c r="N220" s="41" t="str">
        <f t="shared" si="8"/>
        <v>¥0</v>
      </c>
      <c r="O220" s="56"/>
      <c r="P220" s="317">
        <f>IF(D220=0,0,SUM($L$202:L220))</f>
        <v>0</v>
      </c>
      <c r="Q220" s="317">
        <f>IF(D220=0,0,SUM($J$202:J220))</f>
        <v>0</v>
      </c>
      <c r="R220" s="321">
        <f t="shared" si="60"/>
        <v>0</v>
      </c>
      <c r="S220" s="198">
        <f t="shared" si="66"/>
        <v>0</v>
      </c>
      <c r="T220" s="207"/>
      <c r="U220" s="317">
        <f>IF(D220=0,0,SUM($L$21:L220))</f>
        <v>0</v>
      </c>
      <c r="V220" s="317">
        <f>IF(D220=0,0,SUM($J$21:J220))</f>
        <v>0</v>
      </c>
      <c r="W220" s="331">
        <f t="shared" si="61"/>
        <v>0</v>
      </c>
      <c r="X220" s="200">
        <f t="shared" si="67"/>
        <v>0</v>
      </c>
      <c r="Y220" s="201">
        <f t="shared" si="68"/>
        <v>46222</v>
      </c>
      <c r="Z220" s="202">
        <f t="shared" si="68"/>
        <v>46222</v>
      </c>
      <c r="AA220" s="18"/>
      <c r="AB220" s="244"/>
      <c r="AC220" s="247"/>
      <c r="AD220" s="142"/>
      <c r="AE220" s="18"/>
      <c r="AF220" s="18"/>
      <c r="AG220" s="203"/>
      <c r="AH220" s="203"/>
      <c r="AI220" s="18"/>
      <c r="AJ220" s="18"/>
      <c r="AK220" s="18"/>
      <c r="AL220" s="18"/>
      <c r="AM220" s="18"/>
      <c r="AN220" s="18"/>
    </row>
    <row r="221" spans="1:40" ht="20">
      <c r="A221" s="18"/>
      <c r="B221" s="151"/>
      <c r="C221" s="55">
        <v>201</v>
      </c>
      <c r="D221" s="54">
        <v>1</v>
      </c>
      <c r="E221" s="190">
        <f t="shared" si="62"/>
        <v>7</v>
      </c>
      <c r="F221" s="191">
        <f t="shared" si="63"/>
        <v>46223</v>
      </c>
      <c r="G221" s="192" t="str">
        <f t="shared" si="64"/>
        <v>Mon</v>
      </c>
      <c r="H221" s="193"/>
      <c r="I221" s="194"/>
      <c r="J221" s="307">
        <f>49340/B13</f>
        <v>447.16331339496099</v>
      </c>
      <c r="K221" s="215"/>
      <c r="L221" s="317">
        <f t="shared" si="65"/>
        <v>2230.966290844387</v>
      </c>
      <c r="M221" s="318">
        <f t="shared" si="59"/>
        <v>-1783.802977449426</v>
      </c>
      <c r="N221" s="41">
        <f t="shared" si="8"/>
        <v>0.20043481393244916</v>
      </c>
      <c r="O221" s="44"/>
      <c r="P221" s="317">
        <f>IF(D221=0,0,SUM($L$202:L221))</f>
        <v>38049.588994741454</v>
      </c>
      <c r="Q221" s="317">
        <f>IF(D221=0,0,SUM($J$202:J221))</f>
        <v>36647.18143918796</v>
      </c>
      <c r="R221" s="321">
        <f t="shared" si="60"/>
        <v>-1402.4075555534946</v>
      </c>
      <c r="S221" s="198">
        <f t="shared" si="66"/>
        <v>0.96314263589687366</v>
      </c>
      <c r="T221" s="212"/>
      <c r="U221" s="317">
        <f>IF(D221=0,0,SUM($L$21:L221))</f>
        <v>345848.21143447363</v>
      </c>
      <c r="V221" s="317">
        <f>IF(D221=0,0,SUM($J$21:J221))</f>
        <v>376624.96125240176</v>
      </c>
      <c r="W221" s="331">
        <f t="shared" si="61"/>
        <v>30776.749817928125</v>
      </c>
      <c r="X221" s="200">
        <f t="shared" si="67"/>
        <v>1.0889891831167073</v>
      </c>
      <c r="Y221" s="201">
        <f t="shared" si="68"/>
        <v>46223</v>
      </c>
      <c r="Z221" s="202">
        <f t="shared" si="68"/>
        <v>46223</v>
      </c>
      <c r="AA221" s="18"/>
      <c r="AB221" s="244"/>
      <c r="AC221" s="247"/>
      <c r="AD221" s="142"/>
      <c r="AE221" s="18"/>
      <c r="AF221" s="18"/>
      <c r="AG221" s="203"/>
      <c r="AH221" s="203"/>
      <c r="AI221" s="18"/>
      <c r="AJ221" s="18"/>
      <c r="AK221" s="18"/>
      <c r="AL221" s="18"/>
      <c r="AM221" s="18"/>
      <c r="AN221" s="18"/>
    </row>
    <row r="222" spans="1:40" ht="20">
      <c r="A222" s="18"/>
      <c r="B222" s="151"/>
      <c r="C222" s="55">
        <v>202</v>
      </c>
      <c r="D222" s="54">
        <v>0</v>
      </c>
      <c r="E222" s="190">
        <f t="shared" si="62"/>
        <v>7</v>
      </c>
      <c r="F222" s="191">
        <f t="shared" si="63"/>
        <v>46224</v>
      </c>
      <c r="G222" s="192" t="str">
        <f t="shared" si="64"/>
        <v>Tue</v>
      </c>
      <c r="H222" s="193" t="s">
        <v>176</v>
      </c>
      <c r="I222" s="194"/>
      <c r="J222" s="307"/>
      <c r="K222" s="215"/>
      <c r="L222" s="317">
        <f t="shared" si="65"/>
        <v>0</v>
      </c>
      <c r="M222" s="318">
        <f t="shared" si="59"/>
        <v>0</v>
      </c>
      <c r="N222" s="41" t="str">
        <f t="shared" si="8"/>
        <v>¥0</v>
      </c>
      <c r="O222" s="44"/>
      <c r="P222" s="317">
        <f>IF(D222=0,0,SUM($L$202:L222))</f>
        <v>0</v>
      </c>
      <c r="Q222" s="317">
        <f>IF(D222=0,0,SUM($J$202:J222))</f>
        <v>0</v>
      </c>
      <c r="R222" s="321">
        <f t="shared" si="60"/>
        <v>0</v>
      </c>
      <c r="S222" s="198">
        <f t="shared" si="66"/>
        <v>0</v>
      </c>
      <c r="T222" s="212"/>
      <c r="U222" s="317">
        <f>IF(D222=0,0,SUM($L$21:L222))</f>
        <v>0</v>
      </c>
      <c r="V222" s="317">
        <f>IF(D222=0,0,SUM($J$21:J222))</f>
        <v>0</v>
      </c>
      <c r="W222" s="331">
        <f t="shared" si="61"/>
        <v>0</v>
      </c>
      <c r="X222" s="200">
        <f t="shared" si="67"/>
        <v>0</v>
      </c>
      <c r="Y222" s="201">
        <f t="shared" si="68"/>
        <v>46224</v>
      </c>
      <c r="Z222" s="202">
        <f t="shared" si="68"/>
        <v>46224</v>
      </c>
      <c r="AA222" s="18"/>
      <c r="AB222" s="244"/>
      <c r="AC222" s="247"/>
      <c r="AD222" s="142"/>
      <c r="AE222" s="18"/>
      <c r="AF222" s="18"/>
      <c r="AG222" s="203"/>
      <c r="AH222" s="203"/>
      <c r="AI222" s="18"/>
      <c r="AJ222" s="18"/>
      <c r="AK222" s="18"/>
      <c r="AL222" s="18"/>
      <c r="AM222" s="18"/>
      <c r="AN222" s="18"/>
    </row>
    <row r="223" spans="1:40" ht="20">
      <c r="A223" s="18"/>
      <c r="B223" s="151"/>
      <c r="C223" s="55">
        <v>203</v>
      </c>
      <c r="D223" s="54">
        <v>1</v>
      </c>
      <c r="E223" s="190">
        <f t="shared" si="62"/>
        <v>7</v>
      </c>
      <c r="F223" s="191">
        <f t="shared" si="63"/>
        <v>46225</v>
      </c>
      <c r="G223" s="192" t="str">
        <f t="shared" si="64"/>
        <v>Wed</v>
      </c>
      <c r="H223" s="193"/>
      <c r="I223" s="194"/>
      <c r="J223" s="307">
        <f>218650/B13</f>
        <v>1981.6023201015043</v>
      </c>
      <c r="K223" s="215"/>
      <c r="L223" s="317">
        <f t="shared" si="65"/>
        <v>2436.5994138323999</v>
      </c>
      <c r="M223" s="318">
        <f t="shared" si="59"/>
        <v>-454.99709373089559</v>
      </c>
      <c r="N223" s="41">
        <f t="shared" si="8"/>
        <v>0.81326553263211432</v>
      </c>
      <c r="O223" s="56"/>
      <c r="P223" s="317">
        <f>IF(D223=0,0,SUM($L$202:L223))</f>
        <v>40486.188408573857</v>
      </c>
      <c r="Q223" s="317">
        <f>IF(D223=0,0,SUM($J$202:J223))</f>
        <v>38628.783759289465</v>
      </c>
      <c r="R223" s="321">
        <f t="shared" si="60"/>
        <v>-1857.4046492843918</v>
      </c>
      <c r="S223" s="198">
        <f t="shared" si="66"/>
        <v>0.95412251134781945</v>
      </c>
      <c r="T223" s="207"/>
      <c r="U223" s="317">
        <f>IF(D223=0,0,SUM($L$21:L223))</f>
        <v>348284.81084830605</v>
      </c>
      <c r="V223" s="317">
        <f>IF(D223=0,0,SUM($J$21:J223))</f>
        <v>378606.56357250328</v>
      </c>
      <c r="W223" s="331">
        <f t="shared" si="61"/>
        <v>30321.752724197228</v>
      </c>
      <c r="X223" s="200">
        <f t="shared" si="67"/>
        <v>1.0870602213468441</v>
      </c>
      <c r="Y223" s="201">
        <f t="shared" si="68"/>
        <v>46225</v>
      </c>
      <c r="Z223" s="202">
        <f t="shared" si="68"/>
        <v>46225</v>
      </c>
      <c r="AA223" s="18"/>
      <c r="AB223" s="244"/>
      <c r="AC223" s="247"/>
      <c r="AD223" s="142"/>
      <c r="AE223" s="18"/>
      <c r="AF223" s="18"/>
      <c r="AG223" s="203"/>
      <c r="AH223" s="203"/>
      <c r="AI223" s="18"/>
      <c r="AJ223" s="18"/>
      <c r="AK223" s="18"/>
      <c r="AL223" s="18"/>
      <c r="AM223" s="18"/>
      <c r="AN223" s="18"/>
    </row>
    <row r="224" spans="1:40" ht="20">
      <c r="A224" s="18"/>
      <c r="B224" s="151"/>
      <c r="C224" s="55">
        <v>204</v>
      </c>
      <c r="D224" s="54">
        <v>1</v>
      </c>
      <c r="E224" s="190">
        <f t="shared" si="62"/>
        <v>7</v>
      </c>
      <c r="F224" s="191">
        <f t="shared" si="63"/>
        <v>46226</v>
      </c>
      <c r="G224" s="192" t="str">
        <f t="shared" si="64"/>
        <v>Thu</v>
      </c>
      <c r="H224" s="193"/>
      <c r="I224" s="194"/>
      <c r="J224" s="307">
        <f>247120/B13</f>
        <v>2239.6229835055283</v>
      </c>
      <c r="K224" s="215"/>
      <c r="L224" s="317">
        <f t="shared" si="65"/>
        <v>2184.189203658771</v>
      </c>
      <c r="M224" s="318">
        <f t="shared" si="59"/>
        <v>55.433779846757261</v>
      </c>
      <c r="N224" s="41">
        <f t="shared" si="8"/>
        <v>1.0253795686536218</v>
      </c>
      <c r="O224" s="56"/>
      <c r="P224" s="317">
        <f>IF(D224=0,0,SUM($L$202:L224))</f>
        <v>42670.377612232631</v>
      </c>
      <c r="Q224" s="317">
        <f>IF(D224=0,0,SUM($J$202:J224))</f>
        <v>40868.406742794992</v>
      </c>
      <c r="R224" s="321">
        <f t="shared" si="60"/>
        <v>-1801.9708694376386</v>
      </c>
      <c r="S224" s="198">
        <f t="shared" si="66"/>
        <v>0.95776998071559005</v>
      </c>
      <c r="T224" s="207"/>
      <c r="U224" s="317">
        <f>IF(D224=0,0,SUM($L$21:L224))</f>
        <v>350469.00005196483</v>
      </c>
      <c r="V224" s="317">
        <f>IF(D224=0,0,SUM($J$21:J224))</f>
        <v>380846.18655600882</v>
      </c>
      <c r="W224" s="331">
        <f t="shared" si="61"/>
        <v>30377.186504043988</v>
      </c>
      <c r="X224" s="200">
        <f t="shared" si="67"/>
        <v>1.0866758158340393</v>
      </c>
      <c r="Y224" s="201">
        <f t="shared" si="68"/>
        <v>46226</v>
      </c>
      <c r="Z224" s="202">
        <f t="shared" si="68"/>
        <v>46226</v>
      </c>
      <c r="AA224" s="18"/>
      <c r="AB224" s="244"/>
      <c r="AC224" s="247"/>
      <c r="AD224" s="142"/>
      <c r="AE224" s="18"/>
      <c r="AF224" s="18"/>
      <c r="AG224" s="203"/>
      <c r="AH224" s="203"/>
      <c r="AI224" s="18"/>
      <c r="AJ224" s="18"/>
      <c r="AK224" s="18"/>
      <c r="AL224" s="18"/>
      <c r="AM224" s="18"/>
      <c r="AN224" s="18"/>
    </row>
    <row r="225" spans="1:40" ht="20">
      <c r="A225" s="18"/>
      <c r="B225" s="151"/>
      <c r="C225" s="55">
        <v>205</v>
      </c>
      <c r="D225" s="54">
        <v>1</v>
      </c>
      <c r="E225" s="190">
        <f t="shared" si="62"/>
        <v>7</v>
      </c>
      <c r="F225" s="191">
        <f t="shared" si="63"/>
        <v>46227</v>
      </c>
      <c r="G225" s="192" t="str">
        <f t="shared" si="64"/>
        <v>Fri</v>
      </c>
      <c r="H225" s="193"/>
      <c r="I225" s="194"/>
      <c r="J225" s="307">
        <f>343680/B13</f>
        <v>3114.7362697117997</v>
      </c>
      <c r="K225" s="215"/>
      <c r="L225" s="317">
        <f t="shared" si="65"/>
        <v>2621.196847294385</v>
      </c>
      <c r="M225" s="318">
        <f t="shared" si="59"/>
        <v>493.5394224174147</v>
      </c>
      <c r="N225" s="41">
        <f t="shared" si="8"/>
        <v>1.1882878132280867</v>
      </c>
      <c r="O225" s="56"/>
      <c r="P225" s="317">
        <f>IF(D225=0,0,SUM($L$202:L225))</f>
        <v>45291.574459527015</v>
      </c>
      <c r="Q225" s="317">
        <f>IF(D225=0,0,SUM($J$202:J225))</f>
        <v>43983.143012506793</v>
      </c>
      <c r="R225" s="321">
        <f t="shared" si="60"/>
        <v>-1308.4314470202225</v>
      </c>
      <c r="S225" s="198">
        <f t="shared" si="66"/>
        <v>0.97111093039634888</v>
      </c>
      <c r="T225" s="207"/>
      <c r="U225" s="317">
        <f>IF(D225=0,0,SUM($L$21:L225))</f>
        <v>353090.19689925923</v>
      </c>
      <c r="V225" s="317">
        <f>IF(D225=0,0,SUM($J$21:J225))</f>
        <v>383960.92282572063</v>
      </c>
      <c r="W225" s="331">
        <f t="shared" si="61"/>
        <v>30870.725926461397</v>
      </c>
      <c r="X225" s="200">
        <f t="shared" si="67"/>
        <v>1.0874301416396139</v>
      </c>
      <c r="Y225" s="201">
        <f t="shared" si="68"/>
        <v>46227</v>
      </c>
      <c r="Z225" s="202">
        <f t="shared" si="68"/>
        <v>46227</v>
      </c>
      <c r="AA225" s="18"/>
      <c r="AB225" s="244"/>
      <c r="AC225" s="247"/>
      <c r="AD225" s="142"/>
      <c r="AE225" s="18"/>
      <c r="AF225" s="18"/>
      <c r="AG225" s="203"/>
      <c r="AH225" s="203"/>
      <c r="AI225" s="18"/>
      <c r="AJ225" s="18"/>
      <c r="AK225" s="18"/>
      <c r="AL225" s="18"/>
      <c r="AM225" s="18"/>
      <c r="AN225" s="18"/>
    </row>
    <row r="226" spans="1:40" ht="20">
      <c r="A226" s="18"/>
      <c r="B226" s="151"/>
      <c r="C226" s="55">
        <v>206</v>
      </c>
      <c r="D226" s="54">
        <v>1</v>
      </c>
      <c r="E226" s="190">
        <f t="shared" si="62"/>
        <v>7</v>
      </c>
      <c r="F226" s="191">
        <f t="shared" si="63"/>
        <v>46228</v>
      </c>
      <c r="G226" s="192" t="str">
        <f t="shared" si="64"/>
        <v>Sat</v>
      </c>
      <c r="H226" s="193"/>
      <c r="I226" s="194"/>
      <c r="J226" s="307">
        <f>343970/B13</f>
        <v>3117.3645096972991</v>
      </c>
      <c r="K226" s="215"/>
      <c r="L226" s="317">
        <f t="shared" si="65"/>
        <v>1342.1316357801877</v>
      </c>
      <c r="M226" s="318">
        <f t="shared" si="59"/>
        <v>1775.2328739171114</v>
      </c>
      <c r="N226" s="41">
        <f t="shared" si="8"/>
        <v>2.3226965422696111</v>
      </c>
      <c r="O226" s="56"/>
      <c r="P226" s="317">
        <f>IF(D226=0,0,SUM($L$202:L226))</f>
        <v>46633.7060953072</v>
      </c>
      <c r="Q226" s="317">
        <f>IF(D226=0,0,SUM($J$202:J226))</f>
        <v>47100.50752220409</v>
      </c>
      <c r="R226" s="321">
        <f t="shared" si="60"/>
        <v>466.80142689689092</v>
      </c>
      <c r="S226" s="198">
        <f t="shared" si="66"/>
        <v>1.0100099577319219</v>
      </c>
      <c r="T226" s="207"/>
      <c r="U226" s="317">
        <f>IF(D226=0,0,SUM($L$21:L226))</f>
        <v>354432.32853503944</v>
      </c>
      <c r="V226" s="317">
        <f>IF(D226=0,0,SUM($J$21:J226))</f>
        <v>387078.28733541793</v>
      </c>
      <c r="W226" s="331">
        <f t="shared" si="61"/>
        <v>32645.958800378488</v>
      </c>
      <c r="X226" s="200">
        <f t="shared" si="67"/>
        <v>1.0921077344589663</v>
      </c>
      <c r="Y226" s="201">
        <f t="shared" si="68"/>
        <v>46228</v>
      </c>
      <c r="Z226" s="202">
        <f t="shared" si="68"/>
        <v>46228</v>
      </c>
      <c r="AA226" s="18"/>
      <c r="AB226" s="244"/>
      <c r="AC226" s="247"/>
      <c r="AD226" s="142"/>
      <c r="AE226" s="18"/>
      <c r="AF226" s="18"/>
      <c r="AG226" s="203"/>
      <c r="AH226" s="203"/>
      <c r="AI226" s="18"/>
      <c r="AJ226" s="18"/>
      <c r="AK226" s="18"/>
      <c r="AL226" s="18"/>
      <c r="AM226" s="18"/>
      <c r="AN226" s="18"/>
    </row>
    <row r="227" spans="1:40" ht="20">
      <c r="A227" s="18"/>
      <c r="B227" s="151"/>
      <c r="C227" s="55">
        <v>207</v>
      </c>
      <c r="D227" s="54">
        <v>0</v>
      </c>
      <c r="E227" s="190">
        <f t="shared" si="62"/>
        <v>7</v>
      </c>
      <c r="F227" s="191">
        <f t="shared" si="63"/>
        <v>46229</v>
      </c>
      <c r="G227" s="192" t="str">
        <f t="shared" si="64"/>
        <v>Sun</v>
      </c>
      <c r="H227" s="193"/>
      <c r="I227" s="194"/>
      <c r="J227" s="307"/>
      <c r="K227" s="215"/>
      <c r="L227" s="317">
        <f t="shared" si="65"/>
        <v>0</v>
      </c>
      <c r="M227" s="318">
        <f t="shared" si="59"/>
        <v>0</v>
      </c>
      <c r="N227" s="41" t="str">
        <f t="shared" si="8"/>
        <v>¥0</v>
      </c>
      <c r="O227" s="56"/>
      <c r="P227" s="317">
        <f>IF(D227=0,0,SUM($L$202:L227))</f>
        <v>0</v>
      </c>
      <c r="Q227" s="317">
        <f>IF(D227=0,0,SUM($J$202:J227))</f>
        <v>0</v>
      </c>
      <c r="R227" s="321">
        <f t="shared" si="60"/>
        <v>0</v>
      </c>
      <c r="S227" s="198">
        <f t="shared" si="66"/>
        <v>0</v>
      </c>
      <c r="T227" s="207"/>
      <c r="U227" s="317">
        <f>IF(D227=0,0,SUM($L$21:L227))</f>
        <v>0</v>
      </c>
      <c r="V227" s="317">
        <f>IF(D227=0,0,SUM($J$21:J227))</f>
        <v>0</v>
      </c>
      <c r="W227" s="331">
        <f t="shared" si="61"/>
        <v>0</v>
      </c>
      <c r="X227" s="200">
        <f t="shared" si="67"/>
        <v>0</v>
      </c>
      <c r="Y227" s="201">
        <f t="shared" si="68"/>
        <v>46229</v>
      </c>
      <c r="Z227" s="202">
        <f t="shared" si="68"/>
        <v>46229</v>
      </c>
      <c r="AA227" s="18"/>
      <c r="AB227" s="244"/>
      <c r="AC227" s="247"/>
      <c r="AD227" s="142"/>
      <c r="AE227" s="18"/>
      <c r="AF227" s="18"/>
      <c r="AG227" s="203"/>
      <c r="AH227" s="203"/>
      <c r="AI227" s="18"/>
      <c r="AJ227" s="18"/>
      <c r="AK227" s="18"/>
      <c r="AL227" s="18"/>
      <c r="AM227" s="18"/>
      <c r="AN227" s="18"/>
    </row>
    <row r="228" spans="1:40" ht="20">
      <c r="A228" s="18"/>
      <c r="B228" s="151"/>
      <c r="C228" s="55">
        <v>208</v>
      </c>
      <c r="D228" s="54">
        <v>1</v>
      </c>
      <c r="E228" s="190">
        <f t="shared" si="62"/>
        <v>7</v>
      </c>
      <c r="F228" s="191">
        <f t="shared" si="63"/>
        <v>46230</v>
      </c>
      <c r="G228" s="192" t="str">
        <f t="shared" si="64"/>
        <v>Mon</v>
      </c>
      <c r="H228" s="193"/>
      <c r="I228" s="194"/>
      <c r="J228" s="307">
        <f>108950/B13</f>
        <v>987.40257386260646</v>
      </c>
      <c r="K228" s="215"/>
      <c r="L228" s="317">
        <f t="shared" si="65"/>
        <v>2230.966290844387</v>
      </c>
      <c r="M228" s="318">
        <f t="shared" si="59"/>
        <v>-1243.5637169817805</v>
      </c>
      <c r="N228" s="41">
        <f t="shared" si="8"/>
        <v>0.4425896428443522</v>
      </c>
      <c r="O228" s="44"/>
      <c r="P228" s="317">
        <f>IF(D228=0,0,SUM($L$202:L228))</f>
        <v>48864.672386151586</v>
      </c>
      <c r="Q228" s="317">
        <f>IF(D228=0,0,SUM($J$202:J228))</f>
        <v>48087.910096066698</v>
      </c>
      <c r="R228" s="321">
        <f t="shared" si="60"/>
        <v>-776.76229008488735</v>
      </c>
      <c r="S228" s="198">
        <f t="shared" si="66"/>
        <v>0.98410380644841844</v>
      </c>
      <c r="T228" s="212"/>
      <c r="U228" s="317">
        <f>IF(D228=0,0,SUM($L$21:L228))</f>
        <v>356663.29482588382</v>
      </c>
      <c r="V228" s="317">
        <f>IF(D228=0,0,SUM($J$21:J228))</f>
        <v>388065.68990928051</v>
      </c>
      <c r="W228" s="331">
        <f t="shared" si="61"/>
        <v>31402.395083396696</v>
      </c>
      <c r="X228" s="200">
        <f t="shared" si="67"/>
        <v>1.0880449307202378</v>
      </c>
      <c r="Y228" s="201">
        <f t="shared" si="68"/>
        <v>46230</v>
      </c>
      <c r="Z228" s="202">
        <f t="shared" si="68"/>
        <v>46230</v>
      </c>
      <c r="AA228" s="18"/>
      <c r="AB228" s="244"/>
      <c r="AC228" s="247"/>
      <c r="AD228" s="142"/>
      <c r="AE228" s="18"/>
      <c r="AF228" s="18"/>
      <c r="AG228" s="203"/>
      <c r="AH228" s="203"/>
      <c r="AI228" s="18"/>
      <c r="AJ228" s="18"/>
      <c r="AK228" s="18"/>
      <c r="AL228" s="18"/>
      <c r="AM228" s="18"/>
      <c r="AN228" s="18"/>
    </row>
    <row r="229" spans="1:40" ht="20">
      <c r="A229" s="18"/>
      <c r="B229" s="151"/>
      <c r="C229" s="55">
        <v>209</v>
      </c>
      <c r="D229" s="54">
        <v>1</v>
      </c>
      <c r="E229" s="190">
        <f t="shared" si="62"/>
        <v>7</v>
      </c>
      <c r="F229" s="191">
        <f t="shared" si="63"/>
        <v>46231</v>
      </c>
      <c r="G229" s="192" t="str">
        <f t="shared" si="64"/>
        <v>Tue</v>
      </c>
      <c r="H229" s="193"/>
      <c r="I229" s="194"/>
      <c r="J229" s="307">
        <f>298450/B13</f>
        <v>2704.8214609389161</v>
      </c>
      <c r="K229" s="215"/>
      <c r="L229" s="317">
        <f t="shared" si="65"/>
        <v>2802.1694102555339</v>
      </c>
      <c r="M229" s="318">
        <f t="shared" si="59"/>
        <v>-97.347949316617814</v>
      </c>
      <c r="N229" s="41">
        <f t="shared" si="8"/>
        <v>0.96525979158849629</v>
      </c>
      <c r="O229" s="56"/>
      <c r="P229" s="317">
        <f>IF(D229=0,0,SUM($L$202:L229))</f>
        <v>51666.84179640712</v>
      </c>
      <c r="Q229" s="317">
        <f>IF(D229=0,0,SUM($J$202:J229))</f>
        <v>50792.731557005616</v>
      </c>
      <c r="R229" s="321">
        <f t="shared" si="60"/>
        <v>-874.11023940150335</v>
      </c>
      <c r="S229" s="198">
        <f t="shared" si="66"/>
        <v>0.9830817946479885</v>
      </c>
      <c r="T229" s="207"/>
      <c r="U229" s="317">
        <f>IF(D229=0,0,SUM($L$21:L229))</f>
        <v>359465.46423613932</v>
      </c>
      <c r="V229" s="317">
        <f>IF(D229=0,0,SUM($J$21:J229))</f>
        <v>390770.51137021941</v>
      </c>
      <c r="W229" s="331">
        <f t="shared" si="61"/>
        <v>31305.047134080087</v>
      </c>
      <c r="X229" s="200">
        <f t="shared" si="67"/>
        <v>1.0870877740664266</v>
      </c>
      <c r="Y229" s="201">
        <f t="shared" si="68"/>
        <v>46231</v>
      </c>
      <c r="Z229" s="202">
        <f t="shared" si="68"/>
        <v>46231</v>
      </c>
      <c r="AA229" s="18"/>
      <c r="AB229" s="244"/>
      <c r="AC229" s="247"/>
      <c r="AD229" s="142"/>
      <c r="AE229" s="18"/>
      <c r="AF229" s="18"/>
      <c r="AG229" s="203"/>
      <c r="AH229" s="203"/>
      <c r="AI229" s="18"/>
      <c r="AJ229" s="18"/>
      <c r="AK229" s="18"/>
      <c r="AL229" s="18"/>
      <c r="AM229" s="18"/>
      <c r="AN229" s="18"/>
    </row>
    <row r="230" spans="1:40" ht="20">
      <c r="A230" s="18"/>
      <c r="B230" s="151"/>
      <c r="C230" s="55">
        <v>210</v>
      </c>
      <c r="D230" s="54">
        <v>1</v>
      </c>
      <c r="E230" s="190">
        <f t="shared" si="62"/>
        <v>7</v>
      </c>
      <c r="F230" s="191">
        <f t="shared" si="63"/>
        <v>46232</v>
      </c>
      <c r="G230" s="192" t="str">
        <f t="shared" si="64"/>
        <v>Wed</v>
      </c>
      <c r="H230" s="193"/>
      <c r="I230" s="194"/>
      <c r="J230" s="307">
        <f>305580/B13</f>
        <v>2769.4399129961935</v>
      </c>
      <c r="K230" s="215"/>
      <c r="L230" s="317">
        <f t="shared" si="65"/>
        <v>2436.5994138323999</v>
      </c>
      <c r="M230" s="318">
        <f t="shared" si="59"/>
        <v>332.84049916379354</v>
      </c>
      <c r="N230" s="41">
        <f t="shared" si="8"/>
        <v>1.1366004183019507</v>
      </c>
      <c r="O230" s="56"/>
      <c r="P230" s="317">
        <f>IF(D230=0,0,SUM($L$202:L230))</f>
        <v>54103.441210239522</v>
      </c>
      <c r="Q230" s="317">
        <f>IF(D230=0,0,SUM($J$202:J230))</f>
        <v>53562.171470001813</v>
      </c>
      <c r="R230" s="321">
        <f t="shared" si="60"/>
        <v>-541.2697402377089</v>
      </c>
      <c r="S230" s="198">
        <f t="shared" si="66"/>
        <v>0.98999565040355941</v>
      </c>
      <c r="T230" s="207"/>
      <c r="U230" s="317">
        <f>IF(D230=0,0,SUM($L$21:L230))</f>
        <v>361902.06364997174</v>
      </c>
      <c r="V230" s="317">
        <f>IF(D230=0,0,SUM($J$21:J230))</f>
        <v>393539.9512832156</v>
      </c>
      <c r="W230" s="331">
        <f t="shared" si="61"/>
        <v>31637.887633243867</v>
      </c>
      <c r="X230" s="200">
        <f t="shared" si="67"/>
        <v>1.0874211307726716</v>
      </c>
      <c r="Y230" s="201">
        <f t="shared" si="68"/>
        <v>46232</v>
      </c>
      <c r="Z230" s="202">
        <f t="shared" si="68"/>
        <v>46232</v>
      </c>
      <c r="AA230" s="18"/>
      <c r="AB230" s="244"/>
      <c r="AC230" s="247"/>
      <c r="AD230" s="142"/>
      <c r="AE230" s="18"/>
      <c r="AF230" s="18"/>
      <c r="AG230" s="203"/>
      <c r="AH230" s="203"/>
      <c r="AI230" s="18"/>
      <c r="AJ230" s="18"/>
      <c r="AK230" s="18"/>
      <c r="AL230" s="18"/>
      <c r="AM230" s="18"/>
      <c r="AN230" s="18"/>
    </row>
    <row r="231" spans="1:40" ht="20">
      <c r="A231" s="18"/>
      <c r="B231" s="151"/>
      <c r="C231" s="55">
        <v>211</v>
      </c>
      <c r="D231" s="54">
        <v>1</v>
      </c>
      <c r="E231" s="190">
        <f t="shared" si="62"/>
        <v>7</v>
      </c>
      <c r="F231" s="191">
        <f t="shared" si="63"/>
        <v>46233</v>
      </c>
      <c r="G231" s="192" t="str">
        <f t="shared" si="64"/>
        <v>Thu</v>
      </c>
      <c r="H231" s="193"/>
      <c r="I231" s="194"/>
      <c r="J231" s="307">
        <f>320020/B13</f>
        <v>2900.3081384810584</v>
      </c>
      <c r="K231" s="215"/>
      <c r="L231" s="317">
        <f t="shared" si="65"/>
        <v>2184.189203658771</v>
      </c>
      <c r="M231" s="318">
        <f t="shared" si="59"/>
        <v>716.11893482228743</v>
      </c>
      <c r="N231" s="41">
        <f t="shared" si="8"/>
        <v>1.327864881679071</v>
      </c>
      <c r="O231" s="56"/>
      <c r="P231" s="317">
        <f>IF(D231=0,0,SUM($L$202:L231))</f>
        <v>56287.630413898296</v>
      </c>
      <c r="Q231" s="317">
        <f>IF(D231=0,0,SUM($J$202:J231))</f>
        <v>56462.47960848287</v>
      </c>
      <c r="R231" s="321">
        <f t="shared" si="60"/>
        <v>174.84919458457443</v>
      </c>
      <c r="S231" s="198">
        <f t="shared" si="66"/>
        <v>1.0031063520226178</v>
      </c>
      <c r="T231" s="207"/>
      <c r="U231" s="317">
        <f>IF(D231=0,0,SUM($L$21:L231))</f>
        <v>364086.25285363052</v>
      </c>
      <c r="V231" s="317">
        <f>IF(D231=0,0,SUM($J$21:J231))</f>
        <v>396440.25942169665</v>
      </c>
      <c r="W231" s="331">
        <f t="shared" si="61"/>
        <v>32354.006568066136</v>
      </c>
      <c r="X231" s="200">
        <f t="shared" si="67"/>
        <v>1.0888635764588261</v>
      </c>
      <c r="Y231" s="201">
        <f t="shared" ref="Y231:Z246" si="69">Y230+1</f>
        <v>46233</v>
      </c>
      <c r="Z231" s="202">
        <f t="shared" si="69"/>
        <v>46233</v>
      </c>
      <c r="AA231" s="18"/>
      <c r="AB231" s="244"/>
      <c r="AC231" s="247"/>
      <c r="AD231" s="142"/>
      <c r="AE231" s="18"/>
      <c r="AF231" s="18"/>
      <c r="AG231" s="203"/>
      <c r="AH231" s="203"/>
      <c r="AI231" s="18"/>
      <c r="AJ231" s="18"/>
      <c r="AK231" s="18"/>
      <c r="AL231" s="18"/>
      <c r="AM231" s="18"/>
      <c r="AN231" s="18"/>
    </row>
    <row r="232" spans="1:40" ht="21" thickBot="1">
      <c r="A232" s="18"/>
      <c r="B232" s="151"/>
      <c r="C232" s="39">
        <v>212</v>
      </c>
      <c r="D232" s="38">
        <v>1</v>
      </c>
      <c r="E232" s="217">
        <f t="shared" si="62"/>
        <v>7</v>
      </c>
      <c r="F232" s="236">
        <f t="shared" si="63"/>
        <v>46234</v>
      </c>
      <c r="G232" s="219" t="str">
        <f t="shared" si="64"/>
        <v>Fri</v>
      </c>
      <c r="H232" s="233"/>
      <c r="I232" s="221"/>
      <c r="J232" s="316">
        <f>351250/B13</f>
        <v>3183.3423962298348</v>
      </c>
      <c r="K232" s="223"/>
      <c r="L232" s="317">
        <f t="shared" si="65"/>
        <v>2621.196847294385</v>
      </c>
      <c r="M232" s="320">
        <f t="shared" si="59"/>
        <v>562.14554893544982</v>
      </c>
      <c r="N232" s="225">
        <f t="shared" si="8"/>
        <v>1.2144614012929627</v>
      </c>
      <c r="O232" s="226"/>
      <c r="P232" s="325">
        <f>IF(D232=0,0,SUM($L$202:L232))</f>
        <v>58908.82726119268</v>
      </c>
      <c r="Q232" s="326">
        <f>IF(D232=0,0,SUM($J$202:J232))</f>
        <v>59645.822004712703</v>
      </c>
      <c r="R232" s="327">
        <f t="shared" si="60"/>
        <v>736.99474352002289</v>
      </c>
      <c r="S232" s="228">
        <f t="shared" si="66"/>
        <v>1.0125107692307691</v>
      </c>
      <c r="T232" s="229"/>
      <c r="U232" s="332">
        <f>IF(D232=0,0,SUM($L$21:L232))</f>
        <v>366707.44970092492</v>
      </c>
      <c r="V232" s="323">
        <f>IF(D232=0,0,SUM($J$21:J232))</f>
        <v>399623.60181792651</v>
      </c>
      <c r="W232" s="333">
        <f t="shared" si="61"/>
        <v>32916.152117001591</v>
      </c>
      <c r="X232" s="230">
        <f t="shared" si="67"/>
        <v>1.0897613401196158</v>
      </c>
      <c r="Y232" s="201">
        <f t="shared" si="69"/>
        <v>46234</v>
      </c>
      <c r="Z232" s="202">
        <f t="shared" si="69"/>
        <v>46234</v>
      </c>
      <c r="AA232" s="18"/>
      <c r="AB232" s="244"/>
      <c r="AC232" s="247"/>
      <c r="AD232" s="142"/>
      <c r="AE232" s="18"/>
      <c r="AF232" s="18"/>
      <c r="AG232" s="203"/>
      <c r="AH232" s="203"/>
      <c r="AI232" s="18"/>
      <c r="AJ232" s="18"/>
      <c r="AK232" s="18"/>
      <c r="AL232" s="18"/>
      <c r="AM232" s="18"/>
      <c r="AN232" s="18"/>
    </row>
    <row r="233" spans="1:40" ht="21" thickTop="1">
      <c r="A233" s="18"/>
      <c r="B233" s="151"/>
      <c r="C233" s="55">
        <v>213</v>
      </c>
      <c r="D233" s="62">
        <v>1</v>
      </c>
      <c r="E233" s="190">
        <f t="shared" si="62"/>
        <v>8</v>
      </c>
      <c r="F233" s="191">
        <f t="shared" si="63"/>
        <v>46235</v>
      </c>
      <c r="G233" s="192" t="str">
        <f t="shared" si="64"/>
        <v>Sat</v>
      </c>
      <c r="H233" s="193"/>
      <c r="I233" s="194"/>
      <c r="J233" s="307">
        <f>327530/B13</f>
        <v>2968.3704912089902</v>
      </c>
      <c r="K233" s="215"/>
      <c r="L233" s="317">
        <f t="shared" si="65"/>
        <v>1650.4376860412824</v>
      </c>
      <c r="M233" s="321">
        <f t="shared" si="59"/>
        <v>1317.9328051677078</v>
      </c>
      <c r="N233" s="60">
        <f t="shared" si="8"/>
        <v>1.798535331757289</v>
      </c>
      <c r="O233" s="56"/>
      <c r="P233" s="317">
        <f>IF(D233=0,0,$L$233)</f>
        <v>1650.4376860412824</v>
      </c>
      <c r="Q233" s="317">
        <f>IF(D233=0,0,$J$233)</f>
        <v>2968.3704912089902</v>
      </c>
      <c r="R233" s="321">
        <f t="shared" si="60"/>
        <v>1317.9328051677078</v>
      </c>
      <c r="S233" s="231">
        <f t="shared" si="66"/>
        <v>1.798535331757289</v>
      </c>
      <c r="T233" s="207"/>
      <c r="U233" s="317">
        <f>IF(D233=0,0,SUM($L$21:L233))</f>
        <v>368357.88738696621</v>
      </c>
      <c r="V233" s="317">
        <f>IF(D233=0,0,SUM($J$21:J233))</f>
        <v>402591.97230913548</v>
      </c>
      <c r="W233" s="331">
        <f t="shared" si="61"/>
        <v>34234.084922169277</v>
      </c>
      <c r="X233" s="232">
        <f t="shared" si="67"/>
        <v>1.0929370215607892</v>
      </c>
      <c r="Y233" s="201">
        <f t="shared" si="69"/>
        <v>46235</v>
      </c>
      <c r="Z233" s="202">
        <f t="shared" si="69"/>
        <v>46235</v>
      </c>
      <c r="AA233" s="18"/>
      <c r="AB233" s="244"/>
      <c r="AC233" s="247"/>
      <c r="AD233" s="142"/>
      <c r="AE233" s="18"/>
      <c r="AF233" s="18"/>
      <c r="AG233" s="203"/>
      <c r="AH233" s="203"/>
      <c r="AI233" s="18"/>
      <c r="AJ233" s="18"/>
      <c r="AK233" s="18"/>
      <c r="AL233" s="18"/>
      <c r="AM233" s="18"/>
      <c r="AN233" s="18"/>
    </row>
    <row r="234" spans="1:40" ht="20">
      <c r="A234" s="18"/>
      <c r="B234" s="151"/>
      <c r="C234" s="55">
        <v>214</v>
      </c>
      <c r="D234" s="54">
        <v>0</v>
      </c>
      <c r="E234" s="190">
        <f t="shared" si="62"/>
        <v>8</v>
      </c>
      <c r="F234" s="191">
        <f t="shared" si="63"/>
        <v>46236</v>
      </c>
      <c r="G234" s="192" t="str">
        <f t="shared" si="64"/>
        <v>Sun</v>
      </c>
      <c r="H234" s="193"/>
      <c r="I234" s="194"/>
      <c r="J234" s="307"/>
      <c r="K234" s="215"/>
      <c r="L234" s="317">
        <f t="shared" si="65"/>
        <v>0</v>
      </c>
      <c r="M234" s="318">
        <f t="shared" si="59"/>
        <v>0</v>
      </c>
      <c r="N234" s="41" t="str">
        <f t="shared" si="8"/>
        <v>¥0</v>
      </c>
      <c r="O234" s="56"/>
      <c r="P234" s="317">
        <f>IF(D234=0,0,SUM($L$233:L234))</f>
        <v>0</v>
      </c>
      <c r="Q234" s="317">
        <f>IF(D234=0,0,SUM($J$233:J234))</f>
        <v>0</v>
      </c>
      <c r="R234" s="321">
        <f t="shared" si="60"/>
        <v>0</v>
      </c>
      <c r="S234" s="198">
        <f t="shared" si="66"/>
        <v>0</v>
      </c>
      <c r="T234" s="207"/>
      <c r="U234" s="317">
        <f>IF(D234=0,0,SUM($L$21:L234))</f>
        <v>0</v>
      </c>
      <c r="V234" s="317">
        <f>IF(D234=0,0,SUM($J$21:J234))</f>
        <v>0</v>
      </c>
      <c r="W234" s="331">
        <f t="shared" si="61"/>
        <v>0</v>
      </c>
      <c r="X234" s="200">
        <f t="shared" si="67"/>
        <v>0</v>
      </c>
      <c r="Y234" s="201">
        <f t="shared" si="69"/>
        <v>46236</v>
      </c>
      <c r="Z234" s="202">
        <f t="shared" si="69"/>
        <v>46236</v>
      </c>
      <c r="AA234" s="18"/>
      <c r="AB234" s="244"/>
      <c r="AC234" s="247"/>
      <c r="AD234" s="142"/>
      <c r="AE234" s="18"/>
      <c r="AF234" s="18"/>
      <c r="AG234" s="203"/>
      <c r="AH234" s="203"/>
      <c r="AI234" s="18"/>
      <c r="AJ234" s="18"/>
      <c r="AK234" s="18"/>
      <c r="AL234" s="18"/>
      <c r="AM234" s="18"/>
      <c r="AN234" s="18"/>
    </row>
    <row r="235" spans="1:40" ht="20">
      <c r="A235" s="18"/>
      <c r="B235" s="151"/>
      <c r="C235" s="55">
        <v>215</v>
      </c>
      <c r="D235" s="54">
        <v>1</v>
      </c>
      <c r="E235" s="190">
        <f t="shared" si="62"/>
        <v>8</v>
      </c>
      <c r="F235" s="191">
        <f t="shared" si="63"/>
        <v>46237</v>
      </c>
      <c r="G235" s="192" t="str">
        <f t="shared" si="64"/>
        <v>Mon</v>
      </c>
      <c r="H235" s="193"/>
      <c r="I235" s="194"/>
      <c r="J235" s="307">
        <f>74170/B13</f>
        <v>672.19503353271705</v>
      </c>
      <c r="K235" s="215"/>
      <c r="L235" s="317">
        <f t="shared" si="65"/>
        <v>1183.3883913331588</v>
      </c>
      <c r="M235" s="318">
        <f t="shared" si="59"/>
        <v>-511.19335780044173</v>
      </c>
      <c r="N235" s="41">
        <f t="shared" si="8"/>
        <v>0.56802571197732354</v>
      </c>
      <c r="O235" s="44"/>
      <c r="P235" s="317">
        <f>IF(D235=0,0,SUM($L$233:L235))</f>
        <v>2833.8260773744414</v>
      </c>
      <c r="Q235" s="317">
        <f>IF(D235=0,0,SUM($J$233:J235))</f>
        <v>3640.5655247417071</v>
      </c>
      <c r="R235" s="321">
        <f t="shared" si="60"/>
        <v>806.73944736726571</v>
      </c>
      <c r="S235" s="198">
        <f t="shared" si="66"/>
        <v>1.2846820606982046</v>
      </c>
      <c r="T235" s="212"/>
      <c r="U235" s="317">
        <f>IF(D235=0,0,SUM($L$21:L235))</f>
        <v>369541.27577829937</v>
      </c>
      <c r="V235" s="317">
        <f>IF(D235=0,0,SUM($J$21:J235))</f>
        <v>403264.16734266822</v>
      </c>
      <c r="W235" s="331">
        <f t="shared" si="61"/>
        <v>33722.891564368852</v>
      </c>
      <c r="X235" s="200">
        <f t="shared" si="67"/>
        <v>1.0912560890345586</v>
      </c>
      <c r="Y235" s="201">
        <f t="shared" si="69"/>
        <v>46237</v>
      </c>
      <c r="Z235" s="202">
        <f t="shared" si="69"/>
        <v>46237</v>
      </c>
      <c r="AA235" s="18"/>
      <c r="AB235" s="244"/>
      <c r="AC235" s="247"/>
      <c r="AD235" s="142"/>
      <c r="AE235" s="18"/>
      <c r="AF235" s="18"/>
      <c r="AG235" s="203"/>
      <c r="AH235" s="203"/>
      <c r="AI235" s="18"/>
      <c r="AJ235" s="18"/>
      <c r="AK235" s="18"/>
      <c r="AL235" s="18"/>
      <c r="AM235" s="18"/>
      <c r="AN235" s="18"/>
    </row>
    <row r="236" spans="1:40" ht="20">
      <c r="A236" s="18"/>
      <c r="B236" s="151"/>
      <c r="C236" s="55">
        <v>216</v>
      </c>
      <c r="D236" s="54">
        <v>1</v>
      </c>
      <c r="E236" s="190">
        <f t="shared" si="62"/>
        <v>8</v>
      </c>
      <c r="F236" s="191">
        <f t="shared" si="63"/>
        <v>46238</v>
      </c>
      <c r="G236" s="192" t="str">
        <f t="shared" si="64"/>
        <v>Tue</v>
      </c>
      <c r="H236" s="193"/>
      <c r="I236" s="194"/>
      <c r="J236" s="307">
        <f>325280/B13</f>
        <v>2947.9789740801161</v>
      </c>
      <c r="K236" s="215"/>
      <c r="L236" s="317">
        <f t="shared" si="65"/>
        <v>1654.0230723632683</v>
      </c>
      <c r="M236" s="318">
        <f t="shared" si="59"/>
        <v>1293.9559017168478</v>
      </c>
      <c r="N236" s="41">
        <f t="shared" si="8"/>
        <v>1.7823082539399184</v>
      </c>
      <c r="O236" s="56"/>
      <c r="P236" s="317">
        <f>IF(D236=0,0,SUM($L$233:L236))</f>
        <v>4487.8491497377099</v>
      </c>
      <c r="Q236" s="317">
        <f>IF(D236=0,0,SUM($J$233:J236))</f>
        <v>6588.5444988218233</v>
      </c>
      <c r="R236" s="321">
        <f t="shared" si="60"/>
        <v>2100.6953490841133</v>
      </c>
      <c r="S236" s="198">
        <f t="shared" si="66"/>
        <v>1.4680851069173944</v>
      </c>
      <c r="T236" s="207"/>
      <c r="U236" s="317">
        <f>IF(D236=0,0,SUM($L$21:L236))</f>
        <v>371195.29885066266</v>
      </c>
      <c r="V236" s="317">
        <f>IF(D236=0,0,SUM($J$21:J236))</f>
        <v>406212.14631674835</v>
      </c>
      <c r="W236" s="331">
        <f t="shared" si="61"/>
        <v>35016.847466085688</v>
      </c>
      <c r="X236" s="200">
        <f t="shared" si="67"/>
        <v>1.0943353743285782</v>
      </c>
      <c r="Y236" s="201">
        <f t="shared" si="69"/>
        <v>46238</v>
      </c>
      <c r="Z236" s="202">
        <f t="shared" si="69"/>
        <v>46238</v>
      </c>
      <c r="AA236" s="18"/>
      <c r="AB236" s="244"/>
      <c r="AC236" s="247"/>
      <c r="AD236" s="142"/>
      <c r="AE236" s="18"/>
      <c r="AF236" s="18"/>
      <c r="AG236" s="203"/>
      <c r="AH236" s="203"/>
      <c r="AI236" s="18"/>
      <c r="AJ236" s="18"/>
      <c r="AK236" s="18"/>
      <c r="AL236" s="18"/>
      <c r="AM236" s="18"/>
      <c r="AN236" s="18"/>
    </row>
    <row r="237" spans="1:40" ht="20">
      <c r="A237" s="18"/>
      <c r="B237" s="151"/>
      <c r="C237" s="55">
        <v>217</v>
      </c>
      <c r="D237" s="54">
        <v>1</v>
      </c>
      <c r="E237" s="190">
        <f t="shared" si="62"/>
        <v>8</v>
      </c>
      <c r="F237" s="191">
        <f t="shared" si="63"/>
        <v>46239</v>
      </c>
      <c r="G237" s="192" t="str">
        <f t="shared" si="64"/>
        <v>Wed</v>
      </c>
      <c r="H237" s="193"/>
      <c r="I237" s="194"/>
      <c r="J237" s="307">
        <f>200060/B13</f>
        <v>1813.1230741344934</v>
      </c>
      <c r="K237" s="215"/>
      <c r="L237" s="317">
        <f t="shared" si="65"/>
        <v>3100.5823348148328</v>
      </c>
      <c r="M237" s="318">
        <f t="shared" si="59"/>
        <v>-1287.4592606803394</v>
      </c>
      <c r="N237" s="41">
        <f t="shared" si="8"/>
        <v>0.58476856227163321</v>
      </c>
      <c r="O237" s="56"/>
      <c r="P237" s="317">
        <f>IF(D237=0,0,SUM($L$233:L237))</f>
        <v>7588.4314845525423</v>
      </c>
      <c r="Q237" s="317">
        <f>IF(D237=0,0,SUM($J$233:J237))</f>
        <v>8401.6675729563176</v>
      </c>
      <c r="R237" s="321">
        <f t="shared" si="60"/>
        <v>813.23608840377528</v>
      </c>
      <c r="S237" s="198">
        <f t="shared" si="66"/>
        <v>1.1071678765314343</v>
      </c>
      <c r="T237" s="207"/>
      <c r="U237" s="317">
        <f>IF(D237=0,0,SUM($L$21:L237))</f>
        <v>374295.88118547748</v>
      </c>
      <c r="V237" s="317">
        <f>IF(D237=0,0,SUM($J$21:J237))</f>
        <v>408025.26939088287</v>
      </c>
      <c r="W237" s="331">
        <f t="shared" si="61"/>
        <v>33729.388205405383</v>
      </c>
      <c r="X237" s="200">
        <f t="shared" si="67"/>
        <v>1.0901142382293307</v>
      </c>
      <c r="Y237" s="201">
        <f t="shared" si="69"/>
        <v>46239</v>
      </c>
      <c r="Z237" s="202">
        <f t="shared" si="69"/>
        <v>46239</v>
      </c>
      <c r="AA237" s="18"/>
      <c r="AB237" s="244"/>
      <c r="AC237" s="247"/>
      <c r="AD237" s="142"/>
      <c r="AE237" s="18"/>
      <c r="AF237" s="18"/>
      <c r="AG237" s="203"/>
      <c r="AH237" s="203"/>
      <c r="AI237" s="18"/>
      <c r="AJ237" s="18"/>
      <c r="AK237" s="18"/>
      <c r="AL237" s="18"/>
      <c r="AM237" s="18"/>
      <c r="AN237" s="18"/>
    </row>
    <row r="238" spans="1:40" ht="20">
      <c r="A238" s="18"/>
      <c r="B238" s="151"/>
      <c r="C238" s="55">
        <v>218</v>
      </c>
      <c r="D238" s="54">
        <v>1</v>
      </c>
      <c r="E238" s="190">
        <f t="shared" si="62"/>
        <v>8</v>
      </c>
      <c r="F238" s="191">
        <f t="shared" si="63"/>
        <v>46240</v>
      </c>
      <c r="G238" s="192" t="str">
        <f t="shared" si="64"/>
        <v>Thu</v>
      </c>
      <c r="H238" s="193"/>
      <c r="I238" s="194"/>
      <c r="J238" s="307">
        <f>294840/B13</f>
        <v>2672.1044045676999</v>
      </c>
      <c r="K238" s="215"/>
      <c r="L238" s="317">
        <f t="shared" si="65"/>
        <v>2889.7967699283467</v>
      </c>
      <c r="M238" s="318">
        <f t="shared" si="59"/>
        <v>-217.69236536064682</v>
      </c>
      <c r="N238" s="41">
        <f t="shared" si="8"/>
        <v>0.9246686245808059</v>
      </c>
      <c r="O238" s="56"/>
      <c r="P238" s="317">
        <f>IF(D238=0,0,SUM($L$233:L238))</f>
        <v>10478.22825448089</v>
      </c>
      <c r="Q238" s="317">
        <f>IF(D238=0,0,SUM($J$233:J238))</f>
        <v>11073.771977524018</v>
      </c>
      <c r="R238" s="321">
        <f t="shared" si="60"/>
        <v>595.54372304312892</v>
      </c>
      <c r="S238" s="198">
        <f t="shared" si="66"/>
        <v>1.0568362998571301</v>
      </c>
      <c r="T238" s="207"/>
      <c r="U238" s="317">
        <f>IF(D238=0,0,SUM($L$21:L238))</f>
        <v>377185.67795540584</v>
      </c>
      <c r="V238" s="317">
        <f>IF(D238=0,0,SUM($J$21:J238))</f>
        <v>410697.37379545055</v>
      </c>
      <c r="W238" s="331">
        <f t="shared" si="61"/>
        <v>33511.695840044704</v>
      </c>
      <c r="X238" s="200">
        <f t="shared" si="67"/>
        <v>1.0888466816176587</v>
      </c>
      <c r="Y238" s="201">
        <f t="shared" si="69"/>
        <v>46240</v>
      </c>
      <c r="Z238" s="202">
        <f t="shared" si="69"/>
        <v>46240</v>
      </c>
      <c r="AA238" s="18"/>
      <c r="AB238" s="244"/>
      <c r="AC238" s="247"/>
      <c r="AD238" s="142"/>
      <c r="AE238" s="18"/>
      <c r="AF238" s="18"/>
      <c r="AG238" s="203"/>
      <c r="AH238" s="203"/>
      <c r="AI238" s="18"/>
      <c r="AJ238" s="18"/>
      <c r="AK238" s="18"/>
      <c r="AL238" s="18"/>
      <c r="AM238" s="18"/>
      <c r="AN238" s="18"/>
    </row>
    <row r="239" spans="1:40" ht="20">
      <c r="A239" s="18"/>
      <c r="B239" s="151"/>
      <c r="C239" s="55">
        <v>219</v>
      </c>
      <c r="D239" s="54">
        <v>1</v>
      </c>
      <c r="E239" s="190">
        <f t="shared" si="62"/>
        <v>8</v>
      </c>
      <c r="F239" s="191">
        <f t="shared" si="63"/>
        <v>46241</v>
      </c>
      <c r="G239" s="192" t="str">
        <f t="shared" si="64"/>
        <v>Fri</v>
      </c>
      <c r="H239" s="193"/>
      <c r="I239" s="194"/>
      <c r="J239" s="307">
        <f>234020/B13</f>
        <v>2120.8990393329709</v>
      </c>
      <c r="K239" s="215"/>
      <c r="L239" s="317">
        <f t="shared" si="65"/>
        <v>4042.7691339633238</v>
      </c>
      <c r="M239" s="318">
        <f t="shared" si="59"/>
        <v>-1921.8700946303529</v>
      </c>
      <c r="N239" s="41">
        <f t="shared" si="8"/>
        <v>0.52461542300679187</v>
      </c>
      <c r="O239" s="56"/>
      <c r="P239" s="317">
        <f>IF(D239=0,0,SUM($L$233:L239))</f>
        <v>14520.997388444213</v>
      </c>
      <c r="Q239" s="317">
        <f>IF(D239=0,0,SUM($J$233:J239))</f>
        <v>13194.67101685699</v>
      </c>
      <c r="R239" s="321">
        <f t="shared" si="60"/>
        <v>-1326.3263715872235</v>
      </c>
      <c r="S239" s="198">
        <f t="shared" si="66"/>
        <v>0.90866148267179558</v>
      </c>
      <c r="T239" s="207"/>
      <c r="U239" s="317">
        <f>IF(D239=0,0,SUM($L$21:L239))</f>
        <v>381228.44708936918</v>
      </c>
      <c r="V239" s="317">
        <f>IF(D239=0,0,SUM($J$21:J239))</f>
        <v>412818.27283478354</v>
      </c>
      <c r="W239" s="331">
        <f t="shared" si="61"/>
        <v>31589.82574541436</v>
      </c>
      <c r="X239" s="200">
        <f t="shared" si="67"/>
        <v>1.0828632437757431</v>
      </c>
      <c r="Y239" s="201">
        <f t="shared" si="69"/>
        <v>46241</v>
      </c>
      <c r="Z239" s="202">
        <f t="shared" si="69"/>
        <v>46241</v>
      </c>
      <c r="AA239" s="18"/>
      <c r="AB239" s="244"/>
      <c r="AC239" s="247"/>
      <c r="AD239" s="142"/>
      <c r="AE239" s="18"/>
      <c r="AF239" s="18"/>
      <c r="AG239" s="203"/>
      <c r="AH239" s="203"/>
      <c r="AI239" s="18"/>
      <c r="AJ239" s="18"/>
      <c r="AK239" s="18"/>
      <c r="AL239" s="18"/>
      <c r="AM239" s="18"/>
      <c r="AN239" s="18"/>
    </row>
    <row r="240" spans="1:40" ht="20">
      <c r="A240" s="18"/>
      <c r="B240" s="151"/>
      <c r="C240" s="55">
        <v>220</v>
      </c>
      <c r="D240" s="54">
        <v>1</v>
      </c>
      <c r="E240" s="190">
        <f t="shared" si="62"/>
        <v>8</v>
      </c>
      <c r="F240" s="191">
        <f t="shared" si="63"/>
        <v>46242</v>
      </c>
      <c r="G240" s="192" t="str">
        <f t="shared" si="64"/>
        <v>Sat</v>
      </c>
      <c r="H240" s="193"/>
      <c r="I240" s="194"/>
      <c r="J240" s="307">
        <f>303240/B13</f>
        <v>2748.2327351821641</v>
      </c>
      <c r="K240" s="215"/>
      <c r="L240" s="317">
        <f t="shared" si="65"/>
        <v>1650.4376860412824</v>
      </c>
      <c r="M240" s="318">
        <f t="shared" si="59"/>
        <v>1097.7950491408817</v>
      </c>
      <c r="N240" s="41">
        <f t="shared" si="8"/>
        <v>1.6651538912529549</v>
      </c>
      <c r="O240" s="56"/>
      <c r="P240" s="317">
        <f>IF(D240=0,0,SUM($L$233:L240))</f>
        <v>16171.435074485496</v>
      </c>
      <c r="Q240" s="317">
        <f>IF(D240=0,0,SUM($J$233:J240))</f>
        <v>15942.903752039154</v>
      </c>
      <c r="R240" s="321">
        <f t="shared" si="60"/>
        <v>-228.53132244634253</v>
      </c>
      <c r="S240" s="198">
        <f t="shared" si="66"/>
        <v>0.98586821012521586</v>
      </c>
      <c r="T240" s="207"/>
      <c r="U240" s="317">
        <f>IF(D240=0,0,SUM($L$21:L240))</f>
        <v>382878.88477541046</v>
      </c>
      <c r="V240" s="317">
        <f>IF(D240=0,0,SUM($J$21:J240))</f>
        <v>415566.5055699657</v>
      </c>
      <c r="W240" s="331">
        <f t="shared" si="61"/>
        <v>32687.620794555231</v>
      </c>
      <c r="X240" s="200">
        <f t="shared" si="67"/>
        <v>1.0853732657880291</v>
      </c>
      <c r="Y240" s="201">
        <f t="shared" si="69"/>
        <v>46242</v>
      </c>
      <c r="Z240" s="202">
        <f t="shared" si="69"/>
        <v>46242</v>
      </c>
      <c r="AA240" s="18"/>
      <c r="AB240" s="244"/>
      <c r="AC240" s="247"/>
      <c r="AD240" s="142"/>
      <c r="AE240" s="18"/>
      <c r="AF240" s="18"/>
      <c r="AG240" s="203"/>
      <c r="AH240" s="203"/>
      <c r="AI240" s="18"/>
      <c r="AJ240" s="18"/>
      <c r="AK240" s="18"/>
      <c r="AL240" s="18"/>
      <c r="AM240" s="18"/>
      <c r="AN240" s="18"/>
    </row>
    <row r="241" spans="1:40" ht="20">
      <c r="A241" s="18"/>
      <c r="B241" s="151"/>
      <c r="C241" s="55">
        <v>221</v>
      </c>
      <c r="D241" s="54">
        <v>0</v>
      </c>
      <c r="E241" s="190">
        <f t="shared" si="62"/>
        <v>8</v>
      </c>
      <c r="F241" s="191">
        <f t="shared" si="63"/>
        <v>46243</v>
      </c>
      <c r="G241" s="192" t="str">
        <f t="shared" si="64"/>
        <v>Sun</v>
      </c>
      <c r="H241" s="193"/>
      <c r="I241" s="194"/>
      <c r="J241" s="307"/>
      <c r="K241" s="215"/>
      <c r="L241" s="317">
        <f t="shared" si="65"/>
        <v>0</v>
      </c>
      <c r="M241" s="318">
        <f t="shared" si="59"/>
        <v>0</v>
      </c>
      <c r="N241" s="41" t="str">
        <f t="shared" si="8"/>
        <v>¥0</v>
      </c>
      <c r="O241" s="56"/>
      <c r="P241" s="317">
        <f>IF(D241=0,0,SUM($L$233:L241))</f>
        <v>0</v>
      </c>
      <c r="Q241" s="317">
        <f>IF(D241=0,0,SUM($J$233:J241))</f>
        <v>0</v>
      </c>
      <c r="R241" s="321">
        <f t="shared" si="60"/>
        <v>0</v>
      </c>
      <c r="S241" s="198">
        <f t="shared" si="66"/>
        <v>0</v>
      </c>
      <c r="T241" s="207"/>
      <c r="U241" s="317">
        <f>IF(D241=0,0,SUM($L$21:L241))</f>
        <v>0</v>
      </c>
      <c r="V241" s="317">
        <f>IF(D241=0,0,SUM($J$21:J241))</f>
        <v>0</v>
      </c>
      <c r="W241" s="331">
        <f t="shared" si="61"/>
        <v>0</v>
      </c>
      <c r="X241" s="200">
        <f t="shared" si="67"/>
        <v>0</v>
      </c>
      <c r="Y241" s="201">
        <f t="shared" si="69"/>
        <v>46243</v>
      </c>
      <c r="Z241" s="202">
        <f t="shared" si="69"/>
        <v>46243</v>
      </c>
      <c r="AA241" s="18"/>
      <c r="AB241" s="244"/>
      <c r="AC241" s="247"/>
      <c r="AD241" s="142"/>
      <c r="AE241" s="18"/>
      <c r="AF241" s="18"/>
      <c r="AG241" s="203"/>
      <c r="AH241" s="203"/>
      <c r="AI241" s="18"/>
      <c r="AJ241" s="18"/>
      <c r="AK241" s="18"/>
      <c r="AL241" s="18"/>
      <c r="AM241" s="18"/>
      <c r="AN241" s="18"/>
    </row>
    <row r="242" spans="1:40" ht="20">
      <c r="A242" s="18"/>
      <c r="B242" s="151"/>
      <c r="C242" s="55">
        <v>222</v>
      </c>
      <c r="D242" s="54">
        <v>1</v>
      </c>
      <c r="E242" s="190">
        <f t="shared" si="62"/>
        <v>8</v>
      </c>
      <c r="F242" s="191">
        <f t="shared" si="63"/>
        <v>46244</v>
      </c>
      <c r="G242" s="192" t="str">
        <f t="shared" si="64"/>
        <v>Mon</v>
      </c>
      <c r="H242" s="193"/>
      <c r="I242" s="194"/>
      <c r="J242" s="307">
        <f>68970/B13</f>
        <v>625.06797172376287</v>
      </c>
      <c r="K242" s="215"/>
      <c r="L242" s="317">
        <f t="shared" si="65"/>
        <v>1183.3883913331588</v>
      </c>
      <c r="M242" s="318">
        <f t="shared" si="59"/>
        <v>-558.32041960939591</v>
      </c>
      <c r="N242" s="41">
        <f t="shared" si="8"/>
        <v>0.52820187886040182</v>
      </c>
      <c r="O242" s="44"/>
      <c r="P242" s="317">
        <f>IF(D242=0,0,SUM($L$233:L242))</f>
        <v>17354.823465818656</v>
      </c>
      <c r="Q242" s="317">
        <f>IF(D242=0,0,SUM($J$233:J242))</f>
        <v>16567.971723762916</v>
      </c>
      <c r="R242" s="321">
        <f t="shared" si="60"/>
        <v>-786.85174205574003</v>
      </c>
      <c r="S242" s="198">
        <f t="shared" si="66"/>
        <v>0.95466091927667884</v>
      </c>
      <c r="T242" s="212"/>
      <c r="U242" s="317">
        <f>IF(D242=0,0,SUM($L$21:L242))</f>
        <v>384062.27316674363</v>
      </c>
      <c r="V242" s="317">
        <f>IF(D242=0,0,SUM($J$21:J242))</f>
        <v>416191.57354168943</v>
      </c>
      <c r="W242" s="331">
        <f t="shared" si="61"/>
        <v>32129.3003749458</v>
      </c>
      <c r="X242" s="200">
        <f t="shared" si="67"/>
        <v>1.0836564865120106</v>
      </c>
      <c r="Y242" s="201">
        <f t="shared" si="69"/>
        <v>46244</v>
      </c>
      <c r="Z242" s="202">
        <f t="shared" si="69"/>
        <v>46244</v>
      </c>
      <c r="AA242" s="18"/>
      <c r="AB242" s="244"/>
      <c r="AC242" s="247"/>
      <c r="AD242" s="142"/>
      <c r="AE242" s="18"/>
      <c r="AF242" s="18"/>
      <c r="AG242" s="203"/>
      <c r="AH242" s="203"/>
      <c r="AI242" s="18"/>
      <c r="AJ242" s="18"/>
      <c r="AK242" s="18"/>
      <c r="AL242" s="18"/>
      <c r="AM242" s="18"/>
      <c r="AN242" s="18"/>
    </row>
    <row r="243" spans="1:40" ht="20">
      <c r="A243" s="18"/>
      <c r="B243" s="151"/>
      <c r="C243" s="55">
        <v>223</v>
      </c>
      <c r="D243" s="54">
        <v>0</v>
      </c>
      <c r="E243" s="190">
        <f t="shared" si="62"/>
        <v>8</v>
      </c>
      <c r="F243" s="191">
        <f t="shared" si="63"/>
        <v>46245</v>
      </c>
      <c r="G243" s="192" t="str">
        <f t="shared" si="64"/>
        <v>Tue</v>
      </c>
      <c r="H243" s="193" t="s">
        <v>177</v>
      </c>
      <c r="I243" s="194"/>
      <c r="J243" s="307"/>
      <c r="K243" s="215"/>
      <c r="L243" s="317">
        <f t="shared" si="65"/>
        <v>0</v>
      </c>
      <c r="M243" s="318">
        <f t="shared" si="59"/>
        <v>0</v>
      </c>
      <c r="N243" s="41" t="str">
        <f t="shared" si="8"/>
        <v>¥0</v>
      </c>
      <c r="O243" s="44"/>
      <c r="P243" s="317">
        <f>IF(D243=0,0,SUM($L$233:L243))</f>
        <v>0</v>
      </c>
      <c r="Q243" s="317">
        <f>IF(D243=0,0,SUM($J$233:J243))</f>
        <v>0</v>
      </c>
      <c r="R243" s="321">
        <f t="shared" si="60"/>
        <v>0</v>
      </c>
      <c r="S243" s="198">
        <f t="shared" si="66"/>
        <v>0</v>
      </c>
      <c r="T243" s="212"/>
      <c r="U243" s="317">
        <f>IF(D243=0,0,SUM($L$21:L243))</f>
        <v>0</v>
      </c>
      <c r="V243" s="317">
        <f>IF(D243=0,0,SUM($J$21:J243))</f>
        <v>0</v>
      </c>
      <c r="W243" s="331">
        <f t="shared" si="61"/>
        <v>0</v>
      </c>
      <c r="X243" s="200">
        <f t="shared" si="67"/>
        <v>0</v>
      </c>
      <c r="Y243" s="201">
        <f t="shared" si="69"/>
        <v>46245</v>
      </c>
      <c r="Z243" s="202">
        <f t="shared" si="69"/>
        <v>46245</v>
      </c>
      <c r="AA243" s="18"/>
      <c r="AB243" s="244"/>
      <c r="AC243" s="247"/>
      <c r="AD243" s="142"/>
      <c r="AE243" s="18"/>
      <c r="AF243" s="18"/>
      <c r="AG243" s="203"/>
      <c r="AH243" s="203"/>
      <c r="AI243" s="18"/>
      <c r="AJ243" s="18"/>
      <c r="AK243" s="18"/>
      <c r="AL243" s="18"/>
      <c r="AM243" s="18"/>
      <c r="AN243" s="18"/>
    </row>
    <row r="244" spans="1:40" ht="20">
      <c r="A244" s="18"/>
      <c r="B244" s="151"/>
      <c r="C244" s="55">
        <v>224</v>
      </c>
      <c r="D244" s="54">
        <v>0</v>
      </c>
      <c r="E244" s="190">
        <f t="shared" si="62"/>
        <v>8</v>
      </c>
      <c r="F244" s="191">
        <f t="shared" si="63"/>
        <v>46246</v>
      </c>
      <c r="G244" s="192" t="str">
        <f t="shared" si="64"/>
        <v>Wed</v>
      </c>
      <c r="H244" s="193"/>
      <c r="I244" s="194"/>
      <c r="J244" s="307"/>
      <c r="K244" s="215"/>
      <c r="L244" s="317">
        <f t="shared" si="65"/>
        <v>0</v>
      </c>
      <c r="M244" s="318">
        <f t="shared" si="59"/>
        <v>0</v>
      </c>
      <c r="N244" s="41" t="str">
        <f t="shared" si="8"/>
        <v>¥0</v>
      </c>
      <c r="O244" s="44"/>
      <c r="P244" s="317">
        <f>IF(D244=0,0,SUM($L$233:L244))</f>
        <v>0</v>
      </c>
      <c r="Q244" s="317">
        <f>IF(D244=0,0,SUM($J$233:J244))</f>
        <v>0</v>
      </c>
      <c r="R244" s="321">
        <f t="shared" si="60"/>
        <v>0</v>
      </c>
      <c r="S244" s="198">
        <f t="shared" si="66"/>
        <v>0</v>
      </c>
      <c r="T244" s="212"/>
      <c r="U244" s="317">
        <f>IF(D244=0,0,SUM($L$21:L244))</f>
        <v>0</v>
      </c>
      <c r="V244" s="317">
        <f>IF(D244=0,0,SUM($J$21:J244))</f>
        <v>0</v>
      </c>
      <c r="W244" s="331">
        <f t="shared" si="61"/>
        <v>0</v>
      </c>
      <c r="X244" s="200">
        <f t="shared" si="67"/>
        <v>0</v>
      </c>
      <c r="Y244" s="201">
        <f t="shared" si="69"/>
        <v>46246</v>
      </c>
      <c r="Z244" s="202">
        <f t="shared" si="69"/>
        <v>46246</v>
      </c>
      <c r="AA244" s="18"/>
      <c r="AB244" s="244"/>
      <c r="AC244" s="247"/>
      <c r="AD244" s="142"/>
      <c r="AE244" s="18"/>
      <c r="AF244" s="18"/>
      <c r="AG244" s="203"/>
      <c r="AH244" s="203"/>
      <c r="AI244" s="18"/>
      <c r="AJ244" s="18"/>
      <c r="AK244" s="18"/>
      <c r="AL244" s="18"/>
      <c r="AM244" s="18"/>
      <c r="AN244" s="18"/>
    </row>
    <row r="245" spans="1:40" ht="20">
      <c r="A245" s="18"/>
      <c r="B245" s="151"/>
      <c r="C245" s="55">
        <v>225</v>
      </c>
      <c r="D245" s="54">
        <v>0</v>
      </c>
      <c r="E245" s="190">
        <f t="shared" si="62"/>
        <v>8</v>
      </c>
      <c r="F245" s="191">
        <f t="shared" si="63"/>
        <v>46247</v>
      </c>
      <c r="G245" s="192" t="str">
        <f t="shared" si="64"/>
        <v>Thu</v>
      </c>
      <c r="H245" s="193"/>
      <c r="I245" s="194"/>
      <c r="J245" s="307"/>
      <c r="K245" s="215"/>
      <c r="L245" s="317">
        <f t="shared" si="65"/>
        <v>0</v>
      </c>
      <c r="M245" s="318">
        <f t="shared" si="59"/>
        <v>0</v>
      </c>
      <c r="N245" s="41" t="str">
        <f t="shared" si="8"/>
        <v>¥0</v>
      </c>
      <c r="O245" s="44"/>
      <c r="P245" s="317">
        <f>IF(D245=0,0,SUM($L$233:L245))</f>
        <v>0</v>
      </c>
      <c r="Q245" s="317">
        <f>IF(D245=0,0,SUM($J$233:J245))</f>
        <v>0</v>
      </c>
      <c r="R245" s="321">
        <f t="shared" si="60"/>
        <v>0</v>
      </c>
      <c r="S245" s="198">
        <f t="shared" si="66"/>
        <v>0</v>
      </c>
      <c r="T245" s="212"/>
      <c r="U245" s="317">
        <f>IF(D245=0,0,SUM($L$21:L245))</f>
        <v>0</v>
      </c>
      <c r="V245" s="317">
        <f>IF(D245=0,0,SUM($J$21:J245))</f>
        <v>0</v>
      </c>
      <c r="W245" s="331">
        <f t="shared" si="61"/>
        <v>0</v>
      </c>
      <c r="X245" s="200">
        <f t="shared" si="67"/>
        <v>0</v>
      </c>
      <c r="Y245" s="201">
        <f t="shared" si="69"/>
        <v>46247</v>
      </c>
      <c r="Z245" s="202">
        <f t="shared" si="69"/>
        <v>46247</v>
      </c>
      <c r="AA245" s="18"/>
      <c r="AB245" s="244"/>
      <c r="AC245" s="247"/>
      <c r="AD245" s="142"/>
      <c r="AE245" s="18"/>
      <c r="AF245" s="18"/>
      <c r="AG245" s="203"/>
      <c r="AH245" s="203"/>
      <c r="AI245" s="18"/>
      <c r="AJ245" s="18"/>
      <c r="AK245" s="18"/>
      <c r="AL245" s="18"/>
      <c r="AM245" s="18"/>
      <c r="AN245" s="18"/>
    </row>
    <row r="246" spans="1:40" ht="20">
      <c r="A246" s="18"/>
      <c r="B246" s="151"/>
      <c r="C246" s="55">
        <v>226</v>
      </c>
      <c r="D246" s="54">
        <v>0</v>
      </c>
      <c r="E246" s="190">
        <f t="shared" si="62"/>
        <v>8</v>
      </c>
      <c r="F246" s="191">
        <f t="shared" si="63"/>
        <v>46248</v>
      </c>
      <c r="G246" s="192" t="str">
        <f t="shared" si="64"/>
        <v>Fri</v>
      </c>
      <c r="H246" s="193"/>
      <c r="I246" s="194"/>
      <c r="J246" s="307"/>
      <c r="K246" s="215"/>
      <c r="L246" s="317">
        <f t="shared" si="65"/>
        <v>0</v>
      </c>
      <c r="M246" s="318">
        <f t="shared" si="59"/>
        <v>0</v>
      </c>
      <c r="N246" s="41" t="str">
        <f t="shared" si="8"/>
        <v>¥0</v>
      </c>
      <c r="O246" s="44"/>
      <c r="P246" s="317">
        <f>IF(D246=0,0,SUM($L$233:L246))</f>
        <v>0</v>
      </c>
      <c r="Q246" s="317">
        <f>IF(D246=0,0,SUM($J$233:J246))</f>
        <v>0</v>
      </c>
      <c r="R246" s="321">
        <f t="shared" si="60"/>
        <v>0</v>
      </c>
      <c r="S246" s="198">
        <f t="shared" si="66"/>
        <v>0</v>
      </c>
      <c r="T246" s="212"/>
      <c r="U246" s="317">
        <f>IF(D246=0,0,SUM($L$21:L246))</f>
        <v>0</v>
      </c>
      <c r="V246" s="317">
        <f>IF(D246=0,0,SUM($J$21:J246))</f>
        <v>0</v>
      </c>
      <c r="W246" s="331">
        <f t="shared" si="61"/>
        <v>0</v>
      </c>
      <c r="X246" s="200">
        <f t="shared" si="67"/>
        <v>0</v>
      </c>
      <c r="Y246" s="201">
        <f t="shared" si="69"/>
        <v>46248</v>
      </c>
      <c r="Z246" s="202">
        <f t="shared" si="69"/>
        <v>46248</v>
      </c>
      <c r="AA246" s="18"/>
      <c r="AB246" s="244"/>
      <c r="AC246" s="247"/>
      <c r="AD246" s="142"/>
      <c r="AE246" s="18"/>
      <c r="AF246" s="18"/>
      <c r="AG246" s="203"/>
      <c r="AH246" s="203"/>
      <c r="AI246" s="18"/>
      <c r="AJ246" s="18"/>
      <c r="AK246" s="18"/>
      <c r="AL246" s="18"/>
      <c r="AM246" s="18"/>
      <c r="AN246" s="18"/>
    </row>
    <row r="247" spans="1:40" ht="20">
      <c r="A247" s="18"/>
      <c r="B247" s="151"/>
      <c r="C247" s="55">
        <v>227</v>
      </c>
      <c r="D247" s="54">
        <v>0</v>
      </c>
      <c r="E247" s="190">
        <f t="shared" si="62"/>
        <v>8</v>
      </c>
      <c r="F247" s="191">
        <f t="shared" si="63"/>
        <v>46249</v>
      </c>
      <c r="G247" s="192" t="str">
        <f t="shared" si="64"/>
        <v>Sat</v>
      </c>
      <c r="H247" s="193"/>
      <c r="I247" s="194"/>
      <c r="J247" s="307"/>
      <c r="K247" s="215"/>
      <c r="L247" s="317">
        <f t="shared" si="65"/>
        <v>0</v>
      </c>
      <c r="M247" s="318">
        <f t="shared" si="59"/>
        <v>0</v>
      </c>
      <c r="N247" s="41" t="str">
        <f t="shared" si="8"/>
        <v>¥0</v>
      </c>
      <c r="O247" s="44"/>
      <c r="P247" s="317">
        <f>IF(D247=0,0,SUM($L$233:L247))</f>
        <v>0</v>
      </c>
      <c r="Q247" s="317">
        <f>IF(D247=0,0,SUM($J$233:J247))</f>
        <v>0</v>
      </c>
      <c r="R247" s="321">
        <f t="shared" si="60"/>
        <v>0</v>
      </c>
      <c r="S247" s="198">
        <f t="shared" si="66"/>
        <v>0</v>
      </c>
      <c r="T247" s="212"/>
      <c r="U247" s="317">
        <f>IF(D247=0,0,SUM($L$21:L247))</f>
        <v>0</v>
      </c>
      <c r="V247" s="317">
        <f>IF(D247=0,0,SUM($J$21:J247))</f>
        <v>0</v>
      </c>
      <c r="W247" s="331">
        <f t="shared" si="61"/>
        <v>0</v>
      </c>
      <c r="X247" s="200">
        <f t="shared" si="67"/>
        <v>0</v>
      </c>
      <c r="Y247" s="201">
        <f t="shared" ref="Y247:Z262" si="70">Y246+1</f>
        <v>46249</v>
      </c>
      <c r="Z247" s="202">
        <f t="shared" si="70"/>
        <v>46249</v>
      </c>
      <c r="AA247" s="18"/>
      <c r="AB247" s="244"/>
      <c r="AC247" s="247"/>
      <c r="AD247" s="142"/>
      <c r="AE247" s="18"/>
      <c r="AF247" s="18"/>
      <c r="AG247" s="203"/>
      <c r="AH247" s="203"/>
      <c r="AI247" s="18"/>
      <c r="AJ247" s="18"/>
      <c r="AK247" s="18"/>
      <c r="AL247" s="18"/>
      <c r="AM247" s="18"/>
      <c r="AN247" s="18"/>
    </row>
    <row r="248" spans="1:40" ht="20">
      <c r="A248" s="18"/>
      <c r="B248" s="151"/>
      <c r="C248" s="55">
        <v>228</v>
      </c>
      <c r="D248" s="54">
        <v>0</v>
      </c>
      <c r="E248" s="190">
        <f t="shared" si="62"/>
        <v>8</v>
      </c>
      <c r="F248" s="191">
        <f t="shared" si="63"/>
        <v>46250</v>
      </c>
      <c r="G248" s="192" t="str">
        <f t="shared" si="64"/>
        <v>Sun</v>
      </c>
      <c r="H248" s="193"/>
      <c r="I248" s="194"/>
      <c r="J248" s="307"/>
      <c r="K248" s="215"/>
      <c r="L248" s="317">
        <f t="shared" si="65"/>
        <v>0</v>
      </c>
      <c r="M248" s="318">
        <f t="shared" si="59"/>
        <v>0</v>
      </c>
      <c r="N248" s="41" t="str">
        <f t="shared" si="8"/>
        <v>¥0</v>
      </c>
      <c r="O248" s="44"/>
      <c r="P248" s="317">
        <f>IF(D248=0,0,SUM($L$233:L248))</f>
        <v>0</v>
      </c>
      <c r="Q248" s="317">
        <f>IF(D248=0,0,SUM($J$233:J248))</f>
        <v>0</v>
      </c>
      <c r="R248" s="321">
        <f t="shared" si="60"/>
        <v>0</v>
      </c>
      <c r="S248" s="198">
        <f t="shared" si="66"/>
        <v>0</v>
      </c>
      <c r="T248" s="212"/>
      <c r="U248" s="317">
        <f>IF(D248=0,0,SUM($L$21:L248))</f>
        <v>0</v>
      </c>
      <c r="V248" s="317">
        <f>IF(D248=0,0,SUM($J$21:J248))</f>
        <v>0</v>
      </c>
      <c r="W248" s="331">
        <f t="shared" si="61"/>
        <v>0</v>
      </c>
      <c r="X248" s="200">
        <f t="shared" si="67"/>
        <v>0</v>
      </c>
      <c r="Y248" s="201">
        <f t="shared" si="70"/>
        <v>46250</v>
      </c>
      <c r="Z248" s="202">
        <f t="shared" si="70"/>
        <v>46250</v>
      </c>
      <c r="AA248" s="18"/>
      <c r="AB248" s="244"/>
      <c r="AC248" s="247"/>
      <c r="AD248" s="142"/>
      <c r="AE248" s="18"/>
      <c r="AF248" s="18"/>
      <c r="AG248" s="203"/>
      <c r="AH248" s="203"/>
      <c r="AI248" s="18"/>
      <c r="AJ248" s="18"/>
      <c r="AK248" s="18"/>
      <c r="AL248" s="18"/>
      <c r="AM248" s="18"/>
      <c r="AN248" s="18"/>
    </row>
    <row r="249" spans="1:40" ht="20">
      <c r="A249" s="18"/>
      <c r="B249" s="151"/>
      <c r="C249" s="55">
        <v>229</v>
      </c>
      <c r="D249" s="54">
        <v>1</v>
      </c>
      <c r="E249" s="190">
        <f t="shared" si="62"/>
        <v>8</v>
      </c>
      <c r="F249" s="191">
        <f t="shared" si="63"/>
        <v>46251</v>
      </c>
      <c r="G249" s="192" t="str">
        <f t="shared" si="64"/>
        <v>Mon</v>
      </c>
      <c r="H249" s="193"/>
      <c r="I249" s="194"/>
      <c r="J249" s="307">
        <f>J250*105%</f>
        <v>2693.0396954866774</v>
      </c>
      <c r="K249" s="215"/>
      <c r="L249" s="317">
        <f t="shared" si="65"/>
        <v>1183.3883913331588</v>
      </c>
      <c r="M249" s="318">
        <f t="shared" si="59"/>
        <v>1509.6513041535186</v>
      </c>
      <c r="N249" s="41">
        <f t="shared" si="8"/>
        <v>2.2757023097487079</v>
      </c>
      <c r="O249" s="44"/>
      <c r="P249" s="317">
        <f>IF(D249=0,0,SUM($L$233:L249))</f>
        <v>18538.211857151815</v>
      </c>
      <c r="Q249" s="317">
        <f>IF(D249=0,0,SUM($J$233:J249))</f>
        <v>19261.011419249593</v>
      </c>
      <c r="R249" s="321">
        <f t="shared" si="60"/>
        <v>722.79956209777811</v>
      </c>
      <c r="S249" s="198">
        <f t="shared" si="66"/>
        <v>1.0389897131215993</v>
      </c>
      <c r="T249" s="212"/>
      <c r="U249" s="317">
        <f>IF(D249=0,0,SUM($L$21:L249))</f>
        <v>385245.6615580768</v>
      </c>
      <c r="V249" s="317">
        <f>IF(D249=0,0,SUM($J$21:J249))</f>
        <v>418884.61323717609</v>
      </c>
      <c r="W249" s="331">
        <f t="shared" si="61"/>
        <v>33638.951679099293</v>
      </c>
      <c r="X249" s="200">
        <f t="shared" si="67"/>
        <v>1.0873181843062187</v>
      </c>
      <c r="Y249" s="201">
        <f t="shared" si="70"/>
        <v>46251</v>
      </c>
      <c r="Z249" s="202">
        <f t="shared" si="70"/>
        <v>46251</v>
      </c>
      <c r="AA249" s="18"/>
      <c r="AB249" s="244"/>
      <c r="AC249" s="247"/>
      <c r="AD249" s="142"/>
      <c r="AE249" s="18"/>
      <c r="AF249" s="18"/>
      <c r="AG249" s="203"/>
      <c r="AH249" s="203"/>
      <c r="AI249" s="18"/>
      <c r="AJ249" s="18"/>
      <c r="AK249" s="18"/>
      <c r="AL249" s="18"/>
      <c r="AM249" s="18"/>
      <c r="AN249" s="18"/>
    </row>
    <row r="250" spans="1:40" ht="20">
      <c r="A250" s="18"/>
      <c r="B250" s="151"/>
      <c r="C250" s="55">
        <v>230</v>
      </c>
      <c r="D250" s="54">
        <v>1</v>
      </c>
      <c r="E250" s="190">
        <f t="shared" si="62"/>
        <v>8</v>
      </c>
      <c r="F250" s="191">
        <f t="shared" si="63"/>
        <v>46252</v>
      </c>
      <c r="G250" s="192" t="str">
        <f t="shared" si="64"/>
        <v>Tue</v>
      </c>
      <c r="H250" s="193"/>
      <c r="I250" s="194"/>
      <c r="J250" s="307">
        <f>283000/B13</f>
        <v>2564.7997099873119</v>
      </c>
      <c r="K250" s="215"/>
      <c r="L250" s="317">
        <f t="shared" si="65"/>
        <v>1654.0230723632683</v>
      </c>
      <c r="M250" s="318">
        <f t="shared" si="59"/>
        <v>910.77663762404359</v>
      </c>
      <c r="N250" s="41">
        <f t="shared" si="8"/>
        <v>1.5506432484782247</v>
      </c>
      <c r="O250" s="56"/>
      <c r="P250" s="317">
        <f>IF(D250=0,0,SUM($L$233:L250))</f>
        <v>20192.234929515082</v>
      </c>
      <c r="Q250" s="317">
        <f>IF(D250=0,0,SUM($J$233:J250))</f>
        <v>21825.811129236907</v>
      </c>
      <c r="R250" s="321">
        <f t="shared" si="60"/>
        <v>1633.5761997218251</v>
      </c>
      <c r="S250" s="198">
        <f t="shared" si="66"/>
        <v>1.0809012080844018</v>
      </c>
      <c r="T250" s="207"/>
      <c r="U250" s="317">
        <f>IF(D250=0,0,SUM($L$21:L250))</f>
        <v>386899.68463044008</v>
      </c>
      <c r="V250" s="317">
        <f>IF(D250=0,0,SUM($J$21:J250))</f>
        <v>421449.41294716339</v>
      </c>
      <c r="W250" s="331">
        <f t="shared" si="61"/>
        <v>34549.728316723311</v>
      </c>
      <c r="X250" s="200">
        <f t="shared" si="67"/>
        <v>1.0892989311938173</v>
      </c>
      <c r="Y250" s="201">
        <f t="shared" si="70"/>
        <v>46252</v>
      </c>
      <c r="Z250" s="202">
        <f t="shared" si="70"/>
        <v>46252</v>
      </c>
      <c r="AA250" s="18"/>
      <c r="AB250" s="244"/>
      <c r="AC250" s="247"/>
      <c r="AD250" s="142"/>
      <c r="AE250" s="18"/>
      <c r="AF250" s="18"/>
      <c r="AG250" s="203"/>
      <c r="AH250" s="203"/>
      <c r="AI250" s="18"/>
      <c r="AJ250" s="18"/>
      <c r="AK250" s="18"/>
      <c r="AL250" s="18"/>
      <c r="AM250" s="18"/>
      <c r="AN250" s="18"/>
    </row>
    <row r="251" spans="1:40" ht="20">
      <c r="A251" s="18"/>
      <c r="B251" s="151"/>
      <c r="C251" s="55">
        <v>231</v>
      </c>
      <c r="D251" s="54">
        <v>1</v>
      </c>
      <c r="E251" s="190">
        <f t="shared" si="62"/>
        <v>8</v>
      </c>
      <c r="F251" s="191">
        <f t="shared" si="63"/>
        <v>46253</v>
      </c>
      <c r="G251" s="192" t="str">
        <f t="shared" si="64"/>
        <v>Wed</v>
      </c>
      <c r="H251" s="193"/>
      <c r="I251" s="194"/>
      <c r="J251" s="307">
        <f>236820/B13</f>
        <v>2146.275149537792</v>
      </c>
      <c r="K251" s="215"/>
      <c r="L251" s="317">
        <f t="shared" si="65"/>
        <v>3100.5823348148328</v>
      </c>
      <c r="M251" s="318">
        <f t="shared" si="59"/>
        <v>-954.30718527704084</v>
      </c>
      <c r="N251" s="41">
        <f t="shared" si="8"/>
        <v>0.69221678954897603</v>
      </c>
      <c r="O251" s="56"/>
      <c r="P251" s="317">
        <f>IF(D251=0,0,SUM($L$233:L251))</f>
        <v>23292.817264329915</v>
      </c>
      <c r="Q251" s="317">
        <f>IF(D251=0,0,SUM($J$233:J251))</f>
        <v>23972.086278774699</v>
      </c>
      <c r="R251" s="321">
        <f t="shared" si="60"/>
        <v>679.26901444478426</v>
      </c>
      <c r="S251" s="198">
        <f t="shared" si="66"/>
        <v>1.0291621664625774</v>
      </c>
      <c r="T251" s="207"/>
      <c r="U251" s="317">
        <f>IF(D251=0,0,SUM($L$21:L251))</f>
        <v>390000.26696525491</v>
      </c>
      <c r="V251" s="317">
        <f>IF(D251=0,0,SUM($J$21:J251))</f>
        <v>423595.68809670117</v>
      </c>
      <c r="W251" s="331">
        <f t="shared" si="61"/>
        <v>33595.421131446259</v>
      </c>
      <c r="X251" s="200">
        <f t="shared" si="67"/>
        <v>1.086142046498751</v>
      </c>
      <c r="Y251" s="201">
        <f t="shared" si="70"/>
        <v>46253</v>
      </c>
      <c r="Z251" s="202">
        <f t="shared" si="70"/>
        <v>46253</v>
      </c>
      <c r="AA251" s="18"/>
      <c r="AB251" s="244"/>
      <c r="AC251" s="247"/>
      <c r="AD251" s="142"/>
      <c r="AE251" s="18"/>
      <c r="AF251" s="18"/>
      <c r="AG251" s="203"/>
      <c r="AH251" s="203"/>
      <c r="AI251" s="18"/>
      <c r="AJ251" s="18"/>
      <c r="AK251" s="18"/>
      <c r="AL251" s="18"/>
      <c r="AM251" s="18"/>
      <c r="AN251" s="18"/>
    </row>
    <row r="252" spans="1:40" ht="20">
      <c r="A252" s="18"/>
      <c r="B252" s="151"/>
      <c r="C252" s="55">
        <v>232</v>
      </c>
      <c r="D252" s="54">
        <v>1</v>
      </c>
      <c r="E252" s="190">
        <f t="shared" si="62"/>
        <v>8</v>
      </c>
      <c r="F252" s="191">
        <f t="shared" si="63"/>
        <v>46254</v>
      </c>
      <c r="G252" s="192" t="str">
        <f t="shared" si="64"/>
        <v>Thu</v>
      </c>
      <c r="H252" s="193"/>
      <c r="I252" s="194"/>
      <c r="J252" s="307">
        <f>190280/B13</f>
        <v>1724.4879463476527</v>
      </c>
      <c r="K252" s="215"/>
      <c r="L252" s="317">
        <f t="shared" si="65"/>
        <v>2889.7967699283467</v>
      </c>
      <c r="M252" s="318">
        <f t="shared" si="59"/>
        <v>-1165.308823580694</v>
      </c>
      <c r="N252" s="41">
        <f t="shared" si="8"/>
        <v>0.59675059654468776</v>
      </c>
      <c r="O252" s="56"/>
      <c r="P252" s="317">
        <f>IF(D252=0,0,SUM($L$233:L252))</f>
        <v>26182.614034258262</v>
      </c>
      <c r="Q252" s="317">
        <f>IF(D252=0,0,SUM($J$233:J252))</f>
        <v>25696.574225122353</v>
      </c>
      <c r="R252" s="321">
        <f t="shared" si="60"/>
        <v>-486.03980913590931</v>
      </c>
      <c r="S252" s="198">
        <f t="shared" si="66"/>
        <v>0.98143654378818102</v>
      </c>
      <c r="T252" s="207"/>
      <c r="U252" s="317">
        <f>IF(D252=0,0,SUM($L$21:L252))</f>
        <v>392890.06373518327</v>
      </c>
      <c r="V252" s="317">
        <f>IF(D252=0,0,SUM($J$21:J252))</f>
        <v>425320.17604304879</v>
      </c>
      <c r="W252" s="331">
        <f t="shared" si="61"/>
        <v>32430.112307865522</v>
      </c>
      <c r="X252" s="200">
        <f t="shared" si="67"/>
        <v>1.0825424598411939</v>
      </c>
      <c r="Y252" s="201">
        <f t="shared" si="70"/>
        <v>46254</v>
      </c>
      <c r="Z252" s="202">
        <f t="shared" si="70"/>
        <v>46254</v>
      </c>
      <c r="AA252" s="18"/>
      <c r="AB252" s="244"/>
      <c r="AC252" s="247"/>
      <c r="AD252" s="142"/>
      <c r="AE252" s="18"/>
      <c r="AF252" s="18"/>
      <c r="AG252" s="203"/>
      <c r="AH252" s="203"/>
      <c r="AI252" s="18"/>
      <c r="AJ252" s="18"/>
      <c r="AK252" s="18"/>
      <c r="AL252" s="18"/>
      <c r="AM252" s="18"/>
      <c r="AN252" s="18"/>
    </row>
    <row r="253" spans="1:40" ht="20">
      <c r="A253" s="18"/>
      <c r="B253" s="151"/>
      <c r="C253" s="55">
        <v>233</v>
      </c>
      <c r="D253" s="54">
        <v>1</v>
      </c>
      <c r="E253" s="190">
        <f t="shared" si="62"/>
        <v>8</v>
      </c>
      <c r="F253" s="191">
        <f t="shared" si="63"/>
        <v>46255</v>
      </c>
      <c r="G253" s="192" t="str">
        <f t="shared" si="64"/>
        <v>Fri</v>
      </c>
      <c r="H253" s="193"/>
      <c r="I253" s="194"/>
      <c r="J253" s="307">
        <f>279230/B13</f>
        <v>2530.63259017582</v>
      </c>
      <c r="K253" s="215"/>
      <c r="L253" s="317">
        <f t="shared" si="65"/>
        <v>4042.7691339633238</v>
      </c>
      <c r="M253" s="318">
        <f t="shared" si="59"/>
        <v>-1512.1365437875038</v>
      </c>
      <c r="N253" s="41">
        <f t="shared" si="8"/>
        <v>0.62596515069731851</v>
      </c>
      <c r="O253" s="56"/>
      <c r="P253" s="317">
        <f>IF(D253=0,0,SUM($L$233:L253))</f>
        <v>30225.383168221586</v>
      </c>
      <c r="Q253" s="317">
        <f>IF(D253=0,0,SUM($J$233:J253))</f>
        <v>28227.206815298174</v>
      </c>
      <c r="R253" s="321">
        <f t="shared" si="60"/>
        <v>-1998.1763529234122</v>
      </c>
      <c r="S253" s="198">
        <f t="shared" si="66"/>
        <v>0.93389078504638257</v>
      </c>
      <c r="T253" s="207"/>
      <c r="U253" s="317">
        <f>IF(D253=0,0,SUM($L$21:L253))</f>
        <v>396932.8328691466</v>
      </c>
      <c r="V253" s="317">
        <f>IF(D253=0,0,SUM($J$21:J253))</f>
        <v>427850.80863322463</v>
      </c>
      <c r="W253" s="331">
        <f t="shared" si="61"/>
        <v>30917.97576407803</v>
      </c>
      <c r="X253" s="200">
        <f t="shared" si="67"/>
        <v>1.0778922104795259</v>
      </c>
      <c r="Y253" s="201">
        <f t="shared" si="70"/>
        <v>46255</v>
      </c>
      <c r="Z253" s="202">
        <f t="shared" si="70"/>
        <v>46255</v>
      </c>
      <c r="AA253" s="18"/>
      <c r="AB253" s="244"/>
      <c r="AC253" s="247"/>
      <c r="AD253" s="142"/>
      <c r="AE253" s="18"/>
      <c r="AF253" s="18"/>
      <c r="AG253" s="203"/>
      <c r="AH253" s="203"/>
      <c r="AI253" s="18"/>
      <c r="AJ253" s="18"/>
      <c r="AK253" s="18"/>
      <c r="AL253" s="18"/>
      <c r="AM253" s="18"/>
      <c r="AN253" s="18"/>
    </row>
    <row r="254" spans="1:40" ht="20">
      <c r="A254" s="18"/>
      <c r="B254" s="151"/>
      <c r="C254" s="55">
        <v>234</v>
      </c>
      <c r="D254" s="54">
        <v>1</v>
      </c>
      <c r="E254" s="190">
        <f t="shared" si="62"/>
        <v>8</v>
      </c>
      <c r="F254" s="191">
        <f t="shared" si="63"/>
        <v>46256</v>
      </c>
      <c r="G254" s="192" t="str">
        <f t="shared" si="64"/>
        <v>Sat</v>
      </c>
      <c r="H254" s="193"/>
      <c r="I254" s="194"/>
      <c r="J254" s="307">
        <f>316460/B13</f>
        <v>2868.0442269349282</v>
      </c>
      <c r="K254" s="215"/>
      <c r="L254" s="317">
        <f t="shared" si="65"/>
        <v>1650.4376860412824</v>
      </c>
      <c r="M254" s="318">
        <f t="shared" si="59"/>
        <v>1217.6065408936458</v>
      </c>
      <c r="N254" s="41">
        <f t="shared" si="8"/>
        <v>1.7377476600247661</v>
      </c>
      <c r="O254" s="56"/>
      <c r="P254" s="317">
        <f>IF(D254=0,0,SUM($L$233:L254))</f>
        <v>31875.820854262867</v>
      </c>
      <c r="Q254" s="317">
        <f>IF(D254=0,0,SUM($J$233:J254))</f>
        <v>31095.251042233103</v>
      </c>
      <c r="R254" s="321">
        <f t="shared" si="60"/>
        <v>-780.56981202976385</v>
      </c>
      <c r="S254" s="198">
        <f t="shared" si="66"/>
        <v>0.97551216592668932</v>
      </c>
      <c r="T254" s="207"/>
      <c r="U254" s="317">
        <f>IF(D254=0,0,SUM($L$21:L254))</f>
        <v>398583.27055518789</v>
      </c>
      <c r="V254" s="317">
        <f>IF(D254=0,0,SUM($J$21:J254))</f>
        <v>430718.85286015953</v>
      </c>
      <c r="W254" s="331">
        <f t="shared" si="61"/>
        <v>32135.582304971642</v>
      </c>
      <c r="X254" s="200">
        <f t="shared" si="67"/>
        <v>1.0806245135682937</v>
      </c>
      <c r="Y254" s="201">
        <f t="shared" si="70"/>
        <v>46256</v>
      </c>
      <c r="Z254" s="202">
        <f t="shared" si="70"/>
        <v>46256</v>
      </c>
      <c r="AA254" s="18"/>
      <c r="AB254" s="244"/>
      <c r="AC254" s="247"/>
      <c r="AD254" s="142"/>
      <c r="AE254" s="18"/>
      <c r="AF254" s="18"/>
      <c r="AG254" s="203"/>
      <c r="AH254" s="203"/>
      <c r="AI254" s="18"/>
      <c r="AJ254" s="18"/>
      <c r="AK254" s="18"/>
      <c r="AL254" s="18"/>
      <c r="AM254" s="18"/>
      <c r="AN254" s="18"/>
    </row>
    <row r="255" spans="1:40" ht="20">
      <c r="A255" s="18"/>
      <c r="B255" s="151"/>
      <c r="C255" s="55">
        <v>235</v>
      </c>
      <c r="D255" s="54">
        <v>0</v>
      </c>
      <c r="E255" s="190">
        <f t="shared" si="62"/>
        <v>8</v>
      </c>
      <c r="F255" s="191">
        <f t="shared" si="63"/>
        <v>46257</v>
      </c>
      <c r="G255" s="192" t="str">
        <f t="shared" si="64"/>
        <v>Sun</v>
      </c>
      <c r="H255" s="193"/>
      <c r="I255" s="194"/>
      <c r="J255" s="307"/>
      <c r="K255" s="215"/>
      <c r="L255" s="317">
        <f t="shared" si="65"/>
        <v>0</v>
      </c>
      <c r="M255" s="318">
        <f t="shared" si="59"/>
        <v>0</v>
      </c>
      <c r="N255" s="41" t="str">
        <f t="shared" si="8"/>
        <v>¥0</v>
      </c>
      <c r="O255" s="56"/>
      <c r="P255" s="317">
        <f>IF(D255=0,0,SUM($L$233:L255))</f>
        <v>0</v>
      </c>
      <c r="Q255" s="317">
        <f>IF(D255=0,0,SUM($J$233:J255))</f>
        <v>0</v>
      </c>
      <c r="R255" s="321">
        <f t="shared" si="60"/>
        <v>0</v>
      </c>
      <c r="S255" s="198">
        <f t="shared" si="66"/>
        <v>0</v>
      </c>
      <c r="T255" s="207"/>
      <c r="U255" s="317">
        <f>IF(D255=0,0,SUM($L$21:L255))</f>
        <v>0</v>
      </c>
      <c r="V255" s="317">
        <f>IF(D255=0,0,SUM($J$21:J255))</f>
        <v>0</v>
      </c>
      <c r="W255" s="331">
        <f t="shared" si="61"/>
        <v>0</v>
      </c>
      <c r="X255" s="200">
        <f t="shared" si="67"/>
        <v>0</v>
      </c>
      <c r="Y255" s="201">
        <f t="shared" si="70"/>
        <v>46257</v>
      </c>
      <c r="Z255" s="202">
        <f t="shared" si="70"/>
        <v>46257</v>
      </c>
      <c r="AA255" s="18"/>
      <c r="AB255" s="244"/>
      <c r="AC255" s="247"/>
      <c r="AD255" s="142"/>
      <c r="AE255" s="18"/>
      <c r="AF255" s="18"/>
      <c r="AG255" s="203"/>
      <c r="AH255" s="203"/>
      <c r="AI255" s="18"/>
      <c r="AJ255" s="18"/>
      <c r="AK255" s="18"/>
      <c r="AL255" s="18"/>
      <c r="AM255" s="18"/>
      <c r="AN255" s="18"/>
    </row>
    <row r="256" spans="1:40" ht="20">
      <c r="A256" s="18"/>
      <c r="B256" s="151"/>
      <c r="C256" s="55">
        <v>236</v>
      </c>
      <c r="D256" s="54">
        <v>1</v>
      </c>
      <c r="E256" s="190">
        <f t="shared" si="62"/>
        <v>8</v>
      </c>
      <c r="F256" s="191">
        <f t="shared" si="63"/>
        <v>46258</v>
      </c>
      <c r="G256" s="192" t="str">
        <f t="shared" si="64"/>
        <v>Mon</v>
      </c>
      <c r="H256" s="193"/>
      <c r="I256" s="194"/>
      <c r="J256" s="307">
        <f>114770/B13</f>
        <v>1040.1486315026282</v>
      </c>
      <c r="K256" s="215"/>
      <c r="L256" s="317">
        <f t="shared" si="65"/>
        <v>1183.3883913331588</v>
      </c>
      <c r="M256" s="318">
        <f t="shared" si="59"/>
        <v>-143.2397598305306</v>
      </c>
      <c r="N256" s="41">
        <f t="shared" si="8"/>
        <v>0.87895794746713518</v>
      </c>
      <c r="O256" s="44"/>
      <c r="P256" s="317">
        <f>IF(D256=0,0,SUM($L$233:L256))</f>
        <v>33059.209245596023</v>
      </c>
      <c r="Q256" s="317">
        <f>IF(D256=0,0,SUM($J$233:J256))</f>
        <v>32135.39967373573</v>
      </c>
      <c r="R256" s="321">
        <f t="shared" si="60"/>
        <v>-923.80957186029264</v>
      </c>
      <c r="S256" s="198">
        <f t="shared" si="66"/>
        <v>0.97205590838554745</v>
      </c>
      <c r="T256" s="212"/>
      <c r="U256" s="317">
        <f>IF(D256=0,0,SUM($L$21:L256))</f>
        <v>399766.65894652106</v>
      </c>
      <c r="V256" s="317">
        <f>IF(D256=0,0,SUM($J$21:J256))</f>
        <v>431759.00149166217</v>
      </c>
      <c r="W256" s="331">
        <f t="shared" si="61"/>
        <v>31992.342545141117</v>
      </c>
      <c r="X256" s="200">
        <f t="shared" si="67"/>
        <v>1.0800275406394531</v>
      </c>
      <c r="Y256" s="201">
        <f t="shared" si="70"/>
        <v>46258</v>
      </c>
      <c r="Z256" s="202">
        <f t="shared" si="70"/>
        <v>46258</v>
      </c>
      <c r="AA256" s="18"/>
      <c r="AB256" s="244"/>
      <c r="AC256" s="247"/>
      <c r="AD256" s="142"/>
      <c r="AE256" s="18"/>
      <c r="AF256" s="18"/>
      <c r="AG256" s="203"/>
      <c r="AH256" s="203"/>
      <c r="AI256" s="18"/>
      <c r="AJ256" s="18"/>
      <c r="AK256" s="18"/>
      <c r="AL256" s="18"/>
      <c r="AM256" s="18"/>
      <c r="AN256" s="18"/>
    </row>
    <row r="257" spans="1:40" ht="20">
      <c r="A257" s="18"/>
      <c r="B257" s="151"/>
      <c r="C257" s="55">
        <v>237</v>
      </c>
      <c r="D257" s="54">
        <v>1</v>
      </c>
      <c r="E257" s="190">
        <f t="shared" si="62"/>
        <v>8</v>
      </c>
      <c r="F257" s="191">
        <f t="shared" si="63"/>
        <v>46259</v>
      </c>
      <c r="G257" s="192" t="str">
        <f t="shared" si="64"/>
        <v>Tue</v>
      </c>
      <c r="H257" s="193"/>
      <c r="I257" s="194"/>
      <c r="J257" s="307">
        <f>245600/B13</f>
        <v>2225.847380822911</v>
      </c>
      <c r="K257" s="215"/>
      <c r="L257" s="317">
        <f t="shared" si="65"/>
        <v>1654.0230723632683</v>
      </c>
      <c r="M257" s="318">
        <f t="shared" si="59"/>
        <v>571.82430845964268</v>
      </c>
      <c r="N257" s="41">
        <f t="shared" si="8"/>
        <v>1.3457172502694417</v>
      </c>
      <c r="O257" s="56"/>
      <c r="P257" s="317">
        <f>IF(D257=0,0,SUM($L$233:L257))</f>
        <v>34713.232317959293</v>
      </c>
      <c r="Q257" s="317">
        <f>IF(D257=0,0,SUM($J$233:J257))</f>
        <v>34361.24705455864</v>
      </c>
      <c r="R257" s="321">
        <f t="shared" si="60"/>
        <v>-351.98526340065291</v>
      </c>
      <c r="S257" s="198">
        <f t="shared" si="66"/>
        <v>0.98986019912589507</v>
      </c>
      <c r="T257" s="207"/>
      <c r="U257" s="317">
        <f>IF(D257=0,0,SUM($L$21:L257))</f>
        <v>401420.68201888434</v>
      </c>
      <c r="V257" s="317">
        <f>IF(D257=0,0,SUM($J$21:J257))</f>
        <v>433984.8488724851</v>
      </c>
      <c r="W257" s="331">
        <f t="shared" si="61"/>
        <v>32564.166853600764</v>
      </c>
      <c r="X257" s="200">
        <f t="shared" si="67"/>
        <v>1.0811222946705792</v>
      </c>
      <c r="Y257" s="201">
        <f t="shared" si="70"/>
        <v>46259</v>
      </c>
      <c r="Z257" s="202">
        <f t="shared" si="70"/>
        <v>46259</v>
      </c>
      <c r="AA257" s="18"/>
      <c r="AB257" s="244"/>
      <c r="AC257" s="247"/>
      <c r="AD257" s="142"/>
      <c r="AE257" s="18"/>
      <c r="AF257" s="18"/>
      <c r="AG257" s="203"/>
      <c r="AH257" s="203"/>
      <c r="AI257" s="18"/>
      <c r="AJ257" s="18"/>
      <c r="AK257" s="18"/>
      <c r="AL257" s="18"/>
      <c r="AM257" s="18"/>
      <c r="AN257" s="18"/>
    </row>
    <row r="258" spans="1:40" ht="20">
      <c r="A258" s="18"/>
      <c r="B258" s="151"/>
      <c r="C258" s="55">
        <v>238</v>
      </c>
      <c r="D258" s="54">
        <v>1</v>
      </c>
      <c r="E258" s="190">
        <f t="shared" si="62"/>
        <v>8</v>
      </c>
      <c r="F258" s="191">
        <f t="shared" si="63"/>
        <v>46260</v>
      </c>
      <c r="G258" s="192" t="str">
        <f t="shared" si="64"/>
        <v>Wed</v>
      </c>
      <c r="H258" s="193"/>
      <c r="I258" s="194"/>
      <c r="J258" s="307">
        <f>189700/B13</f>
        <v>1719.231466376654</v>
      </c>
      <c r="K258" s="215"/>
      <c r="L258" s="317">
        <f t="shared" si="65"/>
        <v>3100.5823348148328</v>
      </c>
      <c r="M258" s="318">
        <f t="shared" si="59"/>
        <v>-1381.3508684381788</v>
      </c>
      <c r="N258" s="41">
        <f t="shared" si="8"/>
        <v>0.55448663532404685</v>
      </c>
      <c r="O258" s="56"/>
      <c r="P258" s="317">
        <f>IF(D258=0,0,SUM($L$233:L258))</f>
        <v>37813.814652774126</v>
      </c>
      <c r="Q258" s="317">
        <f>IF(D258=0,0,SUM($J$233:J258))</f>
        <v>36080.478520935292</v>
      </c>
      <c r="R258" s="321">
        <f t="shared" si="60"/>
        <v>-1733.3361318388343</v>
      </c>
      <c r="S258" s="198">
        <f t="shared" si="66"/>
        <v>0.95416129930938687</v>
      </c>
      <c r="T258" s="207"/>
      <c r="U258" s="317">
        <f>IF(D258=0,0,SUM($L$21:L258))</f>
        <v>404521.26435369917</v>
      </c>
      <c r="V258" s="317">
        <f>IF(D258=0,0,SUM($J$21:J258))</f>
        <v>435704.08033886174</v>
      </c>
      <c r="W258" s="331">
        <f t="shared" si="61"/>
        <v>31182.815985162568</v>
      </c>
      <c r="X258" s="200">
        <f t="shared" si="67"/>
        <v>1.0770857275821659</v>
      </c>
      <c r="Y258" s="201">
        <f t="shared" si="70"/>
        <v>46260</v>
      </c>
      <c r="Z258" s="202">
        <f t="shared" si="70"/>
        <v>46260</v>
      </c>
      <c r="AA258" s="18"/>
      <c r="AB258" s="244"/>
      <c r="AC258" s="247"/>
      <c r="AD258" s="142"/>
      <c r="AE258" s="18"/>
      <c r="AF258" s="18"/>
      <c r="AG258" s="203"/>
      <c r="AH258" s="203"/>
      <c r="AI258" s="18"/>
      <c r="AJ258" s="18"/>
      <c r="AK258" s="18"/>
      <c r="AL258" s="18"/>
      <c r="AM258" s="18"/>
      <c r="AN258" s="18"/>
    </row>
    <row r="259" spans="1:40" ht="20">
      <c r="A259" s="18"/>
      <c r="B259" s="151"/>
      <c r="C259" s="55">
        <v>239</v>
      </c>
      <c r="D259" s="54">
        <v>1</v>
      </c>
      <c r="E259" s="190">
        <f t="shared" si="62"/>
        <v>8</v>
      </c>
      <c r="F259" s="191">
        <f t="shared" si="63"/>
        <v>46261</v>
      </c>
      <c r="G259" s="192" t="str">
        <f t="shared" si="64"/>
        <v>Thu</v>
      </c>
      <c r="H259" s="193"/>
      <c r="I259" s="194"/>
      <c r="J259" s="307">
        <f>345200/B13</f>
        <v>3128.511872394417</v>
      </c>
      <c r="K259" s="215"/>
      <c r="L259" s="317">
        <f t="shared" si="65"/>
        <v>2889.7967699283467</v>
      </c>
      <c r="M259" s="318">
        <f t="shared" si="59"/>
        <v>238.71510246607022</v>
      </c>
      <c r="N259" s="41">
        <f t="shared" si="8"/>
        <v>1.0826061904941464</v>
      </c>
      <c r="O259" s="56"/>
      <c r="P259" s="317">
        <f>IF(D259=0,0,SUM($L$233:L259))</f>
        <v>40703.611422702474</v>
      </c>
      <c r="Q259" s="317">
        <f>IF(D259=0,0,SUM($J$233:J259))</f>
        <v>39208.99039332971</v>
      </c>
      <c r="R259" s="321">
        <f t="shared" si="60"/>
        <v>-1494.6210293727636</v>
      </c>
      <c r="S259" s="198">
        <f t="shared" si="66"/>
        <v>0.96328038281784656</v>
      </c>
      <c r="T259" s="207"/>
      <c r="U259" s="317">
        <f>IF(D259=0,0,SUM($L$21:L259))</f>
        <v>407411.06112362753</v>
      </c>
      <c r="V259" s="317">
        <f>IF(D259=0,0,SUM($J$21:J259))</f>
        <v>438832.59221125615</v>
      </c>
      <c r="W259" s="331">
        <f t="shared" si="61"/>
        <v>31421.531087628624</v>
      </c>
      <c r="X259" s="200">
        <f t="shared" si="67"/>
        <v>1.0771248846336401</v>
      </c>
      <c r="Y259" s="201">
        <f t="shared" si="70"/>
        <v>46261</v>
      </c>
      <c r="Z259" s="202">
        <f t="shared" si="70"/>
        <v>46261</v>
      </c>
      <c r="AA259" s="18"/>
      <c r="AB259" s="244"/>
      <c r="AC259" s="247"/>
      <c r="AD259" s="142"/>
      <c r="AE259" s="18"/>
      <c r="AF259" s="18"/>
      <c r="AG259" s="203"/>
      <c r="AH259" s="203"/>
      <c r="AI259" s="18"/>
      <c r="AJ259" s="18"/>
      <c r="AK259" s="18"/>
      <c r="AL259" s="18"/>
      <c r="AM259" s="18"/>
      <c r="AN259" s="18"/>
    </row>
    <row r="260" spans="1:40" ht="20">
      <c r="A260" s="18"/>
      <c r="B260" s="151"/>
      <c r="C260" s="55">
        <v>240</v>
      </c>
      <c r="D260" s="54">
        <v>1</v>
      </c>
      <c r="E260" s="190">
        <f t="shared" si="62"/>
        <v>8</v>
      </c>
      <c r="F260" s="191">
        <f t="shared" si="63"/>
        <v>46262</v>
      </c>
      <c r="G260" s="192" t="str">
        <f t="shared" si="64"/>
        <v>Fri</v>
      </c>
      <c r="H260" s="193"/>
      <c r="I260" s="194"/>
      <c r="J260" s="307">
        <f>256380/B13</f>
        <v>2323.5454051114734</v>
      </c>
      <c r="K260" s="215"/>
      <c r="L260" s="317">
        <f t="shared" si="65"/>
        <v>4042.7691339633238</v>
      </c>
      <c r="M260" s="318">
        <f t="shared" si="59"/>
        <v>-1719.2237288518504</v>
      </c>
      <c r="N260" s="41">
        <f t="shared" si="8"/>
        <v>0.57474105696300015</v>
      </c>
      <c r="O260" s="56"/>
      <c r="P260" s="317">
        <f>IF(D260=0,0,SUM($L$233:L260))</f>
        <v>44746.380556665797</v>
      </c>
      <c r="Q260" s="317">
        <f>IF(D260=0,0,SUM($J$233:J260))</f>
        <v>41532.535798441182</v>
      </c>
      <c r="R260" s="321">
        <f t="shared" si="60"/>
        <v>-3213.8447582246154</v>
      </c>
      <c r="S260" s="198">
        <f t="shared" si="66"/>
        <v>0.92817643084774926</v>
      </c>
      <c r="T260" s="207"/>
      <c r="U260" s="317">
        <f>IF(D260=0,0,SUM($L$21:L260))</f>
        <v>411453.83025759086</v>
      </c>
      <c r="V260" s="317">
        <f>IF(D260=0,0,SUM($J$21:J260))</f>
        <v>441156.1376163676</v>
      </c>
      <c r="W260" s="331">
        <f t="shared" si="61"/>
        <v>29702.307358776743</v>
      </c>
      <c r="X260" s="200">
        <f t="shared" si="67"/>
        <v>1.0721886762852144</v>
      </c>
      <c r="Y260" s="201">
        <f t="shared" si="70"/>
        <v>46262</v>
      </c>
      <c r="Z260" s="202">
        <f t="shared" si="70"/>
        <v>46262</v>
      </c>
      <c r="AA260" s="18"/>
      <c r="AB260" s="244"/>
      <c r="AC260" s="247"/>
      <c r="AD260" s="142"/>
      <c r="AE260" s="18"/>
      <c r="AF260" s="18"/>
      <c r="AG260" s="203"/>
      <c r="AH260" s="203"/>
      <c r="AI260" s="18"/>
      <c r="AJ260" s="18"/>
      <c r="AK260" s="18"/>
      <c r="AL260" s="18"/>
      <c r="AM260" s="18"/>
      <c r="AN260" s="18"/>
    </row>
    <row r="261" spans="1:40" ht="20">
      <c r="A261" s="18"/>
      <c r="B261" s="151"/>
      <c r="C261" s="55">
        <v>241</v>
      </c>
      <c r="D261" s="54">
        <v>1</v>
      </c>
      <c r="E261" s="190">
        <f t="shared" si="62"/>
        <v>8</v>
      </c>
      <c r="F261" s="191">
        <f t="shared" si="63"/>
        <v>46263</v>
      </c>
      <c r="G261" s="192" t="str">
        <f t="shared" si="64"/>
        <v>Sat</v>
      </c>
      <c r="H261" s="193"/>
      <c r="I261" s="194"/>
      <c r="J261" s="307">
        <f>413400/B13</f>
        <v>3746.6014138118539</v>
      </c>
      <c r="K261" s="215"/>
      <c r="L261" s="317">
        <f t="shared" si="65"/>
        <v>1650.4376860412824</v>
      </c>
      <c r="M261" s="318">
        <f t="shared" si="59"/>
        <v>2096.1637277705713</v>
      </c>
      <c r="N261" s="41">
        <f t="shared" si="8"/>
        <v>2.2700653562985473</v>
      </c>
      <c r="O261" s="56"/>
      <c r="P261" s="317">
        <f>IF(D261=0,0,SUM($L$233:L261))</f>
        <v>46396.818242707079</v>
      </c>
      <c r="Q261" s="317">
        <f>IF(D261=0,0,SUM($J$233:J261))</f>
        <v>45279.137212253037</v>
      </c>
      <c r="R261" s="321">
        <f t="shared" si="60"/>
        <v>-1117.6810304540413</v>
      </c>
      <c r="S261" s="198">
        <f t="shared" si="66"/>
        <v>0.97591039487649078</v>
      </c>
      <c r="T261" s="207"/>
      <c r="U261" s="317">
        <f>IF(D261=0,0,SUM($L$21:L261))</f>
        <v>413104.26794363215</v>
      </c>
      <c r="V261" s="317">
        <f>IF(D261=0,0,SUM($J$21:J261))</f>
        <v>444902.73903017945</v>
      </c>
      <c r="W261" s="331">
        <f t="shared" si="61"/>
        <v>31798.471086547303</v>
      </c>
      <c r="X261" s="200">
        <f t="shared" si="67"/>
        <v>1.0769744433889175</v>
      </c>
      <c r="Y261" s="201">
        <f t="shared" si="70"/>
        <v>46263</v>
      </c>
      <c r="Z261" s="202">
        <f t="shared" si="70"/>
        <v>46263</v>
      </c>
      <c r="AA261" s="18"/>
      <c r="AB261" s="244"/>
      <c r="AC261" s="247"/>
      <c r="AD261" s="142"/>
      <c r="AE261" s="18"/>
      <c r="AF261" s="18"/>
      <c r="AG261" s="203"/>
      <c r="AH261" s="203"/>
      <c r="AI261" s="18"/>
      <c r="AJ261" s="18"/>
      <c r="AK261" s="18"/>
      <c r="AL261" s="18"/>
      <c r="AM261" s="18"/>
      <c r="AN261" s="18"/>
    </row>
    <row r="262" spans="1:40" ht="20">
      <c r="A262" s="18"/>
      <c r="B262" s="151"/>
      <c r="C262" s="55">
        <v>242</v>
      </c>
      <c r="D262" s="54">
        <v>0</v>
      </c>
      <c r="E262" s="190">
        <f t="shared" si="62"/>
        <v>8</v>
      </c>
      <c r="F262" s="191">
        <f t="shared" si="63"/>
        <v>46264</v>
      </c>
      <c r="G262" s="192" t="str">
        <f t="shared" si="64"/>
        <v>Sun</v>
      </c>
      <c r="H262" s="193"/>
      <c r="I262" s="194"/>
      <c r="J262" s="307"/>
      <c r="K262" s="215"/>
      <c r="L262" s="317">
        <f t="shared" si="65"/>
        <v>0</v>
      </c>
      <c r="M262" s="318">
        <f t="shared" si="59"/>
        <v>0</v>
      </c>
      <c r="N262" s="41" t="str">
        <f t="shared" si="8"/>
        <v>¥0</v>
      </c>
      <c r="O262" s="56"/>
      <c r="P262" s="317">
        <f>IF(D262=0,0,SUM($L$233:L262))</f>
        <v>0</v>
      </c>
      <c r="Q262" s="317">
        <f>IF(D262=0,0,SUM($J$233:J262))</f>
        <v>0</v>
      </c>
      <c r="R262" s="321">
        <f t="shared" si="60"/>
        <v>0</v>
      </c>
      <c r="S262" s="198">
        <f t="shared" si="66"/>
        <v>0</v>
      </c>
      <c r="T262" s="207"/>
      <c r="U262" s="317">
        <f>IF(D262=0,0,SUM($L$21:L262))</f>
        <v>0</v>
      </c>
      <c r="V262" s="317">
        <f>IF(D262=0,0,SUM($J$21:J262))</f>
        <v>0</v>
      </c>
      <c r="W262" s="331">
        <f t="shared" si="61"/>
        <v>0</v>
      </c>
      <c r="X262" s="200">
        <f t="shared" si="67"/>
        <v>0</v>
      </c>
      <c r="Y262" s="201">
        <f t="shared" si="70"/>
        <v>46264</v>
      </c>
      <c r="Z262" s="202">
        <f t="shared" si="70"/>
        <v>46264</v>
      </c>
      <c r="AA262" s="18"/>
      <c r="AB262" s="244"/>
      <c r="AC262" s="247"/>
      <c r="AD262" s="142"/>
      <c r="AE262" s="18"/>
      <c r="AF262" s="18"/>
      <c r="AG262" s="203"/>
      <c r="AH262" s="203"/>
      <c r="AI262" s="18"/>
      <c r="AJ262" s="18"/>
      <c r="AK262" s="18"/>
      <c r="AL262" s="18"/>
      <c r="AM262" s="18"/>
      <c r="AN262" s="18"/>
    </row>
    <row r="263" spans="1:40" ht="21" thickBot="1">
      <c r="A263" s="18"/>
      <c r="B263" s="151"/>
      <c r="C263" s="39">
        <v>243</v>
      </c>
      <c r="D263" s="38">
        <v>1</v>
      </c>
      <c r="E263" s="217">
        <f t="shared" si="62"/>
        <v>8</v>
      </c>
      <c r="F263" s="236">
        <f t="shared" si="63"/>
        <v>46265</v>
      </c>
      <c r="G263" s="219" t="str">
        <f t="shared" si="64"/>
        <v>Mon</v>
      </c>
      <c r="H263" s="233"/>
      <c r="I263" s="221"/>
      <c r="J263" s="316">
        <f>158300/B13</f>
        <v>1434.6565162225847</v>
      </c>
      <c r="K263" s="223"/>
      <c r="L263" s="317">
        <f t="shared" si="65"/>
        <v>1183.3883913331588</v>
      </c>
      <c r="M263" s="320">
        <f t="shared" si="59"/>
        <v>251.26812488942596</v>
      </c>
      <c r="N263" s="225">
        <f t="shared" si="8"/>
        <v>1.2123293812324432</v>
      </c>
      <c r="O263" s="239"/>
      <c r="P263" s="325">
        <f>IF(D263=0,0,SUM($L$233:L263))</f>
        <v>47580.206634040238</v>
      </c>
      <c r="Q263" s="326">
        <f>IF(D263=0,0,SUM($J$233:J263))</f>
        <v>46713.793728475619</v>
      </c>
      <c r="R263" s="327">
        <f t="shared" si="60"/>
        <v>-866.412905564619</v>
      </c>
      <c r="S263" s="228">
        <f t="shared" si="66"/>
        <v>0.98179047619047621</v>
      </c>
      <c r="T263" s="240"/>
      <c r="U263" s="332">
        <f>IF(D263=0,0,SUM($L$21:L263))</f>
        <v>414287.65633496532</v>
      </c>
      <c r="V263" s="323">
        <f>IF(D263=0,0,SUM($J$21:J263))</f>
        <v>446337.39554640203</v>
      </c>
      <c r="W263" s="333">
        <f t="shared" si="61"/>
        <v>32049.73921143671</v>
      </c>
      <c r="X263" s="230">
        <f t="shared" si="67"/>
        <v>1.0773610768299682</v>
      </c>
      <c r="Y263" s="201">
        <f t="shared" ref="Y263:Z278" si="71">Y262+1</f>
        <v>46265</v>
      </c>
      <c r="Z263" s="202">
        <f t="shared" si="71"/>
        <v>46265</v>
      </c>
      <c r="AA263" s="18"/>
      <c r="AB263" s="244"/>
      <c r="AC263" s="247"/>
      <c r="AD263" s="142"/>
      <c r="AE263" s="18"/>
      <c r="AF263" s="18"/>
      <c r="AG263" s="203"/>
      <c r="AH263" s="203"/>
      <c r="AI263" s="18"/>
      <c r="AJ263" s="18"/>
      <c r="AK263" s="18"/>
      <c r="AL263" s="18"/>
      <c r="AM263" s="18"/>
      <c r="AN263" s="18"/>
    </row>
    <row r="264" spans="1:40" ht="21" thickTop="1">
      <c r="A264" s="18"/>
      <c r="B264" s="151"/>
      <c r="C264" s="55">
        <v>244</v>
      </c>
      <c r="D264" s="62">
        <v>1</v>
      </c>
      <c r="E264" s="190">
        <f t="shared" si="62"/>
        <v>9</v>
      </c>
      <c r="F264" s="191">
        <f t="shared" si="63"/>
        <v>46266</v>
      </c>
      <c r="G264" s="192" t="str">
        <f t="shared" si="64"/>
        <v>Tue</v>
      </c>
      <c r="H264" s="193"/>
      <c r="I264" s="194"/>
      <c r="J264" s="307">
        <f>201980/B13</f>
        <v>1830.5238354177995</v>
      </c>
      <c r="K264" s="215"/>
      <c r="L264" s="317">
        <f t="shared" si="65"/>
        <v>2939.7458081114423</v>
      </c>
      <c r="M264" s="321">
        <f t="shared" si="59"/>
        <v>-1109.2219726936428</v>
      </c>
      <c r="N264" s="60">
        <f t="shared" si="8"/>
        <v>0.62268099179424241</v>
      </c>
      <c r="O264" s="56"/>
      <c r="P264" s="317">
        <f>IF(D264=0,0,$L$264)</f>
        <v>2939.7458081114423</v>
      </c>
      <c r="Q264" s="317">
        <f>IF(D264=0,0,$J$264)</f>
        <v>1830.5238354177995</v>
      </c>
      <c r="R264" s="321">
        <f t="shared" si="60"/>
        <v>-1109.2219726936428</v>
      </c>
      <c r="S264" s="231">
        <f t="shared" si="66"/>
        <v>0.62268099179424241</v>
      </c>
      <c r="T264" s="207"/>
      <c r="U264" s="317">
        <f>IF(D264=0,0,SUM($L$21:L264))</f>
        <v>417227.40214307676</v>
      </c>
      <c r="V264" s="317">
        <f>IF(D264=0,0,SUM($J$21:J264))</f>
        <v>448167.91938181984</v>
      </c>
      <c r="W264" s="331">
        <f t="shared" si="61"/>
        <v>30940.517238743079</v>
      </c>
      <c r="X264" s="232">
        <f t="shared" si="67"/>
        <v>1.0741574428712448</v>
      </c>
      <c r="Y264" s="201">
        <f t="shared" si="71"/>
        <v>46266</v>
      </c>
      <c r="Z264" s="202">
        <f t="shared" si="71"/>
        <v>46266</v>
      </c>
      <c r="AA264" s="18"/>
      <c r="AB264" s="244"/>
      <c r="AC264" s="247"/>
      <c r="AD264" s="142"/>
      <c r="AE264" s="18"/>
      <c r="AF264" s="18"/>
      <c r="AG264" s="203"/>
      <c r="AH264" s="203"/>
      <c r="AI264" s="18"/>
      <c r="AJ264" s="18"/>
      <c r="AK264" s="18"/>
      <c r="AL264" s="18"/>
      <c r="AM264" s="18"/>
      <c r="AN264" s="18"/>
    </row>
    <row r="265" spans="1:40" ht="20">
      <c r="A265" s="18"/>
      <c r="B265" s="151"/>
      <c r="C265" s="55">
        <v>245</v>
      </c>
      <c r="D265" s="54">
        <v>1</v>
      </c>
      <c r="E265" s="190">
        <f t="shared" si="62"/>
        <v>9</v>
      </c>
      <c r="F265" s="191">
        <f t="shared" si="63"/>
        <v>46267</v>
      </c>
      <c r="G265" s="192" t="str">
        <f t="shared" si="64"/>
        <v>Wed</v>
      </c>
      <c r="H265" s="193"/>
      <c r="I265" s="194"/>
      <c r="J265" s="307">
        <f>254550/B13</f>
        <v>2306.9603045133222</v>
      </c>
      <c r="K265" s="215"/>
      <c r="L265" s="317">
        <f t="shared" si="65"/>
        <v>1982.8424601081722</v>
      </c>
      <c r="M265" s="318">
        <f t="shared" si="59"/>
        <v>324.11784440514998</v>
      </c>
      <c r="N265" s="41">
        <f t="shared" si="8"/>
        <v>1.1634612183902235</v>
      </c>
      <c r="O265" s="56"/>
      <c r="P265" s="317">
        <f>IF(D265=0,0,SUM($L$264:L265))</f>
        <v>4922.5882682196143</v>
      </c>
      <c r="Q265" s="317">
        <f>IF(D265=0,0,SUM($J$264:J265))</f>
        <v>4137.4841399311217</v>
      </c>
      <c r="R265" s="321">
        <f t="shared" si="60"/>
        <v>-785.10412828849257</v>
      </c>
      <c r="S265" s="198">
        <f t="shared" si="66"/>
        <v>0.84050989326953263</v>
      </c>
      <c r="T265" s="207"/>
      <c r="U265" s="317">
        <f>IF(D265=0,0,SUM($L$21:L265))</f>
        <v>419210.24460318492</v>
      </c>
      <c r="V265" s="317">
        <f>IF(D265=0,0,SUM($J$21:J265))</f>
        <v>450474.87968633318</v>
      </c>
      <c r="W265" s="331">
        <f t="shared" si="61"/>
        <v>31264.635083148256</v>
      </c>
      <c r="X265" s="200">
        <f t="shared" si="67"/>
        <v>1.074579845043488</v>
      </c>
      <c r="Y265" s="201">
        <f t="shared" si="71"/>
        <v>46267</v>
      </c>
      <c r="Z265" s="202">
        <f t="shared" si="71"/>
        <v>46267</v>
      </c>
      <c r="AA265" s="18"/>
      <c r="AB265" s="244"/>
      <c r="AC265" s="247"/>
      <c r="AD265" s="142"/>
      <c r="AE265" s="18"/>
      <c r="AF265" s="18"/>
      <c r="AG265" s="203"/>
      <c r="AH265" s="203"/>
      <c r="AI265" s="18"/>
      <c r="AJ265" s="18"/>
      <c r="AK265" s="18"/>
      <c r="AL265" s="18"/>
      <c r="AM265" s="18"/>
      <c r="AN265" s="18"/>
    </row>
    <row r="266" spans="1:40" ht="20">
      <c r="A266" s="18"/>
      <c r="B266" s="151"/>
      <c r="C266" s="55">
        <v>246</v>
      </c>
      <c r="D266" s="54">
        <v>1</v>
      </c>
      <c r="E266" s="190">
        <f t="shared" si="62"/>
        <v>9</v>
      </c>
      <c r="F266" s="191">
        <f t="shared" si="63"/>
        <v>46268</v>
      </c>
      <c r="G266" s="192" t="str">
        <f t="shared" si="64"/>
        <v>Thu</v>
      </c>
      <c r="H266" s="193"/>
      <c r="I266" s="194"/>
      <c r="J266" s="307">
        <f>234700/B13</f>
        <v>2127.0618089541417</v>
      </c>
      <c r="K266" s="215"/>
      <c r="L266" s="317">
        <f t="shared" si="65"/>
        <v>2234.8793803746735</v>
      </c>
      <c r="M266" s="318">
        <f t="shared" si="59"/>
        <v>-107.81757142053175</v>
      </c>
      <c r="N266" s="41">
        <f t="shared" si="8"/>
        <v>0.95175687226464256</v>
      </c>
      <c r="O266" s="56"/>
      <c r="P266" s="317">
        <f>IF(D266=0,0,SUM($L$264:L266))</f>
        <v>7157.4676485942873</v>
      </c>
      <c r="Q266" s="317">
        <f>IF(D266=0,0,SUM($J$264:J266))</f>
        <v>6264.545948885263</v>
      </c>
      <c r="R266" s="321">
        <f t="shared" si="60"/>
        <v>-892.92169970902432</v>
      </c>
      <c r="S266" s="198">
        <f t="shared" si="66"/>
        <v>0.87524614241401533</v>
      </c>
      <c r="T266" s="207"/>
      <c r="U266" s="317">
        <f>IF(D266=0,0,SUM($L$21:L266))</f>
        <v>421445.12398355961</v>
      </c>
      <c r="V266" s="317">
        <f>IF(D266=0,0,SUM($J$21:J266))</f>
        <v>452601.94149528735</v>
      </c>
      <c r="W266" s="331">
        <f t="shared" si="61"/>
        <v>31156.817511727742</v>
      </c>
      <c r="X266" s="200">
        <f t="shared" si="67"/>
        <v>1.0739285276745618</v>
      </c>
      <c r="Y266" s="201">
        <f t="shared" si="71"/>
        <v>46268</v>
      </c>
      <c r="Z266" s="202">
        <f t="shared" si="71"/>
        <v>46268</v>
      </c>
      <c r="AA266" s="18"/>
      <c r="AB266" s="244"/>
      <c r="AC266" s="247"/>
      <c r="AD266" s="142"/>
      <c r="AE266" s="18"/>
      <c r="AF266" s="18"/>
      <c r="AG266" s="203"/>
      <c r="AH266" s="203"/>
      <c r="AI266" s="18"/>
      <c r="AJ266" s="18"/>
      <c r="AK266" s="18"/>
      <c r="AL266" s="18"/>
      <c r="AM266" s="18"/>
      <c r="AN266" s="18"/>
    </row>
    <row r="267" spans="1:40" ht="20">
      <c r="A267" s="18"/>
      <c r="B267" s="151"/>
      <c r="C267" s="55">
        <v>247</v>
      </c>
      <c r="D267" s="54">
        <v>1</v>
      </c>
      <c r="E267" s="190">
        <f t="shared" si="62"/>
        <v>9</v>
      </c>
      <c r="F267" s="191">
        <f t="shared" si="63"/>
        <v>46269</v>
      </c>
      <c r="G267" s="192" t="str">
        <f t="shared" si="64"/>
        <v>Fri</v>
      </c>
      <c r="H267" s="193"/>
      <c r="I267" s="194"/>
      <c r="J267" s="307">
        <f>357210/B13</f>
        <v>3237.3572593800977</v>
      </c>
      <c r="K267" s="215"/>
      <c r="L267" s="317">
        <f t="shared" si="65"/>
        <v>3320.1441445705423</v>
      </c>
      <c r="M267" s="318">
        <f t="shared" si="59"/>
        <v>-82.786885190444536</v>
      </c>
      <c r="N267" s="41">
        <f t="shared" si="8"/>
        <v>0.97506527379968533</v>
      </c>
      <c r="O267" s="56"/>
      <c r="P267" s="317">
        <f>IF(D267=0,0,SUM($L$264:L267))</f>
        <v>10477.61179316483</v>
      </c>
      <c r="Q267" s="317">
        <f>IF(D267=0,0,SUM($J$264:J267))</f>
        <v>9501.9032082653612</v>
      </c>
      <c r="R267" s="321">
        <f t="shared" si="60"/>
        <v>-975.70858489946841</v>
      </c>
      <c r="S267" s="198">
        <f t="shared" si="66"/>
        <v>0.90687681466343495</v>
      </c>
      <c r="T267" s="207"/>
      <c r="U267" s="317">
        <f>IF(D267=0,0,SUM($L$21:L267))</f>
        <v>424765.26812813012</v>
      </c>
      <c r="V267" s="317">
        <f>IF(D267=0,0,SUM($J$21:J267))</f>
        <v>455839.29875466746</v>
      </c>
      <c r="W267" s="331">
        <f t="shared" si="61"/>
        <v>31074.030626537337</v>
      </c>
      <c r="X267" s="200">
        <f t="shared" si="67"/>
        <v>1.0731557708648718</v>
      </c>
      <c r="Y267" s="201">
        <f t="shared" si="71"/>
        <v>46269</v>
      </c>
      <c r="Z267" s="202">
        <f t="shared" si="71"/>
        <v>46269</v>
      </c>
      <c r="AA267" s="18"/>
      <c r="AB267" s="244"/>
      <c r="AC267" s="247"/>
      <c r="AD267" s="142"/>
      <c r="AE267" s="18"/>
      <c r="AF267" s="18"/>
      <c r="AG267" s="203"/>
      <c r="AH267" s="203"/>
      <c r="AI267" s="18"/>
      <c r="AJ267" s="18"/>
      <c r="AK267" s="18"/>
      <c r="AL267" s="18"/>
      <c r="AM267" s="18"/>
      <c r="AN267" s="18"/>
    </row>
    <row r="268" spans="1:40" ht="20">
      <c r="A268" s="18"/>
      <c r="B268" s="151"/>
      <c r="C268" s="55">
        <v>248</v>
      </c>
      <c r="D268" s="54">
        <v>1</v>
      </c>
      <c r="E268" s="190">
        <f t="shared" si="62"/>
        <v>9</v>
      </c>
      <c r="F268" s="191">
        <f t="shared" si="63"/>
        <v>46270</v>
      </c>
      <c r="G268" s="192" t="str">
        <f t="shared" si="64"/>
        <v>Sat</v>
      </c>
      <c r="H268" s="193"/>
      <c r="I268" s="194"/>
      <c r="J268" s="307">
        <f>330560/B13</f>
        <v>2995.8310676092078</v>
      </c>
      <c r="K268" s="215"/>
      <c r="L268" s="317">
        <f t="shared" si="65"/>
        <v>1338.8427732072885</v>
      </c>
      <c r="M268" s="318">
        <f t="shared" si="59"/>
        <v>1656.9882944019193</v>
      </c>
      <c r="N268" s="41">
        <f t="shared" si="8"/>
        <v>2.2376272461272593</v>
      </c>
      <c r="O268" s="56"/>
      <c r="P268" s="317">
        <f>IF(D268=0,0,SUM($L$264:L268))</f>
        <v>11816.454566372118</v>
      </c>
      <c r="Q268" s="317">
        <f>IF(D268=0,0,SUM($J$264:J268))</f>
        <v>12497.734275874569</v>
      </c>
      <c r="R268" s="321">
        <f t="shared" si="60"/>
        <v>681.27970950245071</v>
      </c>
      <c r="S268" s="198">
        <f t="shared" si="66"/>
        <v>1.0576551710731636</v>
      </c>
      <c r="T268" s="207"/>
      <c r="U268" s="317">
        <f>IF(D268=0,0,SUM($L$21:L268))</f>
        <v>426104.11090133741</v>
      </c>
      <c r="V268" s="317">
        <f>IF(D268=0,0,SUM($J$21:J268))</f>
        <v>458835.12982227665</v>
      </c>
      <c r="W268" s="331">
        <f t="shared" si="61"/>
        <v>32731.018920939241</v>
      </c>
      <c r="X268" s="200">
        <f t="shared" si="67"/>
        <v>1.0768146048901133</v>
      </c>
      <c r="Y268" s="201">
        <f t="shared" si="71"/>
        <v>46270</v>
      </c>
      <c r="Z268" s="202">
        <f t="shared" si="71"/>
        <v>46270</v>
      </c>
      <c r="AA268" s="18"/>
      <c r="AB268" s="244"/>
      <c r="AC268" s="247"/>
      <c r="AD268" s="142"/>
      <c r="AE268" s="18"/>
      <c r="AF268" s="18"/>
      <c r="AG268" s="203"/>
      <c r="AH268" s="203"/>
      <c r="AI268" s="18"/>
      <c r="AJ268" s="18"/>
      <c r="AK268" s="18"/>
      <c r="AL268" s="18"/>
      <c r="AM268" s="18"/>
      <c r="AN268" s="18"/>
    </row>
    <row r="269" spans="1:40" ht="20">
      <c r="A269" s="18"/>
      <c r="B269" s="151"/>
      <c r="C269" s="55">
        <v>249</v>
      </c>
      <c r="D269" s="54">
        <v>0</v>
      </c>
      <c r="E269" s="190">
        <f t="shared" si="62"/>
        <v>9</v>
      </c>
      <c r="F269" s="191">
        <f t="shared" si="63"/>
        <v>46271</v>
      </c>
      <c r="G269" s="192" t="str">
        <f t="shared" si="64"/>
        <v>Sun</v>
      </c>
      <c r="H269" s="193"/>
      <c r="I269" s="194"/>
      <c r="J269" s="307"/>
      <c r="K269" s="215"/>
      <c r="L269" s="317">
        <f t="shared" si="65"/>
        <v>0</v>
      </c>
      <c r="M269" s="318">
        <f t="shared" si="59"/>
        <v>0</v>
      </c>
      <c r="N269" s="41" t="str">
        <f t="shared" si="8"/>
        <v>¥0</v>
      </c>
      <c r="O269" s="56"/>
      <c r="P269" s="317">
        <f>IF(D269=0,0,SUM($L$264:L269))</f>
        <v>0</v>
      </c>
      <c r="Q269" s="317">
        <f>IF(D269=0,0,SUM($J$264:J269))</f>
        <v>0</v>
      </c>
      <c r="R269" s="321">
        <f t="shared" si="60"/>
        <v>0</v>
      </c>
      <c r="S269" s="198">
        <f t="shared" si="66"/>
        <v>0</v>
      </c>
      <c r="T269" s="207"/>
      <c r="U269" s="317">
        <f>IF(D269=0,0,SUM($L$21:L269))</f>
        <v>0</v>
      </c>
      <c r="V269" s="317">
        <f>IF(D269=0,0,SUM($J$21:J269))</f>
        <v>0</v>
      </c>
      <c r="W269" s="331">
        <f t="shared" si="61"/>
        <v>0</v>
      </c>
      <c r="X269" s="200">
        <f t="shared" si="67"/>
        <v>0</v>
      </c>
      <c r="Y269" s="201">
        <f t="shared" si="71"/>
        <v>46271</v>
      </c>
      <c r="Z269" s="202">
        <f t="shared" si="71"/>
        <v>46271</v>
      </c>
      <c r="AA269" s="18"/>
      <c r="AB269" s="244"/>
      <c r="AC269" s="247"/>
      <c r="AD269" s="142"/>
      <c r="AE269" s="18"/>
      <c r="AF269" s="18"/>
      <c r="AG269" s="203"/>
      <c r="AH269" s="203"/>
      <c r="AI269" s="18"/>
      <c r="AJ269" s="18"/>
      <c r="AK269" s="18"/>
      <c r="AL269" s="18"/>
      <c r="AM269" s="18"/>
      <c r="AN269" s="18"/>
    </row>
    <row r="270" spans="1:40" ht="20">
      <c r="A270" s="18"/>
      <c r="B270" s="151"/>
      <c r="C270" s="55">
        <v>250</v>
      </c>
      <c r="D270" s="54">
        <v>1</v>
      </c>
      <c r="E270" s="190">
        <f t="shared" si="62"/>
        <v>9</v>
      </c>
      <c r="F270" s="191">
        <f t="shared" si="63"/>
        <v>46272</v>
      </c>
      <c r="G270" s="192" t="str">
        <f t="shared" si="64"/>
        <v>Mon</v>
      </c>
      <c r="H270" s="193"/>
      <c r="I270" s="194"/>
      <c r="J270" s="307">
        <f>210456/B13</f>
        <v>1907.3409461663948</v>
      </c>
      <c r="K270" s="215"/>
      <c r="L270" s="317">
        <f t="shared" si="65"/>
        <v>1777.8901862108053</v>
      </c>
      <c r="M270" s="318">
        <f t="shared" si="59"/>
        <v>129.45075995558955</v>
      </c>
      <c r="N270" s="41">
        <f t="shared" si="8"/>
        <v>1.0728114486257929</v>
      </c>
      <c r="O270" s="44"/>
      <c r="P270" s="317">
        <f>IF(D270=0,0,SUM($L$264:L270))</f>
        <v>13594.344752582923</v>
      </c>
      <c r="Q270" s="317">
        <f>IF(D270=0,0,SUM($J$264:J270))</f>
        <v>14405.075222040963</v>
      </c>
      <c r="R270" s="321">
        <f t="shared" si="60"/>
        <v>810.73046945803981</v>
      </c>
      <c r="S270" s="198">
        <f t="shared" si="66"/>
        <v>1.0596373333333333</v>
      </c>
      <c r="T270" s="212"/>
      <c r="U270" s="317">
        <f>IF(D270=0,0,SUM($L$21:L270))</f>
        <v>427882.00108754821</v>
      </c>
      <c r="V270" s="317">
        <f>IF(D270=0,0,SUM($J$21:J270))</f>
        <v>460742.47076844302</v>
      </c>
      <c r="W270" s="331">
        <f t="shared" si="61"/>
        <v>32860.469680894807</v>
      </c>
      <c r="X270" s="200">
        <f t="shared" si="67"/>
        <v>1.076797971397192</v>
      </c>
      <c r="Y270" s="201">
        <f t="shared" si="71"/>
        <v>46272</v>
      </c>
      <c r="Z270" s="202">
        <f t="shared" si="71"/>
        <v>46272</v>
      </c>
      <c r="AA270" s="18"/>
      <c r="AB270" s="244"/>
      <c r="AC270" s="247"/>
      <c r="AD270" s="142"/>
      <c r="AE270" s="18"/>
      <c r="AF270" s="18"/>
      <c r="AG270" s="203"/>
      <c r="AH270" s="203"/>
      <c r="AI270" s="18"/>
      <c r="AJ270" s="18"/>
      <c r="AK270" s="18"/>
      <c r="AL270" s="18"/>
      <c r="AM270" s="18"/>
      <c r="AN270" s="18"/>
    </row>
    <row r="271" spans="1:40" ht="20">
      <c r="A271" s="18"/>
      <c r="B271" s="151"/>
      <c r="C271" s="55">
        <v>251</v>
      </c>
      <c r="D271" s="54">
        <v>1</v>
      </c>
      <c r="E271" s="190">
        <f t="shared" si="62"/>
        <v>9</v>
      </c>
      <c r="F271" s="191">
        <f t="shared" si="63"/>
        <v>46273</v>
      </c>
      <c r="G271" s="192" t="str">
        <f t="shared" si="64"/>
        <v>Tue</v>
      </c>
      <c r="H271" s="193"/>
      <c r="I271" s="194"/>
      <c r="J271" s="307">
        <f>143200/B13</f>
        <v>1297.8067790465832</v>
      </c>
      <c r="K271" s="215"/>
      <c r="L271" s="317">
        <f t="shared" si="65"/>
        <v>2939.7458081114423</v>
      </c>
      <c r="M271" s="318">
        <f t="shared" si="59"/>
        <v>-1641.9390290648591</v>
      </c>
      <c r="N271" s="41">
        <f t="shared" si="8"/>
        <v>0.44146904656369695</v>
      </c>
      <c r="O271" s="56"/>
      <c r="P271" s="317">
        <f>IF(D271=0,0,SUM($L$264:L271))</f>
        <v>16534.090560694367</v>
      </c>
      <c r="Q271" s="317">
        <f>IF(D271=0,0,SUM($J$264:J271))</f>
        <v>15702.882001087546</v>
      </c>
      <c r="R271" s="321">
        <f t="shared" si="60"/>
        <v>-831.20855960682093</v>
      </c>
      <c r="S271" s="198">
        <f t="shared" si="66"/>
        <v>0.94972759121189221</v>
      </c>
      <c r="T271" s="207"/>
      <c r="U271" s="317">
        <f>IF(D271=0,0,SUM($L$21:L271))</f>
        <v>430821.74689565966</v>
      </c>
      <c r="V271" s="317">
        <f>IF(D271=0,0,SUM($J$21:J271))</f>
        <v>462040.27754748962</v>
      </c>
      <c r="W271" s="331">
        <f t="shared" si="61"/>
        <v>31218.530651829962</v>
      </c>
      <c r="X271" s="200">
        <f t="shared" si="67"/>
        <v>1.0724627549021817</v>
      </c>
      <c r="Y271" s="201">
        <f t="shared" si="71"/>
        <v>46273</v>
      </c>
      <c r="Z271" s="202">
        <f t="shared" si="71"/>
        <v>46273</v>
      </c>
      <c r="AA271" s="18"/>
      <c r="AB271" s="244"/>
      <c r="AC271" s="247"/>
      <c r="AD271" s="142"/>
      <c r="AE271" s="18"/>
      <c r="AF271" s="18"/>
      <c r="AG271" s="203"/>
      <c r="AH271" s="203"/>
      <c r="AI271" s="18"/>
      <c r="AJ271" s="18"/>
      <c r="AK271" s="18"/>
      <c r="AL271" s="18"/>
      <c r="AM271" s="18"/>
      <c r="AN271" s="18"/>
    </row>
    <row r="272" spans="1:40" ht="20">
      <c r="A272" s="18"/>
      <c r="B272" s="151"/>
      <c r="C272" s="55">
        <v>252</v>
      </c>
      <c r="D272" s="54">
        <v>1</v>
      </c>
      <c r="E272" s="190">
        <f t="shared" si="62"/>
        <v>9</v>
      </c>
      <c r="F272" s="191">
        <f t="shared" si="63"/>
        <v>46274</v>
      </c>
      <c r="G272" s="192" t="str">
        <f t="shared" si="64"/>
        <v>Wed</v>
      </c>
      <c r="H272" s="193"/>
      <c r="I272" s="194"/>
      <c r="J272" s="307">
        <f>239800/B13</f>
        <v>2173.2825811129237</v>
      </c>
      <c r="K272" s="215"/>
      <c r="L272" s="317">
        <f t="shared" si="65"/>
        <v>1982.8424601081722</v>
      </c>
      <c r="M272" s="318">
        <f t="shared" si="59"/>
        <v>190.44012100475152</v>
      </c>
      <c r="N272" s="41">
        <f t="shared" si="8"/>
        <v>1.0960439998820493</v>
      </c>
      <c r="O272" s="56"/>
      <c r="P272" s="317">
        <f>IF(D272=0,0,SUM($L$264:L272))</f>
        <v>18516.933020802539</v>
      </c>
      <c r="Q272" s="317">
        <f>IF(D272=0,0,SUM($J$264:J272))</f>
        <v>17876.164582200468</v>
      </c>
      <c r="R272" s="321">
        <f t="shared" si="60"/>
        <v>-640.76843860207009</v>
      </c>
      <c r="S272" s="198">
        <f t="shared" si="66"/>
        <v>0.96539554158984053</v>
      </c>
      <c r="T272" s="207"/>
      <c r="U272" s="317">
        <f>IF(D272=0,0,SUM($L$21:L272))</f>
        <v>432804.58935576782</v>
      </c>
      <c r="V272" s="317">
        <f>IF(D272=0,0,SUM($J$21:J272))</f>
        <v>464213.56012860255</v>
      </c>
      <c r="W272" s="331">
        <f t="shared" si="61"/>
        <v>31408.970772834728</v>
      </c>
      <c r="X272" s="200">
        <f t="shared" si="67"/>
        <v>1.0725707895555987</v>
      </c>
      <c r="Y272" s="201">
        <f t="shared" si="71"/>
        <v>46274</v>
      </c>
      <c r="Z272" s="202">
        <f t="shared" si="71"/>
        <v>46274</v>
      </c>
      <c r="AA272" s="18"/>
      <c r="AB272" s="244"/>
      <c r="AC272" s="247"/>
      <c r="AD272" s="142"/>
      <c r="AE272" s="18"/>
      <c r="AF272" s="18"/>
      <c r="AG272" s="203"/>
      <c r="AH272" s="203"/>
      <c r="AI272" s="18"/>
      <c r="AJ272" s="18"/>
      <c r="AK272" s="18"/>
      <c r="AL272" s="18"/>
      <c r="AM272" s="18"/>
      <c r="AN272" s="18"/>
    </row>
    <row r="273" spans="1:40" ht="20">
      <c r="A273" s="18"/>
      <c r="B273" s="151"/>
      <c r="C273" s="55">
        <v>253</v>
      </c>
      <c r="D273" s="54">
        <v>1</v>
      </c>
      <c r="E273" s="190">
        <f t="shared" si="62"/>
        <v>9</v>
      </c>
      <c r="F273" s="191">
        <f t="shared" si="63"/>
        <v>46275</v>
      </c>
      <c r="G273" s="192" t="str">
        <f t="shared" si="64"/>
        <v>Thu</v>
      </c>
      <c r="H273" s="193"/>
      <c r="I273" s="194"/>
      <c r="J273" s="307">
        <f>356900/B13</f>
        <v>3234.5477614645638</v>
      </c>
      <c r="K273" s="215"/>
      <c r="L273" s="317">
        <f t="shared" si="65"/>
        <v>2234.8793803746735</v>
      </c>
      <c r="M273" s="318">
        <f t="shared" si="59"/>
        <v>999.66838108989032</v>
      </c>
      <c r="N273" s="41">
        <f t="shared" si="8"/>
        <v>1.4473030579942519</v>
      </c>
      <c r="O273" s="56"/>
      <c r="P273" s="317">
        <f>IF(D273=0,0,SUM($L$264:L273))</f>
        <v>20751.812401177212</v>
      </c>
      <c r="Q273" s="317">
        <f>IF(D273=0,0,SUM($J$264:J273))</f>
        <v>21110.712343665033</v>
      </c>
      <c r="R273" s="321">
        <f t="shared" si="60"/>
        <v>358.89994248782023</v>
      </c>
      <c r="S273" s="198">
        <f t="shared" si="66"/>
        <v>1.0172948721562007</v>
      </c>
      <c r="T273" s="207"/>
      <c r="U273" s="317">
        <f>IF(D273=0,0,SUM($L$21:L273))</f>
        <v>435039.4687361425</v>
      </c>
      <c r="V273" s="317">
        <f>IF(D273=0,0,SUM($J$21:J273))</f>
        <v>467448.1078900671</v>
      </c>
      <c r="W273" s="331">
        <f t="shared" si="61"/>
        <v>32408.639153924596</v>
      </c>
      <c r="X273" s="200">
        <f t="shared" si="67"/>
        <v>1.0744958595321863</v>
      </c>
      <c r="Y273" s="201">
        <f t="shared" si="71"/>
        <v>46275</v>
      </c>
      <c r="Z273" s="202">
        <f t="shared" si="71"/>
        <v>46275</v>
      </c>
      <c r="AA273" s="18"/>
      <c r="AB273" s="244"/>
      <c r="AC273" s="247"/>
      <c r="AD273" s="142"/>
      <c r="AE273" s="18"/>
      <c r="AF273" s="18"/>
      <c r="AG273" s="203"/>
      <c r="AH273" s="203"/>
      <c r="AI273" s="18"/>
      <c r="AJ273" s="18"/>
      <c r="AK273" s="18"/>
      <c r="AL273" s="18"/>
      <c r="AM273" s="18"/>
      <c r="AN273" s="18"/>
    </row>
    <row r="274" spans="1:40" ht="20">
      <c r="A274" s="18"/>
      <c r="B274" s="151"/>
      <c r="C274" s="55">
        <v>254</v>
      </c>
      <c r="D274" s="54">
        <v>1</v>
      </c>
      <c r="E274" s="190">
        <f t="shared" si="62"/>
        <v>9</v>
      </c>
      <c r="F274" s="191">
        <f t="shared" si="63"/>
        <v>46276</v>
      </c>
      <c r="G274" s="192" t="str">
        <f t="shared" si="64"/>
        <v>Fri</v>
      </c>
      <c r="H274" s="193"/>
      <c r="I274" s="194"/>
      <c r="J274" s="307">
        <f>263000/B13</f>
        <v>2383.5417799528727</v>
      </c>
      <c r="K274" s="215"/>
      <c r="L274" s="317">
        <f t="shared" si="65"/>
        <v>3320.1441445705423</v>
      </c>
      <c r="M274" s="318">
        <f t="shared" si="59"/>
        <v>-936.60236461766954</v>
      </c>
      <c r="N274" s="41">
        <f t="shared" si="8"/>
        <v>0.7179031018429417</v>
      </c>
      <c r="O274" s="56"/>
      <c r="P274" s="317">
        <f>IF(D274=0,0,SUM($L$264:L274))</f>
        <v>24071.956545747755</v>
      </c>
      <c r="Q274" s="317">
        <f>IF(D274=0,0,SUM($J$264:J274))</f>
        <v>23494.254123617906</v>
      </c>
      <c r="R274" s="321">
        <f t="shared" si="60"/>
        <v>-577.70242212984886</v>
      </c>
      <c r="S274" s="198">
        <f t="shared" si="66"/>
        <v>0.97600101923447935</v>
      </c>
      <c r="T274" s="207"/>
      <c r="U274" s="317">
        <f>IF(D274=0,0,SUM($L$21:L274))</f>
        <v>438359.61288071307</v>
      </c>
      <c r="V274" s="317">
        <f>IF(D274=0,0,SUM($J$21:J274))</f>
        <v>469831.64967001998</v>
      </c>
      <c r="W274" s="331">
        <f t="shared" si="61"/>
        <v>31472.036789306905</v>
      </c>
      <c r="X274" s="200">
        <f t="shared" si="67"/>
        <v>1.0717950191225101</v>
      </c>
      <c r="Y274" s="201">
        <f t="shared" si="71"/>
        <v>46276</v>
      </c>
      <c r="Z274" s="202">
        <f t="shared" si="71"/>
        <v>46276</v>
      </c>
      <c r="AA274" s="18"/>
      <c r="AB274" s="244"/>
      <c r="AC274" s="247"/>
      <c r="AD274" s="142"/>
      <c r="AE274" s="18"/>
      <c r="AF274" s="18"/>
      <c r="AG274" s="203"/>
      <c r="AH274" s="203"/>
      <c r="AI274" s="18"/>
      <c r="AJ274" s="18"/>
      <c r="AK274" s="18"/>
      <c r="AL274" s="18"/>
      <c r="AM274" s="18"/>
      <c r="AN274" s="18"/>
    </row>
    <row r="275" spans="1:40" ht="20">
      <c r="A275" s="18"/>
      <c r="B275" s="151"/>
      <c r="C275" s="55">
        <v>255</v>
      </c>
      <c r="D275" s="54">
        <v>1</v>
      </c>
      <c r="E275" s="190">
        <f t="shared" si="62"/>
        <v>9</v>
      </c>
      <c r="F275" s="191">
        <f t="shared" si="63"/>
        <v>46277</v>
      </c>
      <c r="G275" s="192" t="str">
        <f t="shared" si="64"/>
        <v>Sat</v>
      </c>
      <c r="H275" s="193"/>
      <c r="I275" s="194"/>
      <c r="J275" s="307">
        <f>353200/B13</f>
        <v>3201.0150444081928</v>
      </c>
      <c r="K275" s="215"/>
      <c r="L275" s="317">
        <f t="shared" si="65"/>
        <v>1338.8427732072885</v>
      </c>
      <c r="M275" s="318">
        <f t="shared" si="59"/>
        <v>1862.1722712009043</v>
      </c>
      <c r="N275" s="41">
        <f t="shared" si="8"/>
        <v>2.3908819679699542</v>
      </c>
      <c r="O275" s="56"/>
      <c r="P275" s="317">
        <f>IF(D275=0,0,SUM($L$264:L275))</f>
        <v>25410.799318955043</v>
      </c>
      <c r="Q275" s="317">
        <f>IF(D275=0,0,SUM($J$264:J275))</f>
        <v>26695.269168026098</v>
      </c>
      <c r="R275" s="321">
        <f t="shared" si="60"/>
        <v>1284.4698490710543</v>
      </c>
      <c r="S275" s="198">
        <f t="shared" si="66"/>
        <v>1.050548187522496</v>
      </c>
      <c r="T275" s="207"/>
      <c r="U275" s="317">
        <f>IF(D275=0,0,SUM($L$21:L275))</f>
        <v>439698.45565392036</v>
      </c>
      <c r="V275" s="317">
        <f>IF(D275=0,0,SUM($J$21:J275))</f>
        <v>473032.66471442819</v>
      </c>
      <c r="W275" s="331">
        <f t="shared" si="61"/>
        <v>33334.209060507827</v>
      </c>
      <c r="X275" s="200">
        <f t="shared" si="67"/>
        <v>1.0758115218097211</v>
      </c>
      <c r="Y275" s="201">
        <f t="shared" si="71"/>
        <v>46277</v>
      </c>
      <c r="Z275" s="202">
        <f t="shared" si="71"/>
        <v>46277</v>
      </c>
      <c r="AA275" s="18"/>
      <c r="AB275" s="244"/>
      <c r="AC275" s="247"/>
      <c r="AD275" s="142"/>
      <c r="AE275" s="18"/>
      <c r="AF275" s="18"/>
      <c r="AG275" s="203"/>
      <c r="AH275" s="203"/>
      <c r="AI275" s="18"/>
      <c r="AJ275" s="18"/>
      <c r="AK275" s="18"/>
      <c r="AL275" s="18"/>
      <c r="AM275" s="18"/>
      <c r="AN275" s="18"/>
    </row>
    <row r="276" spans="1:40" ht="20">
      <c r="A276" s="18"/>
      <c r="B276" s="151"/>
      <c r="C276" s="55">
        <v>256</v>
      </c>
      <c r="D276" s="54">
        <v>0</v>
      </c>
      <c r="E276" s="190">
        <f t="shared" si="62"/>
        <v>9</v>
      </c>
      <c r="F276" s="191">
        <f t="shared" si="63"/>
        <v>46278</v>
      </c>
      <c r="G276" s="192" t="str">
        <f t="shared" si="64"/>
        <v>Sun</v>
      </c>
      <c r="H276" s="193"/>
      <c r="I276" s="194"/>
      <c r="J276" s="307"/>
      <c r="K276" s="215"/>
      <c r="L276" s="317">
        <f t="shared" si="65"/>
        <v>0</v>
      </c>
      <c r="M276" s="318">
        <f t="shared" si="59"/>
        <v>0</v>
      </c>
      <c r="N276" s="41" t="str">
        <f t="shared" ref="N276:N385" si="72">IFERROR(J276/L276,"¥0")</f>
        <v>¥0</v>
      </c>
      <c r="O276" s="56"/>
      <c r="P276" s="317">
        <f>IF(D276=0,0,SUM($L$264:L276))</f>
        <v>0</v>
      </c>
      <c r="Q276" s="317">
        <f>IF(D276=0,0,SUM($J$264:J276))</f>
        <v>0</v>
      </c>
      <c r="R276" s="321">
        <f t="shared" si="60"/>
        <v>0</v>
      </c>
      <c r="S276" s="198">
        <f t="shared" si="66"/>
        <v>0</v>
      </c>
      <c r="T276" s="207"/>
      <c r="U276" s="317">
        <f>IF(D276=0,0,SUM($L$21:L276))</f>
        <v>0</v>
      </c>
      <c r="V276" s="317">
        <f>IF(D276=0,0,SUM($J$21:J276))</f>
        <v>0</v>
      </c>
      <c r="W276" s="331">
        <f t="shared" si="61"/>
        <v>0</v>
      </c>
      <c r="X276" s="200">
        <f t="shared" si="67"/>
        <v>0</v>
      </c>
      <c r="Y276" s="201">
        <f t="shared" si="71"/>
        <v>46278</v>
      </c>
      <c r="Z276" s="202">
        <f t="shared" si="71"/>
        <v>46278</v>
      </c>
      <c r="AA276" s="18"/>
      <c r="AB276" s="244"/>
      <c r="AC276" s="247"/>
      <c r="AD276" s="142"/>
      <c r="AE276" s="18"/>
      <c r="AF276" s="18"/>
      <c r="AG276" s="203"/>
      <c r="AH276" s="203"/>
      <c r="AI276" s="18"/>
      <c r="AJ276" s="18"/>
      <c r="AK276" s="18"/>
      <c r="AL276" s="18"/>
      <c r="AM276" s="18"/>
      <c r="AN276" s="18"/>
    </row>
    <row r="277" spans="1:40" ht="20">
      <c r="A277" s="18"/>
      <c r="B277" s="151"/>
      <c r="C277" s="55">
        <v>257</v>
      </c>
      <c r="D277" s="54">
        <v>1</v>
      </c>
      <c r="E277" s="190">
        <f t="shared" si="62"/>
        <v>9</v>
      </c>
      <c r="F277" s="191">
        <f t="shared" si="63"/>
        <v>46279</v>
      </c>
      <c r="G277" s="192" t="str">
        <f t="shared" si="64"/>
        <v>Mon</v>
      </c>
      <c r="H277" s="193"/>
      <c r="I277" s="194"/>
      <c r="J277" s="307">
        <f>210980/B13</f>
        <v>1912.0899039332969</v>
      </c>
      <c r="K277" s="215"/>
      <c r="L277" s="317">
        <f t="shared" si="65"/>
        <v>1777.8901862108053</v>
      </c>
      <c r="M277" s="318">
        <f t="shared" ref="M277:M340" si="73">IF(D277=0,0,J277-L277)</f>
        <v>134.19971772249164</v>
      </c>
      <c r="N277" s="41">
        <f t="shared" si="72"/>
        <v>1.0754825684754523</v>
      </c>
      <c r="O277" s="44"/>
      <c r="P277" s="317">
        <f>IF(D277=0,0,SUM($L$264:L277))</f>
        <v>27188.68950516585</v>
      </c>
      <c r="Q277" s="317">
        <f>IF(D277=0,0,SUM($J$264:J277))</f>
        <v>28607.359071959396</v>
      </c>
      <c r="R277" s="321">
        <f t="shared" ref="R277:R340" si="74">IF(D277=0,0,Q277-P277)</f>
        <v>1418.6695667935455</v>
      </c>
      <c r="S277" s="198">
        <f t="shared" si="66"/>
        <v>1.0521786666666666</v>
      </c>
      <c r="T277" s="212"/>
      <c r="U277" s="317">
        <f>IF(D277=0,0,SUM($L$21:L277))</f>
        <v>441476.34584013117</v>
      </c>
      <c r="V277" s="317">
        <f>IF(D277=0,0,SUM($J$21:J277))</f>
        <v>474944.75461836148</v>
      </c>
      <c r="W277" s="331">
        <f t="shared" ref="W277:W340" si="75">IF(D277=0,0,V277-U277)</f>
        <v>33468.40877823031</v>
      </c>
      <c r="X277" s="200">
        <f t="shared" si="67"/>
        <v>1.0758101970662546</v>
      </c>
      <c r="Y277" s="201">
        <f t="shared" si="71"/>
        <v>46279</v>
      </c>
      <c r="Z277" s="202">
        <f t="shared" si="71"/>
        <v>46279</v>
      </c>
      <c r="AA277" s="18"/>
      <c r="AB277" s="244"/>
      <c r="AC277" s="247"/>
      <c r="AD277" s="142"/>
      <c r="AE277" s="18"/>
      <c r="AF277" s="18"/>
      <c r="AG277" s="203"/>
      <c r="AH277" s="203"/>
      <c r="AI277" s="18"/>
      <c r="AJ277" s="18"/>
      <c r="AK277" s="18"/>
      <c r="AL277" s="18"/>
      <c r="AM277" s="18"/>
      <c r="AN277" s="18"/>
    </row>
    <row r="278" spans="1:40" ht="20">
      <c r="A278" s="18"/>
      <c r="B278" s="151"/>
      <c r="C278" s="55">
        <v>258</v>
      </c>
      <c r="D278" s="54">
        <v>0</v>
      </c>
      <c r="E278" s="190">
        <f t="shared" ref="E278:E341" si="76">MONTH(Y278)</f>
        <v>9</v>
      </c>
      <c r="F278" s="191">
        <f t="shared" ref="F278:F341" si="77">F277+1</f>
        <v>46280</v>
      </c>
      <c r="G278" s="192" t="str">
        <f t="shared" ref="G278:G341" si="78">TEXT(Z278,"ddd")</f>
        <v>Tue</v>
      </c>
      <c r="H278" s="193" t="s">
        <v>178</v>
      </c>
      <c r="I278" s="194"/>
      <c r="J278" s="307"/>
      <c r="K278" s="215"/>
      <c r="L278" s="317">
        <f t="shared" ref="L278:L341" si="79">IF(D278=0,0,IFERROR(SUMIFS($AE$21:$AE$104,$AA$21:$AA$104,$E278,$AB$21:$AB$104,$G278),0))</f>
        <v>0</v>
      </c>
      <c r="M278" s="318">
        <f t="shared" si="73"/>
        <v>0</v>
      </c>
      <c r="N278" s="41" t="str">
        <f t="shared" si="72"/>
        <v>¥0</v>
      </c>
      <c r="O278" s="44"/>
      <c r="P278" s="317">
        <f>IF(D278=0,0,SUM($L$264:L278))</f>
        <v>0</v>
      </c>
      <c r="Q278" s="317">
        <f>IF(D278=0,0,SUM($J$264:J278))</f>
        <v>0</v>
      </c>
      <c r="R278" s="321">
        <f t="shared" si="74"/>
        <v>0</v>
      </c>
      <c r="S278" s="198">
        <f t="shared" ref="S278:S341" si="80">IF(D278=0,0,Q278/P278)</f>
        <v>0</v>
      </c>
      <c r="T278" s="212"/>
      <c r="U278" s="317">
        <f>IF(D278=0,0,SUM($L$21:L278))</f>
        <v>0</v>
      </c>
      <c r="V278" s="317">
        <f>IF(D278=0,0,SUM($J$21:J278))</f>
        <v>0</v>
      </c>
      <c r="W278" s="331">
        <f t="shared" si="75"/>
        <v>0</v>
      </c>
      <c r="X278" s="200">
        <f t="shared" ref="X278:X341" si="81">IF(D278=0,0,V278/U278)</f>
        <v>0</v>
      </c>
      <c r="Y278" s="201">
        <f t="shared" si="71"/>
        <v>46280</v>
      </c>
      <c r="Z278" s="202">
        <f t="shared" si="71"/>
        <v>46280</v>
      </c>
      <c r="AA278" s="18"/>
      <c r="AB278" s="244"/>
      <c r="AC278" s="247"/>
      <c r="AD278" s="142"/>
      <c r="AE278" s="18"/>
      <c r="AF278" s="18"/>
      <c r="AG278" s="203"/>
      <c r="AH278" s="203"/>
      <c r="AI278" s="18"/>
      <c r="AJ278" s="18"/>
      <c r="AK278" s="18"/>
      <c r="AL278" s="18"/>
      <c r="AM278" s="18"/>
      <c r="AN278" s="18"/>
    </row>
    <row r="279" spans="1:40" ht="20">
      <c r="A279" s="18"/>
      <c r="B279" s="151"/>
      <c r="C279" s="55">
        <v>259</v>
      </c>
      <c r="D279" s="54">
        <v>1</v>
      </c>
      <c r="E279" s="190">
        <f t="shared" si="76"/>
        <v>9</v>
      </c>
      <c r="F279" s="191">
        <f t="shared" si="77"/>
        <v>46281</v>
      </c>
      <c r="G279" s="192" t="str">
        <f t="shared" si="78"/>
        <v>Wed</v>
      </c>
      <c r="H279" s="193"/>
      <c r="I279" s="194"/>
      <c r="J279" s="307">
        <f>333450/B13</f>
        <v>3022.0228384991842</v>
      </c>
      <c r="K279" s="215"/>
      <c r="L279" s="317">
        <f t="shared" si="79"/>
        <v>1982.8424601081722</v>
      </c>
      <c r="M279" s="318">
        <f t="shared" si="73"/>
        <v>1039.180378391012</v>
      </c>
      <c r="N279" s="41">
        <f t="shared" si="72"/>
        <v>1.5240862041729328</v>
      </c>
      <c r="O279" s="56"/>
      <c r="P279" s="317">
        <f>IF(D279=0,0,SUM($L$264:L279))</f>
        <v>29171.531965274022</v>
      </c>
      <c r="Q279" s="317">
        <f>IF(D279=0,0,SUM($J$264:J279))</f>
        <v>31629.381910458578</v>
      </c>
      <c r="R279" s="321">
        <f t="shared" si="74"/>
        <v>2457.8499451845564</v>
      </c>
      <c r="S279" s="198">
        <f t="shared" si="80"/>
        <v>1.0842550863667495</v>
      </c>
      <c r="T279" s="207"/>
      <c r="U279" s="317">
        <f>IF(D279=0,0,SUM($L$21:L279))</f>
        <v>443459.18830023933</v>
      </c>
      <c r="V279" s="317">
        <f>IF(D279=0,0,SUM($J$21:J279))</f>
        <v>477966.77745686064</v>
      </c>
      <c r="W279" s="331">
        <f t="shared" si="75"/>
        <v>34507.58915662131</v>
      </c>
      <c r="X279" s="200">
        <f t="shared" si="81"/>
        <v>1.0778145770051297</v>
      </c>
      <c r="Y279" s="201">
        <f t="shared" ref="Y279:Z294" si="82">Y278+1</f>
        <v>46281</v>
      </c>
      <c r="Z279" s="202">
        <f t="shared" si="82"/>
        <v>46281</v>
      </c>
      <c r="AA279" s="18"/>
      <c r="AB279" s="244"/>
      <c r="AC279" s="247"/>
      <c r="AD279" s="142"/>
      <c r="AE279" s="18"/>
      <c r="AF279" s="18"/>
      <c r="AG279" s="203"/>
      <c r="AH279" s="203"/>
      <c r="AI279" s="18"/>
      <c r="AJ279" s="18"/>
      <c r="AK279" s="18"/>
      <c r="AL279" s="18"/>
      <c r="AM279" s="18"/>
      <c r="AN279" s="18"/>
    </row>
    <row r="280" spans="1:40" ht="20">
      <c r="A280" s="18"/>
      <c r="B280" s="151"/>
      <c r="C280" s="55">
        <v>260</v>
      </c>
      <c r="D280" s="54">
        <v>1</v>
      </c>
      <c r="E280" s="190">
        <f t="shared" si="76"/>
        <v>9</v>
      </c>
      <c r="F280" s="191">
        <f t="shared" si="77"/>
        <v>46282</v>
      </c>
      <c r="G280" s="192" t="str">
        <f t="shared" si="78"/>
        <v>Thu</v>
      </c>
      <c r="H280" s="193"/>
      <c r="I280" s="194"/>
      <c r="J280" s="307">
        <f>210450/B13</f>
        <v>1907.2865687873843</v>
      </c>
      <c r="K280" s="215"/>
      <c r="L280" s="317">
        <f t="shared" si="79"/>
        <v>2234.8793803746735</v>
      </c>
      <c r="M280" s="318">
        <f t="shared" si="73"/>
        <v>-327.59281158728913</v>
      </c>
      <c r="N280" s="41">
        <f t="shared" si="72"/>
        <v>0.85341812427820207</v>
      </c>
      <c r="O280" s="56"/>
      <c r="P280" s="317">
        <f>IF(D280=0,0,SUM($L$264:L280))</f>
        <v>31406.411345648696</v>
      </c>
      <c r="Q280" s="317">
        <f>IF(D280=0,0,SUM($J$264:J280))</f>
        <v>33536.668479245964</v>
      </c>
      <c r="R280" s="321">
        <f t="shared" si="74"/>
        <v>2130.257133597268</v>
      </c>
      <c r="S280" s="198">
        <f t="shared" si="80"/>
        <v>1.0678287343992394</v>
      </c>
      <c r="T280" s="207"/>
      <c r="U280" s="317">
        <f>IF(D280=0,0,SUM($L$21:L280))</f>
        <v>445694.06768061401</v>
      </c>
      <c r="V280" s="317">
        <f>IF(D280=0,0,SUM($J$21:J280))</f>
        <v>479874.064025648</v>
      </c>
      <c r="W280" s="331">
        <f t="shared" si="75"/>
        <v>34179.996345033986</v>
      </c>
      <c r="X280" s="200">
        <f t="shared" si="81"/>
        <v>1.0766893679400003</v>
      </c>
      <c r="Y280" s="201">
        <f t="shared" si="82"/>
        <v>46282</v>
      </c>
      <c r="Z280" s="202">
        <f t="shared" si="82"/>
        <v>46282</v>
      </c>
      <c r="AA280" s="18"/>
      <c r="AB280" s="244"/>
      <c r="AC280" s="247"/>
      <c r="AD280" s="142"/>
      <c r="AE280" s="18"/>
      <c r="AF280" s="18"/>
      <c r="AG280" s="203"/>
      <c r="AH280" s="203"/>
      <c r="AI280" s="18"/>
      <c r="AJ280" s="18"/>
      <c r="AK280" s="18"/>
      <c r="AL280" s="18"/>
      <c r="AM280" s="18"/>
      <c r="AN280" s="18"/>
    </row>
    <row r="281" spans="1:40" ht="20">
      <c r="A281" s="18"/>
      <c r="B281" s="151"/>
      <c r="C281" s="55">
        <v>261</v>
      </c>
      <c r="D281" s="54">
        <v>1</v>
      </c>
      <c r="E281" s="190">
        <f t="shared" si="76"/>
        <v>9</v>
      </c>
      <c r="F281" s="191">
        <f t="shared" si="77"/>
        <v>46283</v>
      </c>
      <c r="G281" s="192" t="str">
        <f t="shared" si="78"/>
        <v>Fri</v>
      </c>
      <c r="H281" s="193"/>
      <c r="I281" s="194"/>
      <c r="J281" s="307">
        <f>309890/B13</f>
        <v>2808.5009969186153</v>
      </c>
      <c r="K281" s="215"/>
      <c r="L281" s="317">
        <f t="shared" si="79"/>
        <v>3320.1441445705423</v>
      </c>
      <c r="M281" s="318">
        <f t="shared" si="73"/>
        <v>-511.64314765192694</v>
      </c>
      <c r="N281" s="41">
        <f t="shared" si="72"/>
        <v>0.84589730885973102</v>
      </c>
      <c r="O281" s="56"/>
      <c r="P281" s="317">
        <f>IF(D281=0,0,SUM($L$264:L281))</f>
        <v>34726.555490219238</v>
      </c>
      <c r="Q281" s="317">
        <f>IF(D281=0,0,SUM($J$264:J281))</f>
        <v>36345.169476164578</v>
      </c>
      <c r="R281" s="321">
        <f t="shared" si="74"/>
        <v>1618.6139859453397</v>
      </c>
      <c r="S281" s="198">
        <f t="shared" si="80"/>
        <v>1.0466102659217447</v>
      </c>
      <c r="T281" s="207"/>
      <c r="U281" s="317">
        <f>IF(D281=0,0,SUM($L$21:L281))</f>
        <v>449014.21182518452</v>
      </c>
      <c r="V281" s="317">
        <f>IF(D281=0,0,SUM($J$21:J281))</f>
        <v>482682.56502256659</v>
      </c>
      <c r="W281" s="331">
        <f t="shared" si="75"/>
        <v>33668.353197382065</v>
      </c>
      <c r="X281" s="200">
        <f t="shared" si="81"/>
        <v>1.0749828230614897</v>
      </c>
      <c r="Y281" s="201">
        <f t="shared" si="82"/>
        <v>46283</v>
      </c>
      <c r="Z281" s="202">
        <f t="shared" si="82"/>
        <v>46283</v>
      </c>
      <c r="AA281" s="18"/>
      <c r="AB281" s="244"/>
      <c r="AC281" s="247"/>
      <c r="AD281" s="142"/>
      <c r="AE281" s="18"/>
      <c r="AF281" s="18"/>
      <c r="AG281" s="203"/>
      <c r="AH281" s="203"/>
      <c r="AI281" s="18"/>
      <c r="AJ281" s="18"/>
      <c r="AK281" s="18"/>
      <c r="AL281" s="18"/>
      <c r="AM281" s="18"/>
      <c r="AN281" s="18"/>
    </row>
    <row r="282" spans="1:40" ht="20">
      <c r="A282" s="18"/>
      <c r="B282" s="151"/>
      <c r="C282" s="55">
        <v>262</v>
      </c>
      <c r="D282" s="54">
        <v>1</v>
      </c>
      <c r="E282" s="190">
        <f t="shared" si="76"/>
        <v>9</v>
      </c>
      <c r="F282" s="191">
        <f t="shared" si="77"/>
        <v>46284</v>
      </c>
      <c r="G282" s="192" t="str">
        <f t="shared" si="78"/>
        <v>Sat</v>
      </c>
      <c r="H282" s="193"/>
      <c r="I282" s="194"/>
      <c r="J282" s="307">
        <f>415690/B13</f>
        <v>3767.3554468007974</v>
      </c>
      <c r="K282" s="215"/>
      <c r="L282" s="317">
        <f t="shared" si="79"/>
        <v>1338.8427732072885</v>
      </c>
      <c r="M282" s="318">
        <f t="shared" si="73"/>
        <v>2428.5126735935091</v>
      </c>
      <c r="N282" s="41">
        <f t="shared" si="72"/>
        <v>2.8138893693811728</v>
      </c>
      <c r="O282" s="56"/>
      <c r="P282" s="317">
        <f>IF(D282=0,0,SUM($L$264:L282))</f>
        <v>36065.398263426527</v>
      </c>
      <c r="Q282" s="317">
        <f>IF(D282=0,0,SUM($J$264:J282))</f>
        <v>40112.524922965378</v>
      </c>
      <c r="R282" s="321">
        <f t="shared" si="74"/>
        <v>4047.1266595388515</v>
      </c>
      <c r="S282" s="198">
        <f t="shared" si="80"/>
        <v>1.1122163307328008</v>
      </c>
      <c r="T282" s="207"/>
      <c r="U282" s="317">
        <f>IF(D282=0,0,SUM($L$21:L282))</f>
        <v>450353.05459839181</v>
      </c>
      <c r="V282" s="317">
        <f>IF(D282=0,0,SUM($J$21:J282))</f>
        <v>486449.92046936741</v>
      </c>
      <c r="W282" s="331">
        <f t="shared" si="75"/>
        <v>36096.865870975598</v>
      </c>
      <c r="X282" s="200">
        <f t="shared" si="81"/>
        <v>1.0801523726827287</v>
      </c>
      <c r="Y282" s="201">
        <f t="shared" si="82"/>
        <v>46284</v>
      </c>
      <c r="Z282" s="202">
        <f t="shared" si="82"/>
        <v>46284</v>
      </c>
      <c r="AA282" s="18"/>
      <c r="AB282" s="244"/>
      <c r="AC282" s="247"/>
      <c r="AD282" s="142"/>
      <c r="AE282" s="18"/>
      <c r="AF282" s="18"/>
      <c r="AG282" s="203"/>
      <c r="AH282" s="203"/>
      <c r="AI282" s="18"/>
      <c r="AJ282" s="18"/>
      <c r="AK282" s="18"/>
      <c r="AL282" s="18"/>
      <c r="AM282" s="18"/>
      <c r="AN282" s="18"/>
    </row>
    <row r="283" spans="1:40" ht="20">
      <c r="A283" s="18"/>
      <c r="B283" s="151"/>
      <c r="C283" s="55">
        <v>263</v>
      </c>
      <c r="D283" s="54">
        <v>0</v>
      </c>
      <c r="E283" s="190">
        <f t="shared" si="76"/>
        <v>9</v>
      </c>
      <c r="F283" s="191">
        <f t="shared" si="77"/>
        <v>46285</v>
      </c>
      <c r="G283" s="192" t="str">
        <f t="shared" si="78"/>
        <v>Sun</v>
      </c>
      <c r="H283" s="193"/>
      <c r="I283" s="194"/>
      <c r="J283" s="307"/>
      <c r="K283" s="215"/>
      <c r="L283" s="317">
        <f t="shared" si="79"/>
        <v>0</v>
      </c>
      <c r="M283" s="318">
        <f t="shared" si="73"/>
        <v>0</v>
      </c>
      <c r="N283" s="41" t="str">
        <f t="shared" si="72"/>
        <v>¥0</v>
      </c>
      <c r="O283" s="56"/>
      <c r="P283" s="317">
        <f>IF(D283=0,0,SUM($L$264:L283))</f>
        <v>0</v>
      </c>
      <c r="Q283" s="317">
        <f>IF(D283=0,0,SUM($J$264:J283))</f>
        <v>0</v>
      </c>
      <c r="R283" s="321">
        <f t="shared" si="74"/>
        <v>0</v>
      </c>
      <c r="S283" s="198">
        <f t="shared" si="80"/>
        <v>0</v>
      </c>
      <c r="T283" s="207"/>
      <c r="U283" s="317">
        <f>IF(D283=0,0,SUM($L$21:L283))</f>
        <v>0</v>
      </c>
      <c r="V283" s="317">
        <f>IF(D283=0,0,SUM($J$21:J283))</f>
        <v>0</v>
      </c>
      <c r="W283" s="331">
        <f t="shared" si="75"/>
        <v>0</v>
      </c>
      <c r="X283" s="200">
        <f t="shared" si="81"/>
        <v>0</v>
      </c>
      <c r="Y283" s="201">
        <f t="shared" si="82"/>
        <v>46285</v>
      </c>
      <c r="Z283" s="202">
        <f t="shared" si="82"/>
        <v>46285</v>
      </c>
      <c r="AA283" s="18"/>
      <c r="AB283" s="244"/>
      <c r="AC283" s="247"/>
      <c r="AD283" s="142"/>
      <c r="AE283" s="18"/>
      <c r="AF283" s="18"/>
      <c r="AG283" s="203"/>
      <c r="AH283" s="203"/>
      <c r="AI283" s="18"/>
      <c r="AJ283" s="18"/>
      <c r="AK283" s="18"/>
      <c r="AL283" s="18"/>
      <c r="AM283" s="18"/>
      <c r="AN283" s="18"/>
    </row>
    <row r="284" spans="1:40" ht="20">
      <c r="A284" s="18"/>
      <c r="B284" s="151"/>
      <c r="C284" s="55">
        <v>264</v>
      </c>
      <c r="D284" s="54">
        <v>1</v>
      </c>
      <c r="E284" s="190">
        <f t="shared" si="76"/>
        <v>9</v>
      </c>
      <c r="F284" s="191">
        <f t="shared" si="77"/>
        <v>46286</v>
      </c>
      <c r="G284" s="192" t="str">
        <f t="shared" si="78"/>
        <v>Mon</v>
      </c>
      <c r="H284" s="193"/>
      <c r="I284" s="194"/>
      <c r="J284" s="307">
        <f>210910/B13</f>
        <v>1911.4555011781765</v>
      </c>
      <c r="K284" s="215"/>
      <c r="L284" s="317">
        <f t="shared" si="79"/>
        <v>1777.8901862108053</v>
      </c>
      <c r="M284" s="318">
        <f t="shared" si="73"/>
        <v>133.56531496737125</v>
      </c>
      <c r="N284" s="41">
        <f t="shared" si="72"/>
        <v>1.0751257394879024</v>
      </c>
      <c r="O284" s="44"/>
      <c r="P284" s="317">
        <f>IF(D284=0,0,SUM($L$264:L284))</f>
        <v>37843.28844963733</v>
      </c>
      <c r="Q284" s="317">
        <f>IF(D284=0,0,SUM($J$264:J284))</f>
        <v>42023.980424143556</v>
      </c>
      <c r="R284" s="321">
        <f t="shared" si="74"/>
        <v>4180.691974506226</v>
      </c>
      <c r="S284" s="198">
        <f t="shared" si="80"/>
        <v>1.1104738025097893</v>
      </c>
      <c r="T284" s="212"/>
      <c r="U284" s="317">
        <f>IF(D284=0,0,SUM($L$21:L284))</f>
        <v>452130.94478460262</v>
      </c>
      <c r="V284" s="317">
        <f>IF(D284=0,0,SUM($J$21:J284))</f>
        <v>488361.37597054557</v>
      </c>
      <c r="W284" s="331">
        <f t="shared" si="75"/>
        <v>36230.431185942958</v>
      </c>
      <c r="X284" s="200">
        <f t="shared" si="81"/>
        <v>1.0801326067234864</v>
      </c>
      <c r="Y284" s="201">
        <f t="shared" si="82"/>
        <v>46286</v>
      </c>
      <c r="Z284" s="202">
        <f t="shared" si="82"/>
        <v>46286</v>
      </c>
      <c r="AA284" s="18"/>
      <c r="AB284" s="244"/>
      <c r="AC284" s="247"/>
      <c r="AD284" s="142"/>
      <c r="AE284" s="18"/>
      <c r="AF284" s="18"/>
      <c r="AG284" s="203"/>
      <c r="AH284" s="203"/>
      <c r="AI284" s="18"/>
      <c r="AJ284" s="18"/>
      <c r="AK284" s="18"/>
      <c r="AL284" s="18"/>
      <c r="AM284" s="18"/>
      <c r="AN284" s="18"/>
    </row>
    <row r="285" spans="1:40" ht="20">
      <c r="A285" s="18"/>
      <c r="B285" s="151"/>
      <c r="C285" s="55">
        <v>265</v>
      </c>
      <c r="D285" s="54">
        <v>1</v>
      </c>
      <c r="E285" s="190">
        <f t="shared" si="76"/>
        <v>9</v>
      </c>
      <c r="F285" s="191">
        <f t="shared" si="77"/>
        <v>46287</v>
      </c>
      <c r="G285" s="192" t="str">
        <f t="shared" si="78"/>
        <v>Tue</v>
      </c>
      <c r="H285" s="193"/>
      <c r="I285" s="194"/>
      <c r="J285" s="307">
        <f>301300/B13</f>
        <v>2730.6507159688235</v>
      </c>
      <c r="K285" s="215"/>
      <c r="L285" s="317">
        <f t="shared" si="79"/>
        <v>2939.7458081114423</v>
      </c>
      <c r="M285" s="318">
        <f t="shared" si="73"/>
        <v>-209.0950921426188</v>
      </c>
      <c r="N285" s="41">
        <f t="shared" si="72"/>
        <v>0.92887307073772274</v>
      </c>
      <c r="O285" s="56"/>
      <c r="P285" s="317">
        <f>IF(D285=0,0,SUM($L$264:L285))</f>
        <v>40783.034257748775</v>
      </c>
      <c r="Q285" s="317">
        <f>IF(D285=0,0,SUM($J$264:J285))</f>
        <v>44754.631140112382</v>
      </c>
      <c r="R285" s="321">
        <f t="shared" si="74"/>
        <v>3971.5968823636067</v>
      </c>
      <c r="S285" s="198">
        <f t="shared" si="80"/>
        <v>1.0973835555555556</v>
      </c>
      <c r="T285" s="207"/>
      <c r="U285" s="317">
        <f>IF(D285=0,0,SUM($L$21:L285))</f>
        <v>455070.69059271406</v>
      </c>
      <c r="V285" s="317">
        <f>IF(D285=0,0,SUM($J$21:J285))</f>
        <v>491092.02668651438</v>
      </c>
      <c r="W285" s="331">
        <f t="shared" si="75"/>
        <v>36021.336093800317</v>
      </c>
      <c r="X285" s="200">
        <f t="shared" si="81"/>
        <v>1.0791554737284526</v>
      </c>
      <c r="Y285" s="201">
        <f t="shared" si="82"/>
        <v>46287</v>
      </c>
      <c r="Z285" s="202">
        <f t="shared" si="82"/>
        <v>46287</v>
      </c>
      <c r="AA285" s="18"/>
      <c r="AB285" s="244"/>
      <c r="AC285" s="247"/>
      <c r="AD285" s="142"/>
      <c r="AE285" s="18"/>
      <c r="AF285" s="18"/>
      <c r="AG285" s="203"/>
      <c r="AH285" s="203"/>
      <c r="AI285" s="18"/>
      <c r="AJ285" s="18"/>
      <c r="AK285" s="18"/>
      <c r="AL285" s="18"/>
      <c r="AM285" s="18"/>
      <c r="AN285" s="18"/>
    </row>
    <row r="286" spans="1:40" ht="20">
      <c r="A286" s="18"/>
      <c r="B286" s="151"/>
      <c r="C286" s="55">
        <v>266</v>
      </c>
      <c r="D286" s="54">
        <v>0</v>
      </c>
      <c r="E286" s="190">
        <f t="shared" si="76"/>
        <v>9</v>
      </c>
      <c r="F286" s="191">
        <f t="shared" si="77"/>
        <v>46288</v>
      </c>
      <c r="G286" s="192" t="str">
        <f t="shared" si="78"/>
        <v>Wed</v>
      </c>
      <c r="H286" s="193" t="s">
        <v>179</v>
      </c>
      <c r="I286" s="194"/>
      <c r="J286" s="307"/>
      <c r="K286" s="215"/>
      <c r="L286" s="317">
        <f t="shared" si="79"/>
        <v>0</v>
      </c>
      <c r="M286" s="318">
        <f t="shared" si="73"/>
        <v>0</v>
      </c>
      <c r="N286" s="41" t="str">
        <f t="shared" si="72"/>
        <v>¥0</v>
      </c>
      <c r="O286" s="44"/>
      <c r="P286" s="317">
        <f>IF(D286=0,0,SUM($L$264:L286))</f>
        <v>0</v>
      </c>
      <c r="Q286" s="317">
        <f>IF(D286=0,0,SUM($J$264:J286))</f>
        <v>0</v>
      </c>
      <c r="R286" s="321">
        <f t="shared" si="74"/>
        <v>0</v>
      </c>
      <c r="S286" s="198">
        <f t="shared" si="80"/>
        <v>0</v>
      </c>
      <c r="T286" s="212"/>
      <c r="U286" s="317">
        <f>IF(D286=0,0,SUM($L$21:L286))</f>
        <v>0</v>
      </c>
      <c r="V286" s="317">
        <f>IF(D286=0,0,SUM($J$21:J286))</f>
        <v>0</v>
      </c>
      <c r="W286" s="331">
        <f t="shared" si="75"/>
        <v>0</v>
      </c>
      <c r="X286" s="200">
        <f t="shared" si="81"/>
        <v>0</v>
      </c>
      <c r="Y286" s="201">
        <f t="shared" si="82"/>
        <v>46288</v>
      </c>
      <c r="Z286" s="202">
        <f t="shared" si="82"/>
        <v>46288</v>
      </c>
      <c r="AA286" s="18"/>
      <c r="AB286" s="244"/>
      <c r="AC286" s="247"/>
      <c r="AD286" s="142"/>
      <c r="AE286" s="18"/>
      <c r="AF286" s="18"/>
      <c r="AG286" s="203"/>
      <c r="AH286" s="203"/>
      <c r="AI286" s="18"/>
      <c r="AJ286" s="18"/>
      <c r="AK286" s="18"/>
      <c r="AL286" s="18"/>
      <c r="AM286" s="18"/>
      <c r="AN286" s="18"/>
    </row>
    <row r="287" spans="1:40" ht="20">
      <c r="A287" s="18"/>
      <c r="B287" s="151"/>
      <c r="C287" s="55">
        <v>267</v>
      </c>
      <c r="D287" s="54">
        <v>1</v>
      </c>
      <c r="E287" s="190">
        <f t="shared" si="76"/>
        <v>9</v>
      </c>
      <c r="F287" s="191">
        <f t="shared" si="77"/>
        <v>46289</v>
      </c>
      <c r="G287" s="192" t="str">
        <f t="shared" si="78"/>
        <v>Thu</v>
      </c>
      <c r="H287" s="193"/>
      <c r="I287" s="194"/>
      <c r="J287" s="307">
        <f>168890/B13</f>
        <v>1530.63259017582</v>
      </c>
      <c r="K287" s="215"/>
      <c r="L287" s="317">
        <f t="shared" si="79"/>
        <v>2234.8793803746735</v>
      </c>
      <c r="M287" s="318">
        <f t="shared" si="73"/>
        <v>-704.24679019885343</v>
      </c>
      <c r="N287" s="41">
        <f t="shared" si="72"/>
        <v>0.68488375865690443</v>
      </c>
      <c r="O287" s="56"/>
      <c r="P287" s="317">
        <f>IF(D287=0,0,SUM($L$264:L287))</f>
        <v>43017.913638123449</v>
      </c>
      <c r="Q287" s="317">
        <f>IF(D287=0,0,SUM($J$264:J287))</f>
        <v>46285.263730288199</v>
      </c>
      <c r="R287" s="321">
        <f t="shared" si="74"/>
        <v>3267.3500921647501</v>
      </c>
      <c r="S287" s="198">
        <f t="shared" si="80"/>
        <v>1.0759532440287656</v>
      </c>
      <c r="T287" s="207"/>
      <c r="U287" s="317">
        <f>IF(D287=0,0,SUM($L$21:L287))</f>
        <v>457305.56997308874</v>
      </c>
      <c r="V287" s="317">
        <f>IF(D287=0,0,SUM($J$21:J287))</f>
        <v>492622.65927669022</v>
      </c>
      <c r="W287" s="331">
        <f t="shared" si="75"/>
        <v>35317.089303601475</v>
      </c>
      <c r="X287" s="200">
        <f t="shared" si="81"/>
        <v>1.0772286445268529</v>
      </c>
      <c r="Y287" s="201">
        <f t="shared" si="82"/>
        <v>46289</v>
      </c>
      <c r="Z287" s="202">
        <f t="shared" si="82"/>
        <v>46289</v>
      </c>
      <c r="AA287" s="18"/>
      <c r="AB287" s="244"/>
      <c r="AC287" s="247"/>
      <c r="AD287" s="142"/>
      <c r="AE287" s="18"/>
      <c r="AF287" s="18"/>
      <c r="AG287" s="203"/>
      <c r="AH287" s="203"/>
      <c r="AI287" s="18"/>
      <c r="AJ287" s="18"/>
      <c r="AK287" s="18"/>
      <c r="AL287" s="18"/>
      <c r="AM287" s="18"/>
      <c r="AN287" s="18"/>
    </row>
    <row r="288" spans="1:40" ht="20">
      <c r="A288" s="18"/>
      <c r="B288" s="151"/>
      <c r="C288" s="55">
        <v>268</v>
      </c>
      <c r="D288" s="54">
        <v>1</v>
      </c>
      <c r="E288" s="190">
        <f t="shared" si="76"/>
        <v>9</v>
      </c>
      <c r="F288" s="191">
        <f t="shared" si="77"/>
        <v>46290</v>
      </c>
      <c r="G288" s="192" t="str">
        <f t="shared" si="78"/>
        <v>Fri</v>
      </c>
      <c r="H288" s="193"/>
      <c r="I288" s="194"/>
      <c r="J288" s="307">
        <f>210450/B13</f>
        <v>1907.2865687873843</v>
      </c>
      <c r="K288" s="215"/>
      <c r="L288" s="317">
        <f t="shared" si="79"/>
        <v>3320.1441445705423</v>
      </c>
      <c r="M288" s="318">
        <f t="shared" si="73"/>
        <v>-1412.8575757831579</v>
      </c>
      <c r="N288" s="41">
        <f t="shared" si="72"/>
        <v>0.57445896495379123</v>
      </c>
      <c r="O288" s="56"/>
      <c r="P288" s="317">
        <f>IF(D288=0,0,SUM($L$264:L288))</f>
        <v>46338.057782693992</v>
      </c>
      <c r="Q288" s="317">
        <f>IF(D288=0,0,SUM($J$264:J288))</f>
        <v>48192.550299075585</v>
      </c>
      <c r="R288" s="321">
        <f t="shared" si="74"/>
        <v>1854.4925163815933</v>
      </c>
      <c r="S288" s="198">
        <f t="shared" si="80"/>
        <v>1.0400209375429239</v>
      </c>
      <c r="T288" s="207"/>
      <c r="U288" s="317">
        <f>IF(D288=0,0,SUM($L$21:L288))</f>
        <v>460625.71411765926</v>
      </c>
      <c r="V288" s="317">
        <f>IF(D288=0,0,SUM($J$21:J288))</f>
        <v>494529.94584547757</v>
      </c>
      <c r="W288" s="331">
        <f t="shared" si="75"/>
        <v>33904.231727818318</v>
      </c>
      <c r="X288" s="200">
        <f t="shared" si="81"/>
        <v>1.0736047308882066</v>
      </c>
      <c r="Y288" s="201">
        <f t="shared" si="82"/>
        <v>46290</v>
      </c>
      <c r="Z288" s="202">
        <f t="shared" si="82"/>
        <v>46290</v>
      </c>
      <c r="AA288" s="18"/>
      <c r="AB288" s="244"/>
      <c r="AC288" s="247"/>
      <c r="AD288" s="142"/>
      <c r="AE288" s="18"/>
      <c r="AF288" s="18"/>
      <c r="AG288" s="203"/>
      <c r="AH288" s="203"/>
      <c r="AI288" s="18"/>
      <c r="AJ288" s="18"/>
      <c r="AK288" s="18"/>
      <c r="AL288" s="18"/>
      <c r="AM288" s="18"/>
      <c r="AN288" s="18"/>
    </row>
    <row r="289" spans="1:40" ht="20">
      <c r="A289" s="18"/>
      <c r="B289" s="151"/>
      <c r="C289" s="55">
        <v>269</v>
      </c>
      <c r="D289" s="54">
        <v>1</v>
      </c>
      <c r="E289" s="190">
        <f t="shared" si="76"/>
        <v>9</v>
      </c>
      <c r="F289" s="191">
        <f t="shared" si="77"/>
        <v>46291</v>
      </c>
      <c r="G289" s="192" t="str">
        <f t="shared" si="78"/>
        <v>Sat</v>
      </c>
      <c r="H289" s="193"/>
      <c r="I289" s="194"/>
      <c r="J289" s="307">
        <f>333980/B13</f>
        <v>3026.8261736450968</v>
      </c>
      <c r="K289" s="215"/>
      <c r="L289" s="317">
        <f t="shared" si="79"/>
        <v>1338.8427732072885</v>
      </c>
      <c r="M289" s="318">
        <f t="shared" si="73"/>
        <v>1687.9834004378083</v>
      </c>
      <c r="N289" s="41">
        <f t="shared" si="72"/>
        <v>2.2607779152395393</v>
      </c>
      <c r="O289" s="56"/>
      <c r="P289" s="317">
        <f>IF(D289=0,0,SUM($L$264:L289))</f>
        <v>47676.90055590128</v>
      </c>
      <c r="Q289" s="317">
        <f>IF(D289=0,0,SUM($J$264:J289))</f>
        <v>51219.37647272068</v>
      </c>
      <c r="R289" s="321">
        <f t="shared" si="74"/>
        <v>3542.4759168193996</v>
      </c>
      <c r="S289" s="198">
        <f t="shared" si="80"/>
        <v>1.0743017242210584</v>
      </c>
      <c r="T289" s="207"/>
      <c r="U289" s="317">
        <f>IF(D289=0,0,SUM($L$21:L289))</f>
        <v>461964.55689086654</v>
      </c>
      <c r="V289" s="317">
        <f>IF(D289=0,0,SUM($J$21:J289))</f>
        <v>497556.77201912267</v>
      </c>
      <c r="W289" s="331">
        <f t="shared" si="75"/>
        <v>35592.215128256124</v>
      </c>
      <c r="X289" s="200">
        <f t="shared" si="81"/>
        <v>1.0770453373475237</v>
      </c>
      <c r="Y289" s="201">
        <f t="shared" si="82"/>
        <v>46291</v>
      </c>
      <c r="Z289" s="202">
        <f t="shared" si="82"/>
        <v>46291</v>
      </c>
      <c r="AA289" s="18"/>
      <c r="AB289" s="244"/>
      <c r="AC289" s="247"/>
      <c r="AD289" s="142"/>
      <c r="AE289" s="18"/>
      <c r="AF289" s="18"/>
      <c r="AG289" s="203"/>
      <c r="AH289" s="203"/>
      <c r="AI289" s="18"/>
      <c r="AJ289" s="18"/>
      <c r="AK289" s="18"/>
      <c r="AL289" s="18"/>
      <c r="AM289" s="18"/>
      <c r="AN289" s="18"/>
    </row>
    <row r="290" spans="1:40" ht="20">
      <c r="A290" s="18"/>
      <c r="B290" s="151"/>
      <c r="C290" s="55">
        <v>270</v>
      </c>
      <c r="D290" s="54">
        <v>0</v>
      </c>
      <c r="E290" s="190">
        <f t="shared" si="76"/>
        <v>9</v>
      </c>
      <c r="F290" s="191">
        <f t="shared" si="77"/>
        <v>46292</v>
      </c>
      <c r="G290" s="192" t="str">
        <f t="shared" si="78"/>
        <v>Sun</v>
      </c>
      <c r="H290" s="193"/>
      <c r="I290" s="194"/>
      <c r="J290" s="307"/>
      <c r="K290" s="215"/>
      <c r="L290" s="317">
        <f t="shared" si="79"/>
        <v>0</v>
      </c>
      <c r="M290" s="318">
        <f t="shared" si="73"/>
        <v>0</v>
      </c>
      <c r="N290" s="41" t="str">
        <f t="shared" si="72"/>
        <v>¥0</v>
      </c>
      <c r="O290" s="56"/>
      <c r="P290" s="317">
        <f>IF(D290=0,0,SUM($L$264:L290))</f>
        <v>0</v>
      </c>
      <c r="Q290" s="317">
        <f>IF(D290=0,0,SUM($J$264:J290))</f>
        <v>0</v>
      </c>
      <c r="R290" s="321">
        <f t="shared" si="74"/>
        <v>0</v>
      </c>
      <c r="S290" s="198">
        <f t="shared" si="80"/>
        <v>0</v>
      </c>
      <c r="T290" s="207"/>
      <c r="U290" s="317">
        <f>IF(D290=0,0,SUM($L$21:L290))</f>
        <v>0</v>
      </c>
      <c r="V290" s="317">
        <f>IF(D290=0,0,SUM($J$21:J290))</f>
        <v>0</v>
      </c>
      <c r="W290" s="331">
        <f t="shared" si="75"/>
        <v>0</v>
      </c>
      <c r="X290" s="200">
        <f t="shared" si="81"/>
        <v>0</v>
      </c>
      <c r="Y290" s="201">
        <f t="shared" si="82"/>
        <v>46292</v>
      </c>
      <c r="Z290" s="202">
        <f t="shared" si="82"/>
        <v>46292</v>
      </c>
      <c r="AA290" s="18"/>
      <c r="AB290" s="244"/>
      <c r="AC290" s="247"/>
      <c r="AD290" s="142"/>
      <c r="AE290" s="18"/>
      <c r="AF290" s="18"/>
      <c r="AG290" s="203"/>
      <c r="AH290" s="203"/>
      <c r="AI290" s="18"/>
      <c r="AJ290" s="18"/>
      <c r="AK290" s="18"/>
      <c r="AL290" s="18"/>
      <c r="AM290" s="18"/>
      <c r="AN290" s="18"/>
    </row>
    <row r="291" spans="1:40" ht="20">
      <c r="A291" s="18"/>
      <c r="B291" s="151"/>
      <c r="C291" s="55">
        <v>271</v>
      </c>
      <c r="D291" s="54">
        <v>1</v>
      </c>
      <c r="E291" s="190">
        <f t="shared" si="76"/>
        <v>9</v>
      </c>
      <c r="F291" s="191">
        <f t="shared" si="77"/>
        <v>46293</v>
      </c>
      <c r="G291" s="192" t="str">
        <f t="shared" si="78"/>
        <v>Mon</v>
      </c>
      <c r="H291" s="193"/>
      <c r="I291" s="194"/>
      <c r="J291" s="307">
        <f>173450/B13</f>
        <v>1571.9593982236722</v>
      </c>
      <c r="K291" s="215"/>
      <c r="L291" s="317">
        <f t="shared" si="79"/>
        <v>1777.8901862108053</v>
      </c>
      <c r="M291" s="318">
        <f t="shared" si="73"/>
        <v>-205.93078798713304</v>
      </c>
      <c r="N291" s="41">
        <f t="shared" si="72"/>
        <v>0.88417125557904641</v>
      </c>
      <c r="O291" s="44"/>
      <c r="P291" s="317">
        <f>IF(D291=0,0,SUM($L$264:L291))</f>
        <v>49454.790742112084</v>
      </c>
      <c r="Q291" s="317">
        <f>IF(D291=0,0,SUM($J$264:J291))</f>
        <v>52791.335870944349</v>
      </c>
      <c r="R291" s="321">
        <f t="shared" si="74"/>
        <v>3336.5451288322656</v>
      </c>
      <c r="S291" s="198">
        <f t="shared" si="80"/>
        <v>1.0674665705539244</v>
      </c>
      <c r="T291" s="212"/>
      <c r="U291" s="317">
        <f>IF(D291=0,0,SUM($L$21:L291))</f>
        <v>463742.44707707735</v>
      </c>
      <c r="V291" s="317">
        <f>IF(D291=0,0,SUM($J$21:J291))</f>
        <v>499128.73141734634</v>
      </c>
      <c r="W291" s="331">
        <f t="shared" si="75"/>
        <v>35386.28434026899</v>
      </c>
      <c r="X291" s="200">
        <f t="shared" si="81"/>
        <v>1.0763058990249981</v>
      </c>
      <c r="Y291" s="201">
        <f t="shared" si="82"/>
        <v>46293</v>
      </c>
      <c r="Z291" s="202">
        <f t="shared" si="82"/>
        <v>46293</v>
      </c>
      <c r="AA291" s="18"/>
      <c r="AB291" s="244"/>
      <c r="AC291" s="247"/>
      <c r="AD291" s="142"/>
      <c r="AE291" s="18"/>
      <c r="AF291" s="18"/>
      <c r="AG291" s="203"/>
      <c r="AH291" s="203"/>
      <c r="AI291" s="18"/>
      <c r="AJ291" s="18"/>
      <c r="AK291" s="18"/>
      <c r="AL291" s="18"/>
      <c r="AM291" s="18"/>
      <c r="AN291" s="18"/>
    </row>
    <row r="292" spans="1:40" ht="20">
      <c r="A292" s="18"/>
      <c r="B292" s="151"/>
      <c r="C292" s="55">
        <v>272</v>
      </c>
      <c r="D292" s="54">
        <v>1</v>
      </c>
      <c r="E292" s="190">
        <f t="shared" si="76"/>
        <v>9</v>
      </c>
      <c r="F292" s="191">
        <f t="shared" si="77"/>
        <v>46294</v>
      </c>
      <c r="G292" s="192" t="str">
        <f t="shared" si="78"/>
        <v>Tue</v>
      </c>
      <c r="H292" s="193"/>
      <c r="I292" s="194"/>
      <c r="J292" s="307">
        <f>201090/B13</f>
        <v>1822.4578575312669</v>
      </c>
      <c r="K292" s="215"/>
      <c r="L292" s="317">
        <f t="shared" si="79"/>
        <v>2939.7458081114423</v>
      </c>
      <c r="M292" s="318">
        <f t="shared" si="73"/>
        <v>-1117.2879505801754</v>
      </c>
      <c r="N292" s="41">
        <f t="shared" si="72"/>
        <v>0.61993722467523615</v>
      </c>
      <c r="O292" s="56"/>
      <c r="P292" s="317">
        <f>IF(D292=0,0,SUM($L$264:L292))</f>
        <v>52394.536550223529</v>
      </c>
      <c r="Q292" s="317">
        <f>IF(D292=0,0,SUM($J$264:J292))</f>
        <v>54613.793728475619</v>
      </c>
      <c r="R292" s="321">
        <f t="shared" si="74"/>
        <v>2219.2571782520899</v>
      </c>
      <c r="S292" s="198">
        <f t="shared" si="80"/>
        <v>1.0423566525132786</v>
      </c>
      <c r="T292" s="207"/>
      <c r="U292" s="317">
        <f>IF(D292=0,0,SUM($L$21:L292))</f>
        <v>466682.19288518879</v>
      </c>
      <c r="V292" s="317">
        <f>IF(D292=0,0,SUM($J$21:J292))</f>
        <v>500951.1892748776</v>
      </c>
      <c r="W292" s="331">
        <f t="shared" si="75"/>
        <v>34268.996389688808</v>
      </c>
      <c r="X292" s="200">
        <f t="shared" si="81"/>
        <v>1.0734311206044229</v>
      </c>
      <c r="Y292" s="201">
        <f t="shared" si="82"/>
        <v>46294</v>
      </c>
      <c r="Z292" s="202">
        <f t="shared" si="82"/>
        <v>46294</v>
      </c>
      <c r="AA292" s="18"/>
      <c r="AB292" s="244"/>
      <c r="AC292" s="247"/>
      <c r="AD292" s="142"/>
      <c r="AE292" s="18"/>
      <c r="AF292" s="18"/>
      <c r="AG292" s="203"/>
      <c r="AH292" s="203"/>
      <c r="AI292" s="18"/>
      <c r="AJ292" s="18"/>
      <c r="AK292" s="18"/>
      <c r="AL292" s="18"/>
      <c r="AM292" s="18"/>
      <c r="AN292" s="18"/>
    </row>
    <row r="293" spans="1:40" ht="21" thickBot="1">
      <c r="A293" s="18"/>
      <c r="B293" s="151"/>
      <c r="C293" s="39">
        <v>273</v>
      </c>
      <c r="D293" s="38">
        <v>1</v>
      </c>
      <c r="E293" s="217">
        <f t="shared" si="76"/>
        <v>9</v>
      </c>
      <c r="F293" s="236">
        <f t="shared" si="77"/>
        <v>46295</v>
      </c>
      <c r="G293" s="219" t="str">
        <f t="shared" si="78"/>
        <v>Wed</v>
      </c>
      <c r="H293" s="233"/>
      <c r="I293" s="221"/>
      <c r="J293" s="316">
        <f>200980/B13</f>
        <v>1821.4609389160776</v>
      </c>
      <c r="K293" s="223"/>
      <c r="L293" s="317">
        <f t="shared" si="79"/>
        <v>1982.8424601081722</v>
      </c>
      <c r="M293" s="320">
        <f t="shared" si="73"/>
        <v>-161.38152119209462</v>
      </c>
      <c r="N293" s="225">
        <f t="shared" si="72"/>
        <v>0.91861102208629797</v>
      </c>
      <c r="O293" s="226"/>
      <c r="P293" s="325">
        <f>IF(D293=0,0,SUM($L$264:L293))</f>
        <v>54377.379010331701</v>
      </c>
      <c r="Q293" s="326">
        <f>IF(D293=0,0,SUM($J$264:J293))</f>
        <v>56435.254667391695</v>
      </c>
      <c r="R293" s="327">
        <f t="shared" si="74"/>
        <v>2057.8756570599944</v>
      </c>
      <c r="S293" s="228">
        <f t="shared" si="80"/>
        <v>1.0378443333333334</v>
      </c>
      <c r="T293" s="229"/>
      <c r="U293" s="332">
        <f>IF(D293=0,0,SUM($L$21:L293))</f>
        <v>468665.03534529696</v>
      </c>
      <c r="V293" s="332">
        <f>IF(D293=0,0,SUM($J$21:J293))</f>
        <v>502772.65021379368</v>
      </c>
      <c r="W293" s="333">
        <f t="shared" si="75"/>
        <v>34107.614868496719</v>
      </c>
      <c r="X293" s="230">
        <f t="shared" si="81"/>
        <v>1.072776102965239</v>
      </c>
      <c r="Y293" s="201">
        <f t="shared" si="82"/>
        <v>46295</v>
      </c>
      <c r="Z293" s="202">
        <f t="shared" si="82"/>
        <v>46295</v>
      </c>
      <c r="AA293" s="18"/>
      <c r="AB293" s="244"/>
      <c r="AC293" s="247"/>
      <c r="AD293" s="142"/>
      <c r="AE293" s="18"/>
      <c r="AF293" s="18"/>
      <c r="AG293" s="203"/>
      <c r="AH293" s="203"/>
      <c r="AI293" s="18"/>
      <c r="AJ293" s="18"/>
      <c r="AK293" s="18"/>
      <c r="AL293" s="18"/>
      <c r="AM293" s="18"/>
      <c r="AN293" s="18"/>
    </row>
    <row r="294" spans="1:40" ht="21" thickTop="1">
      <c r="A294" s="18"/>
      <c r="B294" s="151"/>
      <c r="C294" s="55">
        <v>274</v>
      </c>
      <c r="D294" s="62">
        <v>1</v>
      </c>
      <c r="E294" s="190">
        <f t="shared" si="76"/>
        <v>10</v>
      </c>
      <c r="F294" s="191">
        <f t="shared" si="77"/>
        <v>46296</v>
      </c>
      <c r="G294" s="192" t="str">
        <f t="shared" si="78"/>
        <v>Thu</v>
      </c>
      <c r="H294" s="193"/>
      <c r="I294" s="194"/>
      <c r="J294" s="307">
        <f>298790/B13</f>
        <v>2707.9028457495015</v>
      </c>
      <c r="K294" s="215"/>
      <c r="L294" s="317">
        <f t="shared" si="79"/>
        <v>2904.5696416076271</v>
      </c>
      <c r="M294" s="321">
        <f t="shared" si="73"/>
        <v>-196.66679585812562</v>
      </c>
      <c r="N294" s="60">
        <f t="shared" si="72"/>
        <v>0.93229055587413145</v>
      </c>
      <c r="O294" s="56"/>
      <c r="P294" s="317">
        <f>IF(D294=0,0,$L$294)</f>
        <v>2904.5696416076271</v>
      </c>
      <c r="Q294" s="317">
        <f>IF(D294=0,0,$J$294)</f>
        <v>2707.9028457495015</v>
      </c>
      <c r="R294" s="321">
        <f t="shared" si="74"/>
        <v>-196.66679585812562</v>
      </c>
      <c r="S294" s="231">
        <f t="shared" si="80"/>
        <v>0.93229055587413145</v>
      </c>
      <c r="T294" s="207"/>
      <c r="U294" s="317">
        <f>IF(D294=0,0,SUM($L$21:L294))</f>
        <v>471569.6049869046</v>
      </c>
      <c r="V294" s="317">
        <f>IF(D294=0,0,SUM($J$21:J294))</f>
        <v>505480.55305954319</v>
      </c>
      <c r="W294" s="331">
        <f t="shared" si="75"/>
        <v>33910.948072638595</v>
      </c>
      <c r="X294" s="232">
        <f t="shared" si="81"/>
        <v>1.0719108011076759</v>
      </c>
      <c r="Y294" s="201">
        <f t="shared" si="82"/>
        <v>46296</v>
      </c>
      <c r="Z294" s="202">
        <f t="shared" si="82"/>
        <v>46296</v>
      </c>
      <c r="AA294" s="18"/>
      <c r="AB294" s="244"/>
      <c r="AC294" s="247"/>
      <c r="AD294" s="142"/>
      <c r="AE294" s="18"/>
      <c r="AF294" s="18"/>
      <c r="AG294" s="203"/>
      <c r="AH294" s="203"/>
      <c r="AI294" s="18"/>
      <c r="AJ294" s="18"/>
      <c r="AK294" s="18"/>
      <c r="AL294" s="18"/>
      <c r="AM294" s="18"/>
      <c r="AN294" s="18"/>
    </row>
    <row r="295" spans="1:40" ht="20">
      <c r="A295" s="18"/>
      <c r="B295" s="151"/>
      <c r="C295" s="55">
        <v>275</v>
      </c>
      <c r="D295" s="54">
        <v>1</v>
      </c>
      <c r="E295" s="190">
        <f t="shared" si="76"/>
        <v>10</v>
      </c>
      <c r="F295" s="191">
        <f t="shared" si="77"/>
        <v>46297</v>
      </c>
      <c r="G295" s="192" t="str">
        <f t="shared" si="78"/>
        <v>Fri</v>
      </c>
      <c r="H295" s="193"/>
      <c r="I295" s="194"/>
      <c r="J295" s="307">
        <f>275670/B13</f>
        <v>2498.3686786296898</v>
      </c>
      <c r="K295" s="215"/>
      <c r="L295" s="317">
        <f t="shared" si="79"/>
        <v>2341.5016355078496</v>
      </c>
      <c r="M295" s="318">
        <f t="shared" si="73"/>
        <v>156.8670431218402</v>
      </c>
      <c r="N295" s="41">
        <f t="shared" si="72"/>
        <v>1.0669942060868205</v>
      </c>
      <c r="O295" s="56"/>
      <c r="P295" s="317">
        <f>IF(D295=0,0,SUM($L$294:L295))</f>
        <v>5246.0712771154767</v>
      </c>
      <c r="Q295" s="317">
        <f>IF(D295=0,0,SUM($I$294:I295))</f>
        <v>0</v>
      </c>
      <c r="R295" s="321">
        <f t="shared" si="74"/>
        <v>-5246.0712771154767</v>
      </c>
      <c r="S295" s="198">
        <f t="shared" si="80"/>
        <v>0</v>
      </c>
      <c r="T295" s="207"/>
      <c r="U295" s="317">
        <f>IF(D295=0,0,SUM($L$21:L295))</f>
        <v>473911.10662241245</v>
      </c>
      <c r="V295" s="317">
        <f>IF(D295=0,0,SUM($J$21:J295))</f>
        <v>507978.92173817288</v>
      </c>
      <c r="W295" s="331">
        <f t="shared" si="75"/>
        <v>34067.81511576043</v>
      </c>
      <c r="X295" s="200">
        <f t="shared" si="81"/>
        <v>1.0718865091779837</v>
      </c>
      <c r="Y295" s="201">
        <f t="shared" ref="Y295:Z310" si="83">Y294+1</f>
        <v>46297</v>
      </c>
      <c r="Z295" s="202">
        <f t="shared" si="83"/>
        <v>46297</v>
      </c>
      <c r="AA295" s="18"/>
      <c r="AB295" s="244"/>
      <c r="AC295" s="247"/>
      <c r="AD295" s="142"/>
      <c r="AE295" s="18"/>
      <c r="AF295" s="18"/>
      <c r="AG295" s="203"/>
      <c r="AH295" s="203"/>
      <c r="AI295" s="18"/>
      <c r="AJ295" s="18"/>
      <c r="AK295" s="18"/>
      <c r="AL295" s="18"/>
      <c r="AM295" s="18"/>
      <c r="AN295" s="18"/>
    </row>
    <row r="296" spans="1:40" ht="20">
      <c r="A296" s="18"/>
      <c r="B296" s="151"/>
      <c r="C296" s="55">
        <v>276</v>
      </c>
      <c r="D296" s="54">
        <v>1</v>
      </c>
      <c r="E296" s="190">
        <f t="shared" si="76"/>
        <v>10</v>
      </c>
      <c r="F296" s="191">
        <f t="shared" si="77"/>
        <v>46298</v>
      </c>
      <c r="G296" s="192" t="str">
        <f t="shared" si="78"/>
        <v>Sat</v>
      </c>
      <c r="H296" s="193"/>
      <c r="I296" s="194"/>
      <c r="J296" s="307">
        <f>309890/B13</f>
        <v>2808.5009969186153</v>
      </c>
      <c r="K296" s="215"/>
      <c r="L296" s="317">
        <f t="shared" si="79"/>
        <v>1271.7727343307608</v>
      </c>
      <c r="M296" s="318">
        <f t="shared" si="73"/>
        <v>1536.7282625878545</v>
      </c>
      <c r="N296" s="41">
        <f t="shared" si="72"/>
        <v>2.2083355941708565</v>
      </c>
      <c r="O296" s="56"/>
      <c r="P296" s="317">
        <f>IF(D296=0,0,SUM($L$294:L296))</f>
        <v>6517.8440114462373</v>
      </c>
      <c r="Q296" s="317">
        <f>IF(D296=0,0,SUM($I$294:I296))</f>
        <v>0</v>
      </c>
      <c r="R296" s="321">
        <f t="shared" si="74"/>
        <v>-6517.8440114462373</v>
      </c>
      <c r="S296" s="198">
        <f t="shared" si="80"/>
        <v>0</v>
      </c>
      <c r="T296" s="207"/>
      <c r="U296" s="317">
        <f>IF(D296=0,0,SUM($L$21:L296))</f>
        <v>475182.87935674319</v>
      </c>
      <c r="V296" s="317">
        <f>IF(D296=0,0,SUM($J$21:J296))</f>
        <v>510787.42273509147</v>
      </c>
      <c r="W296" s="331">
        <f t="shared" si="75"/>
        <v>35604.543378348288</v>
      </c>
      <c r="X296" s="200">
        <f t="shared" si="81"/>
        <v>1.0749280854279646</v>
      </c>
      <c r="Y296" s="201">
        <f t="shared" si="83"/>
        <v>46298</v>
      </c>
      <c r="Z296" s="202">
        <f t="shared" si="83"/>
        <v>46298</v>
      </c>
      <c r="AA296" s="18"/>
      <c r="AB296" s="244"/>
      <c r="AC296" s="247"/>
      <c r="AD296" s="142"/>
      <c r="AE296" s="18"/>
      <c r="AF296" s="18"/>
      <c r="AG296" s="203"/>
      <c r="AH296" s="203"/>
      <c r="AI296" s="18"/>
      <c r="AJ296" s="18"/>
      <c r="AK296" s="18"/>
      <c r="AL296" s="18"/>
      <c r="AM296" s="18"/>
      <c r="AN296" s="18"/>
    </row>
    <row r="297" spans="1:40" ht="20">
      <c r="A297" s="18"/>
      <c r="B297" s="151"/>
      <c r="C297" s="55">
        <v>277</v>
      </c>
      <c r="D297" s="54">
        <v>0</v>
      </c>
      <c r="E297" s="190">
        <f t="shared" si="76"/>
        <v>10</v>
      </c>
      <c r="F297" s="191">
        <f t="shared" si="77"/>
        <v>46299</v>
      </c>
      <c r="G297" s="192" t="str">
        <f t="shared" si="78"/>
        <v>Sun</v>
      </c>
      <c r="H297" s="193"/>
      <c r="I297" s="194"/>
      <c r="J297" s="307"/>
      <c r="K297" s="215"/>
      <c r="L297" s="317">
        <f t="shared" si="79"/>
        <v>0</v>
      </c>
      <c r="M297" s="318">
        <f t="shared" si="73"/>
        <v>0</v>
      </c>
      <c r="N297" s="41" t="str">
        <f t="shared" si="72"/>
        <v>¥0</v>
      </c>
      <c r="O297" s="56"/>
      <c r="P297" s="317">
        <f>IF(D297=0,0,SUM($L$294:L297))</f>
        <v>0</v>
      </c>
      <c r="Q297" s="317">
        <f>IF(D297=0,0,SUM($I$294:I297))</f>
        <v>0</v>
      </c>
      <c r="R297" s="321">
        <f t="shared" si="74"/>
        <v>0</v>
      </c>
      <c r="S297" s="198">
        <f t="shared" si="80"/>
        <v>0</v>
      </c>
      <c r="T297" s="207"/>
      <c r="U297" s="317">
        <f>IF(D297=0,0,SUM($L$21:L297))</f>
        <v>0</v>
      </c>
      <c r="V297" s="317">
        <f>IF(D297=0,0,SUM($J$21:J297))</f>
        <v>0</v>
      </c>
      <c r="W297" s="331">
        <f t="shared" si="75"/>
        <v>0</v>
      </c>
      <c r="X297" s="200">
        <f t="shared" si="81"/>
        <v>0</v>
      </c>
      <c r="Y297" s="201">
        <f t="shared" si="83"/>
        <v>46299</v>
      </c>
      <c r="Z297" s="202">
        <f t="shared" si="83"/>
        <v>46299</v>
      </c>
      <c r="AA297" s="18"/>
      <c r="AB297" s="244"/>
      <c r="AC297" s="247"/>
      <c r="AD297" s="142"/>
      <c r="AE297" s="18"/>
      <c r="AF297" s="18"/>
      <c r="AG297" s="203"/>
      <c r="AH297" s="203"/>
      <c r="AI297" s="18"/>
      <c r="AJ297" s="18"/>
      <c r="AK297" s="18"/>
      <c r="AL297" s="18"/>
      <c r="AM297" s="18"/>
      <c r="AN297" s="18"/>
    </row>
    <row r="298" spans="1:40" ht="20">
      <c r="A298" s="18"/>
      <c r="B298" s="151"/>
      <c r="C298" s="55">
        <v>278</v>
      </c>
      <c r="D298" s="54">
        <v>1</v>
      </c>
      <c r="E298" s="190">
        <f t="shared" si="76"/>
        <v>10</v>
      </c>
      <c r="F298" s="191">
        <f t="shared" si="77"/>
        <v>46300</v>
      </c>
      <c r="G298" s="192" t="str">
        <f t="shared" si="78"/>
        <v>Mon</v>
      </c>
      <c r="H298" s="193"/>
      <c r="I298" s="194"/>
      <c r="J298" s="307">
        <f>201450/B13</f>
        <v>1825.7205002718867</v>
      </c>
      <c r="K298" s="215"/>
      <c r="L298" s="317">
        <f t="shared" si="79"/>
        <v>2053.0100555917702</v>
      </c>
      <c r="M298" s="318">
        <f t="shared" si="73"/>
        <v>-227.28955531988345</v>
      </c>
      <c r="N298" s="41">
        <f t="shared" si="72"/>
        <v>0.88928960445136818</v>
      </c>
      <c r="O298" s="44"/>
      <c r="P298" s="317">
        <f>IF(D298=0,0,SUM($L$294:L298))</f>
        <v>8570.854067038008</v>
      </c>
      <c r="Q298" s="317">
        <f>IF(D298=0,0,SUM($I$294:I298))</f>
        <v>0</v>
      </c>
      <c r="R298" s="321">
        <f t="shared" si="74"/>
        <v>-8570.854067038008</v>
      </c>
      <c r="S298" s="198">
        <f t="shared" si="80"/>
        <v>0</v>
      </c>
      <c r="T298" s="212"/>
      <c r="U298" s="317">
        <f>IF(D298=0,0,SUM($L$21:L298))</f>
        <v>477235.88941233495</v>
      </c>
      <c r="V298" s="317">
        <f>IF(D298=0,0,SUM($J$21:J298))</f>
        <v>512613.14323536336</v>
      </c>
      <c r="W298" s="331">
        <f t="shared" si="75"/>
        <v>35377.253823028412</v>
      </c>
      <c r="X298" s="200">
        <f t="shared" si="81"/>
        <v>1.0741294915321471</v>
      </c>
      <c r="Y298" s="201">
        <f t="shared" si="83"/>
        <v>46300</v>
      </c>
      <c r="Z298" s="202">
        <f t="shared" si="83"/>
        <v>46300</v>
      </c>
      <c r="AA298" s="18"/>
      <c r="AB298" s="244"/>
      <c r="AC298" s="247"/>
      <c r="AD298" s="142"/>
      <c r="AE298" s="18"/>
      <c r="AF298" s="18"/>
      <c r="AG298" s="203"/>
      <c r="AH298" s="203"/>
      <c r="AI298" s="18"/>
      <c r="AJ298" s="18"/>
      <c r="AK298" s="18"/>
      <c r="AL298" s="18"/>
      <c r="AM298" s="18"/>
      <c r="AN298" s="18"/>
    </row>
    <row r="299" spans="1:40" ht="20">
      <c r="A299" s="18"/>
      <c r="B299" s="151"/>
      <c r="C299" s="55">
        <v>279</v>
      </c>
      <c r="D299" s="54">
        <v>1</v>
      </c>
      <c r="E299" s="190">
        <f t="shared" si="76"/>
        <v>10</v>
      </c>
      <c r="F299" s="191">
        <f t="shared" si="77"/>
        <v>46301</v>
      </c>
      <c r="G299" s="192" t="str">
        <f t="shared" si="78"/>
        <v>Tue</v>
      </c>
      <c r="H299" s="193"/>
      <c r="I299" s="194"/>
      <c r="J299" s="307">
        <f>334090/B13</f>
        <v>3027.8230922602861</v>
      </c>
      <c r="K299" s="215"/>
      <c r="L299" s="317">
        <f t="shared" si="79"/>
        <v>3848.1484790795243</v>
      </c>
      <c r="M299" s="318">
        <f t="shared" si="73"/>
        <v>-820.32538681923825</v>
      </c>
      <c r="N299" s="41">
        <f t="shared" si="72"/>
        <v>0.78682595246026998</v>
      </c>
      <c r="O299" s="56"/>
      <c r="P299" s="317">
        <f>IF(D299=0,0,SUM($L$294:L299))</f>
        <v>12419.002546117532</v>
      </c>
      <c r="Q299" s="317">
        <f>IF(D299=0,0,SUM($I$294:I299))</f>
        <v>0</v>
      </c>
      <c r="R299" s="321">
        <f t="shared" si="74"/>
        <v>-12419.002546117532</v>
      </c>
      <c r="S299" s="198">
        <f t="shared" si="80"/>
        <v>0</v>
      </c>
      <c r="T299" s="207"/>
      <c r="U299" s="317">
        <f>IF(D299=0,0,SUM($L$21:L299))</f>
        <v>481084.03789141448</v>
      </c>
      <c r="V299" s="317">
        <f>IF(D299=0,0,SUM($J$21:J299))</f>
        <v>515640.96632762364</v>
      </c>
      <c r="W299" s="331">
        <f t="shared" si="75"/>
        <v>34556.928436209157</v>
      </c>
      <c r="X299" s="200">
        <f t="shared" si="81"/>
        <v>1.0718313760474609</v>
      </c>
      <c r="Y299" s="201">
        <f t="shared" si="83"/>
        <v>46301</v>
      </c>
      <c r="Z299" s="202">
        <f t="shared" si="83"/>
        <v>46301</v>
      </c>
      <c r="AA299" s="18"/>
      <c r="AB299" s="244"/>
      <c r="AC299" s="247"/>
      <c r="AD299" s="142"/>
      <c r="AE299" s="18"/>
      <c r="AF299" s="18"/>
      <c r="AG299" s="203"/>
      <c r="AH299" s="203"/>
      <c r="AI299" s="18"/>
      <c r="AJ299" s="18"/>
      <c r="AK299" s="18"/>
      <c r="AL299" s="18"/>
      <c r="AM299" s="18"/>
      <c r="AN299" s="18"/>
    </row>
    <row r="300" spans="1:40" ht="20">
      <c r="A300" s="18"/>
      <c r="B300" s="151"/>
      <c r="C300" s="55">
        <v>280</v>
      </c>
      <c r="D300" s="54">
        <v>1</v>
      </c>
      <c r="E300" s="190">
        <f t="shared" si="76"/>
        <v>10</v>
      </c>
      <c r="F300" s="191">
        <f t="shared" si="77"/>
        <v>46302</v>
      </c>
      <c r="G300" s="192" t="str">
        <f t="shared" si="78"/>
        <v>Wed</v>
      </c>
      <c r="H300" s="193"/>
      <c r="I300" s="194"/>
      <c r="J300" s="307">
        <f>410980/B13</f>
        <v>3724.6692042776872</v>
      </c>
      <c r="K300" s="215"/>
      <c r="L300" s="317">
        <f t="shared" si="79"/>
        <v>3113.5010676187776</v>
      </c>
      <c r="M300" s="318">
        <f t="shared" si="73"/>
        <v>611.16813665890959</v>
      </c>
      <c r="N300" s="41">
        <f t="shared" si="72"/>
        <v>1.1962961063399713</v>
      </c>
      <c r="O300" s="56"/>
      <c r="P300" s="317">
        <f>IF(D300=0,0,SUM($L$294:L300))</f>
        <v>15532.503613736309</v>
      </c>
      <c r="Q300" s="317">
        <f>IF(D300=0,0,SUM($I$294:I300))</f>
        <v>0</v>
      </c>
      <c r="R300" s="321">
        <f t="shared" si="74"/>
        <v>-15532.503613736309</v>
      </c>
      <c r="S300" s="198">
        <f t="shared" si="80"/>
        <v>0</v>
      </c>
      <c r="T300" s="207"/>
      <c r="U300" s="317">
        <f>IF(D300=0,0,SUM($L$21:L300))</f>
        <v>484197.53895903326</v>
      </c>
      <c r="V300" s="317">
        <f>IF(D300=0,0,SUM($J$21:J300))</f>
        <v>519365.63553190132</v>
      </c>
      <c r="W300" s="331">
        <f t="shared" si="75"/>
        <v>35168.09657286806</v>
      </c>
      <c r="X300" s="200">
        <f t="shared" si="81"/>
        <v>1.0726317127684606</v>
      </c>
      <c r="Y300" s="201">
        <f t="shared" si="83"/>
        <v>46302</v>
      </c>
      <c r="Z300" s="202">
        <f t="shared" si="83"/>
        <v>46302</v>
      </c>
      <c r="AA300" s="18"/>
      <c r="AB300" s="244"/>
      <c r="AC300" s="247"/>
      <c r="AD300" s="142"/>
      <c r="AE300" s="18"/>
      <c r="AF300" s="18"/>
      <c r="AG300" s="203"/>
      <c r="AH300" s="203"/>
      <c r="AI300" s="18"/>
      <c r="AJ300" s="18"/>
      <c r="AK300" s="18"/>
      <c r="AL300" s="18"/>
      <c r="AM300" s="18"/>
      <c r="AN300" s="18"/>
    </row>
    <row r="301" spans="1:40" ht="20">
      <c r="A301" s="18"/>
      <c r="B301" s="151"/>
      <c r="C301" s="55">
        <v>281</v>
      </c>
      <c r="D301" s="54">
        <v>1</v>
      </c>
      <c r="E301" s="190">
        <f t="shared" si="76"/>
        <v>10</v>
      </c>
      <c r="F301" s="191">
        <f t="shared" si="77"/>
        <v>46303</v>
      </c>
      <c r="G301" s="192" t="str">
        <f t="shared" si="78"/>
        <v>Thu</v>
      </c>
      <c r="H301" s="193"/>
      <c r="I301" s="194"/>
      <c r="J301" s="307">
        <f>398790/B13</f>
        <v>3614.1924959216963</v>
      </c>
      <c r="K301" s="215"/>
      <c r="L301" s="317">
        <f t="shared" si="79"/>
        <v>2904.5696416076271</v>
      </c>
      <c r="M301" s="318">
        <f t="shared" si="73"/>
        <v>709.62285431406917</v>
      </c>
      <c r="N301" s="41">
        <f t="shared" si="72"/>
        <v>1.2443125632619729</v>
      </c>
      <c r="O301" s="56"/>
      <c r="P301" s="317">
        <f>IF(D301=0,0,SUM($L$294:L301))</f>
        <v>18437.073255343937</v>
      </c>
      <c r="Q301" s="317">
        <f>IF(D301=0,0,SUM($I$294:I301))</f>
        <v>0</v>
      </c>
      <c r="R301" s="321">
        <f t="shared" si="74"/>
        <v>-18437.073255343937</v>
      </c>
      <c r="S301" s="198">
        <f t="shared" si="80"/>
        <v>0</v>
      </c>
      <c r="T301" s="207"/>
      <c r="U301" s="317">
        <f>IF(D301=0,0,SUM($L$21:L301))</f>
        <v>487102.1086006409</v>
      </c>
      <c r="V301" s="317">
        <f>IF(D301=0,0,SUM($J$21:J301))</f>
        <v>522979.82802782301</v>
      </c>
      <c r="W301" s="331">
        <f t="shared" si="75"/>
        <v>35877.719427182106</v>
      </c>
      <c r="X301" s="200">
        <f t="shared" si="81"/>
        <v>1.0736554385491217</v>
      </c>
      <c r="Y301" s="201">
        <f t="shared" si="83"/>
        <v>46303</v>
      </c>
      <c r="Z301" s="202">
        <f t="shared" si="83"/>
        <v>46303</v>
      </c>
      <c r="AA301" s="18"/>
      <c r="AB301" s="244"/>
      <c r="AC301" s="247"/>
      <c r="AD301" s="142"/>
      <c r="AE301" s="18"/>
      <c r="AF301" s="18"/>
      <c r="AG301" s="203"/>
      <c r="AH301" s="203"/>
      <c r="AI301" s="18"/>
      <c r="AJ301" s="18"/>
      <c r="AK301" s="18"/>
      <c r="AL301" s="18"/>
      <c r="AM301" s="18"/>
      <c r="AN301" s="18"/>
    </row>
    <row r="302" spans="1:40" ht="20">
      <c r="A302" s="18"/>
      <c r="B302" s="151"/>
      <c r="C302" s="55">
        <v>282</v>
      </c>
      <c r="D302" s="54">
        <v>1</v>
      </c>
      <c r="E302" s="190">
        <f t="shared" si="76"/>
        <v>10</v>
      </c>
      <c r="F302" s="191">
        <f t="shared" si="77"/>
        <v>46304</v>
      </c>
      <c r="G302" s="192" t="str">
        <f t="shared" si="78"/>
        <v>Fri</v>
      </c>
      <c r="H302" s="193"/>
      <c r="I302" s="194"/>
      <c r="J302" s="307">
        <f>313990/B13</f>
        <v>2845.6588725756751</v>
      </c>
      <c r="K302" s="215"/>
      <c r="L302" s="317">
        <f t="shared" si="79"/>
        <v>2341.5016355078496</v>
      </c>
      <c r="M302" s="318">
        <f t="shared" si="73"/>
        <v>504.15723706782546</v>
      </c>
      <c r="N302" s="41">
        <f t="shared" si="72"/>
        <v>1.2153136386592693</v>
      </c>
      <c r="O302" s="56"/>
      <c r="P302" s="317">
        <f>IF(D302=0,0,SUM($L$294:L302))</f>
        <v>20778.574890851785</v>
      </c>
      <c r="Q302" s="317">
        <f>IF(D302=0,0,SUM($I$294:I302))</f>
        <v>0</v>
      </c>
      <c r="R302" s="321">
        <f t="shared" si="74"/>
        <v>-20778.574890851785</v>
      </c>
      <c r="S302" s="198">
        <f t="shared" si="80"/>
        <v>0</v>
      </c>
      <c r="T302" s="207"/>
      <c r="U302" s="317">
        <f>IF(D302=0,0,SUM($L$21:L302))</f>
        <v>489443.61023614876</v>
      </c>
      <c r="V302" s="317">
        <f>IF(D302=0,0,SUM($J$21:J302))</f>
        <v>525825.48690039874</v>
      </c>
      <c r="W302" s="331">
        <f t="shared" si="75"/>
        <v>36381.876664249983</v>
      </c>
      <c r="X302" s="200">
        <f t="shared" si="81"/>
        <v>1.0743331323636982</v>
      </c>
      <c r="Y302" s="201">
        <f t="shared" si="83"/>
        <v>46304</v>
      </c>
      <c r="Z302" s="202">
        <f t="shared" si="83"/>
        <v>46304</v>
      </c>
      <c r="AA302" s="18"/>
      <c r="AB302" s="244"/>
      <c r="AC302" s="247"/>
      <c r="AD302" s="142"/>
      <c r="AE302" s="18"/>
      <c r="AF302" s="18"/>
      <c r="AG302" s="203"/>
      <c r="AH302" s="203"/>
      <c r="AI302" s="18"/>
      <c r="AJ302" s="18"/>
      <c r="AK302" s="18"/>
      <c r="AL302" s="18"/>
      <c r="AM302" s="18"/>
      <c r="AN302" s="18"/>
    </row>
    <row r="303" spans="1:40" ht="20">
      <c r="A303" s="18"/>
      <c r="B303" s="151"/>
      <c r="C303" s="55">
        <v>283</v>
      </c>
      <c r="D303" s="54">
        <v>1</v>
      </c>
      <c r="E303" s="190">
        <f t="shared" si="76"/>
        <v>10</v>
      </c>
      <c r="F303" s="191">
        <f t="shared" si="77"/>
        <v>46305</v>
      </c>
      <c r="G303" s="192" t="str">
        <f t="shared" si="78"/>
        <v>Sat</v>
      </c>
      <c r="H303" s="193"/>
      <c r="I303" s="194"/>
      <c r="J303" s="307">
        <f>234560/B13</f>
        <v>2125.7930034439005</v>
      </c>
      <c r="K303" s="215"/>
      <c r="L303" s="317">
        <f t="shared" si="79"/>
        <v>1271.7727343307608</v>
      </c>
      <c r="M303" s="318">
        <f t="shared" si="73"/>
        <v>854.02026911313965</v>
      </c>
      <c r="N303" s="41">
        <f t="shared" si="72"/>
        <v>1.6715195616790344</v>
      </c>
      <c r="O303" s="56"/>
      <c r="P303" s="317">
        <f>IF(D303=0,0,SUM($L$294:L303))</f>
        <v>22050.347625182545</v>
      </c>
      <c r="Q303" s="317">
        <f>IF(D303=0,0,SUM($I$294:I303))</f>
        <v>0</v>
      </c>
      <c r="R303" s="321">
        <f t="shared" si="74"/>
        <v>-22050.347625182545</v>
      </c>
      <c r="S303" s="198">
        <f t="shared" si="80"/>
        <v>0</v>
      </c>
      <c r="T303" s="207"/>
      <c r="U303" s="317">
        <f>IF(D303=0,0,SUM($L$21:L303))</f>
        <v>490715.38297047949</v>
      </c>
      <c r="V303" s="317">
        <f>IF(D303=0,0,SUM($J$21:J303))</f>
        <v>527951.2799038426</v>
      </c>
      <c r="W303" s="331">
        <f t="shared" si="75"/>
        <v>37235.89693336311</v>
      </c>
      <c r="X303" s="200">
        <f t="shared" si="81"/>
        <v>1.0758808430010094</v>
      </c>
      <c r="Y303" s="201">
        <f t="shared" si="83"/>
        <v>46305</v>
      </c>
      <c r="Z303" s="202">
        <f t="shared" si="83"/>
        <v>46305</v>
      </c>
      <c r="AA303" s="18"/>
      <c r="AB303" s="244"/>
      <c r="AC303" s="247"/>
      <c r="AD303" s="142"/>
      <c r="AE303" s="18"/>
      <c r="AF303" s="18"/>
      <c r="AG303" s="203"/>
      <c r="AH303" s="203"/>
      <c r="AI303" s="18"/>
      <c r="AJ303" s="18"/>
      <c r="AK303" s="18"/>
      <c r="AL303" s="18"/>
      <c r="AM303" s="18"/>
      <c r="AN303" s="18"/>
    </row>
    <row r="304" spans="1:40" ht="20">
      <c r="A304" s="18"/>
      <c r="B304" s="151"/>
      <c r="C304" s="55">
        <v>284</v>
      </c>
      <c r="D304" s="54">
        <v>0</v>
      </c>
      <c r="E304" s="190">
        <f t="shared" si="76"/>
        <v>10</v>
      </c>
      <c r="F304" s="191">
        <f t="shared" si="77"/>
        <v>46306</v>
      </c>
      <c r="G304" s="192" t="str">
        <f t="shared" si="78"/>
        <v>Sun</v>
      </c>
      <c r="H304" s="193"/>
      <c r="I304" s="194"/>
      <c r="J304" s="307"/>
      <c r="K304" s="215"/>
      <c r="L304" s="317">
        <f t="shared" si="79"/>
        <v>0</v>
      </c>
      <c r="M304" s="318">
        <f t="shared" si="73"/>
        <v>0</v>
      </c>
      <c r="N304" s="41" t="str">
        <f t="shared" si="72"/>
        <v>¥0</v>
      </c>
      <c r="O304" s="56"/>
      <c r="P304" s="317">
        <f>IF(D304=0,0,SUM($L$294:L304))</f>
        <v>0</v>
      </c>
      <c r="Q304" s="317">
        <f>IF(D304=0,0,SUM($I$294:I304))</f>
        <v>0</v>
      </c>
      <c r="R304" s="321">
        <f t="shared" si="74"/>
        <v>0</v>
      </c>
      <c r="S304" s="198">
        <f t="shared" si="80"/>
        <v>0</v>
      </c>
      <c r="T304" s="207"/>
      <c r="U304" s="317">
        <f>IF(D304=0,0,SUM($L$21:L304))</f>
        <v>0</v>
      </c>
      <c r="V304" s="317">
        <f>IF(D304=0,0,SUM($J$21:J304))</f>
        <v>0</v>
      </c>
      <c r="W304" s="331">
        <f t="shared" si="75"/>
        <v>0</v>
      </c>
      <c r="X304" s="200">
        <f t="shared" si="81"/>
        <v>0</v>
      </c>
      <c r="Y304" s="201">
        <f t="shared" si="83"/>
        <v>46306</v>
      </c>
      <c r="Z304" s="202">
        <f t="shared" si="83"/>
        <v>46306</v>
      </c>
      <c r="AA304" s="18"/>
      <c r="AB304" s="244"/>
      <c r="AC304" s="247"/>
      <c r="AD304" s="142"/>
      <c r="AE304" s="18"/>
      <c r="AF304" s="18"/>
      <c r="AG304" s="203"/>
      <c r="AH304" s="203"/>
      <c r="AI304" s="18"/>
      <c r="AJ304" s="18"/>
      <c r="AK304" s="18"/>
      <c r="AL304" s="18"/>
      <c r="AM304" s="18"/>
      <c r="AN304" s="18"/>
    </row>
    <row r="305" spans="1:40" ht="20">
      <c r="A305" s="18"/>
      <c r="B305" s="151"/>
      <c r="C305" s="55">
        <v>285</v>
      </c>
      <c r="D305" s="54">
        <v>1</v>
      </c>
      <c r="E305" s="190">
        <f t="shared" si="76"/>
        <v>10</v>
      </c>
      <c r="F305" s="191">
        <f t="shared" si="77"/>
        <v>46307</v>
      </c>
      <c r="G305" s="192" t="str">
        <f t="shared" si="78"/>
        <v>Mon</v>
      </c>
      <c r="H305" s="193"/>
      <c r="I305" s="194"/>
      <c r="J305" s="307">
        <f>120990/B13</f>
        <v>1096.5198477433387</v>
      </c>
      <c r="K305" s="215"/>
      <c r="L305" s="317">
        <f t="shared" si="79"/>
        <v>2053.0100555917702</v>
      </c>
      <c r="M305" s="318">
        <f t="shared" si="73"/>
        <v>-956.49020784843151</v>
      </c>
      <c r="N305" s="41">
        <f t="shared" si="72"/>
        <v>0.53410349586781358</v>
      </c>
      <c r="O305" s="44"/>
      <c r="P305" s="317">
        <f>IF(D305=0,0,SUM($L$294:L305))</f>
        <v>24103.357680774316</v>
      </c>
      <c r="Q305" s="317">
        <f>IF(D305=0,0,SUM($I$294:I305))</f>
        <v>0</v>
      </c>
      <c r="R305" s="321">
        <f t="shared" si="74"/>
        <v>-24103.357680774316</v>
      </c>
      <c r="S305" s="198">
        <f t="shared" si="80"/>
        <v>0</v>
      </c>
      <c r="T305" s="212"/>
      <c r="U305" s="317">
        <f>IF(D305=0,0,SUM($L$21:L305))</f>
        <v>492768.39302607125</v>
      </c>
      <c r="V305" s="317">
        <f>IF(D305=0,0,SUM($J$21:J305))</f>
        <v>529047.79975158593</v>
      </c>
      <c r="W305" s="331">
        <f t="shared" si="75"/>
        <v>36279.40672551468</v>
      </c>
      <c r="X305" s="200">
        <f t="shared" si="81"/>
        <v>1.0736236480240227</v>
      </c>
      <c r="Y305" s="201">
        <f t="shared" si="83"/>
        <v>46307</v>
      </c>
      <c r="Z305" s="202">
        <f t="shared" si="83"/>
        <v>46307</v>
      </c>
      <c r="AA305" s="18"/>
      <c r="AB305" s="244"/>
      <c r="AC305" s="247"/>
      <c r="AD305" s="142"/>
      <c r="AE305" s="18"/>
      <c r="AF305" s="18"/>
      <c r="AG305" s="203"/>
      <c r="AH305" s="203"/>
      <c r="AI305" s="18"/>
      <c r="AJ305" s="18"/>
      <c r="AK305" s="18"/>
      <c r="AL305" s="18"/>
      <c r="AM305" s="18"/>
      <c r="AN305" s="18"/>
    </row>
    <row r="306" spans="1:40" ht="20">
      <c r="A306" s="18"/>
      <c r="B306" s="151"/>
      <c r="C306" s="55">
        <v>286</v>
      </c>
      <c r="D306" s="54">
        <v>0</v>
      </c>
      <c r="E306" s="190">
        <f t="shared" si="76"/>
        <v>10</v>
      </c>
      <c r="F306" s="191">
        <f t="shared" si="77"/>
        <v>46308</v>
      </c>
      <c r="G306" s="192" t="str">
        <f t="shared" si="78"/>
        <v>Tue</v>
      </c>
      <c r="H306" s="193" t="s">
        <v>180</v>
      </c>
      <c r="I306" s="194"/>
      <c r="J306" s="307"/>
      <c r="K306" s="215"/>
      <c r="L306" s="317">
        <f t="shared" si="79"/>
        <v>0</v>
      </c>
      <c r="M306" s="318">
        <f t="shared" si="73"/>
        <v>0</v>
      </c>
      <c r="N306" s="41" t="str">
        <f t="shared" si="72"/>
        <v>¥0</v>
      </c>
      <c r="O306" s="44"/>
      <c r="P306" s="317">
        <f>IF(D306=0,0,SUM($L$294:L306))</f>
        <v>0</v>
      </c>
      <c r="Q306" s="317">
        <f>IF(D306=0,0,SUM($I$294:I306))</f>
        <v>0</v>
      </c>
      <c r="R306" s="321">
        <f t="shared" si="74"/>
        <v>0</v>
      </c>
      <c r="S306" s="198">
        <f t="shared" si="80"/>
        <v>0</v>
      </c>
      <c r="T306" s="212"/>
      <c r="U306" s="317">
        <f>IF(D306=0,0,SUM($L$21:L306))</f>
        <v>0</v>
      </c>
      <c r="V306" s="317">
        <f>IF(D306=0,0,SUM($J$21:J306))</f>
        <v>0</v>
      </c>
      <c r="W306" s="331">
        <f t="shared" si="75"/>
        <v>0</v>
      </c>
      <c r="X306" s="200">
        <f t="shared" si="81"/>
        <v>0</v>
      </c>
      <c r="Y306" s="201">
        <f t="shared" si="83"/>
        <v>46308</v>
      </c>
      <c r="Z306" s="202">
        <f t="shared" si="83"/>
        <v>46308</v>
      </c>
      <c r="AA306" s="18"/>
      <c r="AB306" s="244"/>
      <c r="AC306" s="247"/>
      <c r="AD306" s="142"/>
      <c r="AE306" s="18"/>
      <c r="AF306" s="18"/>
      <c r="AG306" s="203"/>
      <c r="AH306" s="203"/>
      <c r="AI306" s="18"/>
      <c r="AJ306" s="18"/>
      <c r="AK306" s="18"/>
      <c r="AL306" s="18"/>
      <c r="AM306" s="18"/>
      <c r="AN306" s="18"/>
    </row>
    <row r="307" spans="1:40" ht="20">
      <c r="A307" s="18"/>
      <c r="B307" s="151"/>
      <c r="C307" s="55">
        <v>287</v>
      </c>
      <c r="D307" s="54">
        <v>1</v>
      </c>
      <c r="E307" s="190">
        <f t="shared" si="76"/>
        <v>10</v>
      </c>
      <c r="F307" s="191">
        <f t="shared" si="77"/>
        <v>46309</v>
      </c>
      <c r="G307" s="192" t="str">
        <f t="shared" si="78"/>
        <v>Wed</v>
      </c>
      <c r="H307" s="193"/>
      <c r="I307" s="194"/>
      <c r="J307" s="307">
        <f>333990/B13</f>
        <v>3026.9168026101142</v>
      </c>
      <c r="K307" s="215"/>
      <c r="L307" s="317">
        <f t="shared" si="79"/>
        <v>3113.5010676187776</v>
      </c>
      <c r="M307" s="318">
        <f t="shared" si="73"/>
        <v>-86.584265008663351</v>
      </c>
      <c r="N307" s="41">
        <f t="shared" si="72"/>
        <v>0.97219070649785144</v>
      </c>
      <c r="O307" s="56"/>
      <c r="P307" s="317">
        <f>IF(D307=0,0,SUM($L$294:L307))</f>
        <v>27216.858748393093</v>
      </c>
      <c r="Q307" s="317">
        <f>IF(D307=0,0,SUM($I$294:I307))</f>
        <v>0</v>
      </c>
      <c r="R307" s="321">
        <f t="shared" si="74"/>
        <v>-27216.858748393093</v>
      </c>
      <c r="S307" s="198">
        <f t="shared" si="80"/>
        <v>0</v>
      </c>
      <c r="T307" s="207"/>
      <c r="U307" s="317">
        <f>IF(D307=0,0,SUM($L$21:L307))</f>
        <v>495881.89409369003</v>
      </c>
      <c r="V307" s="317">
        <f>IF(D307=0,0,SUM($J$21:J307))</f>
        <v>532074.71655419609</v>
      </c>
      <c r="W307" s="331">
        <f t="shared" si="75"/>
        <v>36192.822460506053</v>
      </c>
      <c r="X307" s="200">
        <f t="shared" si="81"/>
        <v>1.072986779496466</v>
      </c>
      <c r="Y307" s="201">
        <f t="shared" si="83"/>
        <v>46309</v>
      </c>
      <c r="Z307" s="202">
        <f t="shared" si="83"/>
        <v>46309</v>
      </c>
      <c r="AA307" s="18"/>
      <c r="AB307" s="244"/>
      <c r="AC307" s="247"/>
      <c r="AD307" s="142"/>
      <c r="AE307" s="18"/>
      <c r="AF307" s="18"/>
      <c r="AG307" s="203"/>
      <c r="AH307" s="203"/>
      <c r="AI307" s="18"/>
      <c r="AJ307" s="18"/>
      <c r="AK307" s="18"/>
      <c r="AL307" s="18"/>
      <c r="AM307" s="18"/>
      <c r="AN307" s="18"/>
    </row>
    <row r="308" spans="1:40" ht="20">
      <c r="A308" s="18"/>
      <c r="B308" s="151"/>
      <c r="C308" s="55">
        <v>288</v>
      </c>
      <c r="D308" s="54">
        <v>1</v>
      </c>
      <c r="E308" s="190">
        <f t="shared" si="76"/>
        <v>10</v>
      </c>
      <c r="F308" s="191">
        <f t="shared" si="77"/>
        <v>46310</v>
      </c>
      <c r="G308" s="192" t="str">
        <f t="shared" si="78"/>
        <v>Thu</v>
      </c>
      <c r="H308" s="193"/>
      <c r="I308" s="194"/>
      <c r="J308" s="307">
        <f>350090/B13</f>
        <v>3172.8294362878373</v>
      </c>
      <c r="K308" s="215"/>
      <c r="L308" s="317">
        <f t="shared" si="79"/>
        <v>2904.5696416076271</v>
      </c>
      <c r="M308" s="318">
        <f t="shared" si="73"/>
        <v>268.25979468021023</v>
      </c>
      <c r="N308" s="41">
        <f t="shared" si="72"/>
        <v>1.0923578456640941</v>
      </c>
      <c r="O308" s="56"/>
      <c r="P308" s="317">
        <f>IF(D308=0,0,SUM($L$294:L308))</f>
        <v>30121.428390000721</v>
      </c>
      <c r="Q308" s="317">
        <f>IF(D308=0,0,SUM($I$294:I308))</f>
        <v>0</v>
      </c>
      <c r="R308" s="321">
        <f t="shared" si="74"/>
        <v>-30121.428390000721</v>
      </c>
      <c r="S308" s="198">
        <f t="shared" si="80"/>
        <v>0</v>
      </c>
      <c r="T308" s="207"/>
      <c r="U308" s="317">
        <f>IF(D308=0,0,SUM($L$21:L308))</f>
        <v>498786.46373529767</v>
      </c>
      <c r="V308" s="317">
        <f>IF(D308=0,0,SUM($J$21:J308))</f>
        <v>535247.54599048395</v>
      </c>
      <c r="W308" s="331">
        <f t="shared" si="75"/>
        <v>36461.08225518628</v>
      </c>
      <c r="X308" s="200">
        <f t="shared" si="81"/>
        <v>1.0730995824989666</v>
      </c>
      <c r="Y308" s="201">
        <f t="shared" si="83"/>
        <v>46310</v>
      </c>
      <c r="Z308" s="202">
        <f t="shared" si="83"/>
        <v>46310</v>
      </c>
      <c r="AA308" s="18"/>
      <c r="AB308" s="244"/>
      <c r="AC308" s="247"/>
      <c r="AD308" s="142"/>
      <c r="AE308" s="18"/>
      <c r="AF308" s="18"/>
      <c r="AG308" s="203"/>
      <c r="AH308" s="203"/>
      <c r="AI308" s="18"/>
      <c r="AJ308" s="18"/>
      <c r="AK308" s="18"/>
      <c r="AL308" s="18"/>
      <c r="AM308" s="18"/>
      <c r="AN308" s="18"/>
    </row>
    <row r="309" spans="1:40" ht="20">
      <c r="A309" s="18"/>
      <c r="B309" s="151"/>
      <c r="C309" s="55">
        <v>289</v>
      </c>
      <c r="D309" s="54">
        <v>1</v>
      </c>
      <c r="E309" s="190">
        <f t="shared" si="76"/>
        <v>10</v>
      </c>
      <c r="F309" s="191">
        <f t="shared" si="77"/>
        <v>46311</v>
      </c>
      <c r="G309" s="192" t="str">
        <f t="shared" si="78"/>
        <v>Fri</v>
      </c>
      <c r="H309" s="193"/>
      <c r="I309" s="194"/>
      <c r="J309" s="307">
        <f>409090/B13</f>
        <v>3707.5403298894325</v>
      </c>
      <c r="K309" s="215"/>
      <c r="L309" s="317">
        <f t="shared" si="79"/>
        <v>2341.5016355078496</v>
      </c>
      <c r="M309" s="318">
        <f t="shared" si="73"/>
        <v>1366.0386943815829</v>
      </c>
      <c r="N309" s="41">
        <f t="shared" si="72"/>
        <v>1.5834028358836922</v>
      </c>
      <c r="O309" s="56"/>
      <c r="P309" s="317">
        <f>IF(D309=0,0,SUM($L$294:L309))</f>
        <v>32462.930025508569</v>
      </c>
      <c r="Q309" s="317">
        <f>IF(D309=0,0,SUM($I$294:I309))</f>
        <v>0</v>
      </c>
      <c r="R309" s="321">
        <f t="shared" si="74"/>
        <v>-32462.930025508569</v>
      </c>
      <c r="S309" s="198">
        <f t="shared" si="80"/>
        <v>0</v>
      </c>
      <c r="T309" s="207"/>
      <c r="U309" s="317">
        <f>IF(D309=0,0,SUM($L$21:L309))</f>
        <v>501127.96537080553</v>
      </c>
      <c r="V309" s="317">
        <f>IF(D309=0,0,SUM($J$21:J309))</f>
        <v>538955.08632037335</v>
      </c>
      <c r="W309" s="331">
        <f t="shared" si="75"/>
        <v>37827.120949567819</v>
      </c>
      <c r="X309" s="200">
        <f t="shared" si="81"/>
        <v>1.0754839553238222</v>
      </c>
      <c r="Y309" s="201">
        <f t="shared" si="83"/>
        <v>46311</v>
      </c>
      <c r="Z309" s="202">
        <f t="shared" si="83"/>
        <v>46311</v>
      </c>
      <c r="AA309" s="18"/>
      <c r="AB309" s="244"/>
      <c r="AC309" s="247"/>
      <c r="AD309" s="142"/>
      <c r="AE309" s="18"/>
      <c r="AF309" s="18"/>
      <c r="AG309" s="203"/>
      <c r="AH309" s="203"/>
      <c r="AI309" s="18"/>
      <c r="AJ309" s="18"/>
      <c r="AK309" s="18"/>
      <c r="AL309" s="18"/>
      <c r="AM309" s="18"/>
      <c r="AN309" s="18"/>
    </row>
    <row r="310" spans="1:40" ht="20">
      <c r="A310" s="18"/>
      <c r="B310" s="151"/>
      <c r="C310" s="55">
        <v>290</v>
      </c>
      <c r="D310" s="54">
        <v>1</v>
      </c>
      <c r="E310" s="190">
        <f t="shared" si="76"/>
        <v>10</v>
      </c>
      <c r="F310" s="191">
        <f t="shared" si="77"/>
        <v>46312</v>
      </c>
      <c r="G310" s="192" t="str">
        <f t="shared" si="78"/>
        <v>Sat</v>
      </c>
      <c r="H310" s="193"/>
      <c r="I310" s="194"/>
      <c r="J310" s="307">
        <f>235050/B13</f>
        <v>2130.2338227297441</v>
      </c>
      <c r="K310" s="215"/>
      <c r="L310" s="317">
        <f t="shared" si="79"/>
        <v>1271.7727343307608</v>
      </c>
      <c r="M310" s="318">
        <f t="shared" si="73"/>
        <v>858.46108839898329</v>
      </c>
      <c r="N310" s="41">
        <f t="shared" si="72"/>
        <v>1.6750113956883399</v>
      </c>
      <c r="O310" s="56"/>
      <c r="P310" s="317">
        <f>IF(D310=0,0,SUM($L$294:L310))</f>
        <v>33734.702759839332</v>
      </c>
      <c r="Q310" s="317">
        <f>IF(D310=0,0,SUM($I$294:I310))</f>
        <v>0</v>
      </c>
      <c r="R310" s="321">
        <f t="shared" si="74"/>
        <v>-33734.702759839332</v>
      </c>
      <c r="S310" s="198">
        <f t="shared" si="80"/>
        <v>0</v>
      </c>
      <c r="T310" s="207"/>
      <c r="U310" s="317">
        <f>IF(D310=0,0,SUM($L$21:L310))</f>
        <v>502399.73810513626</v>
      </c>
      <c r="V310" s="317">
        <f>IF(D310=0,0,SUM($J$21:J310))</f>
        <v>541085.32014310313</v>
      </c>
      <c r="W310" s="331">
        <f t="shared" si="75"/>
        <v>38685.582037966873</v>
      </c>
      <c r="X310" s="200">
        <f t="shared" si="81"/>
        <v>1.077001596744207</v>
      </c>
      <c r="Y310" s="201">
        <f t="shared" si="83"/>
        <v>46312</v>
      </c>
      <c r="Z310" s="202">
        <f t="shared" si="83"/>
        <v>46312</v>
      </c>
      <c r="AA310" s="18"/>
      <c r="AB310" s="244"/>
      <c r="AC310" s="247"/>
      <c r="AD310" s="142"/>
      <c r="AE310" s="18"/>
      <c r="AF310" s="18"/>
      <c r="AG310" s="203"/>
      <c r="AH310" s="203"/>
      <c r="AI310" s="18"/>
      <c r="AJ310" s="18"/>
      <c r="AK310" s="18"/>
      <c r="AL310" s="18"/>
      <c r="AM310" s="18"/>
      <c r="AN310" s="18"/>
    </row>
    <row r="311" spans="1:40" ht="20">
      <c r="A311" s="18"/>
      <c r="B311" s="151"/>
      <c r="C311" s="55">
        <v>291</v>
      </c>
      <c r="D311" s="54">
        <v>0</v>
      </c>
      <c r="E311" s="190">
        <f t="shared" si="76"/>
        <v>10</v>
      </c>
      <c r="F311" s="191">
        <f t="shared" si="77"/>
        <v>46313</v>
      </c>
      <c r="G311" s="192" t="str">
        <f t="shared" si="78"/>
        <v>Sun</v>
      </c>
      <c r="H311" s="193"/>
      <c r="I311" s="194"/>
      <c r="J311" s="307"/>
      <c r="K311" s="215"/>
      <c r="L311" s="317">
        <f t="shared" si="79"/>
        <v>0</v>
      </c>
      <c r="M311" s="318">
        <f t="shared" si="73"/>
        <v>0</v>
      </c>
      <c r="N311" s="41" t="str">
        <f t="shared" si="72"/>
        <v>¥0</v>
      </c>
      <c r="O311" s="56"/>
      <c r="P311" s="317">
        <f>IF(D311=0,0,SUM($L$294:L311))</f>
        <v>0</v>
      </c>
      <c r="Q311" s="317">
        <f>IF(D311=0,0,SUM($I$294:I311))</f>
        <v>0</v>
      </c>
      <c r="R311" s="321">
        <f t="shared" si="74"/>
        <v>0</v>
      </c>
      <c r="S311" s="198">
        <f t="shared" si="80"/>
        <v>0</v>
      </c>
      <c r="T311" s="207"/>
      <c r="U311" s="317">
        <f>IF(D311=0,0,SUM($L$21:L311))</f>
        <v>0</v>
      </c>
      <c r="V311" s="317">
        <f>IF(D311=0,0,SUM($J$21:J311))</f>
        <v>0</v>
      </c>
      <c r="W311" s="331">
        <f t="shared" si="75"/>
        <v>0</v>
      </c>
      <c r="X311" s="200">
        <f t="shared" si="81"/>
        <v>0</v>
      </c>
      <c r="Y311" s="201">
        <f t="shared" ref="Y311:Z326" si="84">Y310+1</f>
        <v>46313</v>
      </c>
      <c r="Z311" s="202">
        <f t="shared" si="84"/>
        <v>46313</v>
      </c>
      <c r="AA311" s="18"/>
      <c r="AB311" s="244"/>
      <c r="AC311" s="247"/>
      <c r="AD311" s="142"/>
      <c r="AE311" s="18"/>
      <c r="AF311" s="18"/>
      <c r="AG311" s="203"/>
      <c r="AH311" s="203"/>
      <c r="AI311" s="18"/>
      <c r="AJ311" s="18"/>
      <c r="AK311" s="18"/>
      <c r="AL311" s="18"/>
      <c r="AM311" s="18"/>
      <c r="AN311" s="18"/>
    </row>
    <row r="312" spans="1:40" ht="20">
      <c r="A312" s="18"/>
      <c r="B312" s="151"/>
      <c r="C312" s="55">
        <v>292</v>
      </c>
      <c r="D312" s="54">
        <v>1</v>
      </c>
      <c r="E312" s="190">
        <f t="shared" si="76"/>
        <v>10</v>
      </c>
      <c r="F312" s="191">
        <f t="shared" si="77"/>
        <v>46314</v>
      </c>
      <c r="G312" s="192" t="str">
        <f t="shared" si="78"/>
        <v>Mon</v>
      </c>
      <c r="H312" s="193"/>
      <c r="I312" s="194"/>
      <c r="J312" s="307">
        <f>135080/B13</f>
        <v>1224.216059452601</v>
      </c>
      <c r="K312" s="215"/>
      <c r="L312" s="317">
        <f t="shared" si="79"/>
        <v>2053.0100555917702</v>
      </c>
      <c r="M312" s="318">
        <f t="shared" si="73"/>
        <v>-828.79399613916917</v>
      </c>
      <c r="N312" s="41">
        <f t="shared" si="72"/>
        <v>0.59630300208136422</v>
      </c>
      <c r="O312" s="44"/>
      <c r="P312" s="317">
        <f>IF(D312=0,0,SUM($L$294:L312))</f>
        <v>35787.712815431099</v>
      </c>
      <c r="Q312" s="317">
        <f>IF(D312=0,0,SUM($I$294:I312))</f>
        <v>0</v>
      </c>
      <c r="R312" s="321">
        <f t="shared" si="74"/>
        <v>-35787.712815431099</v>
      </c>
      <c r="S312" s="198">
        <f t="shared" si="80"/>
        <v>0</v>
      </c>
      <c r="T312" s="212"/>
      <c r="U312" s="317">
        <f>IF(D312=0,0,SUM($L$21:L312))</f>
        <v>504452.74816072802</v>
      </c>
      <c r="V312" s="317">
        <f>IF(D312=0,0,SUM($J$21:J312))</f>
        <v>542309.53620255576</v>
      </c>
      <c r="W312" s="331">
        <f t="shared" si="75"/>
        <v>37856.788041827735</v>
      </c>
      <c r="X312" s="200">
        <f t="shared" si="81"/>
        <v>1.0750452607897496</v>
      </c>
      <c r="Y312" s="201">
        <f t="shared" si="84"/>
        <v>46314</v>
      </c>
      <c r="Z312" s="202">
        <f t="shared" si="84"/>
        <v>46314</v>
      </c>
      <c r="AA312" s="18"/>
      <c r="AB312" s="244"/>
      <c r="AC312" s="247"/>
      <c r="AD312" s="142"/>
      <c r="AE312" s="18"/>
      <c r="AF312" s="18"/>
      <c r="AG312" s="203"/>
      <c r="AH312" s="203"/>
      <c r="AI312" s="18"/>
      <c r="AJ312" s="18"/>
      <c r="AK312" s="18"/>
      <c r="AL312" s="18"/>
      <c r="AM312" s="18"/>
      <c r="AN312" s="18"/>
    </row>
    <row r="313" spans="1:40" ht="20">
      <c r="A313" s="18"/>
      <c r="B313" s="151"/>
      <c r="C313" s="55">
        <v>293</v>
      </c>
      <c r="D313" s="54">
        <v>1</v>
      </c>
      <c r="E313" s="190">
        <f t="shared" si="76"/>
        <v>10</v>
      </c>
      <c r="F313" s="191">
        <f t="shared" si="77"/>
        <v>46315</v>
      </c>
      <c r="G313" s="192" t="str">
        <f t="shared" si="78"/>
        <v>Tue</v>
      </c>
      <c r="H313" s="193"/>
      <c r="I313" s="194"/>
      <c r="J313" s="307">
        <f>298990/B13</f>
        <v>2709.7154250498456</v>
      </c>
      <c r="K313" s="215"/>
      <c r="L313" s="317">
        <f t="shared" si="79"/>
        <v>3848.1484790795243</v>
      </c>
      <c r="M313" s="318">
        <f t="shared" si="73"/>
        <v>-1138.4330540296787</v>
      </c>
      <c r="N313" s="41">
        <f t="shared" si="72"/>
        <v>0.70416082949533398</v>
      </c>
      <c r="O313" s="56"/>
      <c r="P313" s="317">
        <f>IF(D313=0,0,SUM($L$294:L313))</f>
        <v>39635.861294510622</v>
      </c>
      <c r="Q313" s="317">
        <f>IF(D313=0,0,SUM($I$294:I313))</f>
        <v>0</v>
      </c>
      <c r="R313" s="321">
        <f t="shared" si="74"/>
        <v>-39635.861294510622</v>
      </c>
      <c r="S313" s="198">
        <f t="shared" si="80"/>
        <v>0</v>
      </c>
      <c r="T313" s="207"/>
      <c r="U313" s="317">
        <f>IF(D313=0,0,SUM($L$21:L313))</f>
        <v>508300.89663980756</v>
      </c>
      <c r="V313" s="317">
        <f>IF(D313=0,0,SUM($J$21:J313))</f>
        <v>545019.25162760564</v>
      </c>
      <c r="W313" s="331">
        <f t="shared" si="75"/>
        <v>36718.354987798084</v>
      </c>
      <c r="X313" s="200">
        <f t="shared" si="81"/>
        <v>1.0722374389471467</v>
      </c>
      <c r="Y313" s="201">
        <f t="shared" si="84"/>
        <v>46315</v>
      </c>
      <c r="Z313" s="202">
        <f t="shared" si="84"/>
        <v>46315</v>
      </c>
      <c r="AA313" s="18"/>
      <c r="AB313" s="244"/>
      <c r="AC313" s="247"/>
      <c r="AD313" s="142"/>
      <c r="AE313" s="18"/>
      <c r="AF313" s="18"/>
      <c r="AG313" s="203"/>
      <c r="AH313" s="203"/>
      <c r="AI313" s="18"/>
      <c r="AJ313" s="18"/>
      <c r="AK313" s="18"/>
      <c r="AL313" s="18"/>
      <c r="AM313" s="18"/>
      <c r="AN313" s="18"/>
    </row>
    <row r="314" spans="1:40" ht="20">
      <c r="A314" s="18"/>
      <c r="B314" s="151"/>
      <c r="C314" s="55">
        <v>294</v>
      </c>
      <c r="D314" s="54">
        <v>1</v>
      </c>
      <c r="E314" s="190">
        <f t="shared" si="76"/>
        <v>10</v>
      </c>
      <c r="F314" s="191">
        <f t="shared" si="77"/>
        <v>46316</v>
      </c>
      <c r="G314" s="192" t="str">
        <f t="shared" si="78"/>
        <v>Wed</v>
      </c>
      <c r="H314" s="193"/>
      <c r="I314" s="194"/>
      <c r="J314" s="307">
        <f>289780/B13</f>
        <v>2626.2461482689869</v>
      </c>
      <c r="K314" s="215"/>
      <c r="L314" s="317">
        <f t="shared" si="79"/>
        <v>3113.5010676187776</v>
      </c>
      <c r="M314" s="318">
        <f t="shared" si="73"/>
        <v>-487.25491934979073</v>
      </c>
      <c r="N314" s="41">
        <f t="shared" si="72"/>
        <v>0.84350256872645113</v>
      </c>
      <c r="O314" s="56"/>
      <c r="P314" s="317">
        <f>IF(D314=0,0,SUM($L$294:L314))</f>
        <v>42749.362362129395</v>
      </c>
      <c r="Q314" s="317">
        <f>IF(D314=0,0,SUM($I$294:I314))</f>
        <v>0</v>
      </c>
      <c r="R314" s="321">
        <f t="shared" si="74"/>
        <v>-42749.362362129395</v>
      </c>
      <c r="S314" s="198">
        <f t="shared" si="80"/>
        <v>0</v>
      </c>
      <c r="T314" s="207"/>
      <c r="U314" s="317">
        <f>IF(D314=0,0,SUM($L$21:L314))</f>
        <v>511414.39770742634</v>
      </c>
      <c r="V314" s="317">
        <f>IF(D314=0,0,SUM($J$21:J314))</f>
        <v>547645.49777587468</v>
      </c>
      <c r="W314" s="331">
        <f t="shared" si="75"/>
        <v>36231.100068448344</v>
      </c>
      <c r="X314" s="200">
        <f t="shared" si="81"/>
        <v>1.0708448964887682</v>
      </c>
      <c r="Y314" s="201">
        <f t="shared" si="84"/>
        <v>46316</v>
      </c>
      <c r="Z314" s="202">
        <f t="shared" si="84"/>
        <v>46316</v>
      </c>
      <c r="AA314" s="18"/>
      <c r="AB314" s="244"/>
      <c r="AC314" s="247"/>
      <c r="AD314" s="142"/>
      <c r="AE314" s="18"/>
      <c r="AF314" s="18"/>
      <c r="AG314" s="203"/>
      <c r="AH314" s="203"/>
      <c r="AI314" s="18"/>
      <c r="AJ314" s="18"/>
      <c r="AK314" s="18"/>
      <c r="AL314" s="18"/>
      <c r="AM314" s="18"/>
      <c r="AN314" s="18"/>
    </row>
    <row r="315" spans="1:40" ht="20">
      <c r="A315" s="18"/>
      <c r="B315" s="151"/>
      <c r="C315" s="55">
        <v>295</v>
      </c>
      <c r="D315" s="54">
        <v>1</v>
      </c>
      <c r="E315" s="190">
        <f t="shared" si="76"/>
        <v>10</v>
      </c>
      <c r="F315" s="191">
        <f t="shared" si="77"/>
        <v>46317</v>
      </c>
      <c r="G315" s="192" t="str">
        <f t="shared" si="78"/>
        <v>Thu</v>
      </c>
      <c r="H315" s="193"/>
      <c r="I315" s="194"/>
      <c r="J315" s="307">
        <f>224500/B13</f>
        <v>2034.6202646365778</v>
      </c>
      <c r="K315" s="215"/>
      <c r="L315" s="317">
        <f t="shared" si="79"/>
        <v>2904.5696416076271</v>
      </c>
      <c r="M315" s="318">
        <f t="shared" si="73"/>
        <v>-869.94937697104933</v>
      </c>
      <c r="N315" s="41">
        <f t="shared" si="72"/>
        <v>0.70048940658570402</v>
      </c>
      <c r="O315" s="56"/>
      <c r="P315" s="317">
        <f>IF(D315=0,0,SUM($L$294:L315))</f>
        <v>45653.93200373702</v>
      </c>
      <c r="Q315" s="317">
        <f>IF(D315=0,0,SUM($I$294:I315))</f>
        <v>0</v>
      </c>
      <c r="R315" s="321">
        <f t="shared" si="74"/>
        <v>-45653.93200373702</v>
      </c>
      <c r="S315" s="198">
        <f t="shared" si="80"/>
        <v>0</v>
      </c>
      <c r="T315" s="207"/>
      <c r="U315" s="317">
        <f>IF(D315=0,0,SUM($L$21:L315))</f>
        <v>514318.96734903398</v>
      </c>
      <c r="V315" s="317">
        <f>IF(D315=0,0,SUM($J$21:J315))</f>
        <v>549680.11804051127</v>
      </c>
      <c r="W315" s="331">
        <f t="shared" si="75"/>
        <v>35361.150691477291</v>
      </c>
      <c r="X315" s="200">
        <f t="shared" si="81"/>
        <v>1.0687533475067819</v>
      </c>
      <c r="Y315" s="201">
        <f t="shared" si="84"/>
        <v>46317</v>
      </c>
      <c r="Z315" s="202">
        <f t="shared" si="84"/>
        <v>46317</v>
      </c>
      <c r="AA315" s="18"/>
      <c r="AB315" s="244"/>
      <c r="AC315" s="247"/>
      <c r="AD315" s="142"/>
      <c r="AE315" s="18"/>
      <c r="AF315" s="18"/>
      <c r="AG315" s="203"/>
      <c r="AH315" s="203"/>
      <c r="AI315" s="18"/>
      <c r="AJ315" s="18"/>
      <c r="AK315" s="18"/>
      <c r="AL315" s="18"/>
      <c r="AM315" s="18"/>
      <c r="AN315" s="18"/>
    </row>
    <row r="316" spans="1:40" ht="20">
      <c r="A316" s="18"/>
      <c r="B316" s="151"/>
      <c r="C316" s="55">
        <v>296</v>
      </c>
      <c r="D316" s="54">
        <v>1</v>
      </c>
      <c r="E316" s="190">
        <f t="shared" si="76"/>
        <v>10</v>
      </c>
      <c r="F316" s="191">
        <f t="shared" si="77"/>
        <v>46318</v>
      </c>
      <c r="G316" s="192" t="str">
        <f t="shared" si="78"/>
        <v>Fri</v>
      </c>
      <c r="H316" s="193"/>
      <c r="I316" s="194"/>
      <c r="J316" s="307">
        <f>289970/B13</f>
        <v>2627.968098604314</v>
      </c>
      <c r="K316" s="215"/>
      <c r="L316" s="317">
        <f t="shared" si="79"/>
        <v>2341.5016355078496</v>
      </c>
      <c r="M316" s="318">
        <f t="shared" si="73"/>
        <v>286.46646309646439</v>
      </c>
      <c r="N316" s="41">
        <f t="shared" si="72"/>
        <v>1.1223430548808191</v>
      </c>
      <c r="O316" s="56"/>
      <c r="P316" s="317">
        <f>IF(D316=0,0,SUM($L$294:L316))</f>
        <v>47995.433639244868</v>
      </c>
      <c r="Q316" s="317">
        <f>IF(D316=0,0,SUM($I$294:I316))</f>
        <v>0</v>
      </c>
      <c r="R316" s="321">
        <f t="shared" si="74"/>
        <v>-47995.433639244868</v>
      </c>
      <c r="S316" s="198">
        <f t="shared" si="80"/>
        <v>0</v>
      </c>
      <c r="T316" s="207"/>
      <c r="U316" s="317">
        <f>IF(D316=0,0,SUM($L$21:L316))</f>
        <v>516660.46898454183</v>
      </c>
      <c r="V316" s="317">
        <f>IF(D316=0,0,SUM($J$21:J316))</f>
        <v>552308.08613911562</v>
      </c>
      <c r="W316" s="331">
        <f t="shared" si="75"/>
        <v>35647.617154573789</v>
      </c>
      <c r="X316" s="200">
        <f t="shared" si="81"/>
        <v>1.0689962156861672</v>
      </c>
      <c r="Y316" s="201">
        <f t="shared" si="84"/>
        <v>46318</v>
      </c>
      <c r="Z316" s="202">
        <f t="shared" si="84"/>
        <v>46318</v>
      </c>
      <c r="AA316" s="18"/>
      <c r="AB316" s="244"/>
      <c r="AC316" s="247"/>
      <c r="AD316" s="142"/>
      <c r="AE316" s="18"/>
      <c r="AF316" s="18"/>
      <c r="AG316" s="203"/>
      <c r="AH316" s="203"/>
      <c r="AI316" s="18"/>
      <c r="AJ316" s="18"/>
      <c r="AK316" s="18"/>
      <c r="AL316" s="18"/>
      <c r="AM316" s="18"/>
      <c r="AN316" s="18"/>
    </row>
    <row r="317" spans="1:40" ht="20">
      <c r="A317" s="18"/>
      <c r="B317" s="151"/>
      <c r="C317" s="55">
        <v>297</v>
      </c>
      <c r="D317" s="54">
        <v>1</v>
      </c>
      <c r="E317" s="190">
        <f t="shared" si="76"/>
        <v>10</v>
      </c>
      <c r="F317" s="191">
        <f t="shared" si="77"/>
        <v>46319</v>
      </c>
      <c r="G317" s="192" t="str">
        <f t="shared" si="78"/>
        <v>Sat</v>
      </c>
      <c r="H317" s="193"/>
      <c r="I317" s="194"/>
      <c r="J317" s="307">
        <f>418990/B13</f>
        <v>3797.26300525648</v>
      </c>
      <c r="K317" s="215"/>
      <c r="L317" s="317">
        <f t="shared" si="79"/>
        <v>1271.7727343307608</v>
      </c>
      <c r="M317" s="318">
        <f t="shared" si="73"/>
        <v>2525.4902709257194</v>
      </c>
      <c r="N317" s="41">
        <f t="shared" si="72"/>
        <v>2.9858031256305368</v>
      </c>
      <c r="O317" s="56"/>
      <c r="P317" s="317">
        <f>IF(D317=0,0,SUM($L$294:L317))</f>
        <v>49267.206373575631</v>
      </c>
      <c r="Q317" s="317">
        <f>IF(D317=0,0,SUM($I$294:I317))</f>
        <v>0</v>
      </c>
      <c r="R317" s="321">
        <f t="shared" si="74"/>
        <v>-49267.206373575631</v>
      </c>
      <c r="S317" s="198">
        <f t="shared" si="80"/>
        <v>0</v>
      </c>
      <c r="T317" s="207"/>
      <c r="U317" s="317">
        <f>IF(D317=0,0,SUM($L$21:L317))</f>
        <v>517932.24171887257</v>
      </c>
      <c r="V317" s="317">
        <f>IF(D317=0,0,SUM($J$21:J317))</f>
        <v>556105.34914437216</v>
      </c>
      <c r="W317" s="331">
        <f t="shared" si="75"/>
        <v>38173.107425499591</v>
      </c>
      <c r="X317" s="200">
        <f t="shared" si="81"/>
        <v>1.0737028984695252</v>
      </c>
      <c r="Y317" s="201">
        <f t="shared" si="84"/>
        <v>46319</v>
      </c>
      <c r="Z317" s="202">
        <f t="shared" si="84"/>
        <v>46319</v>
      </c>
      <c r="AA317" s="18"/>
      <c r="AB317" s="244"/>
      <c r="AC317" s="247"/>
      <c r="AD317" s="142"/>
      <c r="AE317" s="18"/>
      <c r="AF317" s="18"/>
      <c r="AG317" s="203"/>
      <c r="AH317" s="203"/>
      <c r="AI317" s="18"/>
      <c r="AJ317" s="18"/>
      <c r="AK317" s="18"/>
      <c r="AL317" s="18"/>
      <c r="AM317" s="18"/>
      <c r="AN317" s="18"/>
    </row>
    <row r="318" spans="1:40" ht="20">
      <c r="A318" s="18"/>
      <c r="B318" s="151"/>
      <c r="C318" s="55">
        <v>298</v>
      </c>
      <c r="D318" s="54">
        <v>0</v>
      </c>
      <c r="E318" s="190">
        <f t="shared" si="76"/>
        <v>10</v>
      </c>
      <c r="F318" s="191">
        <f t="shared" si="77"/>
        <v>46320</v>
      </c>
      <c r="G318" s="192" t="str">
        <f t="shared" si="78"/>
        <v>Sun</v>
      </c>
      <c r="H318" s="193"/>
      <c r="I318" s="194"/>
      <c r="J318" s="307"/>
      <c r="K318" s="215"/>
      <c r="L318" s="317">
        <f t="shared" si="79"/>
        <v>0</v>
      </c>
      <c r="M318" s="318">
        <f t="shared" si="73"/>
        <v>0</v>
      </c>
      <c r="N318" s="41" t="str">
        <f t="shared" si="72"/>
        <v>¥0</v>
      </c>
      <c r="O318" s="56"/>
      <c r="P318" s="317">
        <f>IF(D318=0,0,SUM($L$294:L318))</f>
        <v>0</v>
      </c>
      <c r="Q318" s="317">
        <f>IF(D318=0,0,SUM($I$294:I318))</f>
        <v>0</v>
      </c>
      <c r="R318" s="321">
        <f t="shared" si="74"/>
        <v>0</v>
      </c>
      <c r="S318" s="198">
        <f t="shared" si="80"/>
        <v>0</v>
      </c>
      <c r="T318" s="207"/>
      <c r="U318" s="317">
        <f>IF(D318=0,0,SUM($L$21:L318))</f>
        <v>0</v>
      </c>
      <c r="V318" s="317">
        <f>IF(D318=0,0,SUM($J$21:J318))</f>
        <v>0</v>
      </c>
      <c r="W318" s="331">
        <f t="shared" si="75"/>
        <v>0</v>
      </c>
      <c r="X318" s="200">
        <f t="shared" si="81"/>
        <v>0</v>
      </c>
      <c r="Y318" s="201">
        <f t="shared" si="84"/>
        <v>46320</v>
      </c>
      <c r="Z318" s="202">
        <f t="shared" si="84"/>
        <v>46320</v>
      </c>
      <c r="AA318" s="18"/>
      <c r="AB318" s="244"/>
      <c r="AC318" s="247"/>
      <c r="AD318" s="142"/>
      <c r="AE318" s="18"/>
      <c r="AF318" s="18"/>
      <c r="AG318" s="203"/>
      <c r="AH318" s="203"/>
      <c r="AI318" s="18"/>
      <c r="AJ318" s="18"/>
      <c r="AK318" s="18"/>
      <c r="AL318" s="18"/>
      <c r="AM318" s="18"/>
      <c r="AN318" s="18"/>
    </row>
    <row r="319" spans="1:40" ht="20">
      <c r="A319" s="18"/>
      <c r="B319" s="151"/>
      <c r="C319" s="55">
        <v>299</v>
      </c>
      <c r="D319" s="54">
        <v>1</v>
      </c>
      <c r="E319" s="190">
        <f t="shared" si="76"/>
        <v>10</v>
      </c>
      <c r="F319" s="191">
        <f t="shared" si="77"/>
        <v>46321</v>
      </c>
      <c r="G319" s="192" t="str">
        <f t="shared" si="78"/>
        <v>Mon</v>
      </c>
      <c r="H319" s="193"/>
      <c r="I319" s="194"/>
      <c r="J319" s="307">
        <f>210990/B13</f>
        <v>1912.1805328983141</v>
      </c>
      <c r="K319" s="215"/>
      <c r="L319" s="317">
        <f t="shared" si="79"/>
        <v>2053.0100555917702</v>
      </c>
      <c r="M319" s="318">
        <f t="shared" si="73"/>
        <v>-140.82952269345606</v>
      </c>
      <c r="N319" s="41">
        <f t="shared" si="72"/>
        <v>0.93140339361228186</v>
      </c>
      <c r="O319" s="44"/>
      <c r="P319" s="317">
        <f>IF(D319=0,0,SUM($L$294:L319))</f>
        <v>51320.216429167398</v>
      </c>
      <c r="Q319" s="317">
        <f>IF(D319=0,0,SUM($I$294:I319))</f>
        <v>0</v>
      </c>
      <c r="R319" s="321">
        <f t="shared" si="74"/>
        <v>-51320.216429167398</v>
      </c>
      <c r="S319" s="198">
        <f t="shared" si="80"/>
        <v>0</v>
      </c>
      <c r="T319" s="212"/>
      <c r="U319" s="317">
        <f>IF(D319=0,0,SUM($L$21:L319))</f>
        <v>519985.25177446433</v>
      </c>
      <c r="V319" s="317">
        <f>IF(D319=0,0,SUM($J$21:J319))</f>
        <v>558017.52967727045</v>
      </c>
      <c r="W319" s="331">
        <f t="shared" si="75"/>
        <v>38032.27790280612</v>
      </c>
      <c r="X319" s="200">
        <f t="shared" si="81"/>
        <v>1.0731410703919388</v>
      </c>
      <c r="Y319" s="201">
        <f t="shared" si="84"/>
        <v>46321</v>
      </c>
      <c r="Z319" s="202">
        <f t="shared" si="84"/>
        <v>46321</v>
      </c>
      <c r="AA319" s="18"/>
      <c r="AB319" s="244"/>
      <c r="AC319" s="247"/>
      <c r="AD319" s="142"/>
      <c r="AE319" s="18"/>
      <c r="AF319" s="18"/>
      <c r="AG319" s="203"/>
      <c r="AH319" s="203"/>
      <c r="AI319" s="18"/>
      <c r="AJ319" s="18"/>
      <c r="AK319" s="18"/>
      <c r="AL319" s="18"/>
      <c r="AM319" s="18"/>
      <c r="AN319" s="18"/>
    </row>
    <row r="320" spans="1:40" ht="20">
      <c r="A320" s="18"/>
      <c r="B320" s="151"/>
      <c r="C320" s="55">
        <v>300</v>
      </c>
      <c r="D320" s="54">
        <v>1</v>
      </c>
      <c r="E320" s="190">
        <f t="shared" si="76"/>
        <v>10</v>
      </c>
      <c r="F320" s="191">
        <f t="shared" si="77"/>
        <v>46322</v>
      </c>
      <c r="G320" s="192" t="str">
        <f t="shared" si="78"/>
        <v>Tue</v>
      </c>
      <c r="H320" s="193"/>
      <c r="I320" s="194"/>
      <c r="J320" s="307">
        <f>358900/B13</f>
        <v>3252.6735544680078</v>
      </c>
      <c r="K320" s="215"/>
      <c r="L320" s="317">
        <f t="shared" si="79"/>
        <v>3848.1484790795243</v>
      </c>
      <c r="M320" s="318">
        <f t="shared" si="73"/>
        <v>-595.4749246115166</v>
      </c>
      <c r="N320" s="41">
        <f t="shared" si="72"/>
        <v>0.84525677014574185</v>
      </c>
      <c r="O320" s="56"/>
      <c r="P320" s="317">
        <f>IF(D320=0,0,SUM($L$294:L320))</f>
        <v>55168.36490824692</v>
      </c>
      <c r="Q320" s="317">
        <f>IF(D320=0,0,SUM($I$294:I320))</f>
        <v>0</v>
      </c>
      <c r="R320" s="321">
        <f t="shared" si="74"/>
        <v>-55168.36490824692</v>
      </c>
      <c r="S320" s="198">
        <f t="shared" si="80"/>
        <v>0</v>
      </c>
      <c r="T320" s="207"/>
      <c r="U320" s="317">
        <f>IF(D320=0,0,SUM($L$21:L320))</f>
        <v>523833.40025354386</v>
      </c>
      <c r="V320" s="317">
        <f>IF(D320=0,0,SUM($J$21:J320))</f>
        <v>561270.20323173841</v>
      </c>
      <c r="W320" s="331">
        <f t="shared" si="75"/>
        <v>37436.802978194552</v>
      </c>
      <c r="X320" s="200">
        <f t="shared" si="81"/>
        <v>1.0714670026005875</v>
      </c>
      <c r="Y320" s="201">
        <f t="shared" si="84"/>
        <v>46322</v>
      </c>
      <c r="Z320" s="202">
        <f t="shared" si="84"/>
        <v>46322</v>
      </c>
      <c r="AA320" s="18"/>
      <c r="AB320" s="244"/>
      <c r="AC320" s="247"/>
      <c r="AD320" s="142"/>
      <c r="AE320" s="18"/>
      <c r="AF320" s="18"/>
      <c r="AG320" s="203"/>
      <c r="AH320" s="203"/>
      <c r="AI320" s="18"/>
      <c r="AJ320" s="18"/>
      <c r="AK320" s="18"/>
      <c r="AL320" s="18"/>
      <c r="AM320" s="18"/>
      <c r="AN320" s="18"/>
    </row>
    <row r="321" spans="1:40" ht="20">
      <c r="A321" s="18"/>
      <c r="B321" s="151"/>
      <c r="C321" s="55">
        <v>301</v>
      </c>
      <c r="D321" s="54">
        <v>1</v>
      </c>
      <c r="E321" s="190">
        <f t="shared" si="76"/>
        <v>10</v>
      </c>
      <c r="F321" s="191">
        <f t="shared" si="77"/>
        <v>46323</v>
      </c>
      <c r="G321" s="192" t="str">
        <f t="shared" si="78"/>
        <v>Wed</v>
      </c>
      <c r="H321" s="193"/>
      <c r="I321" s="194"/>
      <c r="J321" s="307">
        <f>289780/B13</f>
        <v>2626.2461482689869</v>
      </c>
      <c r="K321" s="215"/>
      <c r="L321" s="317">
        <f t="shared" si="79"/>
        <v>3113.5010676187776</v>
      </c>
      <c r="M321" s="318">
        <f t="shared" si="73"/>
        <v>-487.25491934979073</v>
      </c>
      <c r="N321" s="41">
        <f t="shared" si="72"/>
        <v>0.84350256872645113</v>
      </c>
      <c r="O321" s="56"/>
      <c r="P321" s="317">
        <f>IF(D321=0,0,SUM($L$294:L321))</f>
        <v>58281.865975865701</v>
      </c>
      <c r="Q321" s="317">
        <f>IF(D321=0,0,SUM($I$294:I321))</f>
        <v>0</v>
      </c>
      <c r="R321" s="321">
        <f t="shared" si="74"/>
        <v>-58281.865975865701</v>
      </c>
      <c r="S321" s="198">
        <f t="shared" si="80"/>
        <v>0</v>
      </c>
      <c r="T321" s="207"/>
      <c r="U321" s="317">
        <f>IF(D321=0,0,SUM($L$21:L321))</f>
        <v>526946.90132116259</v>
      </c>
      <c r="V321" s="317">
        <f>IF(D321=0,0,SUM($J$21:J321))</f>
        <v>563896.44938000746</v>
      </c>
      <c r="W321" s="331">
        <f t="shared" si="75"/>
        <v>36949.54805884487</v>
      </c>
      <c r="X321" s="200">
        <f t="shared" si="81"/>
        <v>1.0701200594712768</v>
      </c>
      <c r="Y321" s="201">
        <f t="shared" si="84"/>
        <v>46323</v>
      </c>
      <c r="Z321" s="202">
        <f t="shared" si="84"/>
        <v>46323</v>
      </c>
      <c r="AA321" s="18"/>
      <c r="AB321" s="244"/>
      <c r="AC321" s="247"/>
      <c r="AD321" s="142"/>
      <c r="AE321" s="18"/>
      <c r="AF321" s="18"/>
      <c r="AG321" s="203"/>
      <c r="AH321" s="203"/>
      <c r="AI321" s="18"/>
      <c r="AJ321" s="18"/>
      <c r="AK321" s="18"/>
      <c r="AL321" s="18"/>
      <c r="AM321" s="18"/>
      <c r="AN321" s="18"/>
    </row>
    <row r="322" spans="1:40" ht="20">
      <c r="A322" s="18"/>
      <c r="B322" s="151"/>
      <c r="C322" s="55">
        <v>302</v>
      </c>
      <c r="D322" s="54">
        <v>1</v>
      </c>
      <c r="E322" s="190">
        <f t="shared" si="76"/>
        <v>10</v>
      </c>
      <c r="F322" s="191">
        <f t="shared" si="77"/>
        <v>46324</v>
      </c>
      <c r="G322" s="192" t="str">
        <f t="shared" si="78"/>
        <v>Thu</v>
      </c>
      <c r="H322" s="193"/>
      <c r="I322" s="194"/>
      <c r="J322" s="307">
        <f>300900/B13</f>
        <v>2727.0255573681347</v>
      </c>
      <c r="K322" s="215"/>
      <c r="L322" s="317">
        <f t="shared" si="79"/>
        <v>2904.5696416076271</v>
      </c>
      <c r="M322" s="318">
        <f t="shared" si="73"/>
        <v>-177.54408423949235</v>
      </c>
      <c r="N322" s="41">
        <f t="shared" si="72"/>
        <v>0.93887422023001488</v>
      </c>
      <c r="O322" s="56"/>
      <c r="P322" s="317">
        <f>IF(D322=0,0,SUM($L$294:L322))</f>
        <v>61186.435617473326</v>
      </c>
      <c r="Q322" s="317">
        <f>IF(D322=0,0,SUM($I$294:I322))</f>
        <v>0</v>
      </c>
      <c r="R322" s="321">
        <f t="shared" si="74"/>
        <v>-61186.435617473326</v>
      </c>
      <c r="S322" s="198">
        <f t="shared" si="80"/>
        <v>0</v>
      </c>
      <c r="T322" s="207"/>
      <c r="U322" s="317">
        <f>IF(D322=0,0,SUM($L$21:L322))</f>
        <v>529851.47096277017</v>
      </c>
      <c r="V322" s="317">
        <f>IF(D322=0,0,SUM($J$21:J322))</f>
        <v>566623.47493737563</v>
      </c>
      <c r="W322" s="331">
        <f t="shared" si="75"/>
        <v>36772.003974605468</v>
      </c>
      <c r="X322" s="200">
        <f t="shared" si="81"/>
        <v>1.0694005886362619</v>
      </c>
      <c r="Y322" s="201">
        <f t="shared" si="84"/>
        <v>46324</v>
      </c>
      <c r="Z322" s="202">
        <f t="shared" si="84"/>
        <v>46324</v>
      </c>
      <c r="AA322" s="18"/>
      <c r="AB322" s="244"/>
      <c r="AC322" s="247"/>
      <c r="AD322" s="142"/>
      <c r="AE322" s="18"/>
      <c r="AF322" s="18"/>
      <c r="AG322" s="203"/>
      <c r="AH322" s="203"/>
      <c r="AI322" s="18"/>
      <c r="AJ322" s="18"/>
      <c r="AK322" s="18"/>
      <c r="AL322" s="18"/>
      <c r="AM322" s="18"/>
      <c r="AN322" s="18"/>
    </row>
    <row r="323" spans="1:40" ht="20">
      <c r="A323" s="18"/>
      <c r="B323" s="151"/>
      <c r="C323" s="55">
        <v>303</v>
      </c>
      <c r="D323" s="54">
        <v>1</v>
      </c>
      <c r="E323" s="190">
        <f t="shared" si="76"/>
        <v>10</v>
      </c>
      <c r="F323" s="191">
        <f t="shared" si="77"/>
        <v>46325</v>
      </c>
      <c r="G323" s="192" t="str">
        <f t="shared" si="78"/>
        <v>Fri</v>
      </c>
      <c r="H323" s="193"/>
      <c r="I323" s="194"/>
      <c r="J323" s="307">
        <f>319890/B13</f>
        <v>2899.1299619358347</v>
      </c>
      <c r="K323" s="215"/>
      <c r="L323" s="317">
        <f t="shared" si="79"/>
        <v>2341.5016355078496</v>
      </c>
      <c r="M323" s="318">
        <f t="shared" si="73"/>
        <v>557.62832642798503</v>
      </c>
      <c r="N323" s="41">
        <f t="shared" si="72"/>
        <v>1.2381498769728772</v>
      </c>
      <c r="O323" s="56"/>
      <c r="P323" s="317">
        <f>IF(D323=0,0,SUM($L$294:L323))</f>
        <v>63527.937252981174</v>
      </c>
      <c r="Q323" s="317">
        <f>IF(D323=0,0,SUM($I$294:I323))</f>
        <v>0</v>
      </c>
      <c r="R323" s="321">
        <f t="shared" si="74"/>
        <v>-63527.937252981174</v>
      </c>
      <c r="S323" s="198">
        <f t="shared" si="80"/>
        <v>0</v>
      </c>
      <c r="T323" s="207"/>
      <c r="U323" s="317">
        <f>IF(D323=0,0,SUM($L$21:L323))</f>
        <v>532192.97259827796</v>
      </c>
      <c r="V323" s="317">
        <f>IF(D323=0,0,SUM($J$21:J323))</f>
        <v>569522.60489931144</v>
      </c>
      <c r="W323" s="331">
        <f t="shared" si="75"/>
        <v>37329.632301033475</v>
      </c>
      <c r="X323" s="200">
        <f t="shared" si="81"/>
        <v>1.0701430387529967</v>
      </c>
      <c r="Y323" s="201">
        <f t="shared" si="84"/>
        <v>46325</v>
      </c>
      <c r="Z323" s="202">
        <f t="shared" si="84"/>
        <v>46325</v>
      </c>
      <c r="AA323" s="18"/>
      <c r="AB323" s="244"/>
      <c r="AC323" s="247"/>
      <c r="AD323" s="142"/>
      <c r="AE323" s="18"/>
      <c r="AF323" s="18"/>
      <c r="AG323" s="203"/>
      <c r="AH323" s="203"/>
      <c r="AI323" s="18"/>
      <c r="AJ323" s="18"/>
      <c r="AK323" s="18"/>
      <c r="AL323" s="18"/>
      <c r="AM323" s="18"/>
      <c r="AN323" s="18"/>
    </row>
    <row r="324" spans="1:40" ht="21" thickBot="1">
      <c r="A324" s="18"/>
      <c r="B324" s="151"/>
      <c r="C324" s="39">
        <v>304</v>
      </c>
      <c r="D324" s="38">
        <v>1</v>
      </c>
      <c r="E324" s="217">
        <f t="shared" si="76"/>
        <v>10</v>
      </c>
      <c r="F324" s="236">
        <f t="shared" si="77"/>
        <v>46326</v>
      </c>
      <c r="G324" s="219" t="str">
        <f t="shared" si="78"/>
        <v>Sat</v>
      </c>
      <c r="H324" s="233"/>
      <c r="I324" s="221"/>
      <c r="J324" s="316">
        <f>438990/B13</f>
        <v>3978.5209352909187</v>
      </c>
      <c r="K324" s="223"/>
      <c r="L324" s="317">
        <f t="shared" si="79"/>
        <v>1271.7727343307608</v>
      </c>
      <c r="M324" s="320">
        <f t="shared" si="73"/>
        <v>2706.7482009601581</v>
      </c>
      <c r="N324" s="225">
        <f t="shared" si="72"/>
        <v>3.1283269627450516</v>
      </c>
      <c r="O324" s="226"/>
      <c r="P324" s="322">
        <f>IF(D324=0,0,SUM($L$294:L324))</f>
        <v>64799.709987311937</v>
      </c>
      <c r="Q324" s="326">
        <f>IF(D324=0,0,SUM($I$294:I324))</f>
        <v>0</v>
      </c>
      <c r="R324" s="327">
        <f t="shared" si="74"/>
        <v>-64799.709987311937</v>
      </c>
      <c r="S324" s="228">
        <f t="shared" si="80"/>
        <v>0</v>
      </c>
      <c r="T324" s="229"/>
      <c r="U324" s="332">
        <f>IF(D324=0,0,SUM($L$21:L324))</f>
        <v>533464.7453326087</v>
      </c>
      <c r="V324" s="332">
        <f>IF(D324=0,0,SUM($J$21:J324))</f>
        <v>573501.1258346024</v>
      </c>
      <c r="W324" s="333">
        <f t="shared" si="75"/>
        <v>40036.380501993699</v>
      </c>
      <c r="X324" s="230">
        <f t="shared" si="81"/>
        <v>1.0750497213776171</v>
      </c>
      <c r="Y324" s="201">
        <f t="shared" si="84"/>
        <v>46326</v>
      </c>
      <c r="Z324" s="202">
        <f t="shared" si="84"/>
        <v>46326</v>
      </c>
      <c r="AA324" s="18"/>
      <c r="AB324" s="244"/>
      <c r="AC324" s="247"/>
      <c r="AD324" s="142"/>
      <c r="AE324" s="18"/>
      <c r="AF324" s="18"/>
      <c r="AG324" s="203"/>
      <c r="AH324" s="203"/>
      <c r="AI324" s="18"/>
      <c r="AJ324" s="18"/>
      <c r="AK324" s="18"/>
      <c r="AL324" s="18"/>
      <c r="AM324" s="18"/>
      <c r="AN324" s="18"/>
    </row>
    <row r="325" spans="1:40" ht="21" thickTop="1">
      <c r="A325" s="18"/>
      <c r="B325" s="151"/>
      <c r="C325" s="55">
        <v>305</v>
      </c>
      <c r="D325" s="62">
        <v>0</v>
      </c>
      <c r="E325" s="190">
        <f t="shared" si="76"/>
        <v>11</v>
      </c>
      <c r="F325" s="191">
        <f t="shared" si="77"/>
        <v>46327</v>
      </c>
      <c r="G325" s="192" t="str">
        <f t="shared" si="78"/>
        <v>Sun</v>
      </c>
      <c r="H325" s="193"/>
      <c r="I325" s="194"/>
      <c r="J325" s="307"/>
      <c r="K325" s="215"/>
      <c r="L325" s="317">
        <f t="shared" si="79"/>
        <v>0</v>
      </c>
      <c r="M325" s="321">
        <f t="shared" si="73"/>
        <v>0</v>
      </c>
      <c r="N325" s="60" t="str">
        <f t="shared" si="72"/>
        <v>¥0</v>
      </c>
      <c r="O325" s="56"/>
      <c r="P325" s="317">
        <f>IF(D325=0,0,$L$325)</f>
        <v>0</v>
      </c>
      <c r="Q325" s="317">
        <f>IF(D325=0,0,$J$325)</f>
        <v>0</v>
      </c>
      <c r="R325" s="321">
        <f t="shared" si="74"/>
        <v>0</v>
      </c>
      <c r="S325" s="231">
        <f t="shared" si="80"/>
        <v>0</v>
      </c>
      <c r="T325" s="207"/>
      <c r="U325" s="317">
        <f>IF(D325=0,0,SUM($L$21:L325))</f>
        <v>0</v>
      </c>
      <c r="V325" s="317">
        <f>IF(D325=0,0,SUM($J$21:J325))</f>
        <v>0</v>
      </c>
      <c r="W325" s="331">
        <f t="shared" si="75"/>
        <v>0</v>
      </c>
      <c r="X325" s="232">
        <f t="shared" si="81"/>
        <v>0</v>
      </c>
      <c r="Y325" s="201">
        <f t="shared" si="84"/>
        <v>46327</v>
      </c>
      <c r="Z325" s="202">
        <f t="shared" si="84"/>
        <v>46327</v>
      </c>
      <c r="AA325" s="18"/>
      <c r="AB325" s="244"/>
      <c r="AC325" s="247"/>
      <c r="AD325" s="142"/>
      <c r="AE325" s="18"/>
      <c r="AF325" s="18"/>
      <c r="AG325" s="203"/>
      <c r="AH325" s="203"/>
      <c r="AI325" s="18"/>
      <c r="AJ325" s="18"/>
      <c r="AK325" s="18"/>
      <c r="AL325" s="18"/>
      <c r="AM325" s="18"/>
      <c r="AN325" s="18"/>
    </row>
    <row r="326" spans="1:40" ht="20">
      <c r="A326" s="18"/>
      <c r="B326" s="151"/>
      <c r="C326" s="55">
        <v>306</v>
      </c>
      <c r="D326" s="54">
        <v>1</v>
      </c>
      <c r="E326" s="190">
        <f t="shared" si="76"/>
        <v>11</v>
      </c>
      <c r="F326" s="191">
        <f t="shared" si="77"/>
        <v>46328</v>
      </c>
      <c r="G326" s="192" t="str">
        <f t="shared" si="78"/>
        <v>Mon</v>
      </c>
      <c r="H326" s="193"/>
      <c r="I326" s="194"/>
      <c r="J326" s="307">
        <f>210980/B13</f>
        <v>1912.0899039332969</v>
      </c>
      <c r="K326" s="215"/>
      <c r="L326" s="317">
        <f t="shared" si="79"/>
        <v>992.15188882816528</v>
      </c>
      <c r="M326" s="318">
        <f t="shared" si="73"/>
        <v>919.93801510513163</v>
      </c>
      <c r="N326" s="41">
        <f t="shared" si="72"/>
        <v>1.9272149007262127</v>
      </c>
      <c r="O326" s="44"/>
      <c r="P326" s="317">
        <f>IF(D326=0,0,SUM($L$325:L326))</f>
        <v>992.15188882816528</v>
      </c>
      <c r="Q326" s="317">
        <f>IF(D326=0,0,SUM($I$325:I326))</f>
        <v>0</v>
      </c>
      <c r="R326" s="321">
        <f t="shared" si="74"/>
        <v>-992.15188882816528</v>
      </c>
      <c r="S326" s="198">
        <f t="shared" si="80"/>
        <v>0</v>
      </c>
      <c r="T326" s="212"/>
      <c r="U326" s="317">
        <f>IF(D326=0,0,SUM($L$21:L326))</f>
        <v>534456.89722143684</v>
      </c>
      <c r="V326" s="317">
        <f>IF(D326=0,0,SUM($J$21:J326))</f>
        <v>575413.21573853574</v>
      </c>
      <c r="W326" s="331">
        <f t="shared" si="75"/>
        <v>40956.318517098902</v>
      </c>
      <c r="X326" s="200">
        <f t="shared" si="81"/>
        <v>1.0766316586613902</v>
      </c>
      <c r="Y326" s="201">
        <f t="shared" si="84"/>
        <v>46328</v>
      </c>
      <c r="Z326" s="202">
        <f t="shared" si="84"/>
        <v>46328</v>
      </c>
      <c r="AA326" s="18"/>
      <c r="AB326" s="244"/>
      <c r="AC326" s="247"/>
      <c r="AD326" s="142"/>
      <c r="AE326" s="18"/>
      <c r="AF326" s="18"/>
      <c r="AG326" s="203"/>
      <c r="AH326" s="203"/>
      <c r="AI326" s="18"/>
      <c r="AJ326" s="18"/>
      <c r="AK326" s="18"/>
      <c r="AL326" s="18"/>
      <c r="AM326" s="18"/>
      <c r="AN326" s="18"/>
    </row>
    <row r="327" spans="1:40" ht="20">
      <c r="A327" s="18"/>
      <c r="B327" s="151"/>
      <c r="C327" s="55">
        <v>307</v>
      </c>
      <c r="D327" s="54">
        <v>0</v>
      </c>
      <c r="E327" s="190">
        <f t="shared" si="76"/>
        <v>11</v>
      </c>
      <c r="F327" s="191">
        <f t="shared" si="77"/>
        <v>46329</v>
      </c>
      <c r="G327" s="192" t="str">
        <f t="shared" si="78"/>
        <v>Tue</v>
      </c>
      <c r="H327" s="193" t="s">
        <v>181</v>
      </c>
      <c r="I327" s="194"/>
      <c r="J327" s="307"/>
      <c r="K327" s="215"/>
      <c r="L327" s="317">
        <f t="shared" si="79"/>
        <v>0</v>
      </c>
      <c r="M327" s="318">
        <f t="shared" si="73"/>
        <v>0</v>
      </c>
      <c r="N327" s="41" t="str">
        <f t="shared" si="72"/>
        <v>¥0</v>
      </c>
      <c r="O327" s="44"/>
      <c r="P327" s="317">
        <f>IF(D327=0,0,SUM($L$325:L327))</f>
        <v>0</v>
      </c>
      <c r="Q327" s="317">
        <f>IF(D327=0,0,SUM($I$325:I327))</f>
        <v>0</v>
      </c>
      <c r="R327" s="321">
        <f t="shared" si="74"/>
        <v>0</v>
      </c>
      <c r="S327" s="198">
        <f t="shared" si="80"/>
        <v>0</v>
      </c>
      <c r="T327" s="212"/>
      <c r="U327" s="317">
        <f>IF(D327=0,0,SUM($L$21:L327))</f>
        <v>0</v>
      </c>
      <c r="V327" s="317">
        <f>IF(D327=0,0,SUM($J$21:J327))</f>
        <v>0</v>
      </c>
      <c r="W327" s="331">
        <f t="shared" si="75"/>
        <v>0</v>
      </c>
      <c r="X327" s="200">
        <f t="shared" si="81"/>
        <v>0</v>
      </c>
      <c r="Y327" s="201">
        <f t="shared" ref="Y327:Z342" si="85">Y326+1</f>
        <v>46329</v>
      </c>
      <c r="Z327" s="202">
        <f t="shared" si="85"/>
        <v>46329</v>
      </c>
      <c r="AA327" s="18"/>
      <c r="AB327" s="244"/>
      <c r="AC327" s="247"/>
      <c r="AD327" s="142"/>
      <c r="AE327" s="18"/>
      <c r="AF327" s="18"/>
      <c r="AG327" s="203"/>
      <c r="AH327" s="203"/>
      <c r="AI327" s="18"/>
      <c r="AJ327" s="18"/>
      <c r="AK327" s="18"/>
      <c r="AL327" s="18"/>
      <c r="AM327" s="18"/>
      <c r="AN327" s="18"/>
    </row>
    <row r="328" spans="1:40" ht="20">
      <c r="A328" s="18"/>
      <c r="B328" s="151"/>
      <c r="C328" s="55">
        <v>308</v>
      </c>
      <c r="D328" s="54">
        <v>1</v>
      </c>
      <c r="E328" s="190">
        <f t="shared" si="76"/>
        <v>11</v>
      </c>
      <c r="F328" s="191">
        <f t="shared" si="77"/>
        <v>46330</v>
      </c>
      <c r="G328" s="192" t="str">
        <f t="shared" si="78"/>
        <v>Wed</v>
      </c>
      <c r="H328" s="193"/>
      <c r="I328" s="194"/>
      <c r="J328" s="307">
        <f>333450/B13</f>
        <v>3022.0228384991842</v>
      </c>
      <c r="K328" s="215"/>
      <c r="L328" s="317">
        <f t="shared" si="79"/>
        <v>2504.0838897517933</v>
      </c>
      <c r="M328" s="318">
        <f t="shared" si="73"/>
        <v>517.9389487473909</v>
      </c>
      <c r="N328" s="41">
        <f t="shared" si="72"/>
        <v>1.2068376985559894</v>
      </c>
      <c r="O328" s="56"/>
      <c r="P328" s="317">
        <f>IF(D328=0,0,SUM($L$325:L328))</f>
        <v>3496.2357785799586</v>
      </c>
      <c r="Q328" s="317">
        <f>IF(D328=0,0,SUM($I$325:I328))</f>
        <v>0</v>
      </c>
      <c r="R328" s="321">
        <f t="shared" si="74"/>
        <v>-3496.2357785799586</v>
      </c>
      <c r="S328" s="198">
        <f t="shared" si="80"/>
        <v>0</v>
      </c>
      <c r="T328" s="207"/>
      <c r="U328" s="317">
        <f>IF(D328=0,0,SUM($L$21:L328))</f>
        <v>536960.98111118865</v>
      </c>
      <c r="V328" s="317">
        <f>IF(D328=0,0,SUM($J$21:J328))</f>
        <v>578435.23857703491</v>
      </c>
      <c r="W328" s="331">
        <f t="shared" si="75"/>
        <v>41474.257465846254</v>
      </c>
      <c r="X328" s="200">
        <f t="shared" si="81"/>
        <v>1.0772388663698045</v>
      </c>
      <c r="Y328" s="201">
        <f t="shared" si="85"/>
        <v>46330</v>
      </c>
      <c r="Z328" s="202">
        <f t="shared" si="85"/>
        <v>46330</v>
      </c>
      <c r="AA328" s="18"/>
      <c r="AB328" s="244"/>
      <c r="AC328" s="247"/>
      <c r="AD328" s="142"/>
      <c r="AE328" s="18"/>
      <c r="AF328" s="18"/>
      <c r="AG328" s="203"/>
      <c r="AH328" s="203"/>
      <c r="AI328" s="18"/>
      <c r="AJ328" s="18"/>
      <c r="AK328" s="18"/>
      <c r="AL328" s="18"/>
      <c r="AM328" s="18"/>
      <c r="AN328" s="18"/>
    </row>
    <row r="329" spans="1:40" ht="20">
      <c r="A329" s="18"/>
      <c r="B329" s="151"/>
      <c r="C329" s="55">
        <v>309</v>
      </c>
      <c r="D329" s="54">
        <v>1</v>
      </c>
      <c r="E329" s="190">
        <f t="shared" si="76"/>
        <v>11</v>
      </c>
      <c r="F329" s="191">
        <f t="shared" si="77"/>
        <v>46331</v>
      </c>
      <c r="G329" s="192" t="str">
        <f t="shared" si="78"/>
        <v>Thu</v>
      </c>
      <c r="H329" s="193"/>
      <c r="I329" s="194"/>
      <c r="J329" s="307">
        <f>299890/B13</f>
        <v>2717.8720319013955</v>
      </c>
      <c r="K329" s="215"/>
      <c r="L329" s="317">
        <f t="shared" si="79"/>
        <v>2439.3722153693907</v>
      </c>
      <c r="M329" s="318">
        <f t="shared" si="73"/>
        <v>278.49981653200484</v>
      </c>
      <c r="N329" s="41">
        <f t="shared" si="72"/>
        <v>1.1141686433818105</v>
      </c>
      <c r="O329" s="56"/>
      <c r="P329" s="317">
        <f>IF(D329=0,0,SUM($L$325:L329))</f>
        <v>5935.6079939493493</v>
      </c>
      <c r="Q329" s="317">
        <f>IF(D329=0,0,SUM($I$325:I329))</f>
        <v>0</v>
      </c>
      <c r="R329" s="321">
        <f t="shared" si="74"/>
        <v>-5935.6079939493493</v>
      </c>
      <c r="S329" s="198">
        <f t="shared" si="80"/>
        <v>0</v>
      </c>
      <c r="T329" s="207"/>
      <c r="U329" s="317">
        <f>IF(D329=0,0,SUM($L$21:L329))</f>
        <v>539400.35332655802</v>
      </c>
      <c r="V329" s="317">
        <f>IF(D329=0,0,SUM($J$21:J329))</f>
        <v>581153.11060893629</v>
      </c>
      <c r="W329" s="331">
        <f t="shared" si="75"/>
        <v>41752.757282378268</v>
      </c>
      <c r="X329" s="200">
        <f t="shared" si="81"/>
        <v>1.0774058767757253</v>
      </c>
      <c r="Y329" s="201">
        <f t="shared" si="85"/>
        <v>46331</v>
      </c>
      <c r="Z329" s="202">
        <f t="shared" si="85"/>
        <v>46331</v>
      </c>
      <c r="AA329" s="18"/>
      <c r="AB329" s="244"/>
      <c r="AC329" s="247"/>
      <c r="AD329" s="142"/>
      <c r="AE329" s="18"/>
      <c r="AF329" s="18"/>
      <c r="AG329" s="203"/>
      <c r="AH329" s="203"/>
      <c r="AI329" s="18"/>
      <c r="AJ329" s="18"/>
      <c r="AK329" s="18"/>
      <c r="AL329" s="18"/>
      <c r="AM329" s="18"/>
      <c r="AN329" s="18"/>
    </row>
    <row r="330" spans="1:40" ht="20">
      <c r="A330" s="18"/>
      <c r="B330" s="151"/>
      <c r="C330" s="55">
        <v>310</v>
      </c>
      <c r="D330" s="54">
        <v>1</v>
      </c>
      <c r="E330" s="190">
        <f t="shared" si="76"/>
        <v>11</v>
      </c>
      <c r="F330" s="191">
        <f t="shared" si="77"/>
        <v>46332</v>
      </c>
      <c r="G330" s="192" t="str">
        <f t="shared" si="78"/>
        <v>Fri</v>
      </c>
      <c r="H330" s="193"/>
      <c r="I330" s="194"/>
      <c r="J330" s="307">
        <f>300990/B13</f>
        <v>2727.8412180532896</v>
      </c>
      <c r="K330" s="215"/>
      <c r="L330" s="317">
        <f t="shared" si="79"/>
        <v>3905.0447476131349</v>
      </c>
      <c r="M330" s="318">
        <f t="shared" si="73"/>
        <v>-1177.2035295598453</v>
      </c>
      <c r="N330" s="41">
        <f t="shared" si="72"/>
        <v>0.69854288346391347</v>
      </c>
      <c r="O330" s="56"/>
      <c r="P330" s="317">
        <f>IF(D330=0,0,SUM($L$325:L330))</f>
        <v>9840.6527415624842</v>
      </c>
      <c r="Q330" s="317">
        <f>IF(D330=0,0,SUM($I$325:I330))</f>
        <v>0</v>
      </c>
      <c r="R330" s="321">
        <f t="shared" si="74"/>
        <v>-9840.6527415624842</v>
      </c>
      <c r="S330" s="198">
        <f t="shared" si="80"/>
        <v>0</v>
      </c>
      <c r="T330" s="207"/>
      <c r="U330" s="317">
        <f>IF(D330=0,0,SUM($L$21:L330))</f>
        <v>543305.39807417116</v>
      </c>
      <c r="V330" s="317">
        <f>IF(D330=0,0,SUM($J$21:J330))</f>
        <v>583880.95182698953</v>
      </c>
      <c r="W330" s="331">
        <f t="shared" si="75"/>
        <v>40575.553752818378</v>
      </c>
      <c r="X330" s="200">
        <f t="shared" si="81"/>
        <v>1.0746827730713602</v>
      </c>
      <c r="Y330" s="201">
        <f t="shared" si="85"/>
        <v>46332</v>
      </c>
      <c r="Z330" s="202">
        <f t="shared" si="85"/>
        <v>46332</v>
      </c>
      <c r="AA330" s="18"/>
      <c r="AB330" s="244"/>
      <c r="AC330" s="247"/>
      <c r="AD330" s="142"/>
      <c r="AE330" s="18"/>
      <c r="AF330" s="18"/>
      <c r="AG330" s="203"/>
      <c r="AH330" s="203"/>
      <c r="AI330" s="18"/>
      <c r="AJ330" s="18"/>
      <c r="AK330" s="18"/>
      <c r="AL330" s="18"/>
      <c r="AM330" s="18"/>
      <c r="AN330" s="18"/>
    </row>
    <row r="331" spans="1:40" ht="20">
      <c r="A331" s="18"/>
      <c r="B331" s="151"/>
      <c r="C331" s="55">
        <v>311</v>
      </c>
      <c r="D331" s="54">
        <v>1</v>
      </c>
      <c r="E331" s="190">
        <f t="shared" si="76"/>
        <v>11</v>
      </c>
      <c r="F331" s="191">
        <f t="shared" si="77"/>
        <v>46333</v>
      </c>
      <c r="G331" s="192" t="str">
        <f t="shared" si="78"/>
        <v>Sat</v>
      </c>
      <c r="H331" s="193"/>
      <c r="I331" s="194"/>
      <c r="J331" s="307">
        <f>455090/B13</f>
        <v>4124.4335689686422</v>
      </c>
      <c r="K331" s="215"/>
      <c r="L331" s="317">
        <f t="shared" si="79"/>
        <v>2070.2812088013561</v>
      </c>
      <c r="M331" s="318">
        <f t="shared" si="73"/>
        <v>2054.1523601672861</v>
      </c>
      <c r="N331" s="41">
        <f t="shared" si="72"/>
        <v>1.9922093440420066</v>
      </c>
      <c r="O331" s="56"/>
      <c r="P331" s="317">
        <f>IF(D331=0,0,SUM($L$325:L331))</f>
        <v>11910.93395036384</v>
      </c>
      <c r="Q331" s="317">
        <f>IF(D331=0,0,SUM($I$325:I331))</f>
        <v>0</v>
      </c>
      <c r="R331" s="321">
        <f t="shared" si="74"/>
        <v>-11910.93395036384</v>
      </c>
      <c r="S331" s="198">
        <f t="shared" si="80"/>
        <v>0</v>
      </c>
      <c r="T331" s="207"/>
      <c r="U331" s="317">
        <f>IF(D331=0,0,SUM($L$21:L331))</f>
        <v>545375.67928297247</v>
      </c>
      <c r="V331" s="317">
        <f>IF(D331=0,0,SUM($J$21:J331))</f>
        <v>588005.3853959582</v>
      </c>
      <c r="W331" s="331">
        <f t="shared" si="75"/>
        <v>42629.706112985732</v>
      </c>
      <c r="X331" s="200">
        <f t="shared" si="81"/>
        <v>1.0781657630370183</v>
      </c>
      <c r="Y331" s="201">
        <f t="shared" si="85"/>
        <v>46333</v>
      </c>
      <c r="Z331" s="202">
        <f t="shared" si="85"/>
        <v>46333</v>
      </c>
      <c r="AA331" s="18"/>
      <c r="AB331" s="244"/>
      <c r="AC331" s="247"/>
      <c r="AD331" s="142"/>
      <c r="AE331" s="18"/>
      <c r="AF331" s="18"/>
      <c r="AG331" s="203"/>
      <c r="AH331" s="203"/>
      <c r="AI331" s="18"/>
      <c r="AJ331" s="18"/>
      <c r="AK331" s="18"/>
      <c r="AL331" s="18"/>
      <c r="AM331" s="18"/>
      <c r="AN331" s="18"/>
    </row>
    <row r="332" spans="1:40" ht="20">
      <c r="A332" s="18"/>
      <c r="B332" s="151"/>
      <c r="C332" s="55">
        <v>312</v>
      </c>
      <c r="D332" s="54">
        <v>0</v>
      </c>
      <c r="E332" s="190">
        <f t="shared" si="76"/>
        <v>11</v>
      </c>
      <c r="F332" s="191">
        <f t="shared" si="77"/>
        <v>46334</v>
      </c>
      <c r="G332" s="192" t="str">
        <f t="shared" si="78"/>
        <v>Sun</v>
      </c>
      <c r="H332" s="193"/>
      <c r="I332" s="194"/>
      <c r="J332" s="307"/>
      <c r="K332" s="215"/>
      <c r="L332" s="317">
        <f t="shared" si="79"/>
        <v>0</v>
      </c>
      <c r="M332" s="318">
        <f t="shared" si="73"/>
        <v>0</v>
      </c>
      <c r="N332" s="41" t="str">
        <f t="shared" si="72"/>
        <v>¥0</v>
      </c>
      <c r="O332" s="56"/>
      <c r="P332" s="317">
        <f>IF(D332=0,0,SUM($L$325:L332))</f>
        <v>0</v>
      </c>
      <c r="Q332" s="317">
        <f>IF(D332=0,0,SUM($I$325:I332))</f>
        <v>0</v>
      </c>
      <c r="R332" s="321">
        <f t="shared" si="74"/>
        <v>0</v>
      </c>
      <c r="S332" s="198">
        <f t="shared" si="80"/>
        <v>0</v>
      </c>
      <c r="T332" s="207"/>
      <c r="U332" s="317">
        <f>IF(D332=0,0,SUM($L$21:L332))</f>
        <v>0</v>
      </c>
      <c r="V332" s="317">
        <f>IF(D332=0,0,SUM($J$21:J332))</f>
        <v>0</v>
      </c>
      <c r="W332" s="331">
        <f t="shared" si="75"/>
        <v>0</v>
      </c>
      <c r="X332" s="200">
        <f t="shared" si="81"/>
        <v>0</v>
      </c>
      <c r="Y332" s="201">
        <f t="shared" si="85"/>
        <v>46334</v>
      </c>
      <c r="Z332" s="202">
        <f t="shared" si="85"/>
        <v>46334</v>
      </c>
      <c r="AA332" s="18"/>
      <c r="AB332" s="244"/>
      <c r="AC332" s="247"/>
      <c r="AD332" s="142"/>
      <c r="AE332" s="18"/>
      <c r="AF332" s="18"/>
      <c r="AG332" s="203"/>
      <c r="AH332" s="203"/>
      <c r="AI332" s="18"/>
      <c r="AJ332" s="18"/>
      <c r="AK332" s="18"/>
      <c r="AL332" s="18"/>
      <c r="AM332" s="18"/>
      <c r="AN332" s="18"/>
    </row>
    <row r="333" spans="1:40" ht="20">
      <c r="A333" s="18"/>
      <c r="B333" s="151"/>
      <c r="C333" s="55">
        <v>313</v>
      </c>
      <c r="D333" s="54">
        <v>1</v>
      </c>
      <c r="E333" s="190">
        <f t="shared" si="76"/>
        <v>11</v>
      </c>
      <c r="F333" s="191">
        <f t="shared" si="77"/>
        <v>46335</v>
      </c>
      <c r="G333" s="192" t="str">
        <f t="shared" si="78"/>
        <v>Mon</v>
      </c>
      <c r="H333" s="193"/>
      <c r="I333" s="194"/>
      <c r="J333" s="307">
        <f>213450/B13</f>
        <v>1934.4752582925503</v>
      </c>
      <c r="K333" s="215"/>
      <c r="L333" s="317">
        <f t="shared" si="79"/>
        <v>992.15188882816528</v>
      </c>
      <c r="M333" s="318">
        <f t="shared" si="73"/>
        <v>942.323369464385</v>
      </c>
      <c r="N333" s="41">
        <f t="shared" si="72"/>
        <v>1.949777327519244</v>
      </c>
      <c r="O333" s="44"/>
      <c r="P333" s="317">
        <f>IF(D333=0,0,SUM($L$325:L333))</f>
        <v>12903.085839192005</v>
      </c>
      <c r="Q333" s="317">
        <f>IF(D333=0,0,SUM($I$325:I333))</f>
        <v>0</v>
      </c>
      <c r="R333" s="321">
        <f t="shared" si="74"/>
        <v>-12903.085839192005</v>
      </c>
      <c r="S333" s="198">
        <f t="shared" si="80"/>
        <v>0</v>
      </c>
      <c r="T333" s="212"/>
      <c r="U333" s="317">
        <f>IF(D333=0,0,SUM($L$21:L333))</f>
        <v>546367.83117180062</v>
      </c>
      <c r="V333" s="317">
        <f>IF(D333=0,0,SUM($J$21:J333))</f>
        <v>589939.86065425072</v>
      </c>
      <c r="W333" s="331">
        <f t="shared" si="75"/>
        <v>43572.029482450103</v>
      </c>
      <c r="X333" s="200">
        <f t="shared" si="81"/>
        <v>1.079748526535687</v>
      </c>
      <c r="Y333" s="201">
        <f t="shared" si="85"/>
        <v>46335</v>
      </c>
      <c r="Z333" s="202">
        <f t="shared" si="85"/>
        <v>46335</v>
      </c>
      <c r="AA333" s="18"/>
      <c r="AB333" s="244"/>
      <c r="AC333" s="247"/>
      <c r="AD333" s="142"/>
      <c r="AE333" s="18"/>
      <c r="AF333" s="18"/>
      <c r="AG333" s="203"/>
      <c r="AH333" s="203"/>
      <c r="AI333" s="18"/>
      <c r="AJ333" s="18"/>
      <c r="AK333" s="18"/>
      <c r="AL333" s="18"/>
      <c r="AM333" s="18"/>
      <c r="AN333" s="18"/>
    </row>
    <row r="334" spans="1:40" ht="20">
      <c r="A334" s="18"/>
      <c r="B334" s="151"/>
      <c r="C334" s="55">
        <v>314</v>
      </c>
      <c r="D334" s="54">
        <v>1</v>
      </c>
      <c r="E334" s="190">
        <f t="shared" si="76"/>
        <v>11</v>
      </c>
      <c r="F334" s="191">
        <f t="shared" si="77"/>
        <v>46336</v>
      </c>
      <c r="G334" s="192" t="str">
        <f t="shared" si="78"/>
        <v>Tue</v>
      </c>
      <c r="H334" s="193"/>
      <c r="I334" s="194"/>
      <c r="J334" s="307">
        <f>300900/B13</f>
        <v>2727.0255573681347</v>
      </c>
      <c r="K334" s="215"/>
      <c r="L334" s="317">
        <f t="shared" si="79"/>
        <v>4343.4663415539108</v>
      </c>
      <c r="M334" s="318">
        <f t="shared" si="73"/>
        <v>-1616.440784185776</v>
      </c>
      <c r="N334" s="41">
        <f t="shared" si="72"/>
        <v>0.62784544484176175</v>
      </c>
      <c r="O334" s="56"/>
      <c r="P334" s="317">
        <f>IF(D334=0,0,SUM($L$325:L334))</f>
        <v>17246.552180745915</v>
      </c>
      <c r="Q334" s="317">
        <f>IF(D334=0,0,SUM($I$325:I334))</f>
        <v>0</v>
      </c>
      <c r="R334" s="321">
        <f t="shared" si="74"/>
        <v>-17246.552180745915</v>
      </c>
      <c r="S334" s="198">
        <f t="shared" si="80"/>
        <v>0</v>
      </c>
      <c r="T334" s="207"/>
      <c r="U334" s="317">
        <f>IF(D334=0,0,SUM($L$21:L334))</f>
        <v>550711.29751335457</v>
      </c>
      <c r="V334" s="317">
        <f>IF(D334=0,0,SUM($J$21:J334))</f>
        <v>592666.8862116189</v>
      </c>
      <c r="W334" s="331">
        <f t="shared" si="75"/>
        <v>41955.588698264328</v>
      </c>
      <c r="X334" s="200">
        <f t="shared" si="81"/>
        <v>1.0761843617294722</v>
      </c>
      <c r="Y334" s="201">
        <f t="shared" si="85"/>
        <v>46336</v>
      </c>
      <c r="Z334" s="202">
        <f t="shared" si="85"/>
        <v>46336</v>
      </c>
      <c r="AA334" s="18"/>
      <c r="AB334" s="244"/>
      <c r="AC334" s="247"/>
      <c r="AD334" s="142"/>
      <c r="AE334" s="18"/>
      <c r="AF334" s="18"/>
      <c r="AG334" s="203"/>
      <c r="AH334" s="203"/>
      <c r="AI334" s="18"/>
      <c r="AJ334" s="18"/>
      <c r="AK334" s="18"/>
      <c r="AL334" s="18"/>
      <c r="AM334" s="18"/>
      <c r="AN334" s="18"/>
    </row>
    <row r="335" spans="1:40" ht="20">
      <c r="A335" s="18"/>
      <c r="B335" s="151"/>
      <c r="C335" s="55">
        <v>315</v>
      </c>
      <c r="D335" s="54">
        <v>1</v>
      </c>
      <c r="E335" s="190">
        <f t="shared" si="76"/>
        <v>11</v>
      </c>
      <c r="F335" s="191">
        <f t="shared" si="77"/>
        <v>46337</v>
      </c>
      <c r="G335" s="192" t="str">
        <f t="shared" si="78"/>
        <v>Wed</v>
      </c>
      <c r="H335" s="193"/>
      <c r="I335" s="194"/>
      <c r="J335" s="307">
        <f>310980/B13</f>
        <v>2818.3795541054919</v>
      </c>
      <c r="K335" s="215"/>
      <c r="L335" s="317">
        <f t="shared" si="79"/>
        <v>2504.0838897517933</v>
      </c>
      <c r="M335" s="318">
        <f t="shared" si="73"/>
        <v>314.29566435369861</v>
      </c>
      <c r="N335" s="41">
        <f t="shared" si="72"/>
        <v>1.125513232859324</v>
      </c>
      <c r="O335" s="56"/>
      <c r="P335" s="317">
        <f>IF(D335=0,0,SUM($L$325:L335))</f>
        <v>19750.636070497709</v>
      </c>
      <c r="Q335" s="317">
        <f>IF(D335=0,0,SUM($I$325:I335))</f>
        <v>0</v>
      </c>
      <c r="R335" s="321">
        <f t="shared" si="74"/>
        <v>-19750.636070497709</v>
      </c>
      <c r="S335" s="198">
        <f t="shared" si="80"/>
        <v>0</v>
      </c>
      <c r="T335" s="207"/>
      <c r="U335" s="317">
        <f>IF(D335=0,0,SUM($L$21:L335))</f>
        <v>553215.38140310638</v>
      </c>
      <c r="V335" s="317">
        <f>IF(D335=0,0,SUM($J$21:J335))</f>
        <v>595485.26576572435</v>
      </c>
      <c r="W335" s="331">
        <f t="shared" si="75"/>
        <v>42269.884362617973</v>
      </c>
      <c r="X335" s="200">
        <f t="shared" si="81"/>
        <v>1.0764076448044699</v>
      </c>
      <c r="Y335" s="201">
        <f t="shared" si="85"/>
        <v>46337</v>
      </c>
      <c r="Z335" s="202">
        <f t="shared" si="85"/>
        <v>46337</v>
      </c>
      <c r="AA335" s="18"/>
      <c r="AB335" s="244"/>
      <c r="AC335" s="247"/>
      <c r="AD335" s="142"/>
      <c r="AE335" s="18"/>
      <c r="AF335" s="18"/>
      <c r="AG335" s="203"/>
      <c r="AH335" s="203"/>
      <c r="AI335" s="18"/>
      <c r="AJ335" s="18"/>
      <c r="AK335" s="18"/>
      <c r="AL335" s="18"/>
      <c r="AM335" s="18"/>
      <c r="AN335" s="18"/>
    </row>
    <row r="336" spans="1:40" ht="20">
      <c r="A336" s="18"/>
      <c r="B336" s="151"/>
      <c r="C336" s="55">
        <v>316</v>
      </c>
      <c r="D336" s="54">
        <v>1</v>
      </c>
      <c r="E336" s="190">
        <f t="shared" si="76"/>
        <v>11</v>
      </c>
      <c r="F336" s="191">
        <f t="shared" si="77"/>
        <v>46338</v>
      </c>
      <c r="G336" s="192" t="str">
        <f t="shared" si="78"/>
        <v>Thu</v>
      </c>
      <c r="H336" s="193"/>
      <c r="I336" s="194"/>
      <c r="J336" s="307">
        <f>210990/B13</f>
        <v>1912.1805328983141</v>
      </c>
      <c r="K336" s="215"/>
      <c r="L336" s="317">
        <f t="shared" si="79"/>
        <v>2439.3722153693907</v>
      </c>
      <c r="M336" s="318">
        <f t="shared" si="73"/>
        <v>-527.19168247107655</v>
      </c>
      <c r="N336" s="41">
        <f t="shared" si="72"/>
        <v>0.78388223037489801</v>
      </c>
      <c r="O336" s="56"/>
      <c r="P336" s="317">
        <f>IF(D336=0,0,SUM($L$325:L336))</f>
        <v>22190.008285867101</v>
      </c>
      <c r="Q336" s="317">
        <f>IF(D336=0,0,SUM($I$325:I336))</f>
        <v>0</v>
      </c>
      <c r="R336" s="321">
        <f t="shared" si="74"/>
        <v>-22190.008285867101</v>
      </c>
      <c r="S336" s="198">
        <f t="shared" si="80"/>
        <v>0</v>
      </c>
      <c r="T336" s="207"/>
      <c r="U336" s="317">
        <f>IF(D336=0,0,SUM($L$21:L336))</f>
        <v>555654.75361847575</v>
      </c>
      <c r="V336" s="317">
        <f>IF(D336=0,0,SUM($J$21:J336))</f>
        <v>597397.44629862264</v>
      </c>
      <c r="W336" s="331">
        <f t="shared" si="75"/>
        <v>41742.692680146894</v>
      </c>
      <c r="X336" s="200">
        <f t="shared" si="81"/>
        <v>1.0751234330459958</v>
      </c>
      <c r="Y336" s="201">
        <f t="shared" si="85"/>
        <v>46338</v>
      </c>
      <c r="Z336" s="202">
        <f t="shared" si="85"/>
        <v>46338</v>
      </c>
      <c r="AA336" s="18"/>
      <c r="AB336" s="244"/>
      <c r="AC336" s="247"/>
      <c r="AD336" s="142"/>
      <c r="AE336" s="18"/>
      <c r="AF336" s="18"/>
      <c r="AG336" s="203"/>
      <c r="AH336" s="203"/>
      <c r="AI336" s="18"/>
      <c r="AJ336" s="18"/>
      <c r="AK336" s="18"/>
      <c r="AL336" s="18"/>
      <c r="AM336" s="18"/>
      <c r="AN336" s="18"/>
    </row>
    <row r="337" spans="1:40" ht="20">
      <c r="A337" s="18"/>
      <c r="B337" s="151"/>
      <c r="C337" s="55">
        <v>317</v>
      </c>
      <c r="D337" s="54">
        <v>1</v>
      </c>
      <c r="E337" s="190">
        <f t="shared" si="76"/>
        <v>11</v>
      </c>
      <c r="F337" s="191">
        <f t="shared" si="77"/>
        <v>46339</v>
      </c>
      <c r="G337" s="192" t="str">
        <f t="shared" si="78"/>
        <v>Fri</v>
      </c>
      <c r="H337" s="193"/>
      <c r="I337" s="194"/>
      <c r="J337" s="307">
        <f>257990/B13</f>
        <v>2338.1366684792461</v>
      </c>
      <c r="K337" s="215"/>
      <c r="L337" s="317">
        <f t="shared" si="79"/>
        <v>3905.0447476131349</v>
      </c>
      <c r="M337" s="318">
        <f t="shared" si="73"/>
        <v>-1566.9080791338888</v>
      </c>
      <c r="N337" s="41">
        <f t="shared" si="72"/>
        <v>0.59874772751538274</v>
      </c>
      <c r="O337" s="56"/>
      <c r="P337" s="317">
        <f>IF(D337=0,0,SUM($L$325:L337))</f>
        <v>26095.053033480235</v>
      </c>
      <c r="Q337" s="317">
        <f>IF(D337=0,0,SUM($I$325:I337))</f>
        <v>0</v>
      </c>
      <c r="R337" s="321">
        <f t="shared" si="74"/>
        <v>-26095.053033480235</v>
      </c>
      <c r="S337" s="198">
        <f t="shared" si="80"/>
        <v>0</v>
      </c>
      <c r="T337" s="207"/>
      <c r="U337" s="317">
        <f>IF(D337=0,0,SUM($L$21:L337))</f>
        <v>559559.79836608889</v>
      </c>
      <c r="V337" s="317">
        <f>IF(D337=0,0,SUM($J$21:J337))</f>
        <v>599735.58296710195</v>
      </c>
      <c r="W337" s="331">
        <f t="shared" si="75"/>
        <v>40175.78460101306</v>
      </c>
      <c r="X337" s="200">
        <f t="shared" si="81"/>
        <v>1.0717989117844529</v>
      </c>
      <c r="Y337" s="201">
        <f t="shared" si="85"/>
        <v>46339</v>
      </c>
      <c r="Z337" s="202">
        <f t="shared" si="85"/>
        <v>46339</v>
      </c>
      <c r="AA337" s="18"/>
      <c r="AB337" s="244"/>
      <c r="AC337" s="247"/>
      <c r="AD337" s="142"/>
      <c r="AE337" s="18"/>
      <c r="AF337" s="18"/>
      <c r="AG337" s="203"/>
      <c r="AH337" s="203"/>
      <c r="AI337" s="18"/>
      <c r="AJ337" s="18"/>
      <c r="AK337" s="18"/>
      <c r="AL337" s="18"/>
      <c r="AM337" s="18"/>
      <c r="AN337" s="18"/>
    </row>
    <row r="338" spans="1:40" ht="20">
      <c r="A338" s="18"/>
      <c r="B338" s="151"/>
      <c r="C338" s="55">
        <v>318</v>
      </c>
      <c r="D338" s="54">
        <v>1</v>
      </c>
      <c r="E338" s="190">
        <f t="shared" si="76"/>
        <v>11</v>
      </c>
      <c r="F338" s="191">
        <f t="shared" si="77"/>
        <v>46340</v>
      </c>
      <c r="G338" s="192" t="str">
        <f t="shared" si="78"/>
        <v>Sat</v>
      </c>
      <c r="H338" s="193"/>
      <c r="I338" s="194"/>
      <c r="J338" s="307">
        <f>441550/B13</f>
        <v>4001.7219503353272</v>
      </c>
      <c r="K338" s="215"/>
      <c r="L338" s="317">
        <f t="shared" si="79"/>
        <v>2070.2812088013561</v>
      </c>
      <c r="M338" s="318">
        <f t="shared" si="73"/>
        <v>1931.440741533971</v>
      </c>
      <c r="N338" s="41">
        <f t="shared" si="72"/>
        <v>1.9329364210634117</v>
      </c>
      <c r="O338" s="56"/>
      <c r="P338" s="317">
        <f>IF(D338=0,0,SUM($L$325:L338))</f>
        <v>28165.334242281591</v>
      </c>
      <c r="Q338" s="317">
        <f>IF(D338=0,0,SUM($I$325:I338))</f>
        <v>0</v>
      </c>
      <c r="R338" s="321">
        <f t="shared" si="74"/>
        <v>-28165.334242281591</v>
      </c>
      <c r="S338" s="198">
        <f t="shared" si="80"/>
        <v>0</v>
      </c>
      <c r="T338" s="207"/>
      <c r="U338" s="317">
        <f>IF(D338=0,0,SUM($L$21:L338))</f>
        <v>561630.0795748902</v>
      </c>
      <c r="V338" s="317">
        <f>IF(D338=0,0,SUM($J$21:J338))</f>
        <v>603737.30491743726</v>
      </c>
      <c r="W338" s="331">
        <f t="shared" si="75"/>
        <v>42107.225342547055</v>
      </c>
      <c r="X338" s="200">
        <f t="shared" si="81"/>
        <v>1.0749732374989938</v>
      </c>
      <c r="Y338" s="201">
        <f t="shared" si="85"/>
        <v>46340</v>
      </c>
      <c r="Z338" s="202">
        <f t="shared" si="85"/>
        <v>46340</v>
      </c>
      <c r="AA338" s="18"/>
      <c r="AB338" s="244"/>
      <c r="AC338" s="247"/>
      <c r="AD338" s="142"/>
      <c r="AE338" s="18"/>
      <c r="AF338" s="18"/>
      <c r="AG338" s="203"/>
      <c r="AH338" s="203"/>
      <c r="AI338" s="18"/>
      <c r="AJ338" s="18"/>
      <c r="AK338" s="18"/>
      <c r="AL338" s="18"/>
      <c r="AM338" s="18"/>
      <c r="AN338" s="18"/>
    </row>
    <row r="339" spans="1:40" ht="20">
      <c r="A339" s="18"/>
      <c r="B339" s="151"/>
      <c r="C339" s="55">
        <v>319</v>
      </c>
      <c r="D339" s="54">
        <v>0</v>
      </c>
      <c r="E339" s="190">
        <f t="shared" si="76"/>
        <v>11</v>
      </c>
      <c r="F339" s="191">
        <f t="shared" si="77"/>
        <v>46341</v>
      </c>
      <c r="G339" s="192" t="str">
        <f t="shared" si="78"/>
        <v>Sun</v>
      </c>
      <c r="H339" s="193"/>
      <c r="I339" s="194"/>
      <c r="J339" s="307"/>
      <c r="K339" s="215"/>
      <c r="L339" s="317">
        <f t="shared" si="79"/>
        <v>0</v>
      </c>
      <c r="M339" s="318">
        <f t="shared" si="73"/>
        <v>0</v>
      </c>
      <c r="N339" s="41" t="str">
        <f t="shared" si="72"/>
        <v>¥0</v>
      </c>
      <c r="O339" s="56"/>
      <c r="P339" s="317">
        <f>IF(D339=0,0,SUM($L$325:L339))</f>
        <v>0</v>
      </c>
      <c r="Q339" s="317">
        <f>IF(D339=0,0,SUM($I$325:I339))</f>
        <v>0</v>
      </c>
      <c r="R339" s="321">
        <f t="shared" si="74"/>
        <v>0</v>
      </c>
      <c r="S339" s="198">
        <f t="shared" si="80"/>
        <v>0</v>
      </c>
      <c r="T339" s="207"/>
      <c r="U339" s="317">
        <f>IF(D339=0,0,SUM($L$21:L339))</f>
        <v>0</v>
      </c>
      <c r="V339" s="317">
        <f>IF(D339=0,0,SUM($J$21:J339))</f>
        <v>0</v>
      </c>
      <c r="W339" s="331">
        <f t="shared" si="75"/>
        <v>0</v>
      </c>
      <c r="X339" s="200">
        <f t="shared" si="81"/>
        <v>0</v>
      </c>
      <c r="Y339" s="201">
        <f t="shared" si="85"/>
        <v>46341</v>
      </c>
      <c r="Z339" s="202">
        <f t="shared" si="85"/>
        <v>46341</v>
      </c>
      <c r="AA339" s="18"/>
      <c r="AB339" s="244"/>
      <c r="AC339" s="247"/>
      <c r="AD339" s="142"/>
      <c r="AE339" s="18"/>
      <c r="AF339" s="18"/>
      <c r="AG339" s="203"/>
      <c r="AH339" s="203"/>
      <c r="AI339" s="18"/>
      <c r="AJ339" s="18"/>
      <c r="AK339" s="18"/>
      <c r="AL339" s="18"/>
      <c r="AM339" s="18"/>
      <c r="AN339" s="18"/>
    </row>
    <row r="340" spans="1:40" ht="20">
      <c r="A340" s="18"/>
      <c r="B340" s="151"/>
      <c r="C340" s="55">
        <v>320</v>
      </c>
      <c r="D340" s="54">
        <v>1</v>
      </c>
      <c r="E340" s="190">
        <f t="shared" si="76"/>
        <v>11</v>
      </c>
      <c r="F340" s="191">
        <f t="shared" si="77"/>
        <v>46342</v>
      </c>
      <c r="G340" s="192" t="str">
        <f t="shared" si="78"/>
        <v>Mon</v>
      </c>
      <c r="H340" s="193"/>
      <c r="I340" s="194"/>
      <c r="J340" s="307">
        <f>130980/B13</f>
        <v>1187.058183795541</v>
      </c>
      <c r="K340" s="215"/>
      <c r="L340" s="317">
        <f t="shared" si="79"/>
        <v>992.15188882816528</v>
      </c>
      <c r="M340" s="318">
        <f t="shared" si="73"/>
        <v>194.90629496737574</v>
      </c>
      <c r="N340" s="41">
        <f t="shared" si="72"/>
        <v>1.196448041032891</v>
      </c>
      <c r="O340" s="44"/>
      <c r="P340" s="317">
        <f>IF(D340=0,0,SUM($L$325:L340))</f>
        <v>29157.486131109756</v>
      </c>
      <c r="Q340" s="317">
        <f>IF(D340=0,0,SUM($I$325:I340))</f>
        <v>0</v>
      </c>
      <c r="R340" s="321">
        <f t="shared" si="74"/>
        <v>-29157.486131109756</v>
      </c>
      <c r="S340" s="198">
        <f t="shared" si="80"/>
        <v>0</v>
      </c>
      <c r="T340" s="212"/>
      <c r="U340" s="317">
        <f>IF(D340=0,0,SUM($L$21:L340))</f>
        <v>562622.23146371834</v>
      </c>
      <c r="V340" s="317">
        <f>IF(D340=0,0,SUM($J$21:J340))</f>
        <v>604924.3631012328</v>
      </c>
      <c r="W340" s="331">
        <f t="shared" si="75"/>
        <v>42302.131637514452</v>
      </c>
      <c r="X340" s="200">
        <f t="shared" si="81"/>
        <v>1.0751874513160655</v>
      </c>
      <c r="Y340" s="201">
        <f t="shared" si="85"/>
        <v>46342</v>
      </c>
      <c r="Z340" s="202">
        <f t="shared" si="85"/>
        <v>46342</v>
      </c>
      <c r="AA340" s="18"/>
      <c r="AB340" s="244"/>
      <c r="AC340" s="247"/>
      <c r="AD340" s="142"/>
      <c r="AE340" s="18"/>
      <c r="AF340" s="18"/>
      <c r="AG340" s="203"/>
      <c r="AH340" s="203"/>
      <c r="AI340" s="18"/>
      <c r="AJ340" s="18"/>
      <c r="AK340" s="18"/>
      <c r="AL340" s="18"/>
      <c r="AM340" s="18"/>
      <c r="AN340" s="18"/>
    </row>
    <row r="341" spans="1:40" ht="20">
      <c r="A341" s="18"/>
      <c r="B341" s="151"/>
      <c r="C341" s="55">
        <v>321</v>
      </c>
      <c r="D341" s="54">
        <v>1</v>
      </c>
      <c r="E341" s="190">
        <f t="shared" si="76"/>
        <v>11</v>
      </c>
      <c r="F341" s="191">
        <f t="shared" si="77"/>
        <v>46343</v>
      </c>
      <c r="G341" s="192" t="str">
        <f t="shared" si="78"/>
        <v>Tue</v>
      </c>
      <c r="H341" s="193"/>
      <c r="I341" s="194"/>
      <c r="J341" s="307">
        <f>300810/B13</f>
        <v>2726.2098966829799</v>
      </c>
      <c r="K341" s="215"/>
      <c r="L341" s="317">
        <f t="shared" si="79"/>
        <v>4343.4663415539108</v>
      </c>
      <c r="M341" s="318">
        <f t="shared" ref="M341:M385" si="86">IF(D341=0,0,J341-L341)</f>
        <v>-1617.2564448709309</v>
      </c>
      <c r="N341" s="41">
        <f t="shared" si="72"/>
        <v>0.62765765457909728</v>
      </c>
      <c r="O341" s="56"/>
      <c r="P341" s="317">
        <f>IF(D341=0,0,SUM($L$325:L341))</f>
        <v>33500.952472663666</v>
      </c>
      <c r="Q341" s="317">
        <f>IF(D341=0,0,SUM($I$325:I341))</f>
        <v>0</v>
      </c>
      <c r="R341" s="321">
        <f t="shared" ref="R341:R385" si="87">IF(D341=0,0,Q341-P341)</f>
        <v>-33500.952472663666</v>
      </c>
      <c r="S341" s="198">
        <f t="shared" si="80"/>
        <v>0</v>
      </c>
      <c r="T341" s="207"/>
      <c r="U341" s="317">
        <f>IF(D341=0,0,SUM($L$21:L341))</f>
        <v>566965.6978052723</v>
      </c>
      <c r="V341" s="317">
        <f>IF(D341=0,0,SUM($J$21:J341))</f>
        <v>607650.57299791579</v>
      </c>
      <c r="W341" s="331">
        <f t="shared" ref="W341:W385" si="88">IF(D341=0,0,V341-U341)</f>
        <v>40684.875192643492</v>
      </c>
      <c r="X341" s="200">
        <f t="shared" si="81"/>
        <v>1.0717589712219537</v>
      </c>
      <c r="Y341" s="201">
        <f t="shared" si="85"/>
        <v>46343</v>
      </c>
      <c r="Z341" s="202">
        <f t="shared" si="85"/>
        <v>46343</v>
      </c>
      <c r="AA341" s="18"/>
      <c r="AB341" s="244"/>
      <c r="AC341" s="247"/>
      <c r="AD341" s="142"/>
      <c r="AE341" s="18"/>
      <c r="AF341" s="18"/>
      <c r="AG341" s="203"/>
      <c r="AH341" s="203"/>
      <c r="AI341" s="18"/>
      <c r="AJ341" s="18"/>
      <c r="AK341" s="18"/>
      <c r="AL341" s="18"/>
      <c r="AM341" s="18"/>
      <c r="AN341" s="18"/>
    </row>
    <row r="342" spans="1:40" ht="20">
      <c r="A342" s="18"/>
      <c r="B342" s="151"/>
      <c r="C342" s="55">
        <v>322</v>
      </c>
      <c r="D342" s="54">
        <v>1</v>
      </c>
      <c r="E342" s="190">
        <f t="shared" ref="E342:E385" si="89">MONTH(Y342)</f>
        <v>11</v>
      </c>
      <c r="F342" s="191">
        <f t="shared" ref="F342:F385" si="90">F341+1</f>
        <v>46344</v>
      </c>
      <c r="G342" s="192" t="str">
        <f t="shared" ref="G342:G385" si="91">TEXT(Z342,"ddd")</f>
        <v>Wed</v>
      </c>
      <c r="H342" s="193"/>
      <c r="I342" s="194"/>
      <c r="J342" s="307">
        <f>223990/B13</f>
        <v>2029.9981874206997</v>
      </c>
      <c r="K342" s="215"/>
      <c r="L342" s="317">
        <f t="shared" ref="L342:L385" si="92">IF(D342=0,0,IFERROR(SUMIFS($AE$21:$AE$104,$AA$21:$AA$104,$E342,$AB$21:$AB$104,$G342),0))</f>
        <v>2504.0838897517933</v>
      </c>
      <c r="M342" s="318">
        <f t="shared" si="86"/>
        <v>-474.08570233109367</v>
      </c>
      <c r="N342" s="41">
        <f t="shared" si="72"/>
        <v>0.81067499205145022</v>
      </c>
      <c r="O342" s="56"/>
      <c r="P342" s="317">
        <f>IF(D342=0,0,SUM($L$325:L342))</f>
        <v>36005.036362415456</v>
      </c>
      <c r="Q342" s="317">
        <f>IF(D342=0,0,SUM($I$325:I342))</f>
        <v>0</v>
      </c>
      <c r="R342" s="321">
        <f t="shared" si="87"/>
        <v>-36005.036362415456</v>
      </c>
      <c r="S342" s="198">
        <f t="shared" ref="S342:S385" si="93">IF(D342=0,0,Q342/P342)</f>
        <v>0</v>
      </c>
      <c r="T342" s="207"/>
      <c r="U342" s="317">
        <f>IF(D342=0,0,SUM($L$21:L342))</f>
        <v>569469.78169502411</v>
      </c>
      <c r="V342" s="317">
        <f>IF(D342=0,0,SUM($J$21:J342))</f>
        <v>609680.57118533645</v>
      </c>
      <c r="W342" s="331">
        <f t="shared" si="88"/>
        <v>40210.789490312338</v>
      </c>
      <c r="X342" s="200">
        <f t="shared" ref="X342:X385" si="94">IF(D342=0,0,V342/U342)</f>
        <v>1.0706109275379374</v>
      </c>
      <c r="Y342" s="201">
        <f t="shared" si="85"/>
        <v>46344</v>
      </c>
      <c r="Z342" s="202">
        <f t="shared" si="85"/>
        <v>46344</v>
      </c>
      <c r="AA342" s="18"/>
      <c r="AB342" s="244"/>
      <c r="AC342" s="247"/>
      <c r="AD342" s="142"/>
      <c r="AE342" s="18"/>
      <c r="AF342" s="18"/>
      <c r="AG342" s="203"/>
      <c r="AH342" s="203"/>
      <c r="AI342" s="18"/>
      <c r="AJ342" s="18"/>
      <c r="AK342" s="18"/>
      <c r="AL342" s="18"/>
      <c r="AM342" s="18"/>
      <c r="AN342" s="18"/>
    </row>
    <row r="343" spans="1:40" ht="20">
      <c r="A343" s="18"/>
      <c r="B343" s="151"/>
      <c r="C343" s="55">
        <v>323</v>
      </c>
      <c r="D343" s="54">
        <v>1</v>
      </c>
      <c r="E343" s="190">
        <f t="shared" si="89"/>
        <v>11</v>
      </c>
      <c r="F343" s="191">
        <f t="shared" si="90"/>
        <v>46345</v>
      </c>
      <c r="G343" s="192" t="str">
        <f t="shared" si="91"/>
        <v>Thu</v>
      </c>
      <c r="H343" s="193"/>
      <c r="I343" s="194"/>
      <c r="J343" s="307">
        <f>217680/B13</f>
        <v>1972.8113104948341</v>
      </c>
      <c r="K343" s="215"/>
      <c r="L343" s="317">
        <f t="shared" si="92"/>
        <v>2439.3722153693907</v>
      </c>
      <c r="M343" s="318">
        <f t="shared" si="86"/>
        <v>-466.56090487455663</v>
      </c>
      <c r="N343" s="41">
        <f t="shared" si="72"/>
        <v>0.80873730464954652</v>
      </c>
      <c r="O343" s="56"/>
      <c r="P343" s="317">
        <f>IF(D343=0,0,SUM($L$325:L343))</f>
        <v>38444.408577784845</v>
      </c>
      <c r="Q343" s="317">
        <f>IF(D343=0,0,SUM($I$325:I343))</f>
        <v>0</v>
      </c>
      <c r="R343" s="321">
        <f t="shared" si="87"/>
        <v>-38444.408577784845</v>
      </c>
      <c r="S343" s="198">
        <f t="shared" si="93"/>
        <v>0</v>
      </c>
      <c r="T343" s="207"/>
      <c r="U343" s="317">
        <f>IF(D343=0,0,SUM($L$21:L343))</f>
        <v>571909.15391039348</v>
      </c>
      <c r="V343" s="317">
        <f>IF(D343=0,0,SUM($J$21:J343))</f>
        <v>611653.38249583123</v>
      </c>
      <c r="W343" s="331">
        <f t="shared" si="88"/>
        <v>39744.228585437755</v>
      </c>
      <c r="X343" s="200">
        <f t="shared" si="94"/>
        <v>1.0694939542647448</v>
      </c>
      <c r="Y343" s="201">
        <f t="shared" ref="Y343:Z358" si="95">Y342+1</f>
        <v>46345</v>
      </c>
      <c r="Z343" s="202">
        <f t="shared" si="95"/>
        <v>46345</v>
      </c>
      <c r="AA343" s="18"/>
      <c r="AB343" s="244"/>
      <c r="AC343" s="247"/>
      <c r="AD343" s="142"/>
      <c r="AE343" s="18"/>
      <c r="AF343" s="18"/>
      <c r="AG343" s="203"/>
      <c r="AH343" s="203"/>
      <c r="AI343" s="18"/>
      <c r="AJ343" s="18"/>
      <c r="AK343" s="18"/>
      <c r="AL343" s="18"/>
      <c r="AM343" s="18"/>
      <c r="AN343" s="18"/>
    </row>
    <row r="344" spans="1:40" ht="20">
      <c r="A344" s="18"/>
      <c r="B344" s="151"/>
      <c r="C344" s="55">
        <v>324</v>
      </c>
      <c r="D344" s="54">
        <v>1</v>
      </c>
      <c r="E344" s="190">
        <f t="shared" si="89"/>
        <v>11</v>
      </c>
      <c r="F344" s="191">
        <f t="shared" si="90"/>
        <v>46346</v>
      </c>
      <c r="G344" s="192" t="str">
        <f t="shared" si="91"/>
        <v>Fri</v>
      </c>
      <c r="H344" s="193"/>
      <c r="I344" s="194"/>
      <c r="J344" s="307">
        <f>333990/B13</f>
        <v>3026.9168026101142</v>
      </c>
      <c r="K344" s="215"/>
      <c r="L344" s="317">
        <f t="shared" si="92"/>
        <v>3905.0447476131349</v>
      </c>
      <c r="M344" s="318">
        <f t="shared" si="86"/>
        <v>-878.12794500302061</v>
      </c>
      <c r="N344" s="41">
        <f t="shared" si="72"/>
        <v>0.77512986361046043</v>
      </c>
      <c r="O344" s="56"/>
      <c r="P344" s="317">
        <f>IF(D344=0,0,SUM($L$325:L344))</f>
        <v>42349.453325397983</v>
      </c>
      <c r="Q344" s="317">
        <f>IF(D344=0,0,SUM($I$325:I344))</f>
        <v>0</v>
      </c>
      <c r="R344" s="321">
        <f t="shared" si="87"/>
        <v>-42349.453325397983</v>
      </c>
      <c r="S344" s="198">
        <f t="shared" si="93"/>
        <v>0</v>
      </c>
      <c r="T344" s="207"/>
      <c r="U344" s="317">
        <f>IF(D344=0,0,SUM($L$21:L344))</f>
        <v>575814.19865800662</v>
      </c>
      <c r="V344" s="317">
        <f>IF(D344=0,0,SUM($J$21:J344))</f>
        <v>614680.29929844139</v>
      </c>
      <c r="W344" s="331">
        <f t="shared" si="88"/>
        <v>38866.100640434772</v>
      </c>
      <c r="X344" s="200">
        <f t="shared" si="94"/>
        <v>1.0674976420015625</v>
      </c>
      <c r="Y344" s="201">
        <f t="shared" si="95"/>
        <v>46346</v>
      </c>
      <c r="Z344" s="202">
        <f t="shared" si="95"/>
        <v>46346</v>
      </c>
      <c r="AA344" s="18"/>
      <c r="AB344" s="244"/>
      <c r="AC344" s="247"/>
      <c r="AD344" s="142"/>
      <c r="AE344" s="18"/>
      <c r="AF344" s="18"/>
      <c r="AG344" s="203"/>
      <c r="AH344" s="203"/>
      <c r="AI344" s="18"/>
      <c r="AJ344" s="18"/>
      <c r="AK344" s="18"/>
      <c r="AL344" s="18"/>
      <c r="AM344" s="18"/>
      <c r="AN344" s="18"/>
    </row>
    <row r="345" spans="1:40" ht="20">
      <c r="A345" s="18"/>
      <c r="B345" s="151"/>
      <c r="C345" s="55">
        <v>325</v>
      </c>
      <c r="D345" s="54">
        <v>1</v>
      </c>
      <c r="E345" s="190">
        <f t="shared" si="89"/>
        <v>11</v>
      </c>
      <c r="F345" s="191">
        <f t="shared" si="90"/>
        <v>46347</v>
      </c>
      <c r="G345" s="192" t="str">
        <f t="shared" si="91"/>
        <v>Sat</v>
      </c>
      <c r="H345" s="193"/>
      <c r="I345" s="194"/>
      <c r="J345" s="307">
        <f>449890/B13</f>
        <v>4077.306507159688</v>
      </c>
      <c r="K345" s="215"/>
      <c r="L345" s="317">
        <f t="shared" si="92"/>
        <v>2070.2812088013561</v>
      </c>
      <c r="M345" s="318">
        <f t="shared" si="86"/>
        <v>2007.0252983583318</v>
      </c>
      <c r="N345" s="41">
        <f t="shared" si="72"/>
        <v>1.9694457399438756</v>
      </c>
      <c r="O345" s="56"/>
      <c r="P345" s="317">
        <f>IF(D345=0,0,SUM($L$325:L345))</f>
        <v>44419.734534199335</v>
      </c>
      <c r="Q345" s="317">
        <f>IF(D345=0,0,SUM($I$325:I345))</f>
        <v>0</v>
      </c>
      <c r="R345" s="321">
        <f t="shared" si="87"/>
        <v>-44419.734534199335</v>
      </c>
      <c r="S345" s="198">
        <f t="shared" si="93"/>
        <v>0</v>
      </c>
      <c r="T345" s="207"/>
      <c r="U345" s="317">
        <f>IF(D345=0,0,SUM($L$21:L345))</f>
        <v>577884.47986680793</v>
      </c>
      <c r="V345" s="317">
        <f>IF(D345=0,0,SUM($J$21:J345))</f>
        <v>618757.60580560111</v>
      </c>
      <c r="W345" s="331">
        <f t="shared" si="88"/>
        <v>40873.125938793179</v>
      </c>
      <c r="X345" s="200">
        <f t="shared" si="94"/>
        <v>1.0707288867633435</v>
      </c>
      <c r="Y345" s="201">
        <f t="shared" si="95"/>
        <v>46347</v>
      </c>
      <c r="Z345" s="202">
        <f t="shared" si="95"/>
        <v>46347</v>
      </c>
      <c r="AA345" s="18"/>
      <c r="AB345" s="244"/>
      <c r="AC345" s="247"/>
      <c r="AD345" s="142"/>
      <c r="AE345" s="18"/>
      <c r="AF345" s="18"/>
      <c r="AG345" s="203"/>
      <c r="AH345" s="203"/>
      <c r="AI345" s="18"/>
      <c r="AJ345" s="18"/>
      <c r="AK345" s="18"/>
      <c r="AL345" s="18"/>
      <c r="AM345" s="18"/>
      <c r="AN345" s="18"/>
    </row>
    <row r="346" spans="1:40" ht="20">
      <c r="A346" s="18"/>
      <c r="B346" s="151"/>
      <c r="C346" s="55">
        <v>326</v>
      </c>
      <c r="D346" s="54">
        <v>0</v>
      </c>
      <c r="E346" s="190">
        <f t="shared" si="89"/>
        <v>11</v>
      </c>
      <c r="F346" s="191">
        <f t="shared" si="90"/>
        <v>46348</v>
      </c>
      <c r="G346" s="192" t="str">
        <f t="shared" si="91"/>
        <v>Sun</v>
      </c>
      <c r="H346" s="193"/>
      <c r="I346" s="194"/>
      <c r="J346" s="307"/>
      <c r="K346" s="215"/>
      <c r="L346" s="317">
        <f t="shared" si="92"/>
        <v>0</v>
      </c>
      <c r="M346" s="318">
        <f t="shared" si="86"/>
        <v>0</v>
      </c>
      <c r="N346" s="41" t="str">
        <f t="shared" si="72"/>
        <v>¥0</v>
      </c>
      <c r="O346" s="56"/>
      <c r="P346" s="317">
        <f>IF(D346=0,0,SUM($L$325:L346))</f>
        <v>0</v>
      </c>
      <c r="Q346" s="317">
        <f>IF(D346=0,0,SUM($I$325:I346))</f>
        <v>0</v>
      </c>
      <c r="R346" s="321">
        <f t="shared" si="87"/>
        <v>0</v>
      </c>
      <c r="S346" s="198">
        <f t="shared" si="93"/>
        <v>0</v>
      </c>
      <c r="T346" s="207"/>
      <c r="U346" s="317">
        <f>IF(D346=0,0,SUM($L$21:L346))</f>
        <v>0</v>
      </c>
      <c r="V346" s="317">
        <f>IF(D346=0,0,SUM($J$21:J346))</f>
        <v>0</v>
      </c>
      <c r="W346" s="331">
        <f t="shared" si="88"/>
        <v>0</v>
      </c>
      <c r="X346" s="200">
        <f t="shared" si="94"/>
        <v>0</v>
      </c>
      <c r="Y346" s="201">
        <f t="shared" si="95"/>
        <v>46348</v>
      </c>
      <c r="Z346" s="202">
        <f t="shared" si="95"/>
        <v>46348</v>
      </c>
      <c r="AA346" s="18"/>
      <c r="AB346" s="244"/>
      <c r="AC346" s="247"/>
      <c r="AD346" s="142"/>
      <c r="AE346" s="18"/>
      <c r="AF346" s="18"/>
      <c r="AG346" s="203"/>
      <c r="AH346" s="203"/>
      <c r="AI346" s="18"/>
      <c r="AJ346" s="18"/>
      <c r="AK346" s="18"/>
      <c r="AL346" s="18"/>
      <c r="AM346" s="18"/>
      <c r="AN346" s="18"/>
    </row>
    <row r="347" spans="1:40" ht="20">
      <c r="A347" s="18"/>
      <c r="B347" s="151"/>
      <c r="C347" s="55">
        <v>327</v>
      </c>
      <c r="D347" s="54">
        <v>1</v>
      </c>
      <c r="E347" s="190">
        <f t="shared" si="89"/>
        <v>11</v>
      </c>
      <c r="F347" s="191">
        <f t="shared" si="90"/>
        <v>46349</v>
      </c>
      <c r="G347" s="192" t="str">
        <f t="shared" si="91"/>
        <v>Mon</v>
      </c>
      <c r="H347" s="193"/>
      <c r="I347" s="194"/>
      <c r="J347" s="307">
        <f>244560/B13</f>
        <v>2216.4219684611203</v>
      </c>
      <c r="K347" s="215"/>
      <c r="L347" s="317">
        <f t="shared" si="92"/>
        <v>992.15188882816528</v>
      </c>
      <c r="M347" s="318">
        <f t="shared" si="86"/>
        <v>1224.270079632955</v>
      </c>
      <c r="N347" s="41">
        <f t="shared" si="72"/>
        <v>2.2339542900824849</v>
      </c>
      <c r="O347" s="44"/>
      <c r="P347" s="317">
        <f>IF(D347=0,0,SUM($L$325:L347))</f>
        <v>45411.886423027499</v>
      </c>
      <c r="Q347" s="317">
        <f>IF(D347=0,0,SUM($I$325:I347))</f>
        <v>0</v>
      </c>
      <c r="R347" s="321">
        <f t="shared" si="87"/>
        <v>-45411.886423027499</v>
      </c>
      <c r="S347" s="198">
        <f t="shared" si="93"/>
        <v>0</v>
      </c>
      <c r="T347" s="212"/>
      <c r="U347" s="317">
        <f>IF(D347=0,0,SUM($L$21:L347))</f>
        <v>578876.63175563607</v>
      </c>
      <c r="V347" s="317">
        <f>IF(D347=0,0,SUM($J$21:J347))</f>
        <v>620974.02777406224</v>
      </c>
      <c r="W347" s="331">
        <f t="shared" si="88"/>
        <v>42097.396018426167</v>
      </c>
      <c r="X347" s="200">
        <f t="shared" si="94"/>
        <v>1.0727225693853832</v>
      </c>
      <c r="Y347" s="201">
        <f t="shared" si="95"/>
        <v>46349</v>
      </c>
      <c r="Z347" s="202">
        <f t="shared" si="95"/>
        <v>46349</v>
      </c>
      <c r="AA347" s="18"/>
      <c r="AB347" s="244"/>
      <c r="AC347" s="247"/>
      <c r="AD347" s="142"/>
      <c r="AE347" s="18"/>
      <c r="AF347" s="18"/>
      <c r="AG347" s="203"/>
      <c r="AH347" s="203"/>
      <c r="AI347" s="18"/>
      <c r="AJ347" s="18"/>
      <c r="AK347" s="18"/>
      <c r="AL347" s="18"/>
      <c r="AM347" s="18"/>
      <c r="AN347" s="18"/>
    </row>
    <row r="348" spans="1:40" ht="20">
      <c r="A348" s="18"/>
      <c r="B348" s="151"/>
      <c r="C348" s="55">
        <v>328</v>
      </c>
      <c r="D348" s="54">
        <v>0</v>
      </c>
      <c r="E348" s="190">
        <f t="shared" si="89"/>
        <v>11</v>
      </c>
      <c r="F348" s="191">
        <f t="shared" si="90"/>
        <v>46350</v>
      </c>
      <c r="G348" s="192" t="str">
        <f t="shared" si="91"/>
        <v>Tue</v>
      </c>
      <c r="H348" s="193"/>
      <c r="I348" s="194"/>
      <c r="J348" s="307"/>
      <c r="K348" s="215"/>
      <c r="L348" s="317">
        <f t="shared" si="92"/>
        <v>0</v>
      </c>
      <c r="M348" s="318">
        <f t="shared" si="86"/>
        <v>0</v>
      </c>
      <c r="N348" s="41" t="str">
        <f t="shared" si="72"/>
        <v>¥0</v>
      </c>
      <c r="O348" s="44"/>
      <c r="P348" s="317">
        <f>IF(D348=0,0,SUM($L$325:L348))</f>
        <v>0</v>
      </c>
      <c r="Q348" s="317">
        <f>IF(D348=0,0,SUM($I$325:I348))</f>
        <v>0</v>
      </c>
      <c r="R348" s="321">
        <f t="shared" si="87"/>
        <v>0</v>
      </c>
      <c r="S348" s="198">
        <f t="shared" si="93"/>
        <v>0</v>
      </c>
      <c r="T348" s="212"/>
      <c r="U348" s="317">
        <f>IF(D348=0,0,SUM($L$21:L348))</f>
        <v>0</v>
      </c>
      <c r="V348" s="317">
        <f>IF(D348=0,0,SUM($J$21:J348))</f>
        <v>0</v>
      </c>
      <c r="W348" s="331">
        <f t="shared" si="88"/>
        <v>0</v>
      </c>
      <c r="X348" s="200">
        <f t="shared" si="94"/>
        <v>0</v>
      </c>
      <c r="Y348" s="201">
        <f t="shared" si="95"/>
        <v>46350</v>
      </c>
      <c r="Z348" s="202">
        <f t="shared" si="95"/>
        <v>46350</v>
      </c>
      <c r="AA348" s="18"/>
      <c r="AB348" s="244"/>
      <c r="AC348" s="247"/>
      <c r="AD348" s="142"/>
      <c r="AE348" s="18"/>
      <c r="AF348" s="18"/>
      <c r="AG348" s="203"/>
      <c r="AH348" s="203"/>
      <c r="AI348" s="18"/>
      <c r="AJ348" s="18"/>
      <c r="AK348" s="18"/>
      <c r="AL348" s="18"/>
      <c r="AM348" s="18"/>
      <c r="AN348" s="18"/>
    </row>
    <row r="349" spans="1:40" ht="20">
      <c r="A349" s="18"/>
      <c r="B349" s="151"/>
      <c r="C349" s="55">
        <v>329</v>
      </c>
      <c r="D349" s="54">
        <v>1</v>
      </c>
      <c r="E349" s="190">
        <f t="shared" si="89"/>
        <v>11</v>
      </c>
      <c r="F349" s="191">
        <f t="shared" si="90"/>
        <v>46351</v>
      </c>
      <c r="G349" s="192" t="str">
        <f t="shared" si="91"/>
        <v>Wed</v>
      </c>
      <c r="H349" s="193"/>
      <c r="I349" s="194"/>
      <c r="J349" s="307">
        <f>356890/B13</f>
        <v>3234.4571324995468</v>
      </c>
      <c r="K349" s="215"/>
      <c r="L349" s="317">
        <f t="shared" si="92"/>
        <v>2504.0838897517933</v>
      </c>
      <c r="M349" s="318">
        <f t="shared" si="86"/>
        <v>730.37324274775347</v>
      </c>
      <c r="N349" s="41">
        <f t="shared" si="72"/>
        <v>1.2916728332213139</v>
      </c>
      <c r="O349" s="56"/>
      <c r="P349" s="317">
        <f>IF(D349=0,0,SUM($L$325:L349))</f>
        <v>47915.970312779289</v>
      </c>
      <c r="Q349" s="317">
        <f>IF(D349=0,0,SUM($I$325:I349))</f>
        <v>0</v>
      </c>
      <c r="R349" s="321">
        <f t="shared" si="87"/>
        <v>-47915.970312779289</v>
      </c>
      <c r="S349" s="198">
        <f t="shared" si="93"/>
        <v>0</v>
      </c>
      <c r="T349" s="207"/>
      <c r="U349" s="317">
        <f>IF(D349=0,0,SUM($L$21:L349))</f>
        <v>581380.71564538789</v>
      </c>
      <c r="V349" s="317">
        <f>IF(D349=0,0,SUM($J$21:J349))</f>
        <v>624208.48490656179</v>
      </c>
      <c r="W349" s="331">
        <f t="shared" si="88"/>
        <v>42827.769261173904</v>
      </c>
      <c r="X349" s="200">
        <f t="shared" si="94"/>
        <v>1.0736656172257639</v>
      </c>
      <c r="Y349" s="201">
        <f t="shared" si="95"/>
        <v>46351</v>
      </c>
      <c r="Z349" s="202">
        <f t="shared" si="95"/>
        <v>46351</v>
      </c>
      <c r="AA349" s="18"/>
      <c r="AB349" s="244"/>
      <c r="AC349" s="247"/>
      <c r="AD349" s="142"/>
      <c r="AE349" s="18"/>
      <c r="AF349" s="18"/>
      <c r="AG349" s="203"/>
      <c r="AH349" s="203"/>
      <c r="AI349" s="18"/>
      <c r="AJ349" s="18"/>
      <c r="AK349" s="18"/>
      <c r="AL349" s="18"/>
      <c r="AM349" s="18"/>
      <c r="AN349" s="18"/>
    </row>
    <row r="350" spans="1:40" ht="20">
      <c r="A350" s="18"/>
      <c r="B350" s="151"/>
      <c r="C350" s="55">
        <v>330</v>
      </c>
      <c r="D350" s="54">
        <v>1</v>
      </c>
      <c r="E350" s="190">
        <f t="shared" si="89"/>
        <v>11</v>
      </c>
      <c r="F350" s="191">
        <f t="shared" si="90"/>
        <v>46352</v>
      </c>
      <c r="G350" s="192" t="str">
        <f t="shared" si="91"/>
        <v>Thu</v>
      </c>
      <c r="H350" s="193"/>
      <c r="I350" s="194"/>
      <c r="J350" s="307">
        <f>330300/B13</f>
        <v>2993.4747145187603</v>
      </c>
      <c r="K350" s="215"/>
      <c r="L350" s="317">
        <f t="shared" si="92"/>
        <v>2439.3722153693907</v>
      </c>
      <c r="M350" s="318">
        <f t="shared" si="86"/>
        <v>554.10249914936958</v>
      </c>
      <c r="N350" s="41">
        <f t="shared" si="72"/>
        <v>1.2271496312281571</v>
      </c>
      <c r="O350" s="56"/>
      <c r="P350" s="317">
        <f>IF(D350=0,0,SUM($L$325:L350))</f>
        <v>50355.342528148678</v>
      </c>
      <c r="Q350" s="317">
        <f>IF(D350=0,0,SUM($I$325:I350))</f>
        <v>0</v>
      </c>
      <c r="R350" s="321">
        <f t="shared" si="87"/>
        <v>-50355.342528148678</v>
      </c>
      <c r="S350" s="198">
        <f t="shared" si="93"/>
        <v>0</v>
      </c>
      <c r="T350" s="207"/>
      <c r="U350" s="317">
        <f>IF(D350=0,0,SUM($L$21:L350))</f>
        <v>583820.08786075725</v>
      </c>
      <c r="V350" s="317">
        <f>IF(D350=0,0,SUM($J$21:J350))</f>
        <v>627201.95962108055</v>
      </c>
      <c r="W350" s="331">
        <f t="shared" si="88"/>
        <v>43381.871760323294</v>
      </c>
      <c r="X350" s="200">
        <f t="shared" si="94"/>
        <v>1.0743069186250234</v>
      </c>
      <c r="Y350" s="201">
        <f t="shared" si="95"/>
        <v>46352</v>
      </c>
      <c r="Z350" s="202">
        <f t="shared" si="95"/>
        <v>46352</v>
      </c>
      <c r="AA350" s="18"/>
      <c r="AB350" s="244"/>
      <c r="AC350" s="247"/>
      <c r="AD350" s="142"/>
      <c r="AE350" s="18"/>
      <c r="AF350" s="18"/>
      <c r="AG350" s="203"/>
      <c r="AH350" s="203"/>
      <c r="AI350" s="18"/>
      <c r="AJ350" s="18"/>
      <c r="AK350" s="18"/>
      <c r="AL350" s="18"/>
      <c r="AM350" s="18"/>
      <c r="AN350" s="18"/>
    </row>
    <row r="351" spans="1:40" ht="20">
      <c r="A351" s="18"/>
      <c r="B351" s="151"/>
      <c r="C351" s="55">
        <v>331</v>
      </c>
      <c r="D351" s="54">
        <v>1</v>
      </c>
      <c r="E351" s="190">
        <f t="shared" si="89"/>
        <v>11</v>
      </c>
      <c r="F351" s="191">
        <f t="shared" si="90"/>
        <v>46353</v>
      </c>
      <c r="G351" s="192" t="str">
        <f t="shared" si="91"/>
        <v>Fri</v>
      </c>
      <c r="H351" s="193"/>
      <c r="I351" s="194"/>
      <c r="J351" s="307">
        <f>289000/B13</f>
        <v>2619.1770889976438</v>
      </c>
      <c r="K351" s="215"/>
      <c r="L351" s="317">
        <f t="shared" si="92"/>
        <v>3905.0447476131349</v>
      </c>
      <c r="M351" s="318">
        <f t="shared" si="86"/>
        <v>-1285.8676586154911</v>
      </c>
      <c r="N351" s="41">
        <f t="shared" si="72"/>
        <v>0.67071628067733491</v>
      </c>
      <c r="O351" s="56"/>
      <c r="P351" s="317">
        <f>IF(D351=0,0,SUM($L$325:L351))</f>
        <v>54260.387275761816</v>
      </c>
      <c r="Q351" s="317">
        <f>IF(D351=0,0,SUM($I$325:I351))</f>
        <v>0</v>
      </c>
      <c r="R351" s="321">
        <f t="shared" si="87"/>
        <v>-54260.387275761816</v>
      </c>
      <c r="S351" s="198">
        <f t="shared" si="93"/>
        <v>0</v>
      </c>
      <c r="T351" s="207"/>
      <c r="U351" s="317">
        <f>IF(D351=0,0,SUM($L$21:L351))</f>
        <v>587725.13260837039</v>
      </c>
      <c r="V351" s="317">
        <f>IF(D351=0,0,SUM($J$21:J351))</f>
        <v>629821.13671007822</v>
      </c>
      <c r="W351" s="331">
        <f t="shared" si="88"/>
        <v>42096.004101707833</v>
      </c>
      <c r="X351" s="200">
        <f t="shared" si="94"/>
        <v>1.0716253257962314</v>
      </c>
      <c r="Y351" s="201">
        <f t="shared" si="95"/>
        <v>46353</v>
      </c>
      <c r="Z351" s="202">
        <f t="shared" si="95"/>
        <v>46353</v>
      </c>
      <c r="AA351" s="18"/>
      <c r="AB351" s="244"/>
      <c r="AC351" s="247"/>
      <c r="AD351" s="142"/>
      <c r="AE351" s="18"/>
      <c r="AF351" s="18"/>
      <c r="AG351" s="203"/>
      <c r="AH351" s="203"/>
      <c r="AI351" s="18"/>
      <c r="AJ351" s="18"/>
      <c r="AK351" s="18"/>
      <c r="AL351" s="18"/>
      <c r="AM351" s="18"/>
      <c r="AN351" s="18"/>
    </row>
    <row r="352" spans="1:40" ht="20">
      <c r="A352" s="18"/>
      <c r="B352" s="151"/>
      <c r="C352" s="55">
        <v>332</v>
      </c>
      <c r="D352" s="54">
        <v>1</v>
      </c>
      <c r="E352" s="190">
        <f t="shared" si="89"/>
        <v>11</v>
      </c>
      <c r="F352" s="191">
        <f t="shared" si="90"/>
        <v>46354</v>
      </c>
      <c r="G352" s="192" t="str">
        <f t="shared" si="91"/>
        <v>Sat</v>
      </c>
      <c r="H352" s="193"/>
      <c r="I352" s="194"/>
      <c r="J352" s="307">
        <f>455890/B13</f>
        <v>4131.6838861700198</v>
      </c>
      <c r="K352" s="215"/>
      <c r="L352" s="317">
        <f t="shared" si="92"/>
        <v>2070.2812088013561</v>
      </c>
      <c r="M352" s="318">
        <f t="shared" si="86"/>
        <v>2061.4026773686637</v>
      </c>
      <c r="N352" s="41">
        <f t="shared" si="72"/>
        <v>1.9957114369801807</v>
      </c>
      <c r="O352" s="56"/>
      <c r="P352" s="317">
        <f>IF(D352=0,0,SUM($L$325:L352))</f>
        <v>56330.668484563168</v>
      </c>
      <c r="Q352" s="317">
        <f>IF(D352=0,0,SUM($I$325:I352))</f>
        <v>0</v>
      </c>
      <c r="R352" s="321">
        <f t="shared" si="87"/>
        <v>-56330.668484563168</v>
      </c>
      <c r="S352" s="198">
        <f t="shared" si="93"/>
        <v>0</v>
      </c>
      <c r="T352" s="207"/>
      <c r="U352" s="317">
        <f>IF(D352=0,0,SUM($L$21:L352))</f>
        <v>589795.41381717171</v>
      </c>
      <c r="V352" s="317">
        <f>IF(D352=0,0,SUM($J$21:J352))</f>
        <v>633952.82059624826</v>
      </c>
      <c r="W352" s="331">
        <f t="shared" si="88"/>
        <v>44157.406779076555</v>
      </c>
      <c r="X352" s="200">
        <f t="shared" si="94"/>
        <v>1.0748690236387033</v>
      </c>
      <c r="Y352" s="201">
        <f t="shared" si="95"/>
        <v>46354</v>
      </c>
      <c r="Z352" s="202">
        <f t="shared" si="95"/>
        <v>46354</v>
      </c>
      <c r="AA352" s="18"/>
      <c r="AB352" s="244"/>
      <c r="AC352" s="247"/>
      <c r="AD352" s="142"/>
      <c r="AE352" s="18"/>
      <c r="AF352" s="18"/>
      <c r="AG352" s="203"/>
      <c r="AH352" s="203"/>
      <c r="AI352" s="18"/>
      <c r="AJ352" s="18"/>
      <c r="AK352" s="18"/>
      <c r="AL352" s="18"/>
      <c r="AM352" s="18"/>
      <c r="AN352" s="18"/>
    </row>
    <row r="353" spans="1:40" ht="20">
      <c r="A353" s="18"/>
      <c r="B353" s="151"/>
      <c r="C353" s="55">
        <v>333</v>
      </c>
      <c r="D353" s="54">
        <v>0</v>
      </c>
      <c r="E353" s="190">
        <f t="shared" si="89"/>
        <v>11</v>
      </c>
      <c r="F353" s="191">
        <f t="shared" si="90"/>
        <v>46355</v>
      </c>
      <c r="G353" s="192" t="str">
        <f t="shared" si="91"/>
        <v>Sun</v>
      </c>
      <c r="H353" s="193"/>
      <c r="I353" s="194"/>
      <c r="J353" s="307"/>
      <c r="K353" s="215"/>
      <c r="L353" s="317">
        <f t="shared" si="92"/>
        <v>0</v>
      </c>
      <c r="M353" s="318">
        <f t="shared" si="86"/>
        <v>0</v>
      </c>
      <c r="N353" s="41" t="str">
        <f t="shared" si="72"/>
        <v>¥0</v>
      </c>
      <c r="O353" s="56"/>
      <c r="P353" s="317">
        <f>IF(D353=0,0,SUM($L$325:L353))</f>
        <v>0</v>
      </c>
      <c r="Q353" s="317">
        <f>IF(D353=0,0,SUM($I$325:I353))</f>
        <v>0</v>
      </c>
      <c r="R353" s="321">
        <f t="shared" si="87"/>
        <v>0</v>
      </c>
      <c r="S353" s="198">
        <f t="shared" si="93"/>
        <v>0</v>
      </c>
      <c r="T353" s="207"/>
      <c r="U353" s="317">
        <f>IF(D353=0,0,SUM($L$21:L353))</f>
        <v>0</v>
      </c>
      <c r="V353" s="317">
        <f>IF(D353=0,0,SUM($J$21:J353))</f>
        <v>0</v>
      </c>
      <c r="W353" s="331">
        <f t="shared" si="88"/>
        <v>0</v>
      </c>
      <c r="X353" s="200">
        <f t="shared" si="94"/>
        <v>0</v>
      </c>
      <c r="Y353" s="201">
        <f t="shared" si="95"/>
        <v>46355</v>
      </c>
      <c r="Z353" s="202">
        <f t="shared" si="95"/>
        <v>46355</v>
      </c>
      <c r="AA353" s="18"/>
      <c r="AB353" s="244"/>
      <c r="AC353" s="247"/>
      <c r="AD353" s="142"/>
      <c r="AE353" s="18"/>
      <c r="AF353" s="18"/>
      <c r="AG353" s="203"/>
      <c r="AH353" s="203"/>
      <c r="AI353" s="18"/>
      <c r="AJ353" s="18"/>
      <c r="AK353" s="18"/>
      <c r="AL353" s="18"/>
      <c r="AM353" s="18"/>
      <c r="AN353" s="18"/>
    </row>
    <row r="354" spans="1:40" ht="21" thickBot="1">
      <c r="A354" s="18"/>
      <c r="B354" s="151"/>
      <c r="C354" s="39">
        <v>334</v>
      </c>
      <c r="D354" s="38">
        <v>1</v>
      </c>
      <c r="E354" s="217">
        <f t="shared" si="89"/>
        <v>11</v>
      </c>
      <c r="F354" s="236">
        <f t="shared" si="90"/>
        <v>46356</v>
      </c>
      <c r="G354" s="219" t="str">
        <f t="shared" si="91"/>
        <v>Mon</v>
      </c>
      <c r="H354" s="233"/>
      <c r="I354" s="221"/>
      <c r="J354" s="316">
        <f>200890/B13</f>
        <v>1820.6452782309225</v>
      </c>
      <c r="K354" s="223"/>
      <c r="L354" s="317">
        <f t="shared" si="92"/>
        <v>992.15188882816528</v>
      </c>
      <c r="M354" s="320">
        <f t="shared" si="86"/>
        <v>828.4933894027572</v>
      </c>
      <c r="N354" s="225">
        <f t="shared" si="72"/>
        <v>1.8350469305473924</v>
      </c>
      <c r="O354" s="239"/>
      <c r="P354" s="322">
        <f>IF(D354=0,0,SUM($L$325:L354))</f>
        <v>57322.820373391332</v>
      </c>
      <c r="Q354" s="326">
        <f>IF(D354=0,0,SUM($I$325:I354))</f>
        <v>0</v>
      </c>
      <c r="R354" s="327">
        <f t="shared" si="87"/>
        <v>-57322.820373391332</v>
      </c>
      <c r="S354" s="228">
        <f t="shared" si="93"/>
        <v>0</v>
      </c>
      <c r="T354" s="240"/>
      <c r="U354" s="332">
        <f>IF(D354=0,0,SUM($L$21:L354))</f>
        <v>590787.56570599985</v>
      </c>
      <c r="V354" s="332">
        <f>IF(D354=0,0,SUM($J$21:J354))</f>
        <v>635773.46587447915</v>
      </c>
      <c r="W354" s="333">
        <f t="shared" si="88"/>
        <v>44985.900168479304</v>
      </c>
      <c r="X354" s="230">
        <f t="shared" si="94"/>
        <v>1.0761456448642761</v>
      </c>
      <c r="Y354" s="201">
        <f t="shared" si="95"/>
        <v>46356</v>
      </c>
      <c r="Z354" s="202">
        <f t="shared" si="95"/>
        <v>46356</v>
      </c>
      <c r="AA354" s="18"/>
      <c r="AB354" s="244"/>
      <c r="AC354" s="247"/>
      <c r="AD354" s="142"/>
      <c r="AE354" s="18"/>
      <c r="AF354" s="18"/>
      <c r="AG354" s="203"/>
      <c r="AH354" s="203"/>
      <c r="AI354" s="18"/>
      <c r="AJ354" s="18"/>
      <c r="AK354" s="18"/>
      <c r="AL354" s="18"/>
      <c r="AM354" s="18"/>
      <c r="AN354" s="18"/>
    </row>
    <row r="355" spans="1:40" ht="21" thickTop="1">
      <c r="A355" s="18"/>
      <c r="B355" s="151"/>
      <c r="C355" s="55">
        <v>335</v>
      </c>
      <c r="D355" s="62">
        <v>1</v>
      </c>
      <c r="E355" s="190">
        <f t="shared" si="89"/>
        <v>12</v>
      </c>
      <c r="F355" s="191">
        <f t="shared" si="90"/>
        <v>46357</v>
      </c>
      <c r="G355" s="192" t="str">
        <f t="shared" si="91"/>
        <v>Tue</v>
      </c>
      <c r="H355" s="193"/>
      <c r="I355" s="194"/>
      <c r="J355" s="307">
        <f>259890/B13</f>
        <v>2355.3561718325177</v>
      </c>
      <c r="K355" s="215"/>
      <c r="L355" s="317">
        <f t="shared" si="92"/>
        <v>2472.7976205528121</v>
      </c>
      <c r="M355" s="321">
        <f t="shared" si="86"/>
        <v>-117.44144872029437</v>
      </c>
      <c r="N355" s="60">
        <f t="shared" si="72"/>
        <v>0.95250664763498138</v>
      </c>
      <c r="O355" s="56"/>
      <c r="P355" s="317">
        <f>IF(D355=0,0,$L$355)</f>
        <v>2472.7976205528121</v>
      </c>
      <c r="Q355" s="317">
        <f>IF(D355=0,0,$J$355)</f>
        <v>2355.3561718325177</v>
      </c>
      <c r="R355" s="321">
        <f t="shared" si="87"/>
        <v>-117.44144872029437</v>
      </c>
      <c r="S355" s="231">
        <f t="shared" si="93"/>
        <v>0.95250664763498138</v>
      </c>
      <c r="T355" s="207"/>
      <c r="U355" s="317">
        <f>IF(D355=0,0,SUM($L$21:L355))</f>
        <v>593260.36332655267</v>
      </c>
      <c r="V355" s="317">
        <f>IF(D355=0,0,SUM($J$21:J355))</f>
        <v>638128.82204631169</v>
      </c>
      <c r="W355" s="331">
        <f t="shared" si="88"/>
        <v>44868.458719759015</v>
      </c>
      <c r="X355" s="232">
        <f t="shared" si="94"/>
        <v>1.0756302990952755</v>
      </c>
      <c r="Y355" s="201">
        <f t="shared" si="95"/>
        <v>46357</v>
      </c>
      <c r="Z355" s="202">
        <f t="shared" si="95"/>
        <v>46357</v>
      </c>
      <c r="AA355" s="18"/>
      <c r="AB355" s="244"/>
      <c r="AC355" s="247"/>
      <c r="AD355" s="142"/>
      <c r="AE355" s="18"/>
      <c r="AF355" s="18"/>
      <c r="AG355" s="203"/>
      <c r="AH355" s="203"/>
      <c r="AI355" s="18"/>
      <c r="AJ355" s="18"/>
      <c r="AK355" s="18"/>
      <c r="AL355" s="18"/>
      <c r="AM355" s="18"/>
      <c r="AN355" s="18"/>
    </row>
    <row r="356" spans="1:40" ht="20">
      <c r="A356" s="18"/>
      <c r="B356" s="151"/>
      <c r="C356" s="55">
        <v>336</v>
      </c>
      <c r="D356" s="54">
        <v>1</v>
      </c>
      <c r="E356" s="190">
        <f t="shared" si="89"/>
        <v>12</v>
      </c>
      <c r="F356" s="191">
        <f t="shared" si="90"/>
        <v>46358</v>
      </c>
      <c r="G356" s="192" t="str">
        <f t="shared" si="91"/>
        <v>Wed</v>
      </c>
      <c r="H356" s="193"/>
      <c r="I356" s="194"/>
      <c r="J356" s="307">
        <f>218789/B13</f>
        <v>1982.8620627152438</v>
      </c>
      <c r="K356" s="215"/>
      <c r="L356" s="317">
        <f t="shared" si="92"/>
        <v>3073.9375165438773</v>
      </c>
      <c r="M356" s="318">
        <f t="shared" si="86"/>
        <v>-1091.0754538286335</v>
      </c>
      <c r="N356" s="41">
        <f t="shared" si="72"/>
        <v>0.64505607288486355</v>
      </c>
      <c r="O356" s="56"/>
      <c r="P356" s="328">
        <f>IF(D356=0,0,SUM($L$355:L356))</f>
        <v>5546.7351370966899</v>
      </c>
      <c r="Q356" s="317">
        <f>IF(D356=0,0,SUM($I$355:I356))</f>
        <v>0</v>
      </c>
      <c r="R356" s="321">
        <f t="shared" si="87"/>
        <v>-5546.7351370966899</v>
      </c>
      <c r="S356" s="198">
        <f t="shared" si="93"/>
        <v>0</v>
      </c>
      <c r="T356" s="207"/>
      <c r="U356" s="317">
        <f>IF(D356=0,0,SUM($L$21:L356))</f>
        <v>596334.30084309657</v>
      </c>
      <c r="V356" s="317">
        <f>IF(D356=0,0,SUM($J$21:J356))</f>
        <v>640111.68410902692</v>
      </c>
      <c r="W356" s="331">
        <f t="shared" si="88"/>
        <v>43777.383265930344</v>
      </c>
      <c r="X356" s="200">
        <f t="shared" si="94"/>
        <v>1.0734108086756673</v>
      </c>
      <c r="Y356" s="201">
        <f t="shared" si="95"/>
        <v>46358</v>
      </c>
      <c r="Z356" s="202">
        <f t="shared" si="95"/>
        <v>46358</v>
      </c>
      <c r="AA356" s="18"/>
      <c r="AB356" s="244"/>
      <c r="AC356" s="247"/>
      <c r="AD356" s="142"/>
      <c r="AE356" s="18"/>
      <c r="AF356" s="18"/>
      <c r="AG356" s="203"/>
      <c r="AH356" s="203"/>
      <c r="AI356" s="18"/>
      <c r="AJ356" s="18"/>
      <c r="AK356" s="18"/>
      <c r="AL356" s="18"/>
      <c r="AM356" s="18"/>
      <c r="AN356" s="18"/>
    </row>
    <row r="357" spans="1:40" ht="20">
      <c r="A357" s="18"/>
      <c r="B357" s="151"/>
      <c r="C357" s="55">
        <v>337</v>
      </c>
      <c r="D357" s="54">
        <v>1</v>
      </c>
      <c r="E357" s="190">
        <f t="shared" si="89"/>
        <v>12</v>
      </c>
      <c r="F357" s="191">
        <f t="shared" si="90"/>
        <v>46359</v>
      </c>
      <c r="G357" s="192" t="str">
        <f t="shared" si="91"/>
        <v>Thu</v>
      </c>
      <c r="H357" s="193"/>
      <c r="I357" s="194"/>
      <c r="J357" s="307">
        <f>321456/B13</f>
        <v>2913.3224578575314</v>
      </c>
      <c r="K357" s="215"/>
      <c r="L357" s="317">
        <f t="shared" si="92"/>
        <v>2661.1053114286965</v>
      </c>
      <c r="M357" s="318">
        <f t="shared" si="86"/>
        <v>252.21714642883489</v>
      </c>
      <c r="N357" s="41">
        <f t="shared" si="72"/>
        <v>1.0947790924867322</v>
      </c>
      <c r="O357" s="56"/>
      <c r="P357" s="329">
        <f>IF(D357=0,0,SUM($L$355:L357))</f>
        <v>8207.8404485253868</v>
      </c>
      <c r="Q357" s="317">
        <f>IF(D357=0,0,SUM($I$355:I357))</f>
        <v>0</v>
      </c>
      <c r="R357" s="321">
        <f t="shared" si="87"/>
        <v>-8207.8404485253868</v>
      </c>
      <c r="S357" s="198">
        <f t="shared" si="93"/>
        <v>0</v>
      </c>
      <c r="T357" s="207"/>
      <c r="U357" s="317">
        <f>IF(D357=0,0,SUM($L$21:L357))</f>
        <v>598995.40615452523</v>
      </c>
      <c r="V357" s="317">
        <f>IF(D357=0,0,SUM($J$21:J357))</f>
        <v>643025.00656688446</v>
      </c>
      <c r="W357" s="331">
        <f t="shared" si="88"/>
        <v>44029.600412359228</v>
      </c>
      <c r="X357" s="200">
        <f t="shared" si="94"/>
        <v>1.0735057397101317</v>
      </c>
      <c r="Y357" s="201">
        <f t="shared" si="95"/>
        <v>46359</v>
      </c>
      <c r="Z357" s="202">
        <f t="shared" si="95"/>
        <v>46359</v>
      </c>
      <c r="AA357" s="18"/>
      <c r="AB357" s="244"/>
      <c r="AC357" s="247"/>
      <c r="AD357" s="142"/>
      <c r="AE357" s="18"/>
      <c r="AF357" s="18"/>
      <c r="AG357" s="203"/>
      <c r="AH357" s="203"/>
      <c r="AI357" s="18"/>
      <c r="AJ357" s="18"/>
      <c r="AK357" s="18"/>
      <c r="AL357" s="18"/>
      <c r="AM357" s="18"/>
      <c r="AN357" s="18"/>
    </row>
    <row r="358" spans="1:40" ht="20">
      <c r="A358" s="18"/>
      <c r="B358" s="151"/>
      <c r="C358" s="55">
        <v>338</v>
      </c>
      <c r="D358" s="54">
        <v>1</v>
      </c>
      <c r="E358" s="190">
        <f t="shared" si="89"/>
        <v>12</v>
      </c>
      <c r="F358" s="191">
        <f t="shared" si="90"/>
        <v>46360</v>
      </c>
      <c r="G358" s="192" t="str">
        <f t="shared" si="91"/>
        <v>Fri</v>
      </c>
      <c r="H358" s="193"/>
      <c r="I358" s="194"/>
      <c r="J358" s="307">
        <f>333090/B13</f>
        <v>3018.7601957585644</v>
      </c>
      <c r="K358" s="215"/>
      <c r="L358" s="317">
        <f t="shared" si="92"/>
        <v>3313.1862474948566</v>
      </c>
      <c r="M358" s="318">
        <f t="shared" si="86"/>
        <v>-294.42605173629227</v>
      </c>
      <c r="N358" s="41">
        <f t="shared" si="72"/>
        <v>0.91113507368959057</v>
      </c>
      <c r="O358" s="56"/>
      <c r="P358" s="329">
        <f>IF(D358=0,0,SUM($L$355:L358))</f>
        <v>11521.026696020243</v>
      </c>
      <c r="Q358" s="317">
        <f>IF(D358=0,0,SUM($I$355:I358))</f>
        <v>0</v>
      </c>
      <c r="R358" s="321">
        <f t="shared" si="87"/>
        <v>-11521.026696020243</v>
      </c>
      <c r="S358" s="198">
        <f t="shared" si="93"/>
        <v>0</v>
      </c>
      <c r="T358" s="207"/>
      <c r="U358" s="317">
        <f>IF(D358=0,0,SUM($L$21:L358))</f>
        <v>602308.59240202012</v>
      </c>
      <c r="V358" s="317">
        <f>IF(D358=0,0,SUM($J$21:J358))</f>
        <v>646043.766762643</v>
      </c>
      <c r="W358" s="331">
        <f t="shared" si="88"/>
        <v>43735.174360622885</v>
      </c>
      <c r="X358" s="200">
        <f t="shared" si="94"/>
        <v>1.0726125692250315</v>
      </c>
      <c r="Y358" s="201">
        <f t="shared" si="95"/>
        <v>46360</v>
      </c>
      <c r="Z358" s="202">
        <f t="shared" si="95"/>
        <v>46360</v>
      </c>
      <c r="AA358" s="18"/>
      <c r="AB358" s="244"/>
      <c r="AC358" s="247"/>
      <c r="AD358" s="142"/>
      <c r="AE358" s="18"/>
      <c r="AF358" s="18"/>
      <c r="AG358" s="203"/>
      <c r="AH358" s="203"/>
      <c r="AI358" s="18"/>
      <c r="AJ358" s="18"/>
      <c r="AK358" s="18"/>
      <c r="AL358" s="18"/>
      <c r="AM358" s="18"/>
      <c r="AN358" s="18"/>
    </row>
    <row r="359" spans="1:40" ht="20">
      <c r="A359" s="18"/>
      <c r="B359" s="151"/>
      <c r="C359" s="55">
        <v>339</v>
      </c>
      <c r="D359" s="54">
        <v>1</v>
      </c>
      <c r="E359" s="190">
        <f t="shared" si="89"/>
        <v>12</v>
      </c>
      <c r="F359" s="191">
        <f t="shared" si="90"/>
        <v>46361</v>
      </c>
      <c r="G359" s="192" t="str">
        <f t="shared" si="91"/>
        <v>Sat</v>
      </c>
      <c r="H359" s="193"/>
      <c r="I359" s="194"/>
      <c r="J359" s="307">
        <f>356900/B13</f>
        <v>3234.5477614645638</v>
      </c>
      <c r="K359" s="215"/>
      <c r="L359" s="317">
        <f t="shared" si="92"/>
        <v>1865.5622154929315</v>
      </c>
      <c r="M359" s="318">
        <f t="shared" si="86"/>
        <v>1368.9855459716323</v>
      </c>
      <c r="N359" s="41">
        <f t="shared" si="72"/>
        <v>1.7338192929737857</v>
      </c>
      <c r="O359" s="56"/>
      <c r="P359" s="329">
        <f>IF(D359=0,0,SUM($L$355:L359))</f>
        <v>13386.588911513174</v>
      </c>
      <c r="Q359" s="317">
        <f>IF(D359=0,0,SUM($I$355:I359))</f>
        <v>0</v>
      </c>
      <c r="R359" s="321">
        <f t="shared" si="87"/>
        <v>-13386.588911513174</v>
      </c>
      <c r="S359" s="198">
        <f t="shared" si="93"/>
        <v>0</v>
      </c>
      <c r="T359" s="207"/>
      <c r="U359" s="317">
        <f>IF(D359=0,0,SUM($L$21:L359))</f>
        <v>604174.15461751306</v>
      </c>
      <c r="V359" s="317">
        <f>IF(D359=0,0,SUM($J$21:J359))</f>
        <v>649278.31452410761</v>
      </c>
      <c r="W359" s="331">
        <f t="shared" si="88"/>
        <v>45104.159906594548</v>
      </c>
      <c r="X359" s="200">
        <f t="shared" si="94"/>
        <v>1.0746542359713298</v>
      </c>
      <c r="Y359" s="201">
        <f t="shared" ref="Y359:Z374" si="96">Y358+1</f>
        <v>46361</v>
      </c>
      <c r="Z359" s="202">
        <f t="shared" si="96"/>
        <v>46361</v>
      </c>
      <c r="AA359" s="18"/>
      <c r="AB359" s="244"/>
      <c r="AC359" s="247"/>
      <c r="AD359" s="142"/>
      <c r="AE359" s="18"/>
      <c r="AF359" s="18"/>
      <c r="AG359" s="203"/>
      <c r="AH359" s="203"/>
      <c r="AI359" s="18"/>
      <c r="AJ359" s="18"/>
      <c r="AK359" s="18"/>
      <c r="AL359" s="18"/>
      <c r="AM359" s="18"/>
      <c r="AN359" s="18"/>
    </row>
    <row r="360" spans="1:40" ht="20">
      <c r="A360" s="18"/>
      <c r="B360" s="151"/>
      <c r="C360" s="55">
        <v>340</v>
      </c>
      <c r="D360" s="54">
        <v>0</v>
      </c>
      <c r="E360" s="190">
        <f t="shared" si="89"/>
        <v>12</v>
      </c>
      <c r="F360" s="191">
        <f t="shared" si="90"/>
        <v>46362</v>
      </c>
      <c r="G360" s="192" t="str">
        <f t="shared" si="91"/>
        <v>Sun</v>
      </c>
      <c r="H360" s="193"/>
      <c r="I360" s="194"/>
      <c r="J360" s="307"/>
      <c r="K360" s="215"/>
      <c r="L360" s="317">
        <f t="shared" si="92"/>
        <v>0</v>
      </c>
      <c r="M360" s="318">
        <f t="shared" si="86"/>
        <v>0</v>
      </c>
      <c r="N360" s="41" t="str">
        <f t="shared" si="72"/>
        <v>¥0</v>
      </c>
      <c r="O360" s="56"/>
      <c r="P360" s="329">
        <f>IF(D360=0,0,SUM($L$355:L360))</f>
        <v>0</v>
      </c>
      <c r="Q360" s="317">
        <f>IF(D360=0,0,SUM($I$355:I360))</f>
        <v>0</v>
      </c>
      <c r="R360" s="321">
        <f t="shared" si="87"/>
        <v>0</v>
      </c>
      <c r="S360" s="198">
        <f t="shared" si="93"/>
        <v>0</v>
      </c>
      <c r="T360" s="207"/>
      <c r="U360" s="317">
        <f>IF(D360=0,0,SUM($L$21:L360))</f>
        <v>0</v>
      </c>
      <c r="V360" s="317">
        <f>IF(D360=0,0,SUM($J$21:J360))</f>
        <v>0</v>
      </c>
      <c r="W360" s="331">
        <f t="shared" si="88"/>
        <v>0</v>
      </c>
      <c r="X360" s="200">
        <f t="shared" si="94"/>
        <v>0</v>
      </c>
      <c r="Y360" s="201">
        <f t="shared" si="96"/>
        <v>46362</v>
      </c>
      <c r="Z360" s="202">
        <f t="shared" si="96"/>
        <v>46362</v>
      </c>
      <c r="AA360" s="18"/>
      <c r="AB360" s="244"/>
      <c r="AC360" s="247"/>
      <c r="AD360" s="142"/>
      <c r="AE360" s="18"/>
      <c r="AF360" s="18"/>
      <c r="AG360" s="203"/>
      <c r="AH360" s="203"/>
      <c r="AI360" s="18"/>
      <c r="AJ360" s="18"/>
      <c r="AK360" s="18"/>
      <c r="AL360" s="18"/>
      <c r="AM360" s="18"/>
      <c r="AN360" s="18"/>
    </row>
    <row r="361" spans="1:40" ht="20">
      <c r="A361" s="18"/>
      <c r="B361" s="151"/>
      <c r="C361" s="55">
        <v>341</v>
      </c>
      <c r="D361" s="54">
        <v>1</v>
      </c>
      <c r="E361" s="190">
        <f t="shared" si="89"/>
        <v>12</v>
      </c>
      <c r="F361" s="191">
        <f t="shared" si="90"/>
        <v>46363</v>
      </c>
      <c r="G361" s="192" t="str">
        <f t="shared" si="91"/>
        <v>Mon</v>
      </c>
      <c r="H361" s="193"/>
      <c r="I361" s="194"/>
      <c r="J361" s="307">
        <f>222990/B13</f>
        <v>2020.9352909189777</v>
      </c>
      <c r="K361" s="215"/>
      <c r="L361" s="317">
        <f t="shared" si="92"/>
        <v>2246.9075539571895</v>
      </c>
      <c r="M361" s="318">
        <f t="shared" si="86"/>
        <v>-225.97226303821185</v>
      </c>
      <c r="N361" s="41">
        <f t="shared" si="72"/>
        <v>0.89942965715690615</v>
      </c>
      <c r="O361" s="44"/>
      <c r="P361" s="329">
        <f>IF(D361=0,0,SUM($L$355:L361))</f>
        <v>15633.496465470364</v>
      </c>
      <c r="Q361" s="317">
        <f>IF(D361=0,0,SUM($I$355:I361))</f>
        <v>0</v>
      </c>
      <c r="R361" s="321">
        <f t="shared" si="87"/>
        <v>-15633.496465470364</v>
      </c>
      <c r="S361" s="198">
        <f t="shared" si="93"/>
        <v>0</v>
      </c>
      <c r="T361" s="212"/>
      <c r="U361" s="317">
        <f>IF(D361=0,0,SUM($L$21:L361))</f>
        <v>606421.06217147026</v>
      </c>
      <c r="V361" s="317">
        <f>IF(D361=0,0,SUM($J$21:J361))</f>
        <v>651299.24981502665</v>
      </c>
      <c r="W361" s="331">
        <f t="shared" si="88"/>
        <v>44878.18764355639</v>
      </c>
      <c r="X361" s="200">
        <f t="shared" si="94"/>
        <v>1.0740049949499721</v>
      </c>
      <c r="Y361" s="201">
        <f t="shared" si="96"/>
        <v>46363</v>
      </c>
      <c r="Z361" s="202">
        <f t="shared" si="96"/>
        <v>46363</v>
      </c>
      <c r="AA361" s="18"/>
      <c r="AB361" s="244"/>
      <c r="AC361" s="247"/>
      <c r="AD361" s="142"/>
      <c r="AE361" s="18"/>
      <c r="AF361" s="18"/>
      <c r="AG361" s="203"/>
      <c r="AH361" s="203"/>
      <c r="AI361" s="18"/>
      <c r="AJ361" s="18"/>
      <c r="AK361" s="18"/>
      <c r="AL361" s="18"/>
      <c r="AM361" s="18"/>
      <c r="AN361" s="18"/>
    </row>
    <row r="362" spans="1:40" ht="20">
      <c r="A362" s="18"/>
      <c r="B362" s="151"/>
      <c r="C362" s="55">
        <v>342</v>
      </c>
      <c r="D362" s="54">
        <v>1</v>
      </c>
      <c r="E362" s="190">
        <f t="shared" si="89"/>
        <v>12</v>
      </c>
      <c r="F362" s="191">
        <f t="shared" si="90"/>
        <v>46364</v>
      </c>
      <c r="G362" s="192" t="str">
        <f t="shared" si="91"/>
        <v>Tue</v>
      </c>
      <c r="H362" s="193"/>
      <c r="I362" s="194"/>
      <c r="J362" s="307">
        <f>321980/B13</f>
        <v>2918.0714156244335</v>
      </c>
      <c r="K362" s="215"/>
      <c r="L362" s="317">
        <f t="shared" si="92"/>
        <v>2472.7976205528121</v>
      </c>
      <c r="M362" s="318">
        <f t="shared" si="86"/>
        <v>445.27379507162141</v>
      </c>
      <c r="N362" s="41">
        <f t="shared" si="72"/>
        <v>1.1800688383758948</v>
      </c>
      <c r="O362" s="56"/>
      <c r="P362" s="329">
        <f>IF(D362=0,0,SUM($L$355:L362))</f>
        <v>18106.294086023176</v>
      </c>
      <c r="Q362" s="317">
        <f>IF(D362=0,0,SUM($I$355:I362))</f>
        <v>0</v>
      </c>
      <c r="R362" s="321">
        <f t="shared" si="87"/>
        <v>-18106.294086023176</v>
      </c>
      <c r="S362" s="198">
        <f t="shared" si="93"/>
        <v>0</v>
      </c>
      <c r="T362" s="207"/>
      <c r="U362" s="317">
        <f>IF(D362=0,0,SUM($L$21:L362))</f>
        <v>608893.85979202308</v>
      </c>
      <c r="V362" s="317">
        <f>IF(D362=0,0,SUM($J$21:J362))</f>
        <v>654217.32123065111</v>
      </c>
      <c r="W362" s="331">
        <f t="shared" si="88"/>
        <v>45323.46143862803</v>
      </c>
      <c r="X362" s="200">
        <f t="shared" si="94"/>
        <v>1.074435734093474</v>
      </c>
      <c r="Y362" s="201">
        <f t="shared" si="96"/>
        <v>46364</v>
      </c>
      <c r="Z362" s="202">
        <f t="shared" si="96"/>
        <v>46364</v>
      </c>
      <c r="AA362" s="18"/>
      <c r="AB362" s="244"/>
      <c r="AC362" s="247"/>
      <c r="AD362" s="142"/>
      <c r="AE362" s="18"/>
      <c r="AF362" s="18"/>
      <c r="AG362" s="203"/>
      <c r="AH362" s="203"/>
      <c r="AI362" s="18"/>
      <c r="AJ362" s="18"/>
      <c r="AK362" s="18"/>
      <c r="AL362" s="18"/>
      <c r="AM362" s="18"/>
      <c r="AN362" s="18"/>
    </row>
    <row r="363" spans="1:40" ht="20">
      <c r="A363" s="18"/>
      <c r="B363" s="151"/>
      <c r="C363" s="55">
        <v>343</v>
      </c>
      <c r="D363" s="54">
        <v>1</v>
      </c>
      <c r="E363" s="190">
        <f t="shared" si="89"/>
        <v>12</v>
      </c>
      <c r="F363" s="191">
        <f t="shared" si="90"/>
        <v>46365</v>
      </c>
      <c r="G363" s="192" t="str">
        <f t="shared" si="91"/>
        <v>Wed</v>
      </c>
      <c r="H363" s="193"/>
      <c r="I363" s="194"/>
      <c r="J363" s="307">
        <f>298990/B13</f>
        <v>2709.7154250498456</v>
      </c>
      <c r="K363" s="215"/>
      <c r="L363" s="317">
        <f t="shared" si="92"/>
        <v>3073.9375165438773</v>
      </c>
      <c r="M363" s="318">
        <f t="shared" si="86"/>
        <v>-364.2220914940317</v>
      </c>
      <c r="N363" s="41">
        <f t="shared" si="72"/>
        <v>0.88151285134008261</v>
      </c>
      <c r="O363" s="56"/>
      <c r="P363" s="329">
        <f>IF(D363=0,0,SUM($L$355:L363))</f>
        <v>21180.231602567052</v>
      </c>
      <c r="Q363" s="317">
        <f>IF(D363=0,0,SUM($I$355:I363))</f>
        <v>0</v>
      </c>
      <c r="R363" s="321">
        <f t="shared" si="87"/>
        <v>-21180.231602567052</v>
      </c>
      <c r="S363" s="198">
        <f t="shared" si="93"/>
        <v>0</v>
      </c>
      <c r="T363" s="207"/>
      <c r="U363" s="317">
        <f>IF(D363=0,0,SUM($L$21:L363))</f>
        <v>611967.79730856698</v>
      </c>
      <c r="V363" s="317">
        <f>IF(D363=0,0,SUM($J$21:J363))</f>
        <v>656927.036655701</v>
      </c>
      <c r="W363" s="331">
        <f t="shared" si="88"/>
        <v>44959.239347134018</v>
      </c>
      <c r="X363" s="200">
        <f t="shared" si="94"/>
        <v>1.0734666751173259</v>
      </c>
      <c r="Y363" s="201">
        <f t="shared" si="96"/>
        <v>46365</v>
      </c>
      <c r="Z363" s="202">
        <f t="shared" si="96"/>
        <v>46365</v>
      </c>
      <c r="AA363" s="18"/>
      <c r="AB363" s="244"/>
      <c r="AC363" s="247"/>
      <c r="AD363" s="142"/>
      <c r="AE363" s="18"/>
      <c r="AF363" s="18"/>
      <c r="AG363" s="203"/>
      <c r="AH363" s="203"/>
      <c r="AI363" s="18"/>
      <c r="AJ363" s="18"/>
      <c r="AK363" s="18"/>
      <c r="AL363" s="18"/>
      <c r="AM363" s="18"/>
      <c r="AN363" s="18"/>
    </row>
    <row r="364" spans="1:40" ht="20">
      <c r="A364" s="18"/>
      <c r="B364" s="151"/>
      <c r="C364" s="55">
        <v>344</v>
      </c>
      <c r="D364" s="54">
        <v>1</v>
      </c>
      <c r="E364" s="190">
        <f t="shared" si="89"/>
        <v>12</v>
      </c>
      <c r="F364" s="191">
        <f t="shared" si="90"/>
        <v>46366</v>
      </c>
      <c r="G364" s="192" t="str">
        <f t="shared" si="91"/>
        <v>Thu</v>
      </c>
      <c r="H364" s="193"/>
      <c r="I364" s="194"/>
      <c r="J364" s="307">
        <f>356890/B13</f>
        <v>3234.4571324995468</v>
      </c>
      <c r="K364" s="215"/>
      <c r="L364" s="317">
        <f t="shared" si="92"/>
        <v>2661.1053114286965</v>
      </c>
      <c r="M364" s="318">
        <f t="shared" si="86"/>
        <v>573.35182107085029</v>
      </c>
      <c r="N364" s="41">
        <f t="shared" si="72"/>
        <v>1.2154562687197932</v>
      </c>
      <c r="O364" s="56"/>
      <c r="P364" s="329">
        <f>IF(D364=0,0,SUM($L$355:L364))</f>
        <v>23841.336913995747</v>
      </c>
      <c r="Q364" s="317">
        <f>IF(D364=0,0,SUM($I$355:I364))</f>
        <v>0</v>
      </c>
      <c r="R364" s="321">
        <f t="shared" si="87"/>
        <v>-23841.336913995747</v>
      </c>
      <c r="S364" s="198">
        <f t="shared" si="93"/>
        <v>0</v>
      </c>
      <c r="T364" s="207"/>
      <c r="U364" s="317">
        <f>IF(D364=0,0,SUM($L$21:L364))</f>
        <v>614628.90261999564</v>
      </c>
      <c r="V364" s="317">
        <f>IF(D364=0,0,SUM($J$21:J364))</f>
        <v>660161.49378820055</v>
      </c>
      <c r="W364" s="331">
        <f t="shared" si="88"/>
        <v>45532.591168204905</v>
      </c>
      <c r="X364" s="200">
        <f t="shared" si="94"/>
        <v>1.0740814351133048</v>
      </c>
      <c r="Y364" s="201">
        <f t="shared" si="96"/>
        <v>46366</v>
      </c>
      <c r="Z364" s="202">
        <f t="shared" si="96"/>
        <v>46366</v>
      </c>
      <c r="AA364" s="18"/>
      <c r="AB364" s="244"/>
      <c r="AC364" s="247"/>
      <c r="AD364" s="142"/>
      <c r="AE364" s="18"/>
      <c r="AF364" s="18"/>
      <c r="AG364" s="203"/>
      <c r="AH364" s="203"/>
      <c r="AI364" s="18"/>
      <c r="AJ364" s="18"/>
      <c r="AK364" s="18"/>
      <c r="AL364" s="18"/>
      <c r="AM364" s="18"/>
      <c r="AN364" s="18"/>
    </row>
    <row r="365" spans="1:40" ht="20">
      <c r="A365" s="18"/>
      <c r="B365" s="151"/>
      <c r="C365" s="55">
        <v>345</v>
      </c>
      <c r="D365" s="54">
        <v>1</v>
      </c>
      <c r="E365" s="190">
        <f t="shared" si="89"/>
        <v>12</v>
      </c>
      <c r="F365" s="191">
        <f t="shared" si="90"/>
        <v>46367</v>
      </c>
      <c r="G365" s="192" t="str">
        <f t="shared" si="91"/>
        <v>Fri</v>
      </c>
      <c r="H365" s="193"/>
      <c r="I365" s="194"/>
      <c r="J365" s="307">
        <f>294560/B13</f>
        <v>2669.5667935472175</v>
      </c>
      <c r="K365" s="215"/>
      <c r="L365" s="317">
        <f t="shared" si="92"/>
        <v>3313.1862474948566</v>
      </c>
      <c r="M365" s="318">
        <f t="shared" si="86"/>
        <v>-643.61945394763916</v>
      </c>
      <c r="N365" s="41">
        <f t="shared" si="72"/>
        <v>0.80574003214148071</v>
      </c>
      <c r="O365" s="56"/>
      <c r="P365" s="329">
        <f>IF(D365=0,0,SUM($L$355:L365))</f>
        <v>27154.523161490604</v>
      </c>
      <c r="Q365" s="317">
        <f>IF(D365=0,0,SUM($I$355:I365))</f>
        <v>0</v>
      </c>
      <c r="R365" s="321">
        <f t="shared" si="87"/>
        <v>-27154.523161490604</v>
      </c>
      <c r="S365" s="198">
        <f t="shared" si="93"/>
        <v>0</v>
      </c>
      <c r="T365" s="207"/>
      <c r="U365" s="317">
        <f>IF(D365=0,0,SUM($L$21:L365))</f>
        <v>617942.08886749053</v>
      </c>
      <c r="V365" s="317">
        <f>IF(D365=0,0,SUM($J$21:J365))</f>
        <v>662831.06058174779</v>
      </c>
      <c r="W365" s="331">
        <f t="shared" si="88"/>
        <v>44888.971714257263</v>
      </c>
      <c r="X365" s="200">
        <f t="shared" si="94"/>
        <v>1.0726426837125236</v>
      </c>
      <c r="Y365" s="201">
        <f t="shared" si="96"/>
        <v>46367</v>
      </c>
      <c r="Z365" s="202">
        <f t="shared" si="96"/>
        <v>46367</v>
      </c>
      <c r="AA365" s="18"/>
      <c r="AB365" s="244"/>
      <c r="AC365" s="247"/>
      <c r="AD365" s="142"/>
      <c r="AE365" s="18"/>
      <c r="AF365" s="18"/>
      <c r="AG365" s="203"/>
      <c r="AH365" s="203"/>
      <c r="AI365" s="18"/>
      <c r="AJ365" s="18"/>
      <c r="AK365" s="18"/>
      <c r="AL365" s="18"/>
      <c r="AM365" s="18"/>
      <c r="AN365" s="18"/>
    </row>
    <row r="366" spans="1:40" ht="20">
      <c r="A366" s="18"/>
      <c r="B366" s="151"/>
      <c r="C366" s="55">
        <v>346</v>
      </c>
      <c r="D366" s="54">
        <v>1</v>
      </c>
      <c r="E366" s="190">
        <f t="shared" si="89"/>
        <v>12</v>
      </c>
      <c r="F366" s="191">
        <f t="shared" si="90"/>
        <v>46368</v>
      </c>
      <c r="G366" s="192" t="str">
        <f t="shared" si="91"/>
        <v>Sat</v>
      </c>
      <c r="H366" s="193"/>
      <c r="I366" s="194"/>
      <c r="J366" s="307">
        <f>401010/B13</f>
        <v>3634.3121261555193</v>
      </c>
      <c r="K366" s="215"/>
      <c r="L366" s="317">
        <f t="shared" si="92"/>
        <v>1865.5622154929315</v>
      </c>
      <c r="M366" s="318">
        <f t="shared" si="86"/>
        <v>1768.7499106625878</v>
      </c>
      <c r="N366" s="41">
        <f t="shared" si="72"/>
        <v>1.9481055608725635</v>
      </c>
      <c r="O366" s="56"/>
      <c r="P366" s="329">
        <f>IF(D366=0,0,SUM($L$355:L366))</f>
        <v>29020.085376983538</v>
      </c>
      <c r="Q366" s="317">
        <f>IF(D366=0,0,SUM($I$355:I366))</f>
        <v>0</v>
      </c>
      <c r="R366" s="321">
        <f t="shared" si="87"/>
        <v>-29020.085376983538</v>
      </c>
      <c r="S366" s="198">
        <f t="shared" si="93"/>
        <v>0</v>
      </c>
      <c r="T366" s="207"/>
      <c r="U366" s="317">
        <f>IF(D366=0,0,SUM($L$21:L366))</f>
        <v>619807.65108298347</v>
      </c>
      <c r="V366" s="317">
        <f>IF(D366=0,0,SUM($J$21:J366))</f>
        <v>666465.37270790327</v>
      </c>
      <c r="W366" s="331">
        <f t="shared" si="88"/>
        <v>46657.721624919795</v>
      </c>
      <c r="X366" s="200">
        <f t="shared" si="94"/>
        <v>1.0752777438990875</v>
      </c>
      <c r="Y366" s="201">
        <f t="shared" si="96"/>
        <v>46368</v>
      </c>
      <c r="Z366" s="202">
        <f t="shared" si="96"/>
        <v>46368</v>
      </c>
      <c r="AA366" s="18"/>
      <c r="AB366" s="244"/>
      <c r="AC366" s="247"/>
      <c r="AD366" s="142"/>
      <c r="AE366" s="18"/>
      <c r="AF366" s="18"/>
      <c r="AG366" s="203"/>
      <c r="AH366" s="203"/>
      <c r="AI366" s="18"/>
      <c r="AJ366" s="18"/>
      <c r="AK366" s="18"/>
      <c r="AL366" s="18"/>
      <c r="AM366" s="18"/>
      <c r="AN366" s="18"/>
    </row>
    <row r="367" spans="1:40" ht="20">
      <c r="A367" s="18"/>
      <c r="B367" s="151"/>
      <c r="C367" s="55">
        <v>347</v>
      </c>
      <c r="D367" s="54">
        <v>0</v>
      </c>
      <c r="E367" s="190">
        <f t="shared" si="89"/>
        <v>12</v>
      </c>
      <c r="F367" s="191">
        <f t="shared" si="90"/>
        <v>46369</v>
      </c>
      <c r="G367" s="192" t="str">
        <f t="shared" si="91"/>
        <v>Sun</v>
      </c>
      <c r="H367" s="193"/>
      <c r="I367" s="194"/>
      <c r="J367" s="307"/>
      <c r="K367" s="215"/>
      <c r="L367" s="317">
        <f t="shared" si="92"/>
        <v>0</v>
      </c>
      <c r="M367" s="318">
        <f t="shared" si="86"/>
        <v>0</v>
      </c>
      <c r="N367" s="41" t="str">
        <f t="shared" si="72"/>
        <v>¥0</v>
      </c>
      <c r="O367" s="56"/>
      <c r="P367" s="329">
        <f>IF(D367=0,0,SUM($L$355:L367))</f>
        <v>0</v>
      </c>
      <c r="Q367" s="317">
        <f>IF(D367=0,0,SUM($I$355:I367))</f>
        <v>0</v>
      </c>
      <c r="R367" s="321">
        <f t="shared" si="87"/>
        <v>0</v>
      </c>
      <c r="S367" s="198">
        <f t="shared" si="93"/>
        <v>0</v>
      </c>
      <c r="T367" s="207"/>
      <c r="U367" s="317">
        <f>IF(D367=0,0,SUM($L$21:L367))</f>
        <v>0</v>
      </c>
      <c r="V367" s="317">
        <f>IF(D367=0,0,SUM($J$21:J367))</f>
        <v>0</v>
      </c>
      <c r="W367" s="331">
        <f t="shared" si="88"/>
        <v>0</v>
      </c>
      <c r="X367" s="200">
        <f t="shared" si="94"/>
        <v>0</v>
      </c>
      <c r="Y367" s="201">
        <f t="shared" si="96"/>
        <v>46369</v>
      </c>
      <c r="Z367" s="202">
        <f t="shared" si="96"/>
        <v>46369</v>
      </c>
      <c r="AA367" s="18"/>
      <c r="AB367" s="244"/>
      <c r="AC367" s="247"/>
      <c r="AD367" s="142"/>
      <c r="AE367" s="18"/>
      <c r="AF367" s="18"/>
      <c r="AG367" s="203"/>
      <c r="AH367" s="203"/>
      <c r="AI367" s="18"/>
      <c r="AJ367" s="18"/>
      <c r="AK367" s="18"/>
      <c r="AL367" s="18"/>
      <c r="AM367" s="18"/>
      <c r="AN367" s="18"/>
    </row>
    <row r="368" spans="1:40" ht="20">
      <c r="A368" s="18"/>
      <c r="B368" s="151"/>
      <c r="C368" s="55">
        <v>348</v>
      </c>
      <c r="D368" s="54">
        <v>1</v>
      </c>
      <c r="E368" s="190">
        <f t="shared" si="89"/>
        <v>12</v>
      </c>
      <c r="F368" s="191">
        <f t="shared" si="90"/>
        <v>46370</v>
      </c>
      <c r="G368" s="192" t="str">
        <f t="shared" si="91"/>
        <v>Mon</v>
      </c>
      <c r="H368" s="193"/>
      <c r="I368" s="194"/>
      <c r="J368" s="307">
        <f>198990/B13</f>
        <v>1803.4257748776508</v>
      </c>
      <c r="K368" s="215"/>
      <c r="L368" s="317">
        <f t="shared" si="92"/>
        <v>2246.9075539571895</v>
      </c>
      <c r="M368" s="318">
        <f t="shared" si="86"/>
        <v>-443.48177907953868</v>
      </c>
      <c r="N368" s="41">
        <f t="shared" si="72"/>
        <v>0.80262571181511622</v>
      </c>
      <c r="O368" s="44"/>
      <c r="P368" s="329">
        <f>IF(D368=0,0,SUM($L$355:L368))</f>
        <v>31266.992930940727</v>
      </c>
      <c r="Q368" s="317">
        <f>IF(D368=0,0,SUM($I$355:I368))</f>
        <v>0</v>
      </c>
      <c r="R368" s="321">
        <f t="shared" si="87"/>
        <v>-31266.992930940727</v>
      </c>
      <c r="S368" s="198">
        <f t="shared" si="93"/>
        <v>0</v>
      </c>
      <c r="T368" s="212"/>
      <c r="U368" s="317">
        <f>IF(D368=0,0,SUM($L$21:L368))</f>
        <v>622054.55863694067</v>
      </c>
      <c r="V368" s="317">
        <f>IF(D368=0,0,SUM($J$21:J368))</f>
        <v>668268.79848278093</v>
      </c>
      <c r="W368" s="331">
        <f t="shared" si="88"/>
        <v>46214.23984584026</v>
      </c>
      <c r="X368" s="200">
        <f t="shared" si="94"/>
        <v>1.0742929043830269</v>
      </c>
      <c r="Y368" s="201">
        <f t="shared" si="96"/>
        <v>46370</v>
      </c>
      <c r="Z368" s="202">
        <f t="shared" si="96"/>
        <v>46370</v>
      </c>
      <c r="AA368" s="18"/>
      <c r="AB368" s="244"/>
      <c r="AC368" s="247"/>
      <c r="AD368" s="142"/>
      <c r="AE368" s="18"/>
      <c r="AF368" s="18"/>
      <c r="AG368" s="203"/>
      <c r="AH368" s="203"/>
      <c r="AI368" s="18"/>
      <c r="AJ368" s="18"/>
      <c r="AK368" s="18"/>
      <c r="AL368" s="18"/>
      <c r="AM368" s="18"/>
      <c r="AN368" s="18"/>
    </row>
    <row r="369" spans="1:40" ht="20">
      <c r="A369" s="18"/>
      <c r="B369" s="151"/>
      <c r="C369" s="55">
        <v>349</v>
      </c>
      <c r="D369" s="54">
        <v>1</v>
      </c>
      <c r="E369" s="190">
        <f t="shared" si="89"/>
        <v>12</v>
      </c>
      <c r="F369" s="191">
        <f t="shared" si="90"/>
        <v>46371</v>
      </c>
      <c r="G369" s="192" t="str">
        <f t="shared" si="91"/>
        <v>Tue</v>
      </c>
      <c r="H369" s="193"/>
      <c r="I369" s="194"/>
      <c r="J369" s="307">
        <f>309890/B13</f>
        <v>2808.5009969186153</v>
      </c>
      <c r="K369" s="215"/>
      <c r="L369" s="317">
        <f t="shared" si="92"/>
        <v>2472.7976205528121</v>
      </c>
      <c r="M369" s="318">
        <f t="shared" si="86"/>
        <v>335.70337636580325</v>
      </c>
      <c r="N369" s="41">
        <f t="shared" si="72"/>
        <v>1.1357585325930371</v>
      </c>
      <c r="O369" s="56"/>
      <c r="P369" s="329">
        <f>IF(D369=0,0,SUM($L$355:L369))</f>
        <v>33739.790551493541</v>
      </c>
      <c r="Q369" s="317">
        <f>IF(D369=0,0,SUM($I$355:I369))</f>
        <v>0</v>
      </c>
      <c r="R369" s="321">
        <f t="shared" si="87"/>
        <v>-33739.790551493541</v>
      </c>
      <c r="S369" s="198">
        <f t="shared" si="93"/>
        <v>0</v>
      </c>
      <c r="T369" s="207"/>
      <c r="U369" s="317">
        <f>IF(D369=0,0,SUM($L$21:L369))</f>
        <v>624527.35625749349</v>
      </c>
      <c r="V369" s="317">
        <f>IF(D369=0,0,SUM($J$21:J369))</f>
        <v>671077.29947969958</v>
      </c>
      <c r="W369" s="331">
        <f t="shared" si="88"/>
        <v>46549.943222206086</v>
      </c>
      <c r="X369" s="200">
        <f t="shared" si="94"/>
        <v>1.0745362757224257</v>
      </c>
      <c r="Y369" s="201">
        <f t="shared" si="96"/>
        <v>46371</v>
      </c>
      <c r="Z369" s="202">
        <f t="shared" si="96"/>
        <v>46371</v>
      </c>
      <c r="AA369" s="18"/>
      <c r="AB369" s="244"/>
      <c r="AC369" s="247"/>
      <c r="AD369" s="142"/>
      <c r="AE369" s="18"/>
      <c r="AF369" s="18"/>
      <c r="AG369" s="203"/>
      <c r="AH369" s="203"/>
      <c r="AI369" s="18"/>
      <c r="AJ369" s="18"/>
      <c r="AK369" s="18"/>
      <c r="AL369" s="18"/>
      <c r="AM369" s="18"/>
      <c r="AN369" s="18"/>
    </row>
    <row r="370" spans="1:40" ht="20">
      <c r="A370" s="18"/>
      <c r="B370" s="151"/>
      <c r="C370" s="55">
        <v>350</v>
      </c>
      <c r="D370" s="54">
        <v>1</v>
      </c>
      <c r="E370" s="190">
        <f t="shared" si="89"/>
        <v>12</v>
      </c>
      <c r="F370" s="191">
        <f t="shared" si="90"/>
        <v>46372</v>
      </c>
      <c r="G370" s="192" t="str">
        <f t="shared" si="91"/>
        <v>Wed</v>
      </c>
      <c r="H370" s="193"/>
      <c r="I370" s="194"/>
      <c r="J370" s="307">
        <f>401330/B13</f>
        <v>3637.2122530360703</v>
      </c>
      <c r="K370" s="215"/>
      <c r="L370" s="317">
        <f t="shared" si="92"/>
        <v>3073.9375165438773</v>
      </c>
      <c r="M370" s="318">
        <f t="shared" si="86"/>
        <v>563.27473649219291</v>
      </c>
      <c r="N370" s="41">
        <f t="shared" si="72"/>
        <v>1.1832420904656189</v>
      </c>
      <c r="O370" s="56"/>
      <c r="P370" s="329">
        <f>IF(D370=0,0,SUM($L$355:L370))</f>
        <v>36813.728068037417</v>
      </c>
      <c r="Q370" s="317">
        <f>IF(D370=0,0,SUM($I$355:I370))</f>
        <v>0</v>
      </c>
      <c r="R370" s="321">
        <f t="shared" si="87"/>
        <v>-36813.728068037417</v>
      </c>
      <c r="S370" s="198">
        <f t="shared" si="93"/>
        <v>0</v>
      </c>
      <c r="T370" s="207"/>
      <c r="U370" s="317">
        <f>IF(D370=0,0,SUM($L$21:L370))</f>
        <v>627601.29377403739</v>
      </c>
      <c r="V370" s="317">
        <f>IF(D370=0,0,SUM($J$21:J370))</f>
        <v>674714.51173273567</v>
      </c>
      <c r="W370" s="331">
        <f t="shared" si="88"/>
        <v>47113.217958698282</v>
      </c>
      <c r="X370" s="200">
        <f t="shared" si="94"/>
        <v>1.075068707515541</v>
      </c>
      <c r="Y370" s="201">
        <f t="shared" si="96"/>
        <v>46372</v>
      </c>
      <c r="Z370" s="202">
        <f t="shared" si="96"/>
        <v>46372</v>
      </c>
      <c r="AA370" s="18"/>
      <c r="AB370" s="244"/>
      <c r="AC370" s="247"/>
      <c r="AD370" s="142"/>
      <c r="AE370" s="18"/>
      <c r="AF370" s="18"/>
      <c r="AG370" s="203"/>
      <c r="AH370" s="203"/>
      <c r="AI370" s="18"/>
      <c r="AJ370" s="18"/>
      <c r="AK370" s="18"/>
      <c r="AL370" s="18"/>
      <c r="AM370" s="18"/>
      <c r="AN370" s="18"/>
    </row>
    <row r="371" spans="1:40" ht="20">
      <c r="A371" s="18"/>
      <c r="B371" s="151"/>
      <c r="C371" s="55">
        <v>351</v>
      </c>
      <c r="D371" s="54">
        <v>1</v>
      </c>
      <c r="E371" s="190">
        <f t="shared" si="89"/>
        <v>12</v>
      </c>
      <c r="F371" s="191">
        <f t="shared" si="90"/>
        <v>46373</v>
      </c>
      <c r="G371" s="192" t="str">
        <f t="shared" si="91"/>
        <v>Thu</v>
      </c>
      <c r="H371" s="193"/>
      <c r="I371" s="194"/>
      <c r="J371" s="307">
        <f>334580/B13</f>
        <v>3032.2639115461302</v>
      </c>
      <c r="K371" s="215"/>
      <c r="L371" s="317">
        <f t="shared" si="92"/>
        <v>2661.1053114286965</v>
      </c>
      <c r="M371" s="318">
        <f t="shared" si="86"/>
        <v>371.15860011743371</v>
      </c>
      <c r="N371" s="41">
        <f t="shared" si="72"/>
        <v>1.1394753520363934</v>
      </c>
      <c r="O371" s="56"/>
      <c r="P371" s="329">
        <f>IF(D371=0,0,SUM($L$355:L371))</f>
        <v>39474.833379466116</v>
      </c>
      <c r="Q371" s="317">
        <f>IF(D371=0,0,SUM($I$355:I371))</f>
        <v>0</v>
      </c>
      <c r="R371" s="321">
        <f t="shared" si="87"/>
        <v>-39474.833379466116</v>
      </c>
      <c r="S371" s="198">
        <f t="shared" si="93"/>
        <v>0</v>
      </c>
      <c r="T371" s="207"/>
      <c r="U371" s="317">
        <f>IF(D371=0,0,SUM($L$21:L371))</f>
        <v>630262.39908546605</v>
      </c>
      <c r="V371" s="317">
        <f>IF(D371=0,0,SUM($J$21:J371))</f>
        <v>677746.77564428176</v>
      </c>
      <c r="W371" s="331">
        <f t="shared" si="88"/>
        <v>47484.376558815711</v>
      </c>
      <c r="X371" s="200">
        <f t="shared" si="94"/>
        <v>1.0753406464160282</v>
      </c>
      <c r="Y371" s="201">
        <f t="shared" si="96"/>
        <v>46373</v>
      </c>
      <c r="Z371" s="202">
        <f t="shared" si="96"/>
        <v>46373</v>
      </c>
      <c r="AA371" s="18"/>
      <c r="AB371" s="244"/>
      <c r="AC371" s="247"/>
      <c r="AD371" s="142"/>
      <c r="AE371" s="18"/>
      <c r="AF371" s="18"/>
      <c r="AG371" s="203"/>
      <c r="AH371" s="203"/>
      <c r="AI371" s="18"/>
      <c r="AJ371" s="18"/>
      <c r="AK371" s="18"/>
      <c r="AL371" s="18"/>
      <c r="AM371" s="18"/>
      <c r="AN371" s="18"/>
    </row>
    <row r="372" spans="1:40" ht="20">
      <c r="A372" s="18"/>
      <c r="B372" s="151"/>
      <c r="C372" s="55">
        <v>352</v>
      </c>
      <c r="D372" s="54">
        <v>1</v>
      </c>
      <c r="E372" s="190">
        <f t="shared" si="89"/>
        <v>12</v>
      </c>
      <c r="F372" s="191">
        <f t="shared" si="90"/>
        <v>46374</v>
      </c>
      <c r="G372" s="192" t="str">
        <f t="shared" si="91"/>
        <v>Fri</v>
      </c>
      <c r="H372" s="193"/>
      <c r="I372" s="194"/>
      <c r="J372" s="307">
        <f>356990/B13</f>
        <v>3235.3634221497191</v>
      </c>
      <c r="K372" s="215"/>
      <c r="L372" s="317">
        <f t="shared" si="92"/>
        <v>3313.1862474948566</v>
      </c>
      <c r="M372" s="318">
        <f t="shared" si="86"/>
        <v>-77.822825345137517</v>
      </c>
      <c r="N372" s="41">
        <f t="shared" si="72"/>
        <v>0.97651118303295492</v>
      </c>
      <c r="O372" s="56"/>
      <c r="P372" s="329">
        <f>IF(D372=0,0,SUM($L$355:L372))</f>
        <v>42788.019626960973</v>
      </c>
      <c r="Q372" s="317">
        <f>IF(D372=0,0,SUM($I$355:I372))</f>
        <v>0</v>
      </c>
      <c r="R372" s="321">
        <f t="shared" si="87"/>
        <v>-42788.019626960973</v>
      </c>
      <c r="S372" s="198">
        <f t="shared" si="93"/>
        <v>0</v>
      </c>
      <c r="T372" s="207"/>
      <c r="U372" s="317">
        <f>IF(D372=0,0,SUM($L$21:L372))</f>
        <v>633575.58533296094</v>
      </c>
      <c r="V372" s="317">
        <f>IF(D372=0,0,SUM($J$21:J372))</f>
        <v>680982.13906643144</v>
      </c>
      <c r="W372" s="331">
        <f t="shared" si="88"/>
        <v>47406.5537334705</v>
      </c>
      <c r="X372" s="200">
        <f t="shared" si="94"/>
        <v>1.0748238329110442</v>
      </c>
      <c r="Y372" s="201">
        <f t="shared" si="96"/>
        <v>46374</v>
      </c>
      <c r="Z372" s="202">
        <f t="shared" si="96"/>
        <v>46374</v>
      </c>
      <c r="AA372" s="18"/>
      <c r="AB372" s="244"/>
      <c r="AC372" s="247"/>
      <c r="AD372" s="142"/>
      <c r="AE372" s="18"/>
      <c r="AF372" s="18"/>
      <c r="AG372" s="203"/>
      <c r="AH372" s="203"/>
      <c r="AI372" s="18"/>
      <c r="AJ372" s="18"/>
      <c r="AK372" s="18"/>
      <c r="AL372" s="18"/>
      <c r="AM372" s="18"/>
      <c r="AN372" s="18"/>
    </row>
    <row r="373" spans="1:40" ht="20">
      <c r="A373" s="18"/>
      <c r="B373" s="151"/>
      <c r="C373" s="55">
        <v>353</v>
      </c>
      <c r="D373" s="54">
        <v>1</v>
      </c>
      <c r="E373" s="190">
        <f t="shared" si="89"/>
        <v>12</v>
      </c>
      <c r="F373" s="191">
        <f t="shared" si="90"/>
        <v>46375</v>
      </c>
      <c r="G373" s="192" t="str">
        <f t="shared" si="91"/>
        <v>Sat</v>
      </c>
      <c r="H373" s="193"/>
      <c r="I373" s="194"/>
      <c r="J373" s="307">
        <f>400350/B13</f>
        <v>3628.3306144643825</v>
      </c>
      <c r="K373" s="215"/>
      <c r="L373" s="317">
        <f t="shared" si="92"/>
        <v>1865.5622154929315</v>
      </c>
      <c r="M373" s="318">
        <f t="shared" si="86"/>
        <v>1762.768398971451</v>
      </c>
      <c r="N373" s="41">
        <f t="shared" si="72"/>
        <v>1.9448992825498883</v>
      </c>
      <c r="O373" s="56"/>
      <c r="P373" s="329">
        <f>IF(D373=0,0,SUM($L$355:L373))</f>
        <v>44653.581842453903</v>
      </c>
      <c r="Q373" s="317">
        <f>IF(D373=0,0,SUM($I$355:I373))</f>
        <v>0</v>
      </c>
      <c r="R373" s="321">
        <f t="shared" si="87"/>
        <v>-44653.581842453903</v>
      </c>
      <c r="S373" s="198">
        <f t="shared" si="93"/>
        <v>0</v>
      </c>
      <c r="T373" s="207"/>
      <c r="U373" s="317">
        <f>IF(D373=0,0,SUM($L$21:L373))</f>
        <v>635441.14754845388</v>
      </c>
      <c r="V373" s="317">
        <f>IF(D373=0,0,SUM($J$21:J373))</f>
        <v>684610.4696808958</v>
      </c>
      <c r="W373" s="331">
        <f t="shared" si="88"/>
        <v>49169.322132441914</v>
      </c>
      <c r="X373" s="200">
        <f t="shared" si="94"/>
        <v>1.0773782470998901</v>
      </c>
      <c r="Y373" s="201">
        <f t="shared" si="96"/>
        <v>46375</v>
      </c>
      <c r="Z373" s="202">
        <f t="shared" si="96"/>
        <v>46375</v>
      </c>
      <c r="AA373" s="18"/>
      <c r="AB373" s="244"/>
      <c r="AC373" s="247"/>
      <c r="AD373" s="142"/>
      <c r="AE373" s="18"/>
      <c r="AF373" s="18"/>
      <c r="AG373" s="203"/>
      <c r="AH373" s="203"/>
      <c r="AI373" s="18"/>
      <c r="AJ373" s="18"/>
      <c r="AK373" s="18"/>
      <c r="AL373" s="18"/>
      <c r="AM373" s="18"/>
      <c r="AN373" s="18"/>
    </row>
    <row r="374" spans="1:40" ht="20">
      <c r="A374" s="18"/>
      <c r="B374" s="151"/>
      <c r="C374" s="55">
        <v>354</v>
      </c>
      <c r="D374" s="54">
        <v>0</v>
      </c>
      <c r="E374" s="190">
        <f t="shared" si="89"/>
        <v>12</v>
      </c>
      <c r="F374" s="191">
        <f t="shared" si="90"/>
        <v>46376</v>
      </c>
      <c r="G374" s="192" t="str">
        <f t="shared" si="91"/>
        <v>Sun</v>
      </c>
      <c r="H374" s="193"/>
      <c r="I374" s="194"/>
      <c r="J374" s="307"/>
      <c r="K374" s="215"/>
      <c r="L374" s="317">
        <f t="shared" si="92"/>
        <v>0</v>
      </c>
      <c r="M374" s="318">
        <f t="shared" si="86"/>
        <v>0</v>
      </c>
      <c r="N374" s="41" t="str">
        <f t="shared" si="72"/>
        <v>¥0</v>
      </c>
      <c r="O374" s="56"/>
      <c r="P374" s="329">
        <f>IF(D374=0,0,SUM($L$355:L374))</f>
        <v>0</v>
      </c>
      <c r="Q374" s="317">
        <f>IF(D374=0,0,SUM($I$355:I374))</f>
        <v>0</v>
      </c>
      <c r="R374" s="321">
        <f t="shared" si="87"/>
        <v>0</v>
      </c>
      <c r="S374" s="198">
        <f t="shared" si="93"/>
        <v>0</v>
      </c>
      <c r="T374" s="207"/>
      <c r="U374" s="317">
        <f>IF(D374=0,0,SUM($L$21:L374))</f>
        <v>0</v>
      </c>
      <c r="V374" s="317">
        <f>IF(D374=0,0,SUM($J$21:J374))</f>
        <v>0</v>
      </c>
      <c r="W374" s="331">
        <f t="shared" si="88"/>
        <v>0</v>
      </c>
      <c r="X374" s="200">
        <f t="shared" si="94"/>
        <v>0</v>
      </c>
      <c r="Y374" s="201">
        <f t="shared" si="96"/>
        <v>46376</v>
      </c>
      <c r="Z374" s="202">
        <f t="shared" si="96"/>
        <v>46376</v>
      </c>
      <c r="AA374" s="18"/>
      <c r="AB374" s="244"/>
      <c r="AC374" s="247"/>
      <c r="AD374" s="142"/>
      <c r="AE374" s="18"/>
      <c r="AF374" s="18"/>
      <c r="AG374" s="203"/>
      <c r="AH374" s="203"/>
      <c r="AI374" s="18"/>
      <c r="AJ374" s="18"/>
      <c r="AK374" s="18"/>
      <c r="AL374" s="18"/>
      <c r="AM374" s="18"/>
      <c r="AN374" s="18"/>
    </row>
    <row r="375" spans="1:40" ht="20">
      <c r="A375" s="18"/>
      <c r="B375" s="151"/>
      <c r="C375" s="55">
        <v>355</v>
      </c>
      <c r="D375" s="54">
        <v>1</v>
      </c>
      <c r="E375" s="190">
        <f t="shared" si="89"/>
        <v>12</v>
      </c>
      <c r="F375" s="191">
        <f t="shared" si="90"/>
        <v>46377</v>
      </c>
      <c r="G375" s="192" t="str">
        <f t="shared" si="91"/>
        <v>Mon</v>
      </c>
      <c r="H375" s="193"/>
      <c r="I375" s="194"/>
      <c r="J375" s="307">
        <f>211990/B13</f>
        <v>1921.2434294000361</v>
      </c>
      <c r="K375" s="215"/>
      <c r="L375" s="317">
        <f t="shared" si="92"/>
        <v>2246.9075539571895</v>
      </c>
      <c r="M375" s="318">
        <f t="shared" si="86"/>
        <v>-325.6641245571534</v>
      </c>
      <c r="N375" s="41">
        <f t="shared" si="72"/>
        <v>0.85506118220858573</v>
      </c>
      <c r="O375" s="44"/>
      <c r="P375" s="329">
        <f>IF(D375=0,0,SUM($L$355:L375))</f>
        <v>46900.489396411096</v>
      </c>
      <c r="Q375" s="317">
        <f>IF(D375=0,0,SUM($I$355:I375))</f>
        <v>0</v>
      </c>
      <c r="R375" s="321">
        <f t="shared" si="87"/>
        <v>-46900.489396411096</v>
      </c>
      <c r="S375" s="198">
        <f t="shared" si="93"/>
        <v>0</v>
      </c>
      <c r="T375" s="212"/>
      <c r="U375" s="317">
        <f>IF(D375=0,0,SUM($L$21:L375))</f>
        <v>637688.05510241108</v>
      </c>
      <c r="V375" s="317">
        <f>IF(D375=0,0,SUM($J$21:J375))</f>
        <v>686531.71311029582</v>
      </c>
      <c r="W375" s="331">
        <f t="shared" si="88"/>
        <v>48843.658007884747</v>
      </c>
      <c r="X375" s="200">
        <f t="shared" si="94"/>
        <v>1.0765949081483746</v>
      </c>
      <c r="Y375" s="201">
        <f t="shared" ref="Y375:Z385" si="97">Y374+1</f>
        <v>46377</v>
      </c>
      <c r="Z375" s="202">
        <f t="shared" si="97"/>
        <v>46377</v>
      </c>
      <c r="AA375" s="18"/>
      <c r="AB375" s="244"/>
      <c r="AC375" s="247"/>
      <c r="AD375" s="142"/>
      <c r="AE375" s="18"/>
      <c r="AF375" s="18"/>
      <c r="AG375" s="203"/>
      <c r="AH375" s="203"/>
      <c r="AI375" s="18"/>
      <c r="AJ375" s="18"/>
      <c r="AK375" s="18"/>
      <c r="AL375" s="18"/>
      <c r="AM375" s="18"/>
      <c r="AN375" s="18"/>
    </row>
    <row r="376" spans="1:40" ht="20">
      <c r="A376" s="18"/>
      <c r="B376" s="151"/>
      <c r="C376" s="55">
        <v>356</v>
      </c>
      <c r="D376" s="54">
        <v>1</v>
      </c>
      <c r="E376" s="190">
        <f t="shared" si="89"/>
        <v>12</v>
      </c>
      <c r="F376" s="191">
        <f t="shared" si="90"/>
        <v>46378</v>
      </c>
      <c r="G376" s="192" t="str">
        <f t="shared" si="91"/>
        <v>Tue</v>
      </c>
      <c r="H376" s="193"/>
      <c r="I376" s="194"/>
      <c r="J376" s="307">
        <f>355990/B13</f>
        <v>3226.3005256479969</v>
      </c>
      <c r="K376" s="215"/>
      <c r="L376" s="317">
        <f t="shared" si="92"/>
        <v>2472.7976205528121</v>
      </c>
      <c r="M376" s="318">
        <f t="shared" si="86"/>
        <v>753.50290509518481</v>
      </c>
      <c r="N376" s="41">
        <f t="shared" si="72"/>
        <v>1.3047167705243641</v>
      </c>
      <c r="O376" s="56"/>
      <c r="P376" s="329">
        <f>IF(D376=0,0,SUM($L$355:L376))</f>
        <v>49373.287016963906</v>
      </c>
      <c r="Q376" s="317">
        <f>IF(D376=0,0,SUM($I$355:I376))</f>
        <v>0</v>
      </c>
      <c r="R376" s="321">
        <f t="shared" si="87"/>
        <v>-49373.287016963906</v>
      </c>
      <c r="S376" s="198">
        <f t="shared" si="93"/>
        <v>0</v>
      </c>
      <c r="T376" s="207"/>
      <c r="U376" s="317">
        <f>IF(D376=0,0,SUM($L$21:L376))</f>
        <v>640160.8527229639</v>
      </c>
      <c r="V376" s="317">
        <f>IF(D376=0,0,SUM($J$21:J376))</f>
        <v>689758.01363594388</v>
      </c>
      <c r="W376" s="331">
        <f t="shared" si="88"/>
        <v>49597.160912979976</v>
      </c>
      <c r="X376" s="200">
        <f t="shared" si="94"/>
        <v>1.0774760916760457</v>
      </c>
      <c r="Y376" s="201">
        <f t="shared" si="97"/>
        <v>46378</v>
      </c>
      <c r="Z376" s="202">
        <f t="shared" si="97"/>
        <v>46378</v>
      </c>
      <c r="AA376" s="18"/>
      <c r="AB376" s="244"/>
      <c r="AC376" s="247"/>
      <c r="AD376" s="142"/>
      <c r="AE376" s="18"/>
      <c r="AF376" s="18"/>
      <c r="AG376" s="203"/>
      <c r="AH376" s="203"/>
      <c r="AI376" s="18"/>
      <c r="AJ376" s="18"/>
      <c r="AK376" s="18"/>
      <c r="AL376" s="18"/>
      <c r="AM376" s="18"/>
      <c r="AN376" s="18"/>
    </row>
    <row r="377" spans="1:40" ht="20">
      <c r="A377" s="18"/>
      <c r="B377" s="151"/>
      <c r="C377" s="55">
        <v>357</v>
      </c>
      <c r="D377" s="54">
        <v>1</v>
      </c>
      <c r="E377" s="190">
        <f t="shared" si="89"/>
        <v>12</v>
      </c>
      <c r="F377" s="191">
        <f t="shared" si="90"/>
        <v>46379</v>
      </c>
      <c r="G377" s="192" t="str">
        <f t="shared" si="91"/>
        <v>Wed</v>
      </c>
      <c r="H377" s="193"/>
      <c r="I377" s="194"/>
      <c r="J377" s="307">
        <f>345990/B13</f>
        <v>3135.6715606307775</v>
      </c>
      <c r="K377" s="215"/>
      <c r="L377" s="317">
        <f t="shared" si="92"/>
        <v>3073.9375165438773</v>
      </c>
      <c r="M377" s="318">
        <f t="shared" si="86"/>
        <v>61.734044086900212</v>
      </c>
      <c r="N377" s="41">
        <f t="shared" si="72"/>
        <v>1.0200830510557384</v>
      </c>
      <c r="O377" s="56"/>
      <c r="P377" s="329">
        <f>IF(D377=0,0,SUM($L$355:L377))</f>
        <v>52447.224533507782</v>
      </c>
      <c r="Q377" s="317">
        <f>IF(D377=0,0,SUM($I$355:I377))</f>
        <v>0</v>
      </c>
      <c r="R377" s="321">
        <f t="shared" si="87"/>
        <v>-52447.224533507782</v>
      </c>
      <c r="S377" s="198">
        <f t="shared" si="93"/>
        <v>0</v>
      </c>
      <c r="T377" s="207"/>
      <c r="U377" s="317">
        <f>IF(D377=0,0,SUM($L$21:L377))</f>
        <v>643234.7902395078</v>
      </c>
      <c r="V377" s="317">
        <f>IF(D377=0,0,SUM($J$21:J377))</f>
        <v>692893.68519657466</v>
      </c>
      <c r="W377" s="331">
        <f t="shared" si="88"/>
        <v>49658.894957066863</v>
      </c>
      <c r="X377" s="200">
        <f t="shared" si="94"/>
        <v>1.0772018176109168</v>
      </c>
      <c r="Y377" s="201">
        <f t="shared" si="97"/>
        <v>46379</v>
      </c>
      <c r="Z377" s="202">
        <f t="shared" si="97"/>
        <v>46379</v>
      </c>
      <c r="AA377" s="18"/>
      <c r="AB377" s="244"/>
      <c r="AC377" s="247"/>
      <c r="AD377" s="142"/>
      <c r="AE377" s="18"/>
      <c r="AF377" s="18"/>
      <c r="AG377" s="203"/>
      <c r="AH377" s="203"/>
      <c r="AI377" s="18"/>
      <c r="AJ377" s="18"/>
      <c r="AK377" s="18"/>
      <c r="AL377" s="18"/>
      <c r="AM377" s="18"/>
      <c r="AN377" s="18"/>
    </row>
    <row r="378" spans="1:40" ht="20">
      <c r="A378" s="18"/>
      <c r="B378" s="151"/>
      <c r="C378" s="55">
        <v>358</v>
      </c>
      <c r="D378" s="54">
        <v>1</v>
      </c>
      <c r="E378" s="190">
        <f t="shared" si="89"/>
        <v>12</v>
      </c>
      <c r="F378" s="191">
        <f t="shared" si="90"/>
        <v>46380</v>
      </c>
      <c r="G378" s="192" t="str">
        <f t="shared" si="91"/>
        <v>Thu</v>
      </c>
      <c r="H378" s="193"/>
      <c r="I378" s="194"/>
      <c r="J378" s="307">
        <f>490890/B13</f>
        <v>4448.885263730288</v>
      </c>
      <c r="K378" s="215"/>
      <c r="L378" s="317">
        <f t="shared" si="92"/>
        <v>2661.1053114286965</v>
      </c>
      <c r="M378" s="318">
        <f t="shared" si="86"/>
        <v>1787.7799523015915</v>
      </c>
      <c r="N378" s="41">
        <f t="shared" si="72"/>
        <v>1.6718185652494026</v>
      </c>
      <c r="O378" s="56"/>
      <c r="P378" s="329">
        <f>IF(D378=0,0,SUM($L$355:L378))</f>
        <v>55108.329844936481</v>
      </c>
      <c r="Q378" s="317">
        <f>IF(D378=0,0,SUM($I$355:I378))</f>
        <v>0</v>
      </c>
      <c r="R378" s="321">
        <f t="shared" si="87"/>
        <v>-55108.329844936481</v>
      </c>
      <c r="S378" s="198">
        <f t="shared" si="93"/>
        <v>0</v>
      </c>
      <c r="T378" s="207"/>
      <c r="U378" s="317">
        <f>IF(D378=0,0,SUM($L$21:L378))</f>
        <v>645895.89555093646</v>
      </c>
      <c r="V378" s="317">
        <f>IF(D378=0,0,SUM($J$21:J378))</f>
        <v>697342.57046030497</v>
      </c>
      <c r="W378" s="331">
        <f t="shared" si="88"/>
        <v>51446.674909368507</v>
      </c>
      <c r="X378" s="200">
        <f t="shared" si="94"/>
        <v>1.0796516517038486</v>
      </c>
      <c r="Y378" s="201">
        <f t="shared" si="97"/>
        <v>46380</v>
      </c>
      <c r="Z378" s="202">
        <f t="shared" si="97"/>
        <v>46380</v>
      </c>
      <c r="AA378" s="18"/>
      <c r="AB378" s="244"/>
      <c r="AC378" s="247"/>
      <c r="AD378" s="142"/>
      <c r="AE378" s="18"/>
      <c r="AF378" s="18"/>
      <c r="AG378" s="203"/>
      <c r="AH378" s="203"/>
      <c r="AI378" s="18"/>
      <c r="AJ378" s="18"/>
      <c r="AK378" s="18"/>
      <c r="AL378" s="18"/>
      <c r="AM378" s="18"/>
      <c r="AN378" s="18"/>
    </row>
    <row r="379" spans="1:40" ht="20">
      <c r="A379" s="18"/>
      <c r="B379" s="151"/>
      <c r="C379" s="55">
        <v>359</v>
      </c>
      <c r="D379" s="54">
        <v>1</v>
      </c>
      <c r="E379" s="190">
        <f t="shared" si="89"/>
        <v>12</v>
      </c>
      <c r="F379" s="191">
        <f t="shared" si="90"/>
        <v>46381</v>
      </c>
      <c r="G379" s="192" t="str">
        <f t="shared" si="91"/>
        <v>Fri</v>
      </c>
      <c r="H379" s="193"/>
      <c r="I379" s="194"/>
      <c r="J379" s="307">
        <f>435990/B13</f>
        <v>3951.332245785753</v>
      </c>
      <c r="K379" s="215"/>
      <c r="L379" s="317">
        <f t="shared" si="92"/>
        <v>3313.1862474948566</v>
      </c>
      <c r="M379" s="318">
        <f t="shared" si="86"/>
        <v>638.14599829089639</v>
      </c>
      <c r="N379" s="41">
        <f t="shared" si="72"/>
        <v>1.1926079461344519</v>
      </c>
      <c r="O379" s="56"/>
      <c r="P379" s="329">
        <f>IF(D379=0,0,SUM($L$355:L379))</f>
        <v>58421.516092431339</v>
      </c>
      <c r="Q379" s="317">
        <f>IF(D379=0,0,SUM($I$355:I379))</f>
        <v>0</v>
      </c>
      <c r="R379" s="321">
        <f t="shared" si="87"/>
        <v>-58421.516092431339</v>
      </c>
      <c r="S379" s="198">
        <f t="shared" si="93"/>
        <v>0</v>
      </c>
      <c r="T379" s="207"/>
      <c r="U379" s="317">
        <f>IF(D379=0,0,SUM($L$21:L379))</f>
        <v>649209.08179843135</v>
      </c>
      <c r="V379" s="317">
        <f>IF(D379=0,0,SUM($J$21:J379))</f>
        <v>701293.90270609071</v>
      </c>
      <c r="W379" s="331">
        <f t="shared" si="88"/>
        <v>52084.820907659363</v>
      </c>
      <c r="X379" s="200">
        <f t="shared" si="94"/>
        <v>1.0802281150525106</v>
      </c>
      <c r="Y379" s="201">
        <f t="shared" si="97"/>
        <v>46381</v>
      </c>
      <c r="Z379" s="202">
        <f t="shared" si="97"/>
        <v>46381</v>
      </c>
      <c r="AA379" s="18"/>
      <c r="AB379" s="244"/>
      <c r="AC379" s="247"/>
      <c r="AD379" s="142"/>
      <c r="AE379" s="18"/>
      <c r="AF379" s="18"/>
      <c r="AG379" s="203"/>
      <c r="AH379" s="203"/>
      <c r="AI379" s="18"/>
      <c r="AJ379" s="18"/>
      <c r="AK379" s="18"/>
      <c r="AL379" s="18"/>
      <c r="AM379" s="18"/>
      <c r="AN379" s="18"/>
    </row>
    <row r="380" spans="1:40" ht="20">
      <c r="A380" s="18"/>
      <c r="B380" s="151"/>
      <c r="C380" s="55">
        <v>360</v>
      </c>
      <c r="D380" s="54">
        <v>1</v>
      </c>
      <c r="E380" s="190">
        <f t="shared" si="89"/>
        <v>12</v>
      </c>
      <c r="F380" s="191">
        <f t="shared" si="90"/>
        <v>46382</v>
      </c>
      <c r="G380" s="192" t="str">
        <f t="shared" si="91"/>
        <v>Sat</v>
      </c>
      <c r="H380" s="193"/>
      <c r="I380" s="194"/>
      <c r="J380" s="307">
        <f>335600/B13</f>
        <v>3041.5080659778864</v>
      </c>
      <c r="K380" s="215"/>
      <c r="L380" s="317">
        <f t="shared" si="92"/>
        <v>1865.5622154929315</v>
      </c>
      <c r="M380" s="318">
        <f t="shared" si="86"/>
        <v>1175.9458504849549</v>
      </c>
      <c r="N380" s="41">
        <f t="shared" si="72"/>
        <v>1.6303439471056389</v>
      </c>
      <c r="O380" s="56"/>
      <c r="P380" s="329">
        <f>IF(D380=0,0,SUM($L$355:L380))</f>
        <v>60287.078307924268</v>
      </c>
      <c r="Q380" s="317">
        <f>IF(D380=0,0,SUM($I$355:I380))</f>
        <v>0</v>
      </c>
      <c r="R380" s="321">
        <f t="shared" si="87"/>
        <v>-60287.078307924268</v>
      </c>
      <c r="S380" s="198">
        <f t="shared" si="93"/>
        <v>0</v>
      </c>
      <c r="T380" s="207"/>
      <c r="U380" s="317">
        <f>IF(D380=0,0,SUM($L$21:L380))</f>
        <v>651074.64401392429</v>
      </c>
      <c r="V380" s="317">
        <f>IF(D380=0,0,SUM($J$21:J380))</f>
        <v>704335.41077206854</v>
      </c>
      <c r="W380" s="331">
        <f t="shared" si="88"/>
        <v>53260.766758144251</v>
      </c>
      <c r="X380" s="200">
        <f t="shared" si="94"/>
        <v>1.0818043940857343</v>
      </c>
      <c r="Y380" s="201">
        <f t="shared" si="97"/>
        <v>46382</v>
      </c>
      <c r="Z380" s="202">
        <f t="shared" si="97"/>
        <v>46382</v>
      </c>
      <c r="AA380" s="18"/>
      <c r="AB380" s="244"/>
      <c r="AC380" s="247"/>
      <c r="AD380" s="142"/>
      <c r="AE380" s="18"/>
      <c r="AF380" s="18"/>
      <c r="AG380" s="203"/>
      <c r="AH380" s="203"/>
      <c r="AI380" s="18"/>
      <c r="AJ380" s="18"/>
      <c r="AK380" s="18"/>
      <c r="AL380" s="18"/>
      <c r="AM380" s="18"/>
      <c r="AN380" s="18"/>
    </row>
    <row r="381" spans="1:40" ht="20">
      <c r="A381" s="18"/>
      <c r="B381" s="151"/>
      <c r="C381" s="55">
        <v>361</v>
      </c>
      <c r="D381" s="54">
        <v>0</v>
      </c>
      <c r="E381" s="190">
        <f t="shared" si="89"/>
        <v>12</v>
      </c>
      <c r="F381" s="191">
        <f t="shared" si="90"/>
        <v>46383</v>
      </c>
      <c r="G381" s="192" t="str">
        <f t="shared" si="91"/>
        <v>Sun</v>
      </c>
      <c r="H381" s="193"/>
      <c r="I381" s="194"/>
      <c r="J381" s="307"/>
      <c r="K381" s="215"/>
      <c r="L381" s="317">
        <f t="shared" si="92"/>
        <v>0</v>
      </c>
      <c r="M381" s="318">
        <f t="shared" si="86"/>
        <v>0</v>
      </c>
      <c r="N381" s="41" t="str">
        <f t="shared" si="72"/>
        <v>¥0</v>
      </c>
      <c r="O381" s="56"/>
      <c r="P381" s="329">
        <f>IF(D381=0,0,SUM($L$355:L381))</f>
        <v>0</v>
      </c>
      <c r="Q381" s="317">
        <f>IF(D381=0,0,SUM($I$355:I381))</f>
        <v>0</v>
      </c>
      <c r="R381" s="321">
        <f t="shared" si="87"/>
        <v>0</v>
      </c>
      <c r="S381" s="198">
        <f t="shared" si="93"/>
        <v>0</v>
      </c>
      <c r="T381" s="207"/>
      <c r="U381" s="317">
        <f>IF(D381=0,0,SUM($L$21:L381))</f>
        <v>0</v>
      </c>
      <c r="V381" s="317">
        <f>IF(D381=0,0,SUM($J$21:J381))</f>
        <v>0</v>
      </c>
      <c r="W381" s="331">
        <f t="shared" si="88"/>
        <v>0</v>
      </c>
      <c r="X381" s="200">
        <f t="shared" si="94"/>
        <v>0</v>
      </c>
      <c r="Y381" s="201">
        <f t="shared" si="97"/>
        <v>46383</v>
      </c>
      <c r="Z381" s="202">
        <f t="shared" si="97"/>
        <v>46383</v>
      </c>
      <c r="AA381" s="18"/>
      <c r="AB381" s="244"/>
      <c r="AC381" s="247"/>
      <c r="AD381" s="142"/>
      <c r="AE381" s="18"/>
      <c r="AF381" s="18"/>
      <c r="AG381" s="203"/>
      <c r="AH381" s="203"/>
      <c r="AI381" s="18"/>
      <c r="AJ381" s="18"/>
      <c r="AK381" s="18"/>
      <c r="AL381" s="18"/>
      <c r="AM381" s="18"/>
      <c r="AN381" s="18"/>
    </row>
    <row r="382" spans="1:40" ht="20">
      <c r="A382" s="18"/>
      <c r="B382" s="151"/>
      <c r="C382" s="55">
        <v>362</v>
      </c>
      <c r="D382" s="54">
        <v>1</v>
      </c>
      <c r="E382" s="190">
        <f t="shared" si="89"/>
        <v>12</v>
      </c>
      <c r="F382" s="191">
        <f t="shared" si="90"/>
        <v>46384</v>
      </c>
      <c r="G382" s="192" t="str">
        <f t="shared" si="91"/>
        <v>Mon</v>
      </c>
      <c r="H382" s="193"/>
      <c r="I382" s="194"/>
      <c r="J382" s="307">
        <f>190890/B13</f>
        <v>1730.0163132137031</v>
      </c>
      <c r="K382" s="215"/>
      <c r="L382" s="317">
        <f t="shared" si="92"/>
        <v>2246.9075539571895</v>
      </c>
      <c r="M382" s="318">
        <f t="shared" si="86"/>
        <v>-516.89124074348638</v>
      </c>
      <c r="N382" s="41">
        <f t="shared" si="72"/>
        <v>0.76995438026226215</v>
      </c>
      <c r="O382" s="44"/>
      <c r="P382" s="329">
        <f>IF(D382=0,0,SUM($L$355:L382))</f>
        <v>62533.985861881461</v>
      </c>
      <c r="Q382" s="317">
        <f>IF(D382=0,0,SUM($I$355:I382))</f>
        <v>0</v>
      </c>
      <c r="R382" s="321">
        <f t="shared" si="87"/>
        <v>-62533.985861881461</v>
      </c>
      <c r="S382" s="198">
        <f t="shared" si="93"/>
        <v>0</v>
      </c>
      <c r="T382" s="212"/>
      <c r="U382" s="317">
        <f>IF(D382=0,0,SUM($L$21:L382))</f>
        <v>653321.55156788148</v>
      </c>
      <c r="V382" s="317">
        <f>IF(D382=0,0,SUM($J$21:J382))</f>
        <v>706065.42708528228</v>
      </c>
      <c r="W382" s="331">
        <f t="shared" si="88"/>
        <v>52743.875517400797</v>
      </c>
      <c r="X382" s="200">
        <f t="shared" si="94"/>
        <v>1.0807318775736432</v>
      </c>
      <c r="Y382" s="201">
        <f t="shared" si="97"/>
        <v>46384</v>
      </c>
      <c r="Z382" s="202">
        <f t="shared" si="97"/>
        <v>46384</v>
      </c>
      <c r="AA382" s="18"/>
      <c r="AB382" s="244"/>
      <c r="AC382" s="247"/>
      <c r="AD382" s="142"/>
      <c r="AE382" s="18"/>
      <c r="AF382" s="18"/>
      <c r="AG382" s="203"/>
      <c r="AH382" s="203"/>
      <c r="AI382" s="18"/>
      <c r="AJ382" s="18"/>
      <c r="AK382" s="18"/>
      <c r="AL382" s="18"/>
      <c r="AM382" s="18"/>
      <c r="AN382" s="18"/>
    </row>
    <row r="383" spans="1:40" ht="20">
      <c r="A383" s="18"/>
      <c r="B383" s="151"/>
      <c r="C383" s="55">
        <v>363</v>
      </c>
      <c r="D383" s="54">
        <v>0</v>
      </c>
      <c r="E383" s="190">
        <f t="shared" si="89"/>
        <v>12</v>
      </c>
      <c r="F383" s="191">
        <f t="shared" si="90"/>
        <v>46385</v>
      </c>
      <c r="G383" s="192" t="str">
        <f t="shared" si="91"/>
        <v>Tue</v>
      </c>
      <c r="H383" s="193"/>
      <c r="I383" s="194"/>
      <c r="J383" s="307"/>
      <c r="K383" s="215"/>
      <c r="L383" s="317">
        <f t="shared" si="92"/>
        <v>0</v>
      </c>
      <c r="M383" s="318">
        <f t="shared" si="86"/>
        <v>0</v>
      </c>
      <c r="N383" s="41" t="str">
        <f t="shared" si="72"/>
        <v>¥0</v>
      </c>
      <c r="O383" s="56"/>
      <c r="P383" s="329">
        <f>IF(D383=0,0,SUM($L$355:L383))</f>
        <v>0</v>
      </c>
      <c r="Q383" s="317">
        <f>IF(D383=0,0,SUM($I$355:I383))</f>
        <v>0</v>
      </c>
      <c r="R383" s="321">
        <f t="shared" si="87"/>
        <v>0</v>
      </c>
      <c r="S383" s="198">
        <f t="shared" si="93"/>
        <v>0</v>
      </c>
      <c r="T383" s="207"/>
      <c r="U383" s="317">
        <f>IF(D383=0,0,SUM($L$21:L383))</f>
        <v>0</v>
      </c>
      <c r="V383" s="317">
        <f>IF(D383=0,0,SUM($J$21:J383))</f>
        <v>0</v>
      </c>
      <c r="W383" s="331">
        <f t="shared" si="88"/>
        <v>0</v>
      </c>
      <c r="X383" s="200">
        <f t="shared" si="94"/>
        <v>0</v>
      </c>
      <c r="Y383" s="201">
        <f t="shared" si="97"/>
        <v>46385</v>
      </c>
      <c r="Z383" s="202">
        <f t="shared" si="97"/>
        <v>46385</v>
      </c>
      <c r="AA383" s="18"/>
      <c r="AB383" s="244"/>
      <c r="AC383" s="247"/>
      <c r="AD383" s="142"/>
      <c r="AE383" s="18"/>
      <c r="AF383" s="18"/>
      <c r="AG383" s="203"/>
      <c r="AH383" s="203"/>
      <c r="AI383" s="18"/>
      <c r="AJ383" s="18"/>
      <c r="AK383" s="18"/>
      <c r="AL383" s="18"/>
      <c r="AM383" s="18"/>
      <c r="AN383" s="18"/>
    </row>
    <row r="384" spans="1:40" ht="20">
      <c r="A384" s="18"/>
      <c r="B384" s="151"/>
      <c r="C384" s="55">
        <v>364</v>
      </c>
      <c r="D384" s="54">
        <v>0</v>
      </c>
      <c r="E384" s="190">
        <f t="shared" si="89"/>
        <v>12</v>
      </c>
      <c r="F384" s="191">
        <f t="shared" si="90"/>
        <v>46386</v>
      </c>
      <c r="G384" s="192" t="str">
        <f t="shared" si="91"/>
        <v>Wed</v>
      </c>
      <c r="H384" s="193"/>
      <c r="I384" s="194"/>
      <c r="J384" s="307"/>
      <c r="K384" s="215"/>
      <c r="L384" s="317">
        <f t="shared" si="92"/>
        <v>0</v>
      </c>
      <c r="M384" s="318">
        <f t="shared" si="86"/>
        <v>0</v>
      </c>
      <c r="N384" s="41" t="str">
        <f t="shared" si="72"/>
        <v>¥0</v>
      </c>
      <c r="O384" s="44"/>
      <c r="P384" s="329">
        <f>IF(D384=0,0,SUM($L$355:L384))</f>
        <v>0</v>
      </c>
      <c r="Q384" s="317">
        <f>IF(D384=0,0,SUM($I$355:I384))</f>
        <v>0</v>
      </c>
      <c r="R384" s="321">
        <f t="shared" si="87"/>
        <v>0</v>
      </c>
      <c r="S384" s="198">
        <f t="shared" si="93"/>
        <v>0</v>
      </c>
      <c r="T384" s="212"/>
      <c r="U384" s="317">
        <f>IF(D384=0,0,SUM($L$21:L384))</f>
        <v>0</v>
      </c>
      <c r="V384" s="317">
        <f>IF(D384=0,0,SUM($J$21:J384))</f>
        <v>0</v>
      </c>
      <c r="W384" s="331">
        <f t="shared" si="88"/>
        <v>0</v>
      </c>
      <c r="X384" s="200">
        <f t="shared" si="94"/>
        <v>0</v>
      </c>
      <c r="Y384" s="201">
        <f t="shared" si="97"/>
        <v>46386</v>
      </c>
      <c r="Z384" s="202">
        <f t="shared" si="97"/>
        <v>46386</v>
      </c>
      <c r="AA384" s="18"/>
      <c r="AB384" s="244"/>
      <c r="AC384" s="247"/>
      <c r="AD384" s="142"/>
      <c r="AE384" s="18"/>
      <c r="AF384" s="18"/>
      <c r="AG384" s="203"/>
      <c r="AH384" s="203"/>
      <c r="AI384" s="18"/>
      <c r="AJ384" s="18"/>
      <c r="AK384" s="18"/>
      <c r="AL384" s="18"/>
      <c r="AM384" s="18"/>
      <c r="AN384" s="18"/>
    </row>
    <row r="385" spans="1:40" ht="21" thickBot="1">
      <c r="A385" s="18"/>
      <c r="B385" s="151"/>
      <c r="C385" s="216">
        <v>365</v>
      </c>
      <c r="D385" s="38">
        <v>0</v>
      </c>
      <c r="E385" s="217">
        <f t="shared" si="89"/>
        <v>12</v>
      </c>
      <c r="F385" s="218">
        <f t="shared" si="90"/>
        <v>46387</v>
      </c>
      <c r="G385" s="219" t="str">
        <f t="shared" si="91"/>
        <v>Thu</v>
      </c>
      <c r="H385" s="220" t="s">
        <v>44</v>
      </c>
      <c r="I385" s="221"/>
      <c r="J385" s="312"/>
      <c r="K385" s="223"/>
      <c r="L385" s="319">
        <f t="shared" si="92"/>
        <v>0</v>
      </c>
      <c r="M385" s="320">
        <f t="shared" si="86"/>
        <v>0</v>
      </c>
      <c r="N385" s="24" t="str">
        <f t="shared" si="72"/>
        <v>¥0</v>
      </c>
      <c r="O385" s="27"/>
      <c r="P385" s="330">
        <f>IF(D385=0,0,SUM($L$355:L385))</f>
        <v>0</v>
      </c>
      <c r="Q385" s="323">
        <f>IF(D385=0,0,SUM($I$355:I385))</f>
        <v>0</v>
      </c>
      <c r="R385" s="320">
        <f t="shared" si="87"/>
        <v>0</v>
      </c>
      <c r="S385" s="228">
        <f t="shared" si="93"/>
        <v>0</v>
      </c>
      <c r="T385" s="240"/>
      <c r="U385" s="332">
        <f>IF(D385=0,0,SUM($L$21:L385))</f>
        <v>0</v>
      </c>
      <c r="V385" s="332">
        <f>IF(D385=0,0,SUM($J$21:J385))</f>
        <v>0</v>
      </c>
      <c r="W385" s="333">
        <f t="shared" si="88"/>
        <v>0</v>
      </c>
      <c r="X385" s="230">
        <f t="shared" si="94"/>
        <v>0</v>
      </c>
      <c r="Y385" s="201">
        <f t="shared" si="97"/>
        <v>46387</v>
      </c>
      <c r="Z385" s="202">
        <f t="shared" si="97"/>
        <v>46387</v>
      </c>
      <c r="AA385" s="18"/>
      <c r="AB385" s="244"/>
      <c r="AC385" s="247"/>
      <c r="AD385" s="142"/>
      <c r="AE385" s="18"/>
      <c r="AF385" s="18"/>
      <c r="AG385" s="203"/>
      <c r="AH385" s="203"/>
      <c r="AI385" s="18"/>
      <c r="AJ385" s="18"/>
      <c r="AK385" s="18"/>
      <c r="AL385" s="18"/>
      <c r="AM385" s="18"/>
      <c r="AN385" s="18"/>
    </row>
    <row r="386" spans="1:40" ht="18" thickTop="1">
      <c r="A386" s="18"/>
      <c r="B386" s="18"/>
      <c r="C386" s="18"/>
      <c r="D386" s="142"/>
      <c r="E386" s="18"/>
      <c r="F386" s="18"/>
      <c r="G386" s="18"/>
      <c r="H386" s="18"/>
      <c r="I386" s="143"/>
      <c r="J386" s="18"/>
      <c r="K386" s="18"/>
      <c r="L386" s="18"/>
      <c r="M386" s="18"/>
      <c r="N386" s="18"/>
      <c r="O386" s="18"/>
      <c r="P386" s="18"/>
      <c r="Q386" s="18"/>
      <c r="R386" s="18"/>
      <c r="S386" s="18"/>
      <c r="T386" s="18"/>
      <c r="U386" s="18"/>
      <c r="V386" s="18"/>
      <c r="W386" s="18"/>
      <c r="X386" s="18"/>
      <c r="Y386" s="18"/>
      <c r="Z386" s="18"/>
      <c r="AA386" s="18"/>
      <c r="AB386" s="142"/>
      <c r="AC386" s="247"/>
      <c r="AD386" s="142"/>
      <c r="AE386" s="18"/>
      <c r="AF386" s="18"/>
      <c r="AG386" s="18"/>
      <c r="AH386" s="18"/>
      <c r="AI386" s="18"/>
      <c r="AJ386" s="18"/>
      <c r="AK386" s="18"/>
      <c r="AL386" s="18"/>
      <c r="AM386" s="18"/>
      <c r="AN386" s="18"/>
    </row>
  </sheetData>
  <sheetProtection selectLockedCells="1"/>
  <autoFilter ref="E20:X385" xr:uid="{3E060601-775C-3849-838E-42921F583121}"/>
  <mergeCells count="50">
    <mergeCell ref="B2:D3"/>
    <mergeCell ref="E2:F2"/>
    <mergeCell ref="H2:J2"/>
    <mergeCell ref="K2:L2"/>
    <mergeCell ref="E3:F3"/>
    <mergeCell ref="I3:J3"/>
    <mergeCell ref="K3:L3"/>
    <mergeCell ref="B6:C6"/>
    <mergeCell ref="I6:J6"/>
    <mergeCell ref="K6:L6"/>
    <mergeCell ref="N6:O6"/>
    <mergeCell ref="B7:C7"/>
    <mergeCell ref="I7:J7"/>
    <mergeCell ref="K7:L7"/>
    <mergeCell ref="N7:O7"/>
    <mergeCell ref="B8:C8"/>
    <mergeCell ref="I8:J8"/>
    <mergeCell ref="K8:L8"/>
    <mergeCell ref="N8:O8"/>
    <mergeCell ref="I9:J9"/>
    <mergeCell ref="K9:L9"/>
    <mergeCell ref="N9:O9"/>
    <mergeCell ref="I10:J10"/>
    <mergeCell ref="K10:L10"/>
    <mergeCell ref="N10:O10"/>
    <mergeCell ref="I11:J11"/>
    <mergeCell ref="K11:L11"/>
    <mergeCell ref="N11:O11"/>
    <mergeCell ref="I12:J12"/>
    <mergeCell ref="K12:L12"/>
    <mergeCell ref="N12:O12"/>
    <mergeCell ref="I13:J13"/>
    <mergeCell ref="K13:L13"/>
    <mergeCell ref="N13:O13"/>
    <mergeCell ref="B14:C14"/>
    <mergeCell ref="I14:J14"/>
    <mergeCell ref="K14:L14"/>
    <mergeCell ref="N14:O14"/>
    <mergeCell ref="I15:J15"/>
    <mergeCell ref="K15:L15"/>
    <mergeCell ref="N15:O15"/>
    <mergeCell ref="I18:J18"/>
    <mergeCell ref="K18:L18"/>
    <mergeCell ref="N18:O18"/>
    <mergeCell ref="I16:J16"/>
    <mergeCell ref="K16:L16"/>
    <mergeCell ref="N16:O16"/>
    <mergeCell ref="I17:J17"/>
    <mergeCell ref="K17:L17"/>
    <mergeCell ref="N17:O17"/>
  </mergeCells>
  <phoneticPr fontId="2"/>
  <conditionalFormatting sqref="D21:X385">
    <cfRule type="expression" dxfId="5" priority="2">
      <formula>$D21=0</formula>
    </cfRule>
  </conditionalFormatting>
  <conditionalFormatting sqref="E21:X385">
    <cfRule type="expression" dxfId="4" priority="3">
      <formula>WEEKDAY($G21)=1</formula>
    </cfRule>
    <cfRule type="expression" dxfId="3" priority="4">
      <formula>WEEKDAY($G21)=7</formula>
    </cfRule>
  </conditionalFormatting>
  <conditionalFormatting sqref="F21:X385">
    <cfRule type="expression" dxfId="2" priority="1">
      <formula>$F21=TODAY()</formula>
    </cfRule>
  </conditionalFormatting>
  <conditionalFormatting sqref="N7:P18">
    <cfRule type="cellIs" dxfId="1" priority="5" operator="lessThan">
      <formula>0</formula>
    </cfRule>
    <cfRule type="cellIs" dxfId="0" priority="6" operator="greaterThan">
      <formula>"¥0"</formula>
    </cfRule>
  </conditionalFormatting>
  <dataValidations count="1">
    <dataValidation type="list" allowBlank="1" showErrorMessage="1" sqref="B2:D3" xr:uid="{DDD7513E-4F09-5D43-906A-0EDE584E51A2}">
      <formula1>"2025/1/1,2026/1/1,2027/1/1,2029/1/1,2030/1/1,2031/1/1,2033/1/1,2034/1/1,2035/1/1,2037/1/1,2038/1/1,2039/1/1,2041/1/1,2042/1/1,2043/1/1,2045/1/1"</formula1>
    </dataValidation>
  </dataValidations>
  <hyperlinks>
    <hyperlink ref="P2" location="目標_2025R7!E21" display="1月" xr:uid="{89C3B8BE-0ABB-8B42-AA6D-C979D2B5896F}"/>
    <hyperlink ref="Q2" location="目標_2025R7!E52" display="2月" xr:uid="{F08259A1-3AD4-6245-8CF2-ED9EF0750C18}"/>
    <hyperlink ref="R2" location="目標_2025R7!E80" display="3月" xr:uid="{3024858F-930D-BF40-A6B6-0DFBECD69227}"/>
    <hyperlink ref="S2" location="目標_2025R7!E111" display="4月" xr:uid="{611A8532-D578-9E4D-9E6B-37B56515DFEB}"/>
    <hyperlink ref="P3" location="目標_2025R7!E141" display="5月" xr:uid="{3CA500E0-5088-E64F-BDBA-39FB97992C82}"/>
    <hyperlink ref="Q3" location="目標_2025R7!E172" display="6月" xr:uid="{D0B483A4-7B22-9C43-9590-D38262EA9CBF}"/>
    <hyperlink ref="R3" location="目標_2025R7!E202" display="7月" xr:uid="{2B6A7257-17E6-3E43-A5F6-98518660C68E}"/>
    <hyperlink ref="S3" location="目標_2025R7!E233" display="8月" xr:uid="{818F91DC-88C0-1246-AB36-7567E076ECE4}"/>
    <hyperlink ref="P4" location="目標_2025R7!E264" display="9月" xr:uid="{4AC97442-A63A-9F4F-929B-CBB2DE081FAB}"/>
    <hyperlink ref="Q4" location="目標_2025R7!E294" display="10月" xr:uid="{0F934BD9-DCB4-9543-B4D2-AC140CB41F71}"/>
    <hyperlink ref="R4" location="目標_2025R7!E325" display="11月" xr:uid="{062E8115-6A2B-2C4B-9D34-E626EC49885F}"/>
    <hyperlink ref="S4" location="目標_2025R7!E355" display="12月" xr:uid="{D147B1CC-36AC-3648-A44B-349711181E50}"/>
  </hyperlinks>
  <pageMargins left="0.70866141732283472" right="0.70866141732283472" top="0.74803149606299213" bottom="0.74803149606299213" header="0.31496062992125984" footer="0.31496062992125984"/>
  <pageSetup paperSize="9" scale="59" orientation="landscape" copies="3" r:id="rId1"/>
  <rowBreaks count="1" manualBreakCount="1">
    <brk id="18" max="19" man="1"/>
  </rowBreaks>
  <colBreaks count="2" manualBreakCount="2">
    <brk id="19" max="385" man="1"/>
    <brk id="20"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7</vt:i4>
      </vt:variant>
      <vt:variant>
        <vt:lpstr>名前付き一覧</vt:lpstr>
      </vt:variant>
      <vt:variant>
        <vt:i4>3</vt:i4>
      </vt:variant>
    </vt:vector>
  </HeadingPairs>
  <TitlesOfParts>
    <vt:vector size="10" baseType="lpstr">
      <vt:lpstr>★ぼんぼり戦略表</vt:lpstr>
      <vt:lpstr>2024(¥)</vt:lpstr>
      <vt:lpstr>2024($)</vt:lpstr>
      <vt:lpstr>2025(¥)</vt:lpstr>
      <vt:lpstr>2025 ($)</vt:lpstr>
      <vt:lpstr>Sheet3</vt:lpstr>
      <vt:lpstr>2026 ($)</vt:lpstr>
      <vt:lpstr>'2025 ($)'!Print_Area</vt:lpstr>
      <vt:lpstr>'2025(¥)'!Print_Area</vt:lpstr>
      <vt:lpstr>'2026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真一朗 松下</dc:creator>
  <cp:lastModifiedBy>真一朗 松下</cp:lastModifiedBy>
  <cp:lastPrinted>2025-08-25T07:54:12Z</cp:lastPrinted>
  <dcterms:created xsi:type="dcterms:W3CDTF">2025-07-09T04:55:18Z</dcterms:created>
  <dcterms:modified xsi:type="dcterms:W3CDTF">2026-06-09T11:47:22Z</dcterms:modified>
</cp:coreProperties>
</file>